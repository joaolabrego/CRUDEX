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1F2C49B-8607-4A37-BC9B-90AA9E1A4B43}" xr6:coauthVersionLast="47" xr6:coauthVersionMax="47" xr10:uidLastSave="{00000000-0000-0000-0000-000000000000}"/>
  <bookViews>
    <workbookView xWindow="-108" yWindow="-108" windowWidth="23256" windowHeight="13176" tabRatio="925" firstSheet="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1" i="12" l="1"/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8" i="12" a="1"/>
  <c r="H97" i="12" a="1"/>
  <c r="H107" i="12" a="1"/>
  <c r="H96" i="12" a="1"/>
  <c r="H103" i="12" a="1"/>
  <c r="C102" i="12" a="1"/>
  <c r="H113" i="12" a="1"/>
  <c r="F102" i="12" a="1"/>
  <c r="H102" i="12" a="1"/>
  <c r="H101" i="12" a="1"/>
  <c r="H111" i="12" a="1"/>
  <c r="H99" i="12" a="1"/>
  <c r="H100" i="12" a="1"/>
  <c r="H106" i="12" a="1"/>
  <c r="H110" i="12" a="1"/>
  <c r="H95" i="12" a="1"/>
  <c r="F135" i="12" a="1"/>
  <c r="H109" i="12" a="1"/>
  <c r="H104" i="12" a="1"/>
  <c r="H108" i="12" a="1"/>
  <c r="H94" i="12" a="1"/>
  <c r="H105" i="12" a="1"/>
  <c r="H11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5" i="12"/>
  <c r="C22" i="4"/>
  <c r="A134" i="12"/>
  <c r="A3" i="7"/>
  <c r="A3" i="8"/>
  <c r="A137" i="12"/>
  <c r="A138" i="12"/>
  <c r="A136" i="12"/>
  <c r="A135" i="12"/>
  <c r="D133" i="12"/>
  <c r="D134" i="12" s="1"/>
  <c r="A133" i="12"/>
  <c r="A132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1" i="12"/>
  <c r="D130" i="12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H84" i="12" a="1"/>
  <c r="H118" i="12" a="1"/>
  <c r="H3" i="12" a="1"/>
  <c r="H38" i="12" a="1"/>
  <c r="F63" i="12" a="1"/>
  <c r="C56" i="12" a="1"/>
  <c r="H114" i="12" a="1"/>
  <c r="C110" i="12" a="1"/>
  <c r="C47" i="12" a="1"/>
  <c r="F130" i="12" a="1"/>
  <c r="H80" i="12" a="1"/>
  <c r="C136" i="12" a="1"/>
  <c r="C38" i="12" a="1"/>
  <c r="C60" i="12" a="1"/>
  <c r="H138" i="12" a="1"/>
  <c r="H51" i="12" a="1"/>
  <c r="H28" i="12" a="1"/>
  <c r="C80" i="12" a="1"/>
  <c r="F45" i="12" a="1"/>
  <c r="C131" i="12" a="1"/>
  <c r="F107" i="12" a="1"/>
  <c r="F66" i="12" a="1"/>
  <c r="C127" i="12" a="1"/>
  <c r="H56" i="12" a="1"/>
  <c r="C31" i="12" a="1"/>
  <c r="H82" i="12" a="1"/>
  <c r="H8" i="12" a="1"/>
  <c r="H66" i="12" a="1"/>
  <c r="C12" i="12" a="1"/>
  <c r="H123" i="12" a="1"/>
  <c r="F99" i="12" a="1"/>
  <c r="C46" i="12" a="1"/>
  <c r="C41" i="12" a="1"/>
  <c r="C70" i="12" a="1"/>
  <c r="H43" i="12" a="1"/>
  <c r="C103" i="12" a="1"/>
  <c r="F110" i="12" a="1"/>
  <c r="C18" i="12" a="1"/>
  <c r="H23" i="12" a="1"/>
  <c r="F117" i="12" a="1"/>
  <c r="F64" i="12" a="1"/>
  <c r="F32" i="12" a="1"/>
  <c r="H24" i="12" a="1"/>
  <c r="F101" i="12" a="1"/>
  <c r="C21" i="12" a="1"/>
  <c r="C99" i="12" a="1"/>
  <c r="F112" i="12" a="1"/>
  <c r="F38" i="12" a="1"/>
  <c r="F105" i="12" a="1"/>
  <c r="F104" i="12" a="1"/>
  <c r="H15" i="12" a="1"/>
  <c r="C84" i="12" a="1"/>
  <c r="F85" i="12" a="1"/>
  <c r="C71" i="12" a="1"/>
  <c r="C78" i="12" a="1"/>
  <c r="F36" i="12" a="1"/>
  <c r="F126" i="12" a="1"/>
  <c r="C117" i="12" a="1"/>
  <c r="F22" i="12" a="1"/>
  <c r="C85" i="12" a="1"/>
  <c r="H47" i="12" a="1"/>
  <c r="F57" i="12" a="1"/>
  <c r="C98" i="12" a="1"/>
  <c r="F70" i="12" a="1"/>
  <c r="F59" i="12" a="1"/>
  <c r="H26" i="12" a="1"/>
  <c r="H44" i="12" a="1"/>
  <c r="C138" i="12" a="1"/>
  <c r="F55" i="12" a="1"/>
  <c r="F65" i="12" a="1"/>
  <c r="F53" i="12" a="1"/>
  <c r="H81" i="12" a="1"/>
  <c r="H11" i="12" a="1"/>
  <c r="F56" i="12" a="1"/>
  <c r="C75" i="12" a="1"/>
  <c r="F41" i="12" a="1"/>
  <c r="F26" i="12" a="1"/>
  <c r="F20" i="12" a="1"/>
  <c r="H19" i="12" a="1"/>
  <c r="F9" i="12" a="1"/>
  <c r="C77" i="12" a="1"/>
  <c r="F47" i="12" a="1"/>
  <c r="C28" i="12" a="1"/>
  <c r="F127" i="12" a="1"/>
  <c r="H67" i="12" a="1"/>
  <c r="H27" i="12" a="1"/>
  <c r="C72" i="12" a="1"/>
  <c r="F43" i="12" a="1"/>
  <c r="H2" i="12" a="1"/>
  <c r="F15" i="12" a="1"/>
  <c r="H92" i="12" a="1"/>
  <c r="H91" i="12" a="1"/>
  <c r="C23" i="12" a="1"/>
  <c r="H20" i="12" a="1"/>
  <c r="H135" i="12" a="1"/>
  <c r="H89" i="12" a="1"/>
  <c r="F115" i="12" a="1"/>
  <c r="C52" i="12" a="1"/>
  <c r="H69" i="12" a="1"/>
  <c r="C135" i="12" a="1"/>
  <c r="C34" i="12" a="1"/>
  <c r="F71" i="12" a="1"/>
  <c r="F98" i="12" a="1"/>
  <c r="F84" i="12" a="1"/>
  <c r="C88" i="12" a="1"/>
  <c r="C62" i="12" a="1"/>
  <c r="F92" i="12" a="1"/>
  <c r="F118" i="12" a="1"/>
  <c r="C81" i="12" a="1"/>
  <c r="H32" i="12" a="1"/>
  <c r="F67" i="12" a="1"/>
  <c r="F48" i="12" a="1"/>
  <c r="C134" i="12" a="1"/>
  <c r="C109" i="12" a="1"/>
  <c r="H7" i="12" a="1"/>
  <c r="F128" i="12" a="1"/>
  <c r="H127" i="12" a="1"/>
  <c r="F10" i="12" a="1"/>
  <c r="C112" i="12" a="1"/>
  <c r="F96" i="12" a="1"/>
  <c r="C20" i="12" a="1"/>
  <c r="H39" i="12" a="1"/>
  <c r="H41" i="12" a="1"/>
  <c r="H88" i="12" a="1"/>
  <c r="F100" i="12" a="1"/>
  <c r="H79" i="12" a="1"/>
  <c r="C6" i="12" a="1"/>
  <c r="H63" i="12" a="1"/>
  <c r="H128" i="12" a="1"/>
  <c r="H137" i="12" a="1"/>
  <c r="F2" i="12" a="1"/>
  <c r="H21" i="12" a="1"/>
  <c r="C44" i="12" a="1"/>
  <c r="F19" i="12" a="1"/>
  <c r="C45" i="12" a="1"/>
  <c r="H87" i="12" a="1"/>
  <c r="F42" i="12" a="1"/>
  <c r="F129" i="12" a="1"/>
  <c r="F94" i="12" a="1"/>
  <c r="F76" i="12" a="1"/>
  <c r="F51" i="12" a="1"/>
  <c r="F106" i="12" a="1"/>
  <c r="C2" i="12" a="1"/>
  <c r="H121" i="12" a="1"/>
  <c r="H130" i="12" a="1"/>
  <c r="C58" i="12" a="1"/>
  <c r="C118" i="12" a="1"/>
  <c r="H52" i="12" a="1"/>
  <c r="C100" i="12" a="1"/>
  <c r="H50" i="12" a="1"/>
  <c r="F97" i="12" a="1"/>
  <c r="F82" i="12" a="1"/>
  <c r="F4" i="12" a="1"/>
  <c r="H61" i="12" a="1"/>
  <c r="C19" i="12" a="1"/>
  <c r="C94" i="12" a="1"/>
  <c r="H136" i="12" a="1"/>
  <c r="F44" i="12" a="1"/>
  <c r="C89" i="12" a="1"/>
  <c r="H5" i="12" a="1"/>
  <c r="H14" i="12" a="1"/>
  <c r="C25" i="12" a="1"/>
  <c r="F122" i="12" a="1"/>
  <c r="F90" i="12" a="1"/>
  <c r="C83" i="12" a="1"/>
  <c r="C48" i="12" a="1"/>
  <c r="F123" i="12" a="1"/>
  <c r="H35" i="12" a="1"/>
  <c r="C16" i="12" a="1"/>
  <c r="F21" i="12" a="1"/>
  <c r="H36" i="12" a="1"/>
  <c r="C15" i="12" a="1"/>
  <c r="H12" i="12" a="1"/>
  <c r="C59" i="12" a="1"/>
  <c r="F83" i="12" a="1"/>
  <c r="H78" i="12" a="1"/>
  <c r="C132" i="12" a="1"/>
  <c r="H6" i="12" a="1"/>
  <c r="C116" i="12" a="1"/>
  <c r="H77" i="12" a="1"/>
  <c r="C121" i="12" a="1"/>
  <c r="C68" i="12" a="1"/>
  <c r="C13" i="12" a="1"/>
  <c r="F31" i="12" a="1"/>
  <c r="C120" i="12" a="1"/>
  <c r="C35" i="12" a="1"/>
  <c r="F13" i="12" a="1"/>
  <c r="H42" i="12" a="1"/>
  <c r="F77" i="12" a="1"/>
  <c r="C51" i="12" a="1"/>
  <c r="C115" i="12" a="1"/>
  <c r="C123" i="12" a="1"/>
  <c r="C67" i="12" a="1"/>
  <c r="H115" i="12" a="1"/>
  <c r="H74" i="12" a="1"/>
  <c r="H126" i="12" a="1"/>
  <c r="C106" i="12" a="1"/>
  <c r="C74" i="12" a="1"/>
  <c r="F120" i="12" a="1"/>
  <c r="C30" i="12" a="1"/>
  <c r="H40" i="12" a="1"/>
  <c r="C65" i="12" a="1"/>
  <c r="C137" i="12" a="1"/>
  <c r="H73" i="12" a="1"/>
  <c r="H49" i="12" a="1"/>
  <c r="H72" i="12" a="1"/>
  <c r="C101" i="12" a="1"/>
  <c r="C90" i="12" a="1"/>
  <c r="H4" i="12" a="1"/>
  <c r="F80" i="12" a="1"/>
  <c r="C107" i="12" a="1"/>
  <c r="F46" i="12" a="1"/>
  <c r="F133" i="12" a="1"/>
  <c r="F72" i="12" a="1"/>
  <c r="F8" i="12" a="1"/>
  <c r="H122" i="12" a="1"/>
  <c r="C24" i="12" a="1"/>
  <c r="H54" i="12" a="1"/>
  <c r="F124" i="12" a="1"/>
  <c r="H93" i="12" a="1"/>
  <c r="C69" i="12" a="1"/>
  <c r="F37" i="12" a="1"/>
  <c r="C37" i="12" a="1"/>
  <c r="F14" i="12" a="1"/>
  <c r="F86" i="12" a="1"/>
  <c r="H55" i="12" a="1"/>
  <c r="C11" i="12" a="1"/>
  <c r="C39" i="12" a="1"/>
  <c r="C50" i="12" a="1"/>
  <c r="H16" i="12" a="1"/>
  <c r="H129" i="12" a="1"/>
  <c r="F5" i="12" a="1"/>
  <c r="H22" i="12" a="1"/>
  <c r="C17" i="12" a="1"/>
  <c r="H68" i="12" a="1"/>
  <c r="C79" i="12" a="1"/>
  <c r="F103" i="12" a="1"/>
  <c r="H37" i="12" a="1"/>
  <c r="C14" i="12" a="1"/>
  <c r="F58" i="12" a="1"/>
  <c r="F35" i="12" a="1"/>
  <c r="H30" i="12" a="1"/>
  <c r="C76" i="12" a="1"/>
  <c r="C66" i="12" a="1"/>
  <c r="C42" i="12" a="1"/>
  <c r="H48" i="12" a="1"/>
  <c r="F119" i="12" a="1"/>
  <c r="F54" i="12" a="1"/>
  <c r="H18" i="12" a="1"/>
  <c r="H125" i="12" a="1"/>
  <c r="H65" i="12" a="1"/>
  <c r="F136" i="12" a="1"/>
  <c r="F12" i="12" a="1"/>
  <c r="F78" i="12" a="1"/>
  <c r="H131" i="12" a="1"/>
  <c r="F29" i="12" a="1"/>
  <c r="H53" i="12" a="1"/>
  <c r="F125" i="12" a="1"/>
  <c r="C36" i="12" a="1"/>
  <c r="C55" i="12" a="1"/>
  <c r="F75" i="12" a="1"/>
  <c r="H58" i="12" a="1"/>
  <c r="C87" i="12" a="1"/>
  <c r="H60" i="12" a="1"/>
  <c r="F87" i="12" a="1"/>
  <c r="H10" i="12" a="1"/>
  <c r="H29" i="12" a="1"/>
  <c r="F25" i="12" a="1"/>
  <c r="F33" i="12" a="1"/>
  <c r="C91" i="12" a="1"/>
  <c r="C82" i="12" a="1"/>
  <c r="C124" i="12" a="1"/>
  <c r="H64" i="12" a="1"/>
  <c r="F61" i="12" a="1"/>
  <c r="C113" i="12" a="1"/>
  <c r="C9" i="12" a="1"/>
  <c r="C111" i="12" a="1"/>
  <c r="H46" i="12" a="1"/>
  <c r="F49" i="12" a="1"/>
  <c r="H62" i="12" a="1"/>
  <c r="H76" i="12" a="1"/>
  <c r="C26" i="12" a="1"/>
  <c r="H59" i="12" a="1"/>
  <c r="F91" i="12" a="1"/>
  <c r="C4" i="12" a="1"/>
  <c r="H133" i="12" a="1"/>
  <c r="C95" i="12" a="1"/>
  <c r="H57" i="12" a="1"/>
  <c r="C33" i="12" a="1"/>
  <c r="F28" i="12" a="1"/>
  <c r="C92" i="12" a="1"/>
  <c r="C104" i="12" a="1"/>
  <c r="H85" i="12" a="1"/>
  <c r="C63" i="12" a="1"/>
  <c r="F60" i="12" a="1"/>
  <c r="C122" i="12" a="1"/>
  <c r="C22" i="12" a="1"/>
  <c r="C93" i="12" a="1"/>
  <c r="H120" i="12" a="1"/>
  <c r="C86" i="12" a="1"/>
  <c r="H132" i="12" a="1"/>
  <c r="F6" i="12" a="1"/>
  <c r="C128" i="12" a="1"/>
  <c r="F16" i="12" a="1"/>
  <c r="C73" i="12" a="1"/>
  <c r="C114" i="12" a="1"/>
  <c r="H124" i="12" a="1"/>
  <c r="C125" i="12" a="1"/>
  <c r="H33" i="12" a="1"/>
  <c r="C129" i="12" a="1"/>
  <c r="C49" i="12" a="1"/>
  <c r="F74" i="12" a="1"/>
  <c r="H117" i="12" a="1"/>
  <c r="F7" i="12" a="1"/>
  <c r="C54" i="12" a="1"/>
  <c r="F27" i="12" a="1"/>
  <c r="F39" i="12" a="1"/>
  <c r="C97" i="12" a="1"/>
  <c r="F131" i="12" a="1"/>
  <c r="C40" i="12" a="1"/>
  <c r="F108" i="12" a="1"/>
  <c r="F116" i="12" a="1"/>
  <c r="C3" i="12" a="1"/>
  <c r="C108" i="12" a="1"/>
  <c r="H25" i="12" a="1"/>
  <c r="F34" i="12" a="1"/>
  <c r="H45" i="12" a="1"/>
  <c r="H17" i="12" a="1"/>
  <c r="F3" i="12" a="1"/>
  <c r="C96" i="12" a="1"/>
  <c r="C5" i="12" a="1"/>
  <c r="C32" i="12" a="1"/>
  <c r="F111" i="12" a="1"/>
  <c r="F89" i="12" a="1"/>
  <c r="F113" i="12" a="1"/>
  <c r="H71" i="12" a="1"/>
  <c r="C105" i="12" a="1"/>
  <c r="C133" i="12" a="1"/>
  <c r="C7" i="12" a="1"/>
  <c r="H31" i="12" a="1"/>
  <c r="H70" i="12" a="1"/>
  <c r="H119" i="12" a="1"/>
  <c r="C130" i="12" a="1"/>
  <c r="F132" i="12" a="1"/>
  <c r="F88" i="12" a="1"/>
  <c r="F18" i="12" a="1"/>
  <c r="C126" i="12" a="1"/>
  <c r="H116" i="12" a="1"/>
  <c r="F24" i="12" a="1"/>
  <c r="H75" i="12" a="1"/>
  <c r="F40" i="12" a="1"/>
  <c r="C53" i="12" a="1"/>
  <c r="F62" i="12" a="1"/>
  <c r="F114" i="12" a="1"/>
  <c r="C119" i="12" a="1"/>
  <c r="F17" i="12" a="1"/>
  <c r="H13" i="12" a="1"/>
  <c r="F138" i="12" a="1"/>
  <c r="F50" i="12" a="1"/>
  <c r="C10" i="12" a="1"/>
  <c r="F79" i="12" a="1"/>
  <c r="F137" i="12" a="1"/>
  <c r="H9" i="12" a="1"/>
  <c r="F121" i="12" a="1"/>
  <c r="F23" i="12" a="1"/>
  <c r="F52" i="12" a="1"/>
  <c r="C64" i="12" a="1"/>
  <c r="F93" i="12" a="1"/>
  <c r="C61" i="12" a="1"/>
  <c r="H90" i="12" a="1"/>
  <c r="F30" i="12" a="1"/>
  <c r="H86" i="12" a="1"/>
  <c r="F69" i="12" a="1"/>
  <c r="C29" i="12" a="1"/>
  <c r="H83" i="12" a="1"/>
  <c r="H34" i="12" a="1"/>
  <c r="F95" i="12" a="1"/>
  <c r="F11" i="12" a="1"/>
  <c r="F109" i="12" a="1"/>
  <c r="C43" i="12" a="1"/>
  <c r="C8" i="12" a="1"/>
  <c r="F68" i="12" a="1"/>
  <c r="F81" i="12" a="1"/>
  <c r="C27" i="12" a="1"/>
  <c r="C57" i="12" a="1"/>
  <c r="F73" i="12" a="1"/>
  <c r="H134" i="12" a="1"/>
  <c r="F134" i="12" a="1"/>
  <c r="D135" i="12" l="1"/>
  <c r="D136" i="12" s="1"/>
  <c r="D137" i="12" s="1"/>
  <c r="D138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4" i="12"/>
  <c r="F134" i="12"/>
  <c r="H134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5" i="12"/>
  <c r="C55" i="12"/>
  <c r="H35" i="12"/>
  <c r="F105" i="12"/>
  <c r="F136" i="12"/>
  <c r="F18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3" i="12"/>
  <c r="H45" i="12"/>
  <c r="H43" i="12"/>
  <c r="F55" i="12"/>
  <c r="H133" i="12"/>
  <c r="H138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1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6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2" i="12"/>
  <c r="H128" i="12"/>
  <c r="C16" i="12"/>
  <c r="H121" i="12"/>
  <c r="F68" i="12"/>
  <c r="H130" i="12"/>
  <c r="H79" i="12"/>
  <c r="H129" i="12"/>
  <c r="C43" i="12"/>
  <c r="F108" i="12"/>
  <c r="H47" i="12"/>
  <c r="H11" i="12"/>
  <c r="F132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38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2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C22" i="12"/>
  <c r="C137" i="12"/>
  <c r="F137" i="12"/>
  <c r="H74" i="12"/>
  <c r="H136" i="12"/>
  <c r="C19" i="12"/>
  <c r="C29" i="12"/>
  <c r="F2" i="12"/>
  <c r="C45" i="12"/>
  <c r="C21" i="12"/>
  <c r="F36" i="12"/>
  <c r="C133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7" i="12"/>
  <c r="C54" i="12"/>
  <c r="F95" i="12"/>
  <c r="C73" i="12"/>
  <c r="H84" i="12"/>
  <c r="F88" i="12"/>
  <c r="C27" i="12"/>
  <c r="H52" i="12"/>
  <c r="H122" i="12"/>
  <c r="C138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5" i="12"/>
  <c r="F64" i="12"/>
  <c r="C31" i="12"/>
  <c r="C58" i="12"/>
  <c r="H131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1" i="12"/>
  <c r="H70" i="12"/>
  <c r="C110" i="12"/>
  <c r="F7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<sst xmlns="http://schemas.openxmlformats.org/spreadsheetml/2006/main" count="1158" uniqueCount="583">
  <si>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</si>
  <si>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</si>
  <si>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</si>
  <si>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</si>
  <si>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</si>
  <si>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</si>
  <si>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</si>
  <si>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</si>
  <si>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</si>
  <si>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</si>
  <si>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</si>
  <si>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</si>
  <si>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</si>
  <si>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</si>
  <si>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</si>
  <si>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</si>
  <si>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</si>
  <si>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</si>
  <si>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</si>
  <si>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</si>
  <si>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</si>
  <si>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</si>
  <si>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</si>
  <si>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</si>
  <si>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</si>
  <si>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</si>
  <si>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</si>
  <si>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</si>
  <si>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</si>
  <si>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</si>
  <si>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</si>
  <si>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</si>
  <si>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</si>
  <si>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</si>
  <si>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</si>
  <si>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</si>
  <si>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</si>
  <si>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</si>
  <si>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</si>
  <si>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</si>
  <si>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</si>
  <si>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</si>
  <si>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</si>
  <si>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</si>
  <si>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</si>
  <si>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</si>
  <si>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</si>
  <si>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</si>
  <si>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</si>
  <si>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</si>
  <si>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</si>
  <si>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</si>
  <si>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</si>
  <si>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</si>
  <si>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</si>
  <si>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</si>
  <si>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</si>
  <si>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</si>
  <si>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</si>
  <si>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</si>
  <si>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</si>
  <si>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</si>
  <si>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</si>
  <si>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</si>
  <si>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</si>
  <si>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</si>
  <si>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</si>
  <si>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</si>
  <si>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</si>
  <si>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</si>
  <si>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</si>
  <si>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</si>
  <si>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</si>
  <si>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</si>
  <si>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</si>
  <si>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</si>
  <si>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</si>
  <si>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</si>
  <si>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</si>
  <si>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</si>
  <si>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</si>
  <si>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</si>
  <si>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</si>
  <si>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</si>
  <si>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</si>
  <si>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</si>
  <si>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</si>
  <si>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</si>
  <si>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</si>
  <si>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</si>
  <si>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</si>
  <si>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</si>
  <si>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</si>
  <si>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</si>
  <si>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</si>
  <si>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</si>
  <si>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</si>
  <si>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</si>
  <si>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</si>
  <si>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</si>
  <si>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</si>
  <si>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</si>
  <si>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</si>
  <si>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</si>
  <si>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</si>
  <si>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</si>
  <si>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</si>
  <si>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</si>
  <si>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</si>
  <si>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</si>
  <si>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</si>
  <si>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</si>
  <si>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</si>
  <si>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</si>
  <si>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</si>
  <si>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</si>
  <si>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</si>
  <si>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</si>
  <si>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</si>
  <si>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</si>
  <si>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</si>
  <si>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</si>
  <si>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</si>
  <si>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</si>
  <si>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</si>
  <si>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</si>
  <si>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</si>
  <si>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</si>
  <si>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</si>
  <si>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</si>
  <si>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</si>
  <si>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</si>
  <si>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</si>
  <si>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</si>
  <si>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</si>
  <si>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</si>
  <si>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</si>
  <si>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</si>
  <si>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</si>
  <si>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</si>
  <si>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</si>
  <si>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</si>
  <si>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</si>
  <si>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</si>
  <si>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</si>
  <si>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</si>
  <si>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</si>
  <si>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</si>
  <si>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</si>
  <si>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</si>
  <si>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</si>
  <si>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</si>
  <si>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</si>
  <si>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</si>
  <si>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</si>
  <si>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</si>
  <si>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</si>
  <si>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</si>
  <si>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</si>
  <si>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</si>
  <si>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</si>
  <si>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</si>
  <si>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</si>
  <si>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</si>
  <si>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</si>
  <si>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</si>
  <si>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</si>
  <si>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</si>
  <si>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</si>
  <si>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</si>
  <si>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</si>
  <si>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</si>
  <si>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</si>
  <si>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</si>
  <si>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</si>
  <si>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</si>
  <si>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</si>
  <si>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</si>
  <si>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</si>
  <si>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</si>
  <si>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</si>
  <si>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</si>
  <si>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</si>
  <si>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</si>
  <si>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</si>
  <si>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</si>
  <si>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</si>
  <si>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</si>
  <si>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</si>
  <si>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</si>
  <si>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</si>
  <si>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</si>
  <si>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</si>
  <si>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</si>
  <si>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</si>
  <si>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</si>
  <si>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</si>
  <si>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</si>
  <si>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</si>
  <si>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</si>
  <si>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</si>
  <si>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</si>
  <si>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</si>
  <si>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</si>
  <si>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</si>
  <si>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</si>
  <si>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</si>
  <si>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</si>
  <si>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</si>
  <si>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</si>
  <si>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</si>
  <si>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</si>
  <si>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</si>
  <si>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</si>
  <si>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</si>
  <si>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</si>
  <si>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</si>
  <si>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</si>
  <si>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</si>
  <si>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</si>
  <si>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</si>
  <si>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</si>
  <si>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</si>
  <si>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</si>
  <si>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</si>
  <si>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</si>
  <si>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</si>
  <si>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</si>
  <si>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</si>
  <si>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</si>
  <si>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</si>
  <si>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</si>
  <si>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</si>
  <si>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</si>
  <si>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</si>
  <si>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</si>
  <si>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</si>
  <si>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</si>
  <si>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</si>
  <si>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</si>
  <si>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</si>
  <si>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</si>
  <si>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</si>
  <si>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</si>
  <si>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</si>
  <si>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</si>
  <si>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</si>
  <si>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</si>
  <si>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</si>
  <si>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</si>
  <si>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</si>
  <si>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</si>
  <si>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</si>
  <si>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</si>
  <si>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</si>
  <si>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</si>
  <si>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</si>
  <si>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</si>
  <si>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</si>
  <si>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</si>
  <si>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</si>
  <si>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</si>
  <si>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</si>
  <si>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</si>
  <si>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</si>
  <si>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</si>
  <si>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</si>
  <si>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</si>
  <si>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</si>
  <si>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</si>
  <si>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</si>
  <si>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</si>
  <si>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</si>
  <si>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</si>
  <si>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</si>
  <si>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</si>
  <si>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</si>
  <si>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</si>
  <si>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</si>
  <si>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</si>
  <si>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</si>
  <si>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</si>
  <si>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</si>
  <si>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</si>
  <si>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</si>
  <si>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</si>
  <si>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</si>
  <si>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</si>
  <si>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</si>
  <si>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</si>
  <si>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</si>
  <si>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</si>
  <si>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</si>
  <si>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</si>
  <si>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</si>
  <si>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</si>
  <si>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</si>
  <si>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</si>
  <si>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</si>
  <si>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</si>
  <si>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</si>
  <si>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</si>
  <si>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</si>
  <si>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</si>
  <si>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</si>
  <si>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</si>
  <si>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</si>
  <si>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</si>
  <si>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</si>
  <si>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</si>
  <si>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</si>
  <si>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</si>
  <si>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</si>
  <si>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</si>
  <si>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</si>
  <si>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</si>
  <si>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</si>
  <si>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</si>
  <si>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</si>
  <si>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</si>
  <si>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</si>
  <si>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</si>
  <si>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</si>
  <si>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</si>
  <si>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</si>
  <si>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</si>
  <si>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</si>
  <si>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</si>
  <si>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</si>
  <si>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</si>
  <si>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</si>
  <si>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</si>
  <si>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</si>
  <si>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</si>
  <si>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</si>
  <si>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</si>
  <si>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</si>
  <si>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</si>
  <si>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</si>
  <si>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</si>
  <si>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</si>
  <si>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</si>
  <si>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</si>
  <si>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</si>
  <si>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</si>
  <si>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</si>
  <si>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</si>
  <si>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</si>
  <si>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</si>
  <si>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</si>
  <si>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</si>
  <si>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</si>
  <si>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</si>
  <si>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</si>
  <si>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</si>
  <si>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</si>
  <si>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</si>
  <si>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</si>
  <si>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</si>
  <si>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</si>
  <si>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</si>
  <si>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</si>
  <si>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</si>
  <si>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</si>
  <si>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</si>
  <si>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</si>
  <si>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</si>
  <si>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</si>
  <si>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</si>
  <si>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</si>
  <si>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</si>
  <si>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</si>
  <si>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</si>
  <si>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</si>
  <si>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</si>
  <si>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</si>
  <si>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</si>
  <si>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</si>
  <si>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</si>
  <si>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</si>
  <si>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</si>
  <si>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</si>
  <si>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</si>
  <si>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</si>
  <si>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</si>
  <si>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</si>
  <si>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</si>
  <si>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</si>
  <si>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</si>
  <si>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</si>
  <si>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</si>
  <si>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</si>
  <si>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</si>
  <si>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</si>
  <si>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</si>
  <si>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</si>
  <si>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</si>
  <si>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</si>
  <si>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</si>
  <si>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</si>
  <si>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</si>
  <si>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</si>
  <si>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</si>
  <si>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</si>
  <si>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</si>
  <si>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</si>
  <si>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</si>
  <si>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</si>
  <si>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</si>
  <si>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</si>
  <si>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</si>
  <si>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</si>
  <si>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</si>
  <si>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</si>
  <si>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</si>
  <si>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</si>
  <si>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</si>
  <si>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</si>
  <si>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</si>
  <si>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</si>
  <si>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</si>
  <si>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</si>
  <si>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</si>
  <si>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</si>
  <si>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</si>
  <si>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</si>
  <si>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</si>
  <si>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</si>
  <si>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</si>
  <si>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</si>
  <si>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</si>
  <si>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</si>
  <si>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</si>
  <si>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</si>
  <si>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</si>
  <si>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</si>
  <si>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</si>
  <si>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</si>
  <si>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</si>
  <si>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</si>
  <si>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</si>
  <si>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</si>
  <si>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</si>
  <si>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</si>
  <si>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</si>
  <si>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</si>
  <si>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</si>
  <si>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</si>
  <si>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</si>
  <si>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</si>
  <si>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</si>
  <si>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</si>
  <si>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</si>
  <si>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</si>
  <si>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</si>
  <si>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</si>
  <si>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</si>
  <si>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</si>
  <si>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</si>
  <si>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</si>
  <si>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</si>
  <si>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</si>
  <si>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</si>
  <si>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</si>
  <si>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</si>
  <si>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</si>
  <si>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</si>
  <si>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</si>
  <si>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</si>
  <si>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</si>
  <si>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</si>
  <si>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</si>
  <si>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</si>
  <si>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</si>
  <si>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</si>
  <si>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</si>
  <si>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</si>
  <si>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</si>
  <si>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</si>
  <si>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</si>
  <si>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</si>
  <si>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</si>
  <si>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</si>
  <si>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</si>
  <si>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</si>
  <si>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</si>
  <si>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</si>
  <si>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</si>
  <si>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</si>
  <si>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</si>
  <si>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</si>
  <si>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</si>
  <si>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</si>
  <si>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</si>
  <si>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</si>
  <si>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</si>
  <si>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</si>
  <si>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</si>
  <si>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</si>
  <si>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</si>
  <si>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</si>
  <si>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</si>
  <si>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</si>
  <si>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</si>
  <si>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</si>
  <si>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</si>
  <si>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</si>
  <si>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</si>
  <si>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</si>
  <si>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</si>
  <si>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</si>
  <si>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</si>
  <si>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</si>
  <si>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</si>
  <si>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</si>
  <si>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</si>
  <si>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</si>
  <si>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</si>
  <si>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</si>
  <si>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</si>
  <si>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</si>
  <si>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</si>
  <si>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</si>
  <si>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</si>
  <si>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labrego</t>
  </si>
  <si>
    <t>João da Rocha Labrego</t>
  </si>
  <si>
    <t>cruda x labrego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</si>
  <si>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</si>
  <si>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</si>
  <si>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</si>
  <si>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</si>
  <si>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</si>
  <si>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</si>
  <si>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</si>
  <si>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</si>
  <si>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</si>
  <si>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</si>
  <si>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</si>
  <si>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</si>
  <si>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</si>
  <si>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</si>
  <si>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</si>
  <si>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</si>
  <si>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</si>
  <si>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</si>
  <si>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</si>
  <si>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</si>
  <si>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</si>
  <si>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</si>
  <si>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</si>
  <si>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</si>
  <si>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</si>
  <si>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</si>
  <si>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</si>
  <si>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</si>
  <si>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</si>
  <si>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</si>
  <si>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</si>
  <si>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</si>
  <si>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</si>
  <si>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</si>
  <si>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</si>
  <si>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</si>
  <si>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</si>
  <si>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</si>
  <si>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</si>
  <si>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</si>
  <si>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</si>
  <si>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</si>
  <si>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</si>
  <si>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</si>
  <si>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</si>
  <si>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</si>
  <si>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</si>
  <si>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</si>
  <si>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</si>
  <si>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</si>
  <si>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</si>
  <si>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</si>
  <si>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</si>
  <si>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</si>
  <si>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TableName</t>
  </si>
  <si>
    <t>Nome da Tabela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</si>
</sst>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G21" sqref="G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534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435</v>
      </c>
      <c r="N1" s="1" t="s">
        <v>434</v>
      </c>
      <c r="O1" s="1" t="s">
        <v>437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570</v>
      </c>
      <c r="F6" s="6" t="s">
        <v>575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571</v>
      </c>
      <c r="F7" s="6" t="s">
        <v>576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572</v>
      </c>
      <c r="F8" s="6" t="s">
        <v>577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572</v>
      </c>
      <c r="F9" s="6" t="s">
        <v>577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573</v>
      </c>
      <c r="F23" s="6" t="s">
        <v>578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574</v>
      </c>
      <c r="F29" s="6" t="s">
        <v>579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535</v>
      </c>
      <c r="D1" s="1" t="s">
        <v>64</v>
      </c>
      <c r="E1" s="1" t="s">
        <v>536</v>
      </c>
      <c r="F1" s="1" t="s">
        <v>1</v>
      </c>
      <c r="G1" s="1" t="s">
        <v>65</v>
      </c>
      <c r="H1" s="1" t="s">
        <v>66</v>
      </c>
      <c r="I1" s="1" t="s">
        <v>454</v>
      </c>
      <c r="J1" s="1" t="s">
        <v>67</v>
      </c>
      <c r="K1" s="1" t="s">
        <v>26</v>
      </c>
      <c r="L1" s="1" t="s">
        <v>27</v>
      </c>
      <c r="M1" s="1" t="s">
        <v>436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436</v>
      </c>
      <c r="G19">
        <v>5</v>
      </c>
      <c r="I19" t="s">
        <v>528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439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529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530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561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562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563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564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565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566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567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568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569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456</v>
      </c>
      <c r="C2" t="s">
        <v>456</v>
      </c>
      <c r="D2" t="s">
        <v>457</v>
      </c>
      <c r="E2">
        <v>0</v>
      </c>
      <c r="F2" t="b">
        <v>1</v>
      </c>
    </row>
    <row r="3" spans="1:6" x14ac:dyDescent="0.3">
      <c r="A3">
        <f>ROW(A3)-1</f>
        <v>2</v>
      </c>
      <c r="B3" t="s">
        <v>524</v>
      </c>
      <c r="C3" t="s">
        <v>130</v>
      </c>
      <c r="D3" t="s">
        <v>525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538</v>
      </c>
      <c r="D1" s="1" t="s">
        <v>131</v>
      </c>
      <c r="E1" s="1" t="s">
        <v>537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F2" sqref="F2:I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505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538</v>
      </c>
      <c r="D1" s="1" t="s">
        <v>141</v>
      </c>
      <c r="E1" s="1" t="s">
        <v>539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F6" sqref="F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580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451</v>
      </c>
      <c r="M1" s="1" t="s">
        <v>148</v>
      </c>
    </row>
    <row r="2" spans="1:13" x14ac:dyDescent="0.3">
      <c r="A2">
        <f>ROW(A2)-1</f>
        <v>1</v>
      </c>
      <c r="B2" t="s">
        <v>229</v>
      </c>
      <c r="C2" t="s">
        <v>490</v>
      </c>
      <c r="D2" t="s">
        <v>230</v>
      </c>
      <c r="F2" t="str">
        <f t="array" ref="F2">GetValue("Tables",E2,"Name")</f>
        <v/>
      </c>
      <c r="G2" t="s">
        <v>557</v>
      </c>
      <c r="H2" t="s">
        <v>231</v>
      </c>
      <c r="I2" t="s">
        <v>558</v>
      </c>
      <c r="J2" t="s">
        <v>559</v>
      </c>
      <c r="K2" t="s">
        <v>560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149</v>
      </c>
      <c r="C3" t="s">
        <v>491</v>
      </c>
      <c r="D3" t="s">
        <v>104</v>
      </c>
      <c r="F3" t="str">
        <f t="array" ref="F3">GetValue("Tables",E3,"Name")</f>
        <v/>
      </c>
      <c r="G3" t="s">
        <v>150</v>
      </c>
      <c r="H3" t="s">
        <v>151</v>
      </c>
      <c r="I3" t="s">
        <v>152</v>
      </c>
      <c r="J3" t="s">
        <v>153</v>
      </c>
      <c r="K3" t="s">
        <v>154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162</v>
      </c>
      <c r="C4" t="s">
        <v>84</v>
      </c>
      <c r="D4" t="s">
        <v>163</v>
      </c>
      <c r="F4" t="str">
        <f t="array" ref="F4">GetValue("Tables",E4,"Name")</f>
        <v/>
      </c>
      <c r="G4" t="s">
        <v>164</v>
      </c>
      <c r="H4" t="s">
        <v>165</v>
      </c>
      <c r="I4" t="s">
        <v>166</v>
      </c>
      <c r="J4" t="s">
        <v>167</v>
      </c>
      <c r="K4" t="s">
        <v>168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155</v>
      </c>
      <c r="C5" t="s">
        <v>492</v>
      </c>
      <c r="D5" t="s">
        <v>156</v>
      </c>
      <c r="F5" t="str">
        <f t="array" ref="F5">GetValue("Tables",E5,"Name")</f>
        <v/>
      </c>
      <c r="G5" t="s">
        <v>157</v>
      </c>
      <c r="H5" t="s">
        <v>158</v>
      </c>
      <c r="I5" t="s">
        <v>159</v>
      </c>
      <c r="J5" t="s">
        <v>160</v>
      </c>
      <c r="K5" t="s">
        <v>161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169</v>
      </c>
      <c r="C6" t="s">
        <v>493</v>
      </c>
      <c r="D6" t="s">
        <v>112</v>
      </c>
      <c r="F6" t="str">
        <f t="array" ref="F6">GetValue("Tables",E6,"Name")</f>
        <v/>
      </c>
      <c r="G6" t="s">
        <v>170</v>
      </c>
      <c r="H6" t="s">
        <v>171</v>
      </c>
      <c r="I6" t="s">
        <v>172</v>
      </c>
      <c r="J6" t="s">
        <v>173</v>
      </c>
      <c r="K6" t="s">
        <v>174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110</v>
      </c>
      <c r="C7" t="s">
        <v>494</v>
      </c>
      <c r="D7" t="s">
        <v>110</v>
      </c>
      <c r="E7">
        <v>5</v>
      </c>
      <c r="F7" t="str">
        <f t="array" ref="F7">GetValue("Tables",E7,"Name")</f>
        <v>Systems</v>
      </c>
      <c r="G7" t="s">
        <v>175</v>
      </c>
      <c r="H7" t="s">
        <v>176</v>
      </c>
      <c r="I7" t="s">
        <v>177</v>
      </c>
      <c r="J7" t="s">
        <v>178</v>
      </c>
      <c r="K7" t="s">
        <v>179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180</v>
      </c>
      <c r="C8" t="s">
        <v>495</v>
      </c>
      <c r="D8" t="s">
        <v>106</v>
      </c>
      <c r="F8" t="str">
        <f t="array" ref="F8">GetValue("Tables",E8,"Name")</f>
        <v/>
      </c>
      <c r="G8" t="s">
        <v>181</v>
      </c>
      <c r="H8" t="s">
        <v>182</v>
      </c>
      <c r="I8" t="s">
        <v>183</v>
      </c>
      <c r="J8" t="s">
        <v>184</v>
      </c>
      <c r="K8" t="s">
        <v>185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186</v>
      </c>
      <c r="C9" t="s">
        <v>496</v>
      </c>
      <c r="D9" t="s">
        <v>187</v>
      </c>
      <c r="E9">
        <v>5</v>
      </c>
      <c r="F9" t="str">
        <f t="array" ref="F9">GetValue("Tables",E9,"Name")</f>
        <v>Systems</v>
      </c>
      <c r="G9" t="s">
        <v>188</v>
      </c>
      <c r="H9" t="s">
        <v>189</v>
      </c>
      <c r="I9" t="s">
        <v>190</v>
      </c>
      <c r="J9" t="s">
        <v>191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192</v>
      </c>
      <c r="C10" t="s">
        <v>497</v>
      </c>
      <c r="D10" t="s">
        <v>193</v>
      </c>
      <c r="F10" t="str">
        <f t="array" ref="F10">GetValue("Tables",E10,"Name")</f>
        <v/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199</v>
      </c>
      <c r="C11" t="s">
        <v>498</v>
      </c>
      <c r="D11" t="s">
        <v>200</v>
      </c>
      <c r="E11">
        <v>5</v>
      </c>
      <c r="F11" t="str">
        <f t="array" ref="F11">GetValue("Tables",E11,"Name")</f>
        <v>Systems</v>
      </c>
      <c r="G11" t="s">
        <v>201</v>
      </c>
      <c r="H11" t="s">
        <v>202</v>
      </c>
      <c r="I11" t="s">
        <v>203</v>
      </c>
      <c r="J11" t="s">
        <v>204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205</v>
      </c>
      <c r="C12" t="s">
        <v>499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458</v>
      </c>
      <c r="C13" t="s">
        <v>500</v>
      </c>
      <c r="D13" t="s">
        <v>459</v>
      </c>
      <c r="E13">
        <v>9</v>
      </c>
      <c r="F13" t="str">
        <f t="array" ref="F13">GetValue("Tables",E13,"Name")</f>
        <v>Databases</v>
      </c>
      <c r="G13" t="s">
        <v>460</v>
      </c>
      <c r="H13" t="s">
        <v>461</v>
      </c>
      <c r="I13" t="s">
        <v>462</v>
      </c>
      <c r="J13" t="s">
        <v>197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211</v>
      </c>
      <c r="C14" t="s">
        <v>501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212</v>
      </c>
      <c r="H14" t="s">
        <v>213</v>
      </c>
      <c r="I14" t="s">
        <v>214</v>
      </c>
      <c r="J14" t="s">
        <v>215</v>
      </c>
      <c r="K14" t="s">
        <v>216</v>
      </c>
      <c r="L14" t="b">
        <v>1</v>
      </c>
      <c r="M14">
        <f t="array" ref="M14">LastId(A14)</f>
        <v>139</v>
      </c>
    </row>
    <row r="15" spans="1:13" x14ac:dyDescent="0.3">
      <c r="A15">
        <f t="shared" si="0"/>
        <v>14</v>
      </c>
      <c r="B15" t="s">
        <v>217</v>
      </c>
      <c r="C15" t="s">
        <v>502</v>
      </c>
      <c r="D15" t="s">
        <v>218</v>
      </c>
      <c r="E15">
        <v>10</v>
      </c>
      <c r="F15" t="str">
        <f t="array" ref="F15">GetValue("Tables",E15,"Name")</f>
        <v>SystemsDatabases</v>
      </c>
      <c r="G15" t="s">
        <v>219</v>
      </c>
      <c r="H15" t="s">
        <v>220</v>
      </c>
      <c r="I15" t="s">
        <v>221</v>
      </c>
      <c r="J15" t="s">
        <v>222</v>
      </c>
      <c r="K15" t="s">
        <v>223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440</v>
      </c>
      <c r="C16" t="s">
        <v>503</v>
      </c>
      <c r="D16" t="s">
        <v>224</v>
      </c>
      <c r="E16">
        <v>12</v>
      </c>
      <c r="F16" t="str">
        <f t="array" ref="F16">GetValue("Tables",E16,"Name")</f>
        <v>DatabasesTables</v>
      </c>
      <c r="G16" t="s">
        <v>225</v>
      </c>
      <c r="H16" t="s">
        <v>226</v>
      </c>
      <c r="I16" t="s">
        <v>227</v>
      </c>
      <c r="J16" t="s">
        <v>228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507</v>
      </c>
      <c r="C17" t="s">
        <v>508</v>
      </c>
      <c r="D17" t="s">
        <v>509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455</v>
      </c>
      <c r="C18" t="s">
        <v>504</v>
      </c>
      <c r="D18" t="s">
        <v>518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515</v>
      </c>
      <c r="C19" t="s">
        <v>516</v>
      </c>
      <c r="D19" t="s">
        <v>517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539</v>
      </c>
      <c r="D1" s="1" t="s">
        <v>232</v>
      </c>
      <c r="E1" s="1" t="s">
        <v>540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38"/>
  <sheetViews>
    <sheetView tabSelected="1" zoomScaleNormal="100" workbookViewId="0">
      <pane ySplit="1" topLeftCell="A123" activePane="bottomLeft" state="frozen"/>
      <selection pane="bottomLeft" activeCell="D133" sqref="D13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232</v>
      </c>
      <c r="C1" s="11" t="s">
        <v>540</v>
      </c>
      <c r="D1" s="11" t="s">
        <v>98</v>
      </c>
      <c r="E1" s="11" t="s">
        <v>233</v>
      </c>
      <c r="F1" s="11" t="s">
        <v>541</v>
      </c>
      <c r="G1" s="11" t="s">
        <v>234</v>
      </c>
      <c r="H1" s="11" t="s">
        <v>542</v>
      </c>
      <c r="I1" s="11" t="s">
        <v>1</v>
      </c>
      <c r="J1" s="11" t="s">
        <v>91</v>
      </c>
      <c r="K1" s="11" t="s">
        <v>235</v>
      </c>
      <c r="L1" s="11" t="s">
        <v>99</v>
      </c>
      <c r="M1" s="11" t="s">
        <v>454</v>
      </c>
      <c r="N1" s="11" t="s">
        <v>67</v>
      </c>
      <c r="O1" s="13" t="s">
        <v>26</v>
      </c>
      <c r="P1" s="18" t="s">
        <v>27</v>
      </c>
      <c r="Q1" s="11" t="s">
        <v>236</v>
      </c>
      <c r="R1" s="11" t="s">
        <v>237</v>
      </c>
      <c r="S1" s="11" t="s">
        <v>238</v>
      </c>
      <c r="T1" s="11" t="s">
        <v>239</v>
      </c>
      <c r="U1" s="11" t="s">
        <v>240</v>
      </c>
      <c r="V1" s="11" t="s">
        <v>241</v>
      </c>
      <c r="W1" s="11" t="s">
        <v>242</v>
      </c>
      <c r="X1" s="11" t="s">
        <v>243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400</v>
      </c>
      <c r="K2" s="8" t="s">
        <v>249</v>
      </c>
      <c r="L2" s="8" t="s">
        <v>249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401</v>
      </c>
      <c r="K3" s="8" t="s">
        <v>247</v>
      </c>
      <c r="L3" s="8" t="s">
        <v>247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402</v>
      </c>
      <c r="K4" s="8" t="s">
        <v>403</v>
      </c>
      <c r="L4" s="8" t="s">
        <v>403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404</v>
      </c>
      <c r="K5" s="8" t="s">
        <v>405</v>
      </c>
      <c r="L5" s="8" t="s">
        <v>405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406</v>
      </c>
      <c r="K6" s="8" t="s">
        <v>407</v>
      </c>
      <c r="L6" s="8" t="s">
        <v>407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408</v>
      </c>
      <c r="K7" s="8" t="s">
        <v>409</v>
      </c>
      <c r="L7" s="8" t="s">
        <v>409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410</v>
      </c>
      <c r="K8" s="8" t="s">
        <v>411</v>
      </c>
      <c r="L8" s="8" t="s">
        <v>411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412</v>
      </c>
      <c r="K9" s="8" t="s">
        <v>413</v>
      </c>
      <c r="L9" s="8" t="s">
        <v>413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414</v>
      </c>
      <c r="K10" s="8" t="s">
        <v>415</v>
      </c>
      <c r="L10" s="8" t="s">
        <v>415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416</v>
      </c>
      <c r="K11" s="8" t="s">
        <v>417</v>
      </c>
      <c r="L11" s="8" t="s">
        <v>417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244</v>
      </c>
      <c r="K12" s="10" t="s">
        <v>245</v>
      </c>
      <c r="L12" s="10" t="s">
        <v>245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248</v>
      </c>
      <c r="K13" s="10" t="s">
        <v>249</v>
      </c>
      <c r="L13" s="10" t="s">
        <v>249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246</v>
      </c>
      <c r="K14" s="10" t="s">
        <v>247</v>
      </c>
      <c r="L14" s="10" t="s">
        <v>247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250</v>
      </c>
      <c r="K15" s="10" t="s">
        <v>251</v>
      </c>
      <c r="L15" s="10" t="s">
        <v>251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252</v>
      </c>
      <c r="K16" s="10" t="s">
        <v>253</v>
      </c>
      <c r="L16" s="10" t="s">
        <v>253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254</v>
      </c>
      <c r="K17" s="10" t="s">
        <v>255</v>
      </c>
      <c r="L17" s="10" t="s">
        <v>255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256</v>
      </c>
      <c r="K18" s="10" t="s">
        <v>257</v>
      </c>
      <c r="L18" s="10" t="s">
        <v>257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258</v>
      </c>
      <c r="K19" s="10" t="s">
        <v>259</v>
      </c>
      <c r="L19" s="10" t="s">
        <v>259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260</v>
      </c>
      <c r="K20" s="10" t="s">
        <v>261</v>
      </c>
      <c r="L20" s="10" t="s">
        <v>261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262</v>
      </c>
      <c r="K21" s="10" t="s">
        <v>263</v>
      </c>
      <c r="L21" s="10" t="s">
        <v>263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264</v>
      </c>
      <c r="K22" s="10" t="s">
        <v>265</v>
      </c>
      <c r="L22" s="10" t="s">
        <v>265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435</v>
      </c>
      <c r="J23" s="10" t="s">
        <v>441</v>
      </c>
      <c r="K23" s="10" t="s">
        <v>442</v>
      </c>
      <c r="L23" s="10" t="s">
        <v>442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434</v>
      </c>
      <c r="J24" s="10" t="s">
        <v>443</v>
      </c>
      <c r="K24" s="10" t="s">
        <v>444</v>
      </c>
      <c r="L24" s="10" t="s">
        <v>444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437</v>
      </c>
      <c r="J25" s="10" t="s">
        <v>445</v>
      </c>
      <c r="K25" s="10" t="s">
        <v>446</v>
      </c>
      <c r="L25" s="10" t="s">
        <v>446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266</v>
      </c>
      <c r="K26" s="10" t="s">
        <v>267</v>
      </c>
      <c r="L26" s="10" t="s">
        <v>267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282</v>
      </c>
      <c r="K27" s="8" t="s">
        <v>245</v>
      </c>
      <c r="L27" s="8" t="s">
        <v>245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283</v>
      </c>
      <c r="K28" s="8" t="s">
        <v>247</v>
      </c>
      <c r="L28" s="8" t="s">
        <v>247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284</v>
      </c>
      <c r="K29" s="8" t="s">
        <v>272</v>
      </c>
      <c r="L29" s="8" t="s">
        <v>272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268</v>
      </c>
      <c r="K30" s="10" t="s">
        <v>245</v>
      </c>
      <c r="L30" s="10" t="s">
        <v>245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269</v>
      </c>
      <c r="K31" s="10" t="s">
        <v>270</v>
      </c>
      <c r="L31" s="10" t="s">
        <v>270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271</v>
      </c>
      <c r="K32" s="10" t="s">
        <v>272</v>
      </c>
      <c r="L32" s="10" t="s">
        <v>272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273</v>
      </c>
      <c r="K33" s="10" t="s">
        <v>247</v>
      </c>
      <c r="L33" s="10" t="s">
        <v>247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274</v>
      </c>
      <c r="K34" s="10" t="s">
        <v>275</v>
      </c>
      <c r="L34" s="10" t="s">
        <v>275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276</v>
      </c>
      <c r="K35" s="10" t="s">
        <v>277</v>
      </c>
      <c r="L35" s="10" t="s">
        <v>277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454</v>
      </c>
      <c r="J36" s="10" t="s">
        <v>450</v>
      </c>
      <c r="K36" s="10" t="s">
        <v>450</v>
      </c>
      <c r="L36" s="10" t="s">
        <v>450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278</v>
      </c>
      <c r="K37" s="10" t="s">
        <v>251</v>
      </c>
      <c r="L37" s="10" t="s">
        <v>251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279</v>
      </c>
      <c r="K38" s="10" t="s">
        <v>253</v>
      </c>
      <c r="L38" s="10" t="s">
        <v>253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280</v>
      </c>
      <c r="K39" s="10" t="s">
        <v>281</v>
      </c>
      <c r="L39" s="10" t="s">
        <v>281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436</v>
      </c>
      <c r="J40" s="10" t="s">
        <v>448</v>
      </c>
      <c r="K40" s="10" t="s">
        <v>449</v>
      </c>
      <c r="L40" s="10" t="s">
        <v>449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285</v>
      </c>
      <c r="K41" s="8" t="s">
        <v>245</v>
      </c>
      <c r="L41" s="8" t="s">
        <v>245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286</v>
      </c>
      <c r="K42" s="8" t="s">
        <v>247</v>
      </c>
      <c r="L42" s="8" t="s">
        <v>247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287</v>
      </c>
      <c r="K43" s="8" t="s">
        <v>288</v>
      </c>
      <c r="L43" s="8" t="s">
        <v>288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289</v>
      </c>
      <c r="K44" s="8" t="s">
        <v>290</v>
      </c>
      <c r="L44" s="8" t="s">
        <v>290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291</v>
      </c>
      <c r="K45" s="8" t="s">
        <v>292</v>
      </c>
      <c r="L45" s="8" t="s">
        <v>292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293</v>
      </c>
      <c r="K46" s="10" t="s">
        <v>245</v>
      </c>
      <c r="L46" s="10" t="s">
        <v>245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294</v>
      </c>
      <c r="K47" s="10" t="s">
        <v>295</v>
      </c>
      <c r="L47" s="10" t="s">
        <v>295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296</v>
      </c>
      <c r="K48" s="10" t="s">
        <v>297</v>
      </c>
      <c r="L48" s="10" t="s">
        <v>297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298</v>
      </c>
      <c r="K49" s="10" t="s">
        <v>299</v>
      </c>
      <c r="L49" s="10" t="s">
        <v>299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300</v>
      </c>
      <c r="K50" s="10" t="s">
        <v>301</v>
      </c>
      <c r="L50" s="10" t="s">
        <v>301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302</v>
      </c>
      <c r="K51" s="10" t="s">
        <v>303</v>
      </c>
      <c r="L51" s="10" t="s">
        <v>303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304</v>
      </c>
      <c r="K52" s="10" t="s">
        <v>305</v>
      </c>
      <c r="L52" s="10" t="s">
        <v>305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306</v>
      </c>
      <c r="K53" s="8" t="s">
        <v>245</v>
      </c>
      <c r="L53" s="8" t="s">
        <v>245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307</v>
      </c>
      <c r="K54" s="8" t="s">
        <v>247</v>
      </c>
      <c r="L54" s="8" t="s">
        <v>247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308</v>
      </c>
      <c r="K55" s="8" t="s">
        <v>309</v>
      </c>
      <c r="L55" s="8" t="s">
        <v>309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310</v>
      </c>
      <c r="K56" s="8" t="s">
        <v>311</v>
      </c>
      <c r="L56" s="8" t="s">
        <v>311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312</v>
      </c>
      <c r="K57" s="8" t="s">
        <v>312</v>
      </c>
      <c r="L57" s="8" t="s">
        <v>312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313</v>
      </c>
      <c r="K58" s="8" t="s">
        <v>313</v>
      </c>
      <c r="L58" s="8" t="s">
        <v>313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314</v>
      </c>
      <c r="K59" s="10" t="s">
        <v>295</v>
      </c>
      <c r="L59" s="10" t="s">
        <v>295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285</v>
      </c>
      <c r="K60" s="10" t="s">
        <v>245</v>
      </c>
      <c r="L60" s="10" t="s">
        <v>245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306</v>
      </c>
      <c r="K61" s="10" t="s">
        <v>315</v>
      </c>
      <c r="L61" s="10" t="s">
        <v>315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483</v>
      </c>
      <c r="K62" s="10" t="s">
        <v>288</v>
      </c>
      <c r="L62" s="10" t="s">
        <v>288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316</v>
      </c>
      <c r="K63" s="8" t="s">
        <v>245</v>
      </c>
      <c r="L63" s="8" t="s">
        <v>245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317</v>
      </c>
      <c r="K64" s="8" t="s">
        <v>247</v>
      </c>
      <c r="L64" s="8" t="s">
        <v>247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318</v>
      </c>
      <c r="K65" s="8" t="s">
        <v>288</v>
      </c>
      <c r="L65" s="8" t="s">
        <v>288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319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320</v>
      </c>
      <c r="K67" s="8" t="s">
        <v>321</v>
      </c>
      <c r="L67" s="8" t="s">
        <v>321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322</v>
      </c>
      <c r="K68" s="8" t="s">
        <v>323</v>
      </c>
      <c r="L68" s="8" t="s">
        <v>323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324</v>
      </c>
      <c r="K69" s="8" t="s">
        <v>325</v>
      </c>
      <c r="L69" s="8" t="s">
        <v>325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326</v>
      </c>
      <c r="K70" s="8" t="s">
        <v>315</v>
      </c>
      <c r="L70" s="8" t="s">
        <v>315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327</v>
      </c>
      <c r="K71" s="8" t="s">
        <v>309</v>
      </c>
      <c r="L71" s="8" t="s">
        <v>309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328</v>
      </c>
      <c r="K72" s="8" t="s">
        <v>329</v>
      </c>
      <c r="L72" s="8" t="s">
        <v>329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330</v>
      </c>
      <c r="K73" s="10" t="s">
        <v>245</v>
      </c>
      <c r="L73" s="10" t="s">
        <v>245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285</v>
      </c>
      <c r="K74" s="10" t="s">
        <v>295</v>
      </c>
      <c r="L74" s="10" t="s">
        <v>295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316</v>
      </c>
      <c r="K75" s="10" t="s">
        <v>331</v>
      </c>
      <c r="L75" s="10" t="s">
        <v>331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484</v>
      </c>
      <c r="K76" s="10" t="s">
        <v>288</v>
      </c>
      <c r="L76" s="10" t="s">
        <v>288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332</v>
      </c>
      <c r="K77" s="8" t="s">
        <v>245</v>
      </c>
      <c r="L77" s="8" t="s">
        <v>245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333</v>
      </c>
      <c r="K78" s="8" t="s">
        <v>247</v>
      </c>
      <c r="L78" s="8" t="s">
        <v>247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334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335</v>
      </c>
      <c r="K80" s="8" t="s">
        <v>288</v>
      </c>
      <c r="L80" s="8" t="s">
        <v>288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336</v>
      </c>
      <c r="K81" s="8" t="s">
        <v>337</v>
      </c>
      <c r="L81" s="8" t="s">
        <v>337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338</v>
      </c>
      <c r="K82" s="8" t="s">
        <v>339</v>
      </c>
      <c r="L82" s="8" t="s">
        <v>339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340</v>
      </c>
      <c r="K83" s="8" t="s">
        <v>341</v>
      </c>
      <c r="L83" s="8" t="s">
        <v>341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342</v>
      </c>
      <c r="K84" s="8" t="s">
        <v>343</v>
      </c>
      <c r="L84" s="8" t="s">
        <v>343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344</v>
      </c>
      <c r="K85" s="8" t="s">
        <v>345</v>
      </c>
      <c r="L85" s="8" t="s">
        <v>345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346</v>
      </c>
      <c r="K86" s="8" t="s">
        <v>347</v>
      </c>
      <c r="L86" s="8" t="s">
        <v>347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451</v>
      </c>
      <c r="J87" s="8" t="s">
        <v>452</v>
      </c>
      <c r="K87" s="8" t="s">
        <v>453</v>
      </c>
      <c r="L87" s="8" t="s">
        <v>453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148</v>
      </c>
      <c r="J88" s="8" t="s">
        <v>348</v>
      </c>
      <c r="K88" s="8" t="s">
        <v>348</v>
      </c>
      <c r="L88" s="8" t="s">
        <v>348</v>
      </c>
      <c r="M88" s="8"/>
      <c r="N88" s="8" t="s">
        <v>349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486</v>
      </c>
      <c r="K89" s="10" t="s">
        <v>245</v>
      </c>
      <c r="L89" s="10" t="s">
        <v>245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316</v>
      </c>
      <c r="K90" s="10" t="s">
        <v>295</v>
      </c>
      <c r="L90" s="10" t="s">
        <v>295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232</v>
      </c>
      <c r="J91" s="10" t="s">
        <v>332</v>
      </c>
      <c r="K91" s="10" t="s">
        <v>331</v>
      </c>
      <c r="L91" s="10" t="s">
        <v>331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485</v>
      </c>
      <c r="K92" s="10" t="s">
        <v>288</v>
      </c>
      <c r="L92" s="10" t="s">
        <v>288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350</v>
      </c>
      <c r="K93" s="8" t="s">
        <v>245</v>
      </c>
      <c r="L93" s="8" t="s">
        <v>245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232</v>
      </c>
      <c r="J94" s="8" t="s">
        <v>351</v>
      </c>
      <c r="K94" s="8" t="s">
        <v>351</v>
      </c>
      <c r="L94" s="8" t="s">
        <v>351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297</v>
      </c>
      <c r="K95" s="8" t="s">
        <v>297</v>
      </c>
      <c r="L95" s="8" t="s">
        <v>297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233</v>
      </c>
      <c r="J96" s="8" t="s">
        <v>352</v>
      </c>
      <c r="K96" s="8" t="s">
        <v>353</v>
      </c>
      <c r="L96" s="8" t="s">
        <v>353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234</v>
      </c>
      <c r="J97" s="8" t="s">
        <v>354</v>
      </c>
      <c r="K97" s="8" t="s">
        <v>355</v>
      </c>
      <c r="L97" s="8" t="s">
        <v>355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356</v>
      </c>
      <c r="K98" s="8" t="s">
        <v>247</v>
      </c>
      <c r="L98" s="8" t="s">
        <v>247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357</v>
      </c>
      <c r="K99" s="8" t="s">
        <v>288</v>
      </c>
      <c r="L99" s="8" t="s">
        <v>288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235</v>
      </c>
      <c r="J100" s="8" t="s">
        <v>358</v>
      </c>
      <c r="K100" s="8" t="s">
        <v>359</v>
      </c>
      <c r="L100" s="8" t="s">
        <v>359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360</v>
      </c>
      <c r="K101" s="8" t="s">
        <v>361</v>
      </c>
      <c r="L101" s="8" t="s">
        <v>361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454</v>
      </c>
      <c r="J102" s="8" t="s">
        <v>450</v>
      </c>
      <c r="K102" s="8" t="s">
        <v>450</v>
      </c>
      <c r="L102" s="8" t="s">
        <v>450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362</v>
      </c>
      <c r="K103" s="8" t="s">
        <v>363</v>
      </c>
      <c r="L103" s="8" t="s">
        <v>363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364</v>
      </c>
      <c r="K104" s="8" t="s">
        <v>251</v>
      </c>
      <c r="L104" s="8" t="s">
        <v>251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365</v>
      </c>
      <c r="K105" s="8" t="s">
        <v>253</v>
      </c>
      <c r="L105" s="8" t="s">
        <v>253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236</v>
      </c>
      <c r="J106" s="8" t="s">
        <v>366</v>
      </c>
      <c r="K106" s="8" t="s">
        <v>367</v>
      </c>
      <c r="L106" s="8" t="s">
        <v>367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237</v>
      </c>
      <c r="J107" s="8" t="s">
        <v>368</v>
      </c>
      <c r="K107" s="8" t="s">
        <v>369</v>
      </c>
      <c r="L107" s="8" t="s">
        <v>369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238</v>
      </c>
      <c r="J108" s="8" t="s">
        <v>370</v>
      </c>
      <c r="K108" s="8" t="s">
        <v>371</v>
      </c>
      <c r="L108" s="8" t="s">
        <v>371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239</v>
      </c>
      <c r="J109" s="8" t="s">
        <v>372</v>
      </c>
      <c r="K109" s="8" t="s">
        <v>373</v>
      </c>
      <c r="L109" s="8" t="s">
        <v>373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240</v>
      </c>
      <c r="J110" s="8" t="s">
        <v>374</v>
      </c>
      <c r="K110" s="8" t="s">
        <v>375</v>
      </c>
      <c r="L110" s="8" t="s">
        <v>375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241</v>
      </c>
      <c r="J111" s="8" t="s">
        <v>376</v>
      </c>
      <c r="K111" s="8" t="s">
        <v>377</v>
      </c>
      <c r="L111" s="8" t="s">
        <v>377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242</v>
      </c>
      <c r="J112" s="8" t="s">
        <v>378</v>
      </c>
      <c r="K112" s="8" t="s">
        <v>379</v>
      </c>
      <c r="L112" s="8" t="s">
        <v>379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243</v>
      </c>
      <c r="J113" s="8" t="s">
        <v>380</v>
      </c>
      <c r="K113" s="8" t="s">
        <v>381</v>
      </c>
      <c r="L113" s="8" t="s">
        <v>381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382</v>
      </c>
      <c r="K114" s="10" t="s">
        <v>245</v>
      </c>
      <c r="L114" s="10" t="s">
        <v>245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383</v>
      </c>
      <c r="K115" s="10" t="s">
        <v>331</v>
      </c>
      <c r="L115" s="10" t="s">
        <v>331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232</v>
      </c>
      <c r="J116" s="10" t="s">
        <v>384</v>
      </c>
      <c r="K116" s="10" t="s">
        <v>351</v>
      </c>
      <c r="L116" s="10" t="s">
        <v>351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385</v>
      </c>
      <c r="K117" s="10" t="s">
        <v>247</v>
      </c>
      <c r="L117" s="10" t="s">
        <v>247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386</v>
      </c>
      <c r="J118" s="10" t="s">
        <v>387</v>
      </c>
      <c r="K118" s="10" t="s">
        <v>388</v>
      </c>
      <c r="L118" s="10" t="s">
        <v>388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389</v>
      </c>
      <c r="K119" s="8" t="s">
        <v>245</v>
      </c>
      <c r="L119" s="8" t="s">
        <v>245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390</v>
      </c>
      <c r="J120" s="8" t="s">
        <v>391</v>
      </c>
      <c r="K120" s="8" t="s">
        <v>392</v>
      </c>
      <c r="L120" s="8" t="s">
        <v>392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393</v>
      </c>
      <c r="K121" s="8" t="s">
        <v>297</v>
      </c>
      <c r="L121" s="8" t="s">
        <v>297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394</v>
      </c>
      <c r="J122" s="8" t="s">
        <v>395</v>
      </c>
      <c r="K122" s="8" t="s">
        <v>396</v>
      </c>
      <c r="L122" s="8" t="s">
        <v>396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397</v>
      </c>
      <c r="J123" s="8" t="s">
        <v>398</v>
      </c>
      <c r="K123" s="8" t="s">
        <v>399</v>
      </c>
      <c r="L123" s="8" t="s">
        <v>399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510</v>
      </c>
      <c r="K124" s="10" t="s">
        <v>245</v>
      </c>
      <c r="L124" s="10" t="s">
        <v>245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418</v>
      </c>
      <c r="K125" s="10" t="s">
        <v>295</v>
      </c>
      <c r="L125" s="10" t="s">
        <v>295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306</v>
      </c>
      <c r="K126" s="10" t="s">
        <v>315</v>
      </c>
      <c r="L126" s="10" t="s">
        <v>315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511</v>
      </c>
      <c r="J127" s="10" t="s">
        <v>513</v>
      </c>
      <c r="K127" s="10" t="s">
        <v>512</v>
      </c>
      <c r="L127" s="10" t="s">
        <v>512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532</v>
      </c>
      <c r="J128" s="10" t="s">
        <v>419</v>
      </c>
      <c r="K128" s="10" t="s">
        <v>419</v>
      </c>
      <c r="L128" s="10" t="s">
        <v>419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430</v>
      </c>
      <c r="K129" s="8" t="s">
        <v>245</v>
      </c>
      <c r="L129" s="8" t="s">
        <v>245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38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506</v>
      </c>
      <c r="J130" s="8" t="s">
        <v>510</v>
      </c>
      <c r="K130" s="8" t="s">
        <v>431</v>
      </c>
      <c r="L130" s="8" t="s">
        <v>431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38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6</v>
      </c>
      <c r="F131" s="8" t="str">
        <f t="array" ref="F131">GetValue("Domains",E131,"Name")</f>
        <v>Boolean</v>
      </c>
      <c r="G131" s="8"/>
      <c r="H131" s="8" t="str">
        <f t="array" ref="H131">GetValue("Tables",G131,"Name")</f>
        <v/>
      </c>
      <c r="I131" s="8" t="s">
        <v>429</v>
      </c>
      <c r="J131" s="8" t="s">
        <v>433</v>
      </c>
      <c r="K131" s="8" t="s">
        <v>433</v>
      </c>
      <c r="L131" s="8" t="s">
        <v>433</v>
      </c>
      <c r="M131" s="8"/>
      <c r="N131" s="8"/>
      <c r="O131" s="14" t="s">
        <v>36</v>
      </c>
      <c r="P131" s="15"/>
      <c r="Q131" s="8"/>
      <c r="R131" s="8"/>
      <c r="S131" s="8" t="b">
        <v>0</v>
      </c>
      <c r="T131" s="8" t="b">
        <v>1</v>
      </c>
      <c r="U131" s="8" t="b">
        <v>1</v>
      </c>
      <c r="V131" s="8" t="b">
        <v>1</v>
      </c>
      <c r="W131" s="8" t="b">
        <v>1</v>
      </c>
      <c r="X131" s="8"/>
    </row>
    <row r="132" spans="1:24" x14ac:dyDescent="0.3">
      <c r="A132" s="10">
        <f t="shared" si="11"/>
        <v>131</v>
      </c>
      <c r="B132" s="10">
        <v>18</v>
      </c>
      <c r="C132" s="10" t="str">
        <f t="array" ref="C132">GetValue("Tables",B132,"Name")</f>
        <v>Operations</v>
      </c>
      <c r="D132" s="10">
        <v>5</v>
      </c>
      <c r="E132" s="10">
        <v>1</v>
      </c>
      <c r="F132" s="10" t="str">
        <f t="array" ref="F132">GetValue("Domains",E132,"Name")</f>
        <v>BigInteger</v>
      </c>
      <c r="G132" s="10"/>
      <c r="H132" s="10" t="str">
        <f t="array" ref="H132">GetValue("Tables",G132,"Name")</f>
        <v/>
      </c>
      <c r="I132" s="10" t="s">
        <v>0</v>
      </c>
      <c r="J132" s="10" t="s">
        <v>430</v>
      </c>
      <c r="K132" s="10" t="s">
        <v>245</v>
      </c>
      <c r="L132" s="10" t="s">
        <v>245</v>
      </c>
      <c r="M132" s="10"/>
      <c r="N132" s="10"/>
      <c r="O132" s="17">
        <v>1</v>
      </c>
      <c r="P132" s="17"/>
      <c r="Q132" s="10" t="b">
        <v>1</v>
      </c>
      <c r="R132" s="10" t="b">
        <v>0</v>
      </c>
      <c r="S132" s="10" t="b">
        <v>1</v>
      </c>
      <c r="T132" s="10"/>
      <c r="U132" s="10" t="b">
        <v>1</v>
      </c>
      <c r="V132" s="10" t="b">
        <v>0</v>
      </c>
      <c r="W132" s="10" t="b">
        <v>0</v>
      </c>
      <c r="X132" s="10"/>
    </row>
    <row r="133" spans="1:24" x14ac:dyDescent="0.3">
      <c r="A133" s="10">
        <f t="shared" si="11"/>
        <v>132</v>
      </c>
      <c r="B133" s="10">
        <v>18</v>
      </c>
      <c r="C133" s="10" t="str">
        <f t="array" ref="C133">GetValue("Tables",B133,"Name")</f>
        <v>Operations</v>
      </c>
      <c r="D133" s="10">
        <f t="shared" si="10"/>
        <v>10</v>
      </c>
      <c r="E133" s="10">
        <v>1</v>
      </c>
      <c r="F133" s="10" t="str">
        <f t="array" ref="F133">GetValue("Domains",E133,"Name")</f>
        <v>BigInteger</v>
      </c>
      <c r="G133" s="10">
        <v>17</v>
      </c>
      <c r="H133" s="10" t="str">
        <f t="array" ref="H133">GetValue("Tables",G133,"Name")</f>
        <v>Transactions</v>
      </c>
      <c r="I133" s="10" t="s">
        <v>514</v>
      </c>
      <c r="J133" s="10" t="s">
        <v>521</v>
      </c>
      <c r="K133" s="10" t="s">
        <v>527</v>
      </c>
      <c r="L133" s="10" t="s">
        <v>527</v>
      </c>
      <c r="M133" s="10"/>
      <c r="N133" s="10"/>
      <c r="O133" s="17">
        <v>1</v>
      </c>
      <c r="P133" s="16"/>
      <c r="Q133" s="10" t="b">
        <v>0</v>
      </c>
      <c r="R133" s="10" t="b">
        <v>0</v>
      </c>
      <c r="S133" s="10" t="b">
        <v>1</v>
      </c>
      <c r="T133" s="10"/>
      <c r="U133" s="10" t="b">
        <v>1</v>
      </c>
      <c r="V133" s="10" t="b">
        <v>0</v>
      </c>
      <c r="W133" s="10" t="b">
        <v>0</v>
      </c>
      <c r="X133" s="10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f t="shared" si="10"/>
        <v>15</v>
      </c>
      <c r="E134" s="10">
        <v>9</v>
      </c>
      <c r="F134" s="10" t="str">
        <f t="array" ref="F134">GetValue("Domains",E134,"Name")</f>
        <v>Varchar(25)</v>
      </c>
      <c r="G134" s="10"/>
      <c r="H134" s="10" t="str">
        <f t="array" ref="H134">GetValue("Tables",G134,"Name")</f>
        <v/>
      </c>
      <c r="I134" s="10" t="s">
        <v>581</v>
      </c>
      <c r="J134" s="10" t="s">
        <v>582</v>
      </c>
      <c r="K134" s="10" t="s">
        <v>351</v>
      </c>
      <c r="L134" s="10" t="s">
        <v>351</v>
      </c>
      <c r="M134" s="10"/>
      <c r="N134" s="10"/>
      <c r="O134" s="17">
        <v>1</v>
      </c>
      <c r="P134" s="16"/>
      <c r="Q134" s="10" t="b">
        <v>0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>D134+5</f>
        <v>20</v>
      </c>
      <c r="E135" s="10">
        <v>21</v>
      </c>
      <c r="F135" s="10" t="str" cm="1">
        <f t="array" ref="F135">GetValue("Domains",E135,"Name")</f>
        <v>Action</v>
      </c>
      <c r="G135" s="10"/>
      <c r="H135" s="10" t="str">
        <f t="array" ref="H135">GetValue("Tables",G135,"Name")</f>
        <v/>
      </c>
      <c r="I135" s="10" t="s">
        <v>101</v>
      </c>
      <c r="J135" s="10" t="s">
        <v>432</v>
      </c>
      <c r="K135" s="10" t="s">
        <v>303</v>
      </c>
      <c r="L135" s="10" t="s">
        <v>303</v>
      </c>
      <c r="M135" s="10" t="s">
        <v>531</v>
      </c>
      <c r="N135" s="10"/>
      <c r="O135" s="17"/>
      <c r="P135" s="16"/>
      <c r="Q135" s="10" t="b">
        <v>0</v>
      </c>
      <c r="R135" s="10"/>
      <c r="S135" s="10" t="b">
        <v>1</v>
      </c>
      <c r="T135" s="10" t="b">
        <v>1</v>
      </c>
      <c r="U135" s="10" t="b">
        <v>1</v>
      </c>
      <c r="V135" s="10" t="b">
        <v>1</v>
      </c>
      <c r="W135" s="10" t="b">
        <v>1</v>
      </c>
      <c r="X135" s="10" t="b">
        <v>0</v>
      </c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>D135+5</f>
        <v>25</v>
      </c>
      <c r="E136" s="10">
        <v>15</v>
      </c>
      <c r="F136" s="10" t="str">
        <f t="array" ref="F136">GetValue("Domains",E136,"Name")</f>
        <v>JSON</v>
      </c>
      <c r="G136" s="10"/>
      <c r="H136" s="10" t="str">
        <f t="array" ref="H136">GetValue("Tables",G136,"Name")</f>
        <v/>
      </c>
      <c r="I136" s="10" t="s">
        <v>519</v>
      </c>
      <c r="J136" s="10" t="s">
        <v>522</v>
      </c>
      <c r="K136" s="10" t="s">
        <v>522</v>
      </c>
      <c r="L136" s="10" t="s">
        <v>522</v>
      </c>
      <c r="M136" s="10"/>
      <c r="N136" s="10"/>
      <c r="O136" s="17"/>
      <c r="P136" s="16"/>
      <c r="Q136" s="10"/>
      <c r="R136" s="10"/>
      <c r="S136" s="10" t="b">
        <v>0</v>
      </c>
      <c r="T136" s="10"/>
      <c r="U136" s="10"/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30</v>
      </c>
      <c r="E137" s="10">
        <v>15</v>
      </c>
      <c r="F137" s="10" t="str">
        <f t="array" ref="F137">GetValue("Domains",E137,"Name")</f>
        <v>JSON</v>
      </c>
      <c r="G137" s="10"/>
      <c r="H137" s="10" t="str">
        <f t="array" ref="H137">GetValue("Tables",G137,"Name")</f>
        <v/>
      </c>
      <c r="I137" s="10" t="s">
        <v>520</v>
      </c>
      <c r="J137" s="10" t="s">
        <v>523</v>
      </c>
      <c r="K137" s="10" t="s">
        <v>523</v>
      </c>
      <c r="L137" s="10" t="s">
        <v>523</v>
      </c>
      <c r="M137" s="10"/>
      <c r="N137" s="10"/>
      <c r="O137" s="17"/>
      <c r="P137" s="16"/>
      <c r="Q137" s="10"/>
      <c r="R137" s="10"/>
      <c r="S137" s="10" t="b">
        <v>1</v>
      </c>
      <c r="T137" s="10"/>
      <c r="U137" s="10"/>
      <c r="V137" s="10" t="b">
        <v>0</v>
      </c>
      <c r="W137" s="10" t="b">
        <v>0</v>
      </c>
      <c r="X137" s="10"/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 t="shared" si="10"/>
        <v>35</v>
      </c>
      <c r="E138" s="10">
        <v>6</v>
      </c>
      <c r="F138" s="10" t="str">
        <f t="array" ref="F138">GetValue("Domains",E138,"Name")</f>
        <v>Boolean</v>
      </c>
      <c r="G138" s="10"/>
      <c r="H138" s="10" t="str">
        <f t="array" ref="H138">GetValue("Tables",G138,"Name")</f>
        <v/>
      </c>
      <c r="I138" s="10" t="s">
        <v>429</v>
      </c>
      <c r="J138" s="10" t="s">
        <v>433</v>
      </c>
      <c r="K138" s="10" t="s">
        <v>433</v>
      </c>
      <c r="L138" s="10" t="s">
        <v>433</v>
      </c>
      <c r="M138" s="10"/>
      <c r="N138" s="10"/>
      <c r="O138" s="17" t="s">
        <v>36</v>
      </c>
      <c r="P138" s="16"/>
      <c r="Q138" s="10"/>
      <c r="R138" s="10"/>
      <c r="S138" s="10" t="b">
        <v>0</v>
      </c>
      <c r="T138" s="10" t="b">
        <v>1</v>
      </c>
      <c r="U138" s="10" t="b">
        <v>1</v>
      </c>
      <c r="V138" s="10" t="b">
        <v>1</v>
      </c>
      <c r="W138" s="10" t="b">
        <v>1</v>
      </c>
      <c r="X138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539</v>
      </c>
      <c r="D1" s="1" t="s">
        <v>232</v>
      </c>
      <c r="E1" s="1" t="s">
        <v>540</v>
      </c>
      <c r="F1" s="1" t="s">
        <v>1</v>
      </c>
      <c r="G1" s="1" t="s">
        <v>386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545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555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546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547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548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549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550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551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552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556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553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554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390</v>
      </c>
      <c r="C1" s="1" t="s">
        <v>543</v>
      </c>
      <c r="D1" s="1" t="s">
        <v>98</v>
      </c>
      <c r="E1" s="1" t="s">
        <v>394</v>
      </c>
      <c r="F1" s="1" t="s">
        <v>544</v>
      </c>
      <c r="G1" s="1" t="s">
        <v>397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C1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506</v>
      </c>
      <c r="C1" s="1" t="s">
        <v>429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514</v>
      </c>
      <c r="C1" s="1" t="s">
        <v>581</v>
      </c>
      <c r="D1" s="1" t="s">
        <v>101</v>
      </c>
      <c r="E1" s="1" t="s">
        <v>519</v>
      </c>
      <c r="F1" s="1" t="s">
        <v>520</v>
      </c>
      <c r="G1" s="1" t="s">
        <v>429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2024-08-25T21:45:50Z</dcterms:modified>
</cp:coreProperties>
</file>