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BD8C7763-4144-4789-A82E-892B0401C265}" xr6:coauthVersionLast="47" xr6:coauthVersionMax="47" xr10:uidLastSave="{00000000-0000-0000-0000-000000000000}"/>
  <bookViews>
    <workbookView xWindow="-108" yWindow="-108" windowWidth="23256" windowHeight="13176" tabRatio="925" firstSheet="5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  <sheet name="Transactions" sheetId="16" r:id="rId17"/>
    <sheet name="Operations" sheetId="18" r:id="rId1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1" i="12" l="1"/>
  <c r="A41" i="14" l="1"/>
  <c r="A40" i="14"/>
  <c r="A39" i="14"/>
  <c r="A19" i="17"/>
  <c r="A26" i="13"/>
  <c r="A102" i="12"/>
  <c r="A22" i="4"/>
  <c r="C22" i="4" a="1"/>
  <c r="B26" i="13" a="1"/>
  <c r="E19" i="17" a="1"/>
  <c r="C19" i="17" a="1"/>
  <c r="B16" i="13" a="1"/>
  <c r="B25" i="13" a="1"/>
  <c r="B4" i="13" a="1"/>
  <c r="B9" i="13" a="1"/>
  <c r="B6" i="13" a="1"/>
  <c r="B15" i="13" a="1"/>
  <c r="B5" i="13" a="1"/>
  <c r="B24" i="13" a="1"/>
  <c r="B14" i="13" a="1"/>
  <c r="B11" i="13" a="1"/>
  <c r="B20" i="13" a="1"/>
  <c r="B19" i="13" a="1"/>
  <c r="B18" i="13" a="1"/>
  <c r="B17" i="13" a="1"/>
  <c r="B23" i="13" a="1"/>
  <c r="B13" i="13" a="1"/>
  <c r="B3" i="13" a="1"/>
  <c r="B22" i="13" a="1"/>
  <c r="B12" i="13" a="1"/>
  <c r="B21" i="13" a="1"/>
  <c r="B10" i="13" a="1"/>
  <c r="B8" i="13" a="1"/>
  <c r="B7" i="13" a="1"/>
  <c r="B2" i="13" a="1"/>
  <c r="E26" i="13" a="1"/>
  <c r="M2" i="11" a="1"/>
  <c r="F2" i="14" a="1"/>
  <c r="F31" i="14" a="1"/>
  <c r="F40" i="14" a="1"/>
  <c r="F20" i="14" a="1"/>
  <c r="F39" i="14" a="1"/>
  <c r="F19" i="14" a="1"/>
  <c r="F38" i="14" a="1"/>
  <c r="F18" i="14" a="1"/>
  <c r="F27" i="14" a="1"/>
  <c r="F17" i="14" a="1"/>
  <c r="F36" i="14" a="1"/>
  <c r="F16" i="14" a="1"/>
  <c r="F35" i="14" a="1"/>
  <c r="F15" i="14" a="1"/>
  <c r="F34" i="14" a="1"/>
  <c r="F14" i="14" a="1"/>
  <c r="F33" i="14" a="1"/>
  <c r="F13" i="14" a="1"/>
  <c r="F32" i="14" a="1"/>
  <c r="F12" i="14" a="1"/>
  <c r="F41" i="14" a="1"/>
  <c r="F21" i="14" a="1"/>
  <c r="F11" i="14" a="1"/>
  <c r="F30" i="14" a="1"/>
  <c r="F10" i="14" a="1"/>
  <c r="F29" i="14" a="1"/>
  <c r="F9" i="14" a="1"/>
  <c r="F28" i="14" a="1"/>
  <c r="F8" i="14" a="1"/>
  <c r="F37" i="14" a="1"/>
  <c r="F7" i="14" a="1"/>
  <c r="F26" i="14" a="1"/>
  <c r="F6" i="14" a="1"/>
  <c r="F25" i="14" a="1"/>
  <c r="F5" i="14" a="1"/>
  <c r="F24" i="14" a="1"/>
  <c r="F4" i="14" a="1"/>
  <c r="F23" i="14" a="1"/>
  <c r="F3" i="14" a="1"/>
  <c r="F22" i="14" a="1"/>
  <c r="C2" i="14" a="1"/>
  <c r="C41" i="14" a="1"/>
  <c r="C31" i="14" a="1"/>
  <c r="C21" i="14" a="1"/>
  <c r="C11" i="14" a="1"/>
  <c r="C40" i="14" a="1"/>
  <c r="C30" i="14" a="1"/>
  <c r="C20" i="14" a="1"/>
  <c r="C10" i="14" a="1"/>
  <c r="C39" i="14" a="1"/>
  <c r="C29" i="14" a="1"/>
  <c r="C19" i="14" a="1"/>
  <c r="C9" i="14" a="1"/>
  <c r="C38" i="14" a="1"/>
  <c r="C28" i="14" a="1"/>
  <c r="C18" i="14" a="1"/>
  <c r="C8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M10" i="11" a="1"/>
  <c r="M19" i="11" a="1"/>
  <c r="M9" i="11" a="1"/>
  <c r="M18" i="11" a="1"/>
  <c r="M8" i="11" a="1"/>
  <c r="M17" i="11" a="1"/>
  <c r="M7" i="11" a="1"/>
  <c r="M16" i="11" a="1"/>
  <c r="M6" i="11" a="1"/>
  <c r="M15" i="11" a="1"/>
  <c r="M5" i="11" a="1"/>
  <c r="M14" i="11" a="1"/>
  <c r="M4" i="11" a="1"/>
  <c r="M13" i="11" a="1"/>
  <c r="M3" i="11" a="1"/>
  <c r="M12" i="11" a="1"/>
  <c r="M11" i="11" a="1"/>
  <c r="H98" i="12" a="1"/>
  <c r="H97" i="12" a="1"/>
  <c r="H107" i="12" a="1"/>
  <c r="H96" i="12" a="1"/>
  <c r="H103" i="12" a="1"/>
  <c r="C102" i="12" a="1"/>
  <c r="H113" i="12" a="1"/>
  <c r="F102" i="12" a="1"/>
  <c r="H102" i="12" a="1"/>
  <c r="H101" i="12" a="1"/>
  <c r="H111" i="12" a="1"/>
  <c r="H99" i="12" a="1"/>
  <c r="H100" i="12" a="1"/>
  <c r="H106" i="12" a="1"/>
  <c r="H110" i="12" a="1"/>
  <c r="H95" i="12" a="1"/>
  <c r="F135" i="12" a="1"/>
  <c r="H109" i="12" a="1"/>
  <c r="H104" i="12" a="1"/>
  <c r="H108" i="12" a="1"/>
  <c r="H94" i="12" a="1"/>
  <c r="H105" i="12" a="1"/>
  <c r="H112" i="12" a="1"/>
  <c r="F2" i="14" l="1"/>
  <c r="F22" i="14"/>
  <c r="F3" i="14"/>
  <c r="F23" i="14"/>
  <c r="F4" i="14"/>
  <c r="F24" i="14"/>
  <c r="F5" i="14"/>
  <c r="F25" i="14"/>
  <c r="F6" i="14"/>
  <c r="F26" i="14"/>
  <c r="F7" i="14"/>
  <c r="F37" i="14"/>
  <c r="F8" i="14"/>
  <c r="F28" i="14"/>
  <c r="F9" i="14"/>
  <c r="F29" i="14"/>
  <c r="F10" i="14"/>
  <c r="F30" i="14"/>
  <c r="F11" i="14"/>
  <c r="F21" i="14"/>
  <c r="F41" i="14"/>
  <c r="F12" i="14"/>
  <c r="F32" i="14"/>
  <c r="F13" i="14"/>
  <c r="F33" i="14"/>
  <c r="F14" i="14"/>
  <c r="F34" i="14"/>
  <c r="F15" i="14"/>
  <c r="F35" i="14"/>
  <c r="F16" i="14"/>
  <c r="F36" i="14"/>
  <c r="F17" i="14"/>
  <c r="F27" i="14"/>
  <c r="F18" i="14"/>
  <c r="F38" i="14"/>
  <c r="F19" i="14"/>
  <c r="F39" i="14"/>
  <c r="F20" i="14"/>
  <c r="F40" i="14"/>
  <c r="F31" i="14"/>
  <c r="C2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C8" i="14"/>
  <c r="C18" i="14"/>
  <c r="C28" i="14"/>
  <c r="C38" i="14"/>
  <c r="C9" i="14"/>
  <c r="C19" i="14"/>
  <c r="C29" i="14"/>
  <c r="C39" i="14"/>
  <c r="C10" i="14"/>
  <c r="C20" i="14"/>
  <c r="C30" i="14"/>
  <c r="C40" i="14"/>
  <c r="C11" i="14"/>
  <c r="C21" i="14"/>
  <c r="C31" i="14"/>
  <c r="C41" i="14"/>
  <c r="M11" i="11"/>
  <c r="M12" i="11"/>
  <c r="M3" i="11"/>
  <c r="M13" i="11"/>
  <c r="M4" i="11"/>
  <c r="M14" i="11"/>
  <c r="M5" i="11"/>
  <c r="M15" i="11"/>
  <c r="M6" i="11"/>
  <c r="M16" i="11"/>
  <c r="M7" i="11"/>
  <c r="M17" i="11"/>
  <c r="M8" i="11"/>
  <c r="M18" i="11"/>
  <c r="M9" i="11"/>
  <c r="M19" i="11"/>
  <c r="M10" i="11"/>
  <c r="M2" i="11"/>
  <c r="H105" i="12"/>
  <c r="H95" i="12"/>
  <c r="H106" i="12"/>
  <c r="H96" i="12"/>
  <c r="H107" i="12"/>
  <c r="H97" i="12"/>
  <c r="H108" i="12"/>
  <c r="H98" i="12"/>
  <c r="H109" i="12"/>
  <c r="H99" i="12"/>
  <c r="H110" i="12"/>
  <c r="H100" i="12"/>
  <c r="H111" i="12"/>
  <c r="H101" i="12"/>
  <c r="H112" i="12"/>
  <c r="H102" i="12"/>
  <c r="H113" i="12"/>
  <c r="H103" i="12"/>
  <c r="H94" i="12"/>
  <c r="H104" i="12"/>
  <c r="B26" i="13"/>
  <c r="C19" i="17"/>
  <c r="E19" i="17"/>
  <c r="B7" i="13"/>
  <c r="B8" i="13"/>
  <c r="B10" i="13"/>
  <c r="B21" i="13"/>
  <c r="B12" i="13"/>
  <c r="B22" i="13"/>
  <c r="B3" i="13"/>
  <c r="B13" i="13"/>
  <c r="B23" i="13"/>
  <c r="B17" i="13"/>
  <c r="B18" i="13"/>
  <c r="B19" i="13"/>
  <c r="B20" i="13"/>
  <c r="B11" i="13"/>
  <c r="B14" i="13"/>
  <c r="B24" i="13"/>
  <c r="B5" i="13"/>
  <c r="B15" i="13"/>
  <c r="B6" i="13"/>
  <c r="B9" i="13"/>
  <c r="B4" i="13"/>
  <c r="B25" i="13"/>
  <c r="B16" i="13"/>
  <c r="B2" i="13"/>
  <c r="E26" i="13"/>
  <c r="F102" i="12"/>
  <c r="C102" i="12"/>
  <c r="F135" i="12"/>
  <c r="C22" i="4"/>
  <c r="A134" i="12"/>
  <c r="A3" i="7"/>
  <c r="A3" i="8"/>
  <c r="A137" i="12"/>
  <c r="A138" i="12"/>
  <c r="A136" i="12"/>
  <c r="A135" i="12"/>
  <c r="D133" i="12"/>
  <c r="D134" i="12" s="1"/>
  <c r="A133" i="12"/>
  <c r="A132" i="12"/>
  <c r="A19" i="11"/>
  <c r="A127" i="12"/>
  <c r="A38" i="14"/>
  <c r="A37" i="14"/>
  <c r="A36" i="14"/>
  <c r="A35" i="14"/>
  <c r="A34" i="14"/>
  <c r="A33" i="14"/>
  <c r="A18" i="13"/>
  <c r="A14" i="13"/>
  <c r="A10" i="13"/>
  <c r="A92" i="12"/>
  <c r="A76" i="12"/>
  <c r="A62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91" i="12"/>
  <c r="D90" i="12"/>
  <c r="D91" i="12" s="1"/>
  <c r="D92" i="12" s="1"/>
  <c r="A90" i="12"/>
  <c r="A89" i="12"/>
  <c r="D78" i="12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A18" i="11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7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5" i="13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31" i="12"/>
  <c r="D130" i="12"/>
  <c r="A130" i="12"/>
  <c r="A129" i="12"/>
  <c r="A128" i="12"/>
  <c r="A126" i="12"/>
  <c r="D125" i="12"/>
  <c r="D126" i="12" s="1"/>
  <c r="D127" i="12" s="1"/>
  <c r="D128" i="12" s="1"/>
  <c r="A125" i="12"/>
  <c r="A124" i="12"/>
  <c r="A11" i="12"/>
  <c r="A10" i="12"/>
  <c r="A9" i="12"/>
  <c r="A8" i="12"/>
  <c r="A7" i="12"/>
  <c r="A6" i="12"/>
  <c r="A5" i="12"/>
  <c r="A4" i="12"/>
  <c r="D3" i="12"/>
  <c r="D4" i="12" s="1"/>
  <c r="D5" i="12"/>
  <c r="D6" i="12" s="1"/>
  <c r="D7" i="12" s="1"/>
  <c r="D8" i="12" s="1"/>
  <c r="D9" i="12" s="1"/>
  <c r="D10" i="12" s="1"/>
  <c r="D11" i="12" s="1"/>
  <c r="A3" i="12"/>
  <c r="A2" i="12"/>
  <c r="A123" i="12"/>
  <c r="A122" i="12"/>
  <c r="A121" i="12"/>
  <c r="D120" i="12"/>
  <c r="D121" i="12" s="1"/>
  <c r="D122" i="12" s="1"/>
  <c r="D123" i="12" s="1"/>
  <c r="A120" i="12"/>
  <c r="A119" i="12"/>
  <c r="A118" i="12"/>
  <c r="A117" i="12"/>
  <c r="A116" i="12"/>
  <c r="D115" i="12"/>
  <c r="D116" i="12" s="1"/>
  <c r="D117" i="12" s="1"/>
  <c r="D118" i="12" s="1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1" i="12"/>
  <c r="A100" i="12"/>
  <c r="A99" i="12"/>
  <c r="A98" i="12"/>
  <c r="A97" i="12"/>
  <c r="A96" i="12"/>
  <c r="A95" i="12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A94" i="12"/>
  <c r="A93" i="12"/>
  <c r="A88" i="12"/>
  <c r="A86" i="12"/>
  <c r="A85" i="12"/>
  <c r="A84" i="12"/>
  <c r="A83" i="12"/>
  <c r="A82" i="12"/>
  <c r="A81" i="12"/>
  <c r="A80" i="12"/>
  <c r="A79" i="12"/>
  <c r="A78" i="12"/>
  <c r="A77" i="12"/>
  <c r="A75" i="12"/>
  <c r="D74" i="12"/>
  <c r="D75" i="12" s="1"/>
  <c r="D76" i="12" s="1"/>
  <c r="A74" i="12"/>
  <c r="A73" i="12"/>
  <c r="A72" i="12"/>
  <c r="A71" i="12"/>
  <c r="A70" i="12"/>
  <c r="A69" i="12"/>
  <c r="A68" i="12"/>
  <c r="A67" i="12"/>
  <c r="A66" i="12"/>
  <c r="A65" i="12"/>
  <c r="D64" i="12"/>
  <c r="D65" i="12" s="1"/>
  <c r="D66" i="12" s="1"/>
  <c r="D67" i="12" s="1"/>
  <c r="D68" i="12" s="1"/>
  <c r="D69" i="12" s="1"/>
  <c r="D70" i="12" s="1"/>
  <c r="D71" i="12" s="1"/>
  <c r="D72" i="12" s="1"/>
  <c r="A64" i="12"/>
  <c r="A63" i="12"/>
  <c r="A61" i="12"/>
  <c r="D60" i="12"/>
  <c r="D61" i="12" s="1"/>
  <c r="D62" i="12" s="1"/>
  <c r="A60" i="12"/>
  <c r="A59" i="12"/>
  <c r="A58" i="12"/>
  <c r="A57" i="12"/>
  <c r="A56" i="12"/>
  <c r="A55" i="12"/>
  <c r="D54" i="12"/>
  <c r="D55" i="12" s="1"/>
  <c r="D56" i="12" s="1"/>
  <c r="D57" i="12" s="1"/>
  <c r="D58" i="12" s="1"/>
  <c r="A54" i="12"/>
  <c r="A53" i="12"/>
  <c r="A52" i="12"/>
  <c r="A51" i="12"/>
  <c r="A50" i="12"/>
  <c r="A49" i="12"/>
  <c r="A48" i="12"/>
  <c r="D47" i="12"/>
  <c r="D48" i="12" s="1"/>
  <c r="D49" i="12" s="1"/>
  <c r="D50" i="12" s="1"/>
  <c r="D51" i="12" s="1"/>
  <c r="D52" i="12" s="1"/>
  <c r="A47" i="12"/>
  <c r="A46" i="12"/>
  <c r="A45" i="12"/>
  <c r="A44" i="12"/>
  <c r="A43" i="12"/>
  <c r="D42" i="12"/>
  <c r="D43" i="12" s="1"/>
  <c r="D44" i="12" s="1"/>
  <c r="D45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14" i="17" a="1"/>
  <c r="C7" i="17" a="1"/>
  <c r="C13" i="2" a="1"/>
  <c r="C11" i="2" a="1"/>
  <c r="E10" i="13" a="1"/>
  <c r="E9" i="13" a="1"/>
  <c r="E7" i="13" a="1"/>
  <c r="C4" i="17" a="1"/>
  <c r="C6" i="2" a="1"/>
  <c r="C18" i="17" a="1"/>
  <c r="C18" i="2" a="1"/>
  <c r="C29" i="2" a="1"/>
  <c r="E18" i="17" a="1"/>
  <c r="C2" i="10" a="1"/>
  <c r="E5" i="17" a="1"/>
  <c r="C11" i="17" a="1"/>
  <c r="C8" i="2" a="1"/>
  <c r="C14" i="2" a="1"/>
  <c r="E2" i="13" a="1"/>
  <c r="E2" i="17" a="1"/>
  <c r="E15" i="13" a="1"/>
  <c r="C21" i="2" a="1"/>
  <c r="C13" i="17" a="1"/>
  <c r="C2" i="17" a="1"/>
  <c r="C5" i="17" a="1"/>
  <c r="C22" i="2" a="1"/>
  <c r="C19" i="2" a="1"/>
  <c r="E22" i="13" a="1"/>
  <c r="E24" i="13" a="1"/>
  <c r="E19" i="13" a="1"/>
  <c r="C3" i="17" a="1"/>
  <c r="C2" i="8" a="1"/>
  <c r="E3" i="17" a="1"/>
  <c r="C25" i="2" a="1"/>
  <c r="C5" i="2" a="1"/>
  <c r="E11" i="13" a="1"/>
  <c r="C35" i="2" a="1"/>
  <c r="C30" i="2" a="1"/>
  <c r="C27" i="2" a="1"/>
  <c r="E13" i="13" a="1"/>
  <c r="C16" i="2" a="1"/>
  <c r="E7" i="17" a="1"/>
  <c r="C3" i="2" a="1"/>
  <c r="C15" i="2" a="1"/>
  <c r="E8" i="17" a="1"/>
  <c r="C4" i="2" a="1"/>
  <c r="C9" i="2" a="1"/>
  <c r="E20" i="13" a="1"/>
  <c r="E17" i="13" a="1"/>
  <c r="E4" i="17" a="1"/>
  <c r="C12" i="17" a="1"/>
  <c r="C17" i="2" a="1"/>
  <c r="C24" i="2" a="1"/>
  <c r="E25" i="13" a="1"/>
  <c r="E14" i="17" a="1"/>
  <c r="E10" i="17" a="1"/>
  <c r="C26" i="2" a="1"/>
  <c r="C2" i="2" a="1"/>
  <c r="E11" i="17" a="1"/>
  <c r="C8" i="17" a="1"/>
  <c r="C10" i="2" a="1"/>
  <c r="C20" i="2" a="1"/>
  <c r="E16" i="13" a="1"/>
  <c r="E17" i="17" a="1"/>
  <c r="E12" i="17" a="1"/>
  <c r="E14" i="13" a="1"/>
  <c r="E15" i="17" a="1"/>
  <c r="C6" i="17" a="1"/>
  <c r="E16" i="17" a="1"/>
  <c r="C28" i="2" a="1"/>
  <c r="E5" i="13" a="1"/>
  <c r="C32" i="2" a="1"/>
  <c r="C23" i="2" a="1"/>
  <c r="E23" i="13" a="1"/>
  <c r="C12" i="2" a="1"/>
  <c r="C31" i="2" a="1"/>
  <c r="E8" i="13" a="1"/>
  <c r="E6" i="13" a="1"/>
  <c r="E18" i="13" a="1"/>
  <c r="C9" i="17" a="1"/>
  <c r="C15" i="17" a="1"/>
  <c r="C10" i="17" a="1"/>
  <c r="E4" i="13" a="1"/>
  <c r="C16" i="17" a="1"/>
  <c r="E12" i="13" a="1"/>
  <c r="E9" i="17" a="1"/>
  <c r="E2" i="10" a="1"/>
  <c r="C34" i="2" a="1"/>
  <c r="C17" i="17" a="1"/>
  <c r="E2" i="8" a="1"/>
  <c r="E3" i="13" a="1"/>
  <c r="C33" i="2" a="1"/>
  <c r="C7" i="2" a="1"/>
  <c r="E21" i="13" a="1"/>
  <c r="E6" i="17" a="1"/>
  <c r="E13" i="17" a="1"/>
  <c r="E13" i="17"/>
  <c r="E6" i="17"/>
  <c r="E21" i="13"/>
  <c r="C7" i="2"/>
  <c r="C33" i="2"/>
  <c r="E3" i="13"/>
  <c r="E2" i="8"/>
  <c r="C17" i="17"/>
  <c r="C34" i="2"/>
  <c r="E2" i="10"/>
  <c r="E9" i="17"/>
  <c r="E12" i="13"/>
  <c r="C16" i="17"/>
  <c r="E4" i="13"/>
  <c r="C10" i="17"/>
  <c r="C15" i="17"/>
  <c r="C9" i="17"/>
  <c r="E18" i="13"/>
  <c r="E6" i="13"/>
  <c r="E8" i="13"/>
  <c r="C31" i="2"/>
  <c r="C12" i="2"/>
  <c r="E23" i="13"/>
  <c r="C23" i="2"/>
  <c r="C32" i="2"/>
  <c r="E5" i="13"/>
  <c r="C28" i="2"/>
  <c r="E16" i="17"/>
  <c r="C6" i="17"/>
  <c r="E15" i="17"/>
  <c r="E14" i="13"/>
  <c r="E12" i="17"/>
  <c r="E17" i="17"/>
  <c r="E16" i="13"/>
  <c r="C20" i="2"/>
  <c r="C10" i="2"/>
  <c r="C8" i="17"/>
  <c r="E11" i="17"/>
  <c r="C2" i="2"/>
  <c r="C26" i="2"/>
  <c r="E10" i="17"/>
  <c r="E14" i="17"/>
  <c r="E25" i="13"/>
  <c r="C24" i="2"/>
  <c r="C17" i="2"/>
  <c r="C12" i="17"/>
  <c r="E4" i="17"/>
  <c r="E17" i="13"/>
  <c r="E20" i="13"/>
  <c r="C9" i="2"/>
  <c r="C4" i="2"/>
  <c r="E8" i="17"/>
  <c r="C15" i="2"/>
  <c r="C3" i="2"/>
  <c r="E7" i="17"/>
  <c r="C16" i="2"/>
  <c r="E13" i="13"/>
  <c r="C27" i="2"/>
  <c r="C30" i="2"/>
  <c r="C35" i="2"/>
  <c r="E11" i="13"/>
  <c r="C5" i="2"/>
  <c r="C25" i="2"/>
  <c r="E3" i="17"/>
  <c r="C2" i="8"/>
  <c r="C3" i="17"/>
  <c r="E19" i="13"/>
  <c r="E24" i="13"/>
  <c r="E22" i="13"/>
  <c r="C19" i="2"/>
  <c r="C22" i="2"/>
  <c r="C5" i="17"/>
  <c r="C2" i="17"/>
  <c r="C13" i="17"/>
  <c r="C21" i="2"/>
  <c r="E15" i="13"/>
  <c r="E2" i="17"/>
  <c r="E2" i="13"/>
  <c r="C14" i="2"/>
  <c r="C8" i="2"/>
  <c r="C11" i="17"/>
  <c r="E5" i="17"/>
  <c r="C2" i="10"/>
  <c r="E18" i="17"/>
  <c r="C29" i="2"/>
  <c r="C18" i="2"/>
  <c r="C18" i="17"/>
  <c r="C6" i="2"/>
  <c r="C4" i="17"/>
  <c r="E7" i="13"/>
  <c r="E9" i="13"/>
  <c r="E10" i="13"/>
  <c r="C11" i="2"/>
  <c r="C13" i="2"/>
  <c r="C7" i="17"/>
  <c r="C14" i="17"/>
  <c r="C3" i="8" a="1"/>
  <c r="C3" i="8"/>
  <c r="E3" i="8" a="1"/>
  <c r="E3" i="8"/>
  <c r="C13" i="4" a="1"/>
  <c r="E9" i="4" a="1"/>
  <c r="C12" i="4" a="1"/>
  <c r="E3" i="4" a="1"/>
  <c r="C21" i="4" a="1"/>
  <c r="E14" i="4" a="1"/>
  <c r="C17" i="4" a="1"/>
  <c r="E13" i="4" a="1"/>
  <c r="C15" i="4" a="1"/>
  <c r="C4" i="4" a="1"/>
  <c r="C3" i="4" a="1"/>
  <c r="E2" i="4" a="1"/>
  <c r="E12" i="4" a="1"/>
  <c r="E10" i="4" a="1"/>
  <c r="E4" i="4" a="1"/>
  <c r="E7" i="4" a="1"/>
  <c r="C18" i="4" a="1"/>
  <c r="E8" i="4" a="1"/>
  <c r="C5" i="4" a="1"/>
  <c r="E19" i="4" a="1"/>
  <c r="C11" i="4" a="1"/>
  <c r="E15" i="4" a="1"/>
  <c r="C20" i="4" a="1"/>
  <c r="C10" i="4" a="1"/>
  <c r="E5" i="4" a="1"/>
  <c r="E11" i="4" a="1"/>
  <c r="C9" i="4" a="1"/>
  <c r="E21" i="4" a="1"/>
  <c r="C7" i="4" a="1"/>
  <c r="C16" i="4" a="1"/>
  <c r="C6" i="4" a="1"/>
  <c r="C2" i="4" a="1"/>
  <c r="C19" i="4" a="1"/>
  <c r="E6" i="4" a="1"/>
  <c r="E18" i="4" a="1"/>
  <c r="C8" i="4" a="1"/>
  <c r="E16" i="4" a="1"/>
  <c r="E17" i="4" a="1"/>
  <c r="E20" i="4" a="1"/>
  <c r="C14" i="4" a="1"/>
  <c r="C26" i="13" a="1"/>
  <c r="C2" i="13" a="1"/>
  <c r="C23" i="13" a="1"/>
  <c r="C9" i="13" a="1"/>
  <c r="C17" i="13" a="1"/>
  <c r="C7" i="13" a="1"/>
  <c r="C24" i="13" a="1"/>
  <c r="C20" i="13" a="1"/>
  <c r="C13" i="13" a="1"/>
  <c r="C22" i="13" a="1"/>
  <c r="C5" i="13" a="1"/>
  <c r="C11" i="13" a="1"/>
  <c r="C14" i="13" a="1"/>
  <c r="C3" i="13" a="1"/>
  <c r="C4" i="13" a="1"/>
  <c r="C21" i="13" a="1"/>
  <c r="C12" i="13" a="1"/>
  <c r="C15" i="13" a="1"/>
  <c r="C10" i="13" a="1"/>
  <c r="C18" i="13" a="1"/>
  <c r="C6" i="13" a="1"/>
  <c r="C19" i="13" a="1"/>
  <c r="C25" i="13" a="1"/>
  <c r="C16" i="13" a="1"/>
  <c r="C8" i="13" a="1"/>
  <c r="F15" i="11" a="1"/>
  <c r="F8" i="11" a="1"/>
  <c r="F13" i="11" a="1"/>
  <c r="F12" i="11" a="1"/>
  <c r="F14" i="11" a="1"/>
  <c r="F5" i="11" a="1"/>
  <c r="F4" i="11" a="1"/>
  <c r="F6" i="11" a="1"/>
  <c r="F2" i="11" a="1"/>
  <c r="F16" i="11" a="1"/>
  <c r="F3" i="11" a="1"/>
  <c r="F10" i="11" a="1"/>
  <c r="F18" i="11" a="1"/>
  <c r="F17" i="11" a="1"/>
  <c r="F19" i="11" a="1"/>
  <c r="F11" i="11" a="1"/>
  <c r="F9" i="11" a="1"/>
  <c r="F7" i="11" a="1"/>
  <c r="H84" i="12" a="1"/>
  <c r="H118" i="12" a="1"/>
  <c r="H3" i="12" a="1"/>
  <c r="H38" i="12" a="1"/>
  <c r="F63" i="12" a="1"/>
  <c r="C56" i="12" a="1"/>
  <c r="H114" i="12" a="1"/>
  <c r="C110" i="12" a="1"/>
  <c r="C47" i="12" a="1"/>
  <c r="F130" i="12" a="1"/>
  <c r="H80" i="12" a="1"/>
  <c r="C136" i="12" a="1"/>
  <c r="C38" i="12" a="1"/>
  <c r="C60" i="12" a="1"/>
  <c r="H138" i="12" a="1"/>
  <c r="H51" i="12" a="1"/>
  <c r="H28" i="12" a="1"/>
  <c r="C80" i="12" a="1"/>
  <c r="F45" i="12" a="1"/>
  <c r="C131" i="12" a="1"/>
  <c r="F107" i="12" a="1"/>
  <c r="F66" i="12" a="1"/>
  <c r="C127" i="12" a="1"/>
  <c r="H56" i="12" a="1"/>
  <c r="C31" i="12" a="1"/>
  <c r="H82" i="12" a="1"/>
  <c r="H8" i="12" a="1"/>
  <c r="H66" i="12" a="1"/>
  <c r="C12" i="12" a="1"/>
  <c r="H123" i="12" a="1"/>
  <c r="F99" i="12" a="1"/>
  <c r="C46" i="12" a="1"/>
  <c r="C41" i="12" a="1"/>
  <c r="C70" i="12" a="1"/>
  <c r="H43" i="12" a="1"/>
  <c r="C103" i="12" a="1"/>
  <c r="F110" i="12" a="1"/>
  <c r="C18" i="12" a="1"/>
  <c r="H23" i="12" a="1"/>
  <c r="F117" i="12" a="1"/>
  <c r="F64" i="12" a="1"/>
  <c r="F32" i="12" a="1"/>
  <c r="H24" i="12" a="1"/>
  <c r="F101" i="12" a="1"/>
  <c r="C21" i="12" a="1"/>
  <c r="C99" i="12" a="1"/>
  <c r="F112" i="12" a="1"/>
  <c r="F38" i="12" a="1"/>
  <c r="F105" i="12" a="1"/>
  <c r="F104" i="12" a="1"/>
  <c r="H15" i="12" a="1"/>
  <c r="C84" i="12" a="1"/>
  <c r="F85" i="12" a="1"/>
  <c r="C71" i="12" a="1"/>
  <c r="C78" i="12" a="1"/>
  <c r="F36" i="12" a="1"/>
  <c r="F126" i="12" a="1"/>
  <c r="C117" i="12" a="1"/>
  <c r="F22" i="12" a="1"/>
  <c r="C85" i="12" a="1"/>
  <c r="H47" i="12" a="1"/>
  <c r="F57" i="12" a="1"/>
  <c r="C98" i="12" a="1"/>
  <c r="F70" i="12" a="1"/>
  <c r="F59" i="12" a="1"/>
  <c r="H26" i="12" a="1"/>
  <c r="H44" i="12" a="1"/>
  <c r="C138" i="12" a="1"/>
  <c r="F55" i="12" a="1"/>
  <c r="F65" i="12" a="1"/>
  <c r="F53" i="12" a="1"/>
  <c r="H81" i="12" a="1"/>
  <c r="H11" i="12" a="1"/>
  <c r="F56" i="12" a="1"/>
  <c r="C75" i="12" a="1"/>
  <c r="F41" i="12" a="1"/>
  <c r="F26" i="12" a="1"/>
  <c r="F20" i="12" a="1"/>
  <c r="H19" i="12" a="1"/>
  <c r="F9" i="12" a="1"/>
  <c r="C77" i="12" a="1"/>
  <c r="F47" i="12" a="1"/>
  <c r="C28" i="12" a="1"/>
  <c r="F127" i="12" a="1"/>
  <c r="H67" i="12" a="1"/>
  <c r="H27" i="12" a="1"/>
  <c r="C72" i="12" a="1"/>
  <c r="F43" i="12" a="1"/>
  <c r="H2" i="12" a="1"/>
  <c r="F15" i="12" a="1"/>
  <c r="H92" i="12" a="1"/>
  <c r="H91" i="12" a="1"/>
  <c r="C23" i="12" a="1"/>
  <c r="H20" i="12" a="1"/>
  <c r="H135" i="12" a="1"/>
  <c r="H89" i="12" a="1"/>
  <c r="F115" i="12" a="1"/>
  <c r="C52" i="12" a="1"/>
  <c r="H69" i="12" a="1"/>
  <c r="C135" i="12" a="1"/>
  <c r="C34" i="12" a="1"/>
  <c r="F71" i="12" a="1"/>
  <c r="F98" i="12" a="1"/>
  <c r="F84" i="12" a="1"/>
  <c r="C88" i="12" a="1"/>
  <c r="C62" i="12" a="1"/>
  <c r="F92" i="12" a="1"/>
  <c r="F118" i="12" a="1"/>
  <c r="C81" i="12" a="1"/>
  <c r="H32" i="12" a="1"/>
  <c r="F67" i="12" a="1"/>
  <c r="F48" i="12" a="1"/>
  <c r="C134" i="12" a="1"/>
  <c r="C109" i="12" a="1"/>
  <c r="H7" i="12" a="1"/>
  <c r="F128" i="12" a="1"/>
  <c r="H127" i="12" a="1"/>
  <c r="F10" i="12" a="1"/>
  <c r="C112" i="12" a="1"/>
  <c r="F96" i="12" a="1"/>
  <c r="C20" i="12" a="1"/>
  <c r="H39" i="12" a="1"/>
  <c r="H41" i="12" a="1"/>
  <c r="H88" i="12" a="1"/>
  <c r="F100" i="12" a="1"/>
  <c r="H79" i="12" a="1"/>
  <c r="C6" i="12" a="1"/>
  <c r="H63" i="12" a="1"/>
  <c r="H128" i="12" a="1"/>
  <c r="H137" i="12" a="1"/>
  <c r="F2" i="12" a="1"/>
  <c r="H21" i="12" a="1"/>
  <c r="C44" i="12" a="1"/>
  <c r="F19" i="12" a="1"/>
  <c r="C45" i="12" a="1"/>
  <c r="H87" i="12" a="1"/>
  <c r="F42" i="12" a="1"/>
  <c r="F129" i="12" a="1"/>
  <c r="F94" i="12" a="1"/>
  <c r="F76" i="12" a="1"/>
  <c r="F51" i="12" a="1"/>
  <c r="F106" i="12" a="1"/>
  <c r="C2" i="12" a="1"/>
  <c r="H121" i="12" a="1"/>
  <c r="H130" i="12" a="1"/>
  <c r="C58" i="12" a="1"/>
  <c r="C118" i="12" a="1"/>
  <c r="H52" i="12" a="1"/>
  <c r="C100" i="12" a="1"/>
  <c r="H50" i="12" a="1"/>
  <c r="F97" i="12" a="1"/>
  <c r="F82" i="12" a="1"/>
  <c r="F4" i="12" a="1"/>
  <c r="H61" i="12" a="1"/>
  <c r="C19" i="12" a="1"/>
  <c r="C94" i="12" a="1"/>
  <c r="H136" i="12" a="1"/>
  <c r="F44" i="12" a="1"/>
  <c r="C89" i="12" a="1"/>
  <c r="H5" i="12" a="1"/>
  <c r="H14" i="12" a="1"/>
  <c r="C25" i="12" a="1"/>
  <c r="F122" i="12" a="1"/>
  <c r="F90" i="12" a="1"/>
  <c r="C83" i="12" a="1"/>
  <c r="C48" i="12" a="1"/>
  <c r="F123" i="12" a="1"/>
  <c r="H35" i="12" a="1"/>
  <c r="C16" i="12" a="1"/>
  <c r="F21" i="12" a="1"/>
  <c r="H36" i="12" a="1"/>
  <c r="C15" i="12" a="1"/>
  <c r="H12" i="12" a="1"/>
  <c r="C59" i="12" a="1"/>
  <c r="F83" i="12" a="1"/>
  <c r="H78" i="12" a="1"/>
  <c r="C132" i="12" a="1"/>
  <c r="H6" i="12" a="1"/>
  <c r="C116" i="12" a="1"/>
  <c r="H77" i="12" a="1"/>
  <c r="C121" i="12" a="1"/>
  <c r="C68" i="12" a="1"/>
  <c r="C13" i="12" a="1"/>
  <c r="F31" i="12" a="1"/>
  <c r="C120" i="12" a="1"/>
  <c r="C35" i="12" a="1"/>
  <c r="F13" i="12" a="1"/>
  <c r="H42" i="12" a="1"/>
  <c r="F77" i="12" a="1"/>
  <c r="C51" i="12" a="1"/>
  <c r="C115" i="12" a="1"/>
  <c r="C123" i="12" a="1"/>
  <c r="C67" i="12" a="1"/>
  <c r="H115" i="12" a="1"/>
  <c r="H74" i="12" a="1"/>
  <c r="H126" i="12" a="1"/>
  <c r="C106" i="12" a="1"/>
  <c r="C74" i="12" a="1"/>
  <c r="F120" i="12" a="1"/>
  <c r="C30" i="12" a="1"/>
  <c r="H40" i="12" a="1"/>
  <c r="C65" i="12" a="1"/>
  <c r="C137" i="12" a="1"/>
  <c r="H73" i="12" a="1"/>
  <c r="H49" i="12" a="1"/>
  <c r="H72" i="12" a="1"/>
  <c r="C101" i="12" a="1"/>
  <c r="C90" i="12" a="1"/>
  <c r="H4" i="12" a="1"/>
  <c r="F80" i="12" a="1"/>
  <c r="C107" i="12" a="1"/>
  <c r="F46" i="12" a="1"/>
  <c r="F133" i="12" a="1"/>
  <c r="F72" i="12" a="1"/>
  <c r="F8" i="12" a="1"/>
  <c r="H122" i="12" a="1"/>
  <c r="C24" i="12" a="1"/>
  <c r="H54" i="12" a="1"/>
  <c r="F124" i="12" a="1"/>
  <c r="H93" i="12" a="1"/>
  <c r="C69" i="12" a="1"/>
  <c r="F37" i="12" a="1"/>
  <c r="C37" i="12" a="1"/>
  <c r="F14" i="12" a="1"/>
  <c r="F86" i="12" a="1"/>
  <c r="H55" i="12" a="1"/>
  <c r="C11" i="12" a="1"/>
  <c r="C39" i="12" a="1"/>
  <c r="C50" i="12" a="1"/>
  <c r="H16" i="12" a="1"/>
  <c r="H129" i="12" a="1"/>
  <c r="F5" i="12" a="1"/>
  <c r="H22" i="12" a="1"/>
  <c r="C17" i="12" a="1"/>
  <c r="H68" i="12" a="1"/>
  <c r="C79" i="12" a="1"/>
  <c r="F103" i="12" a="1"/>
  <c r="H37" i="12" a="1"/>
  <c r="C14" i="12" a="1"/>
  <c r="F58" i="12" a="1"/>
  <c r="F35" i="12" a="1"/>
  <c r="H30" i="12" a="1"/>
  <c r="C76" i="12" a="1"/>
  <c r="C66" i="12" a="1"/>
  <c r="C42" i="12" a="1"/>
  <c r="H48" i="12" a="1"/>
  <c r="F119" i="12" a="1"/>
  <c r="F54" i="12" a="1"/>
  <c r="H18" i="12" a="1"/>
  <c r="H125" i="12" a="1"/>
  <c r="H65" i="12" a="1"/>
  <c r="F136" i="12" a="1"/>
  <c r="F12" i="12" a="1"/>
  <c r="F78" i="12" a="1"/>
  <c r="H131" i="12" a="1"/>
  <c r="F29" i="12" a="1"/>
  <c r="H53" i="12" a="1"/>
  <c r="F125" i="12" a="1"/>
  <c r="C36" i="12" a="1"/>
  <c r="C55" i="12" a="1"/>
  <c r="F75" i="12" a="1"/>
  <c r="H58" i="12" a="1"/>
  <c r="C87" i="12" a="1"/>
  <c r="H60" i="12" a="1"/>
  <c r="F87" i="12" a="1"/>
  <c r="H10" i="12" a="1"/>
  <c r="H29" i="12" a="1"/>
  <c r="F25" i="12" a="1"/>
  <c r="F33" i="12" a="1"/>
  <c r="C91" i="12" a="1"/>
  <c r="C82" i="12" a="1"/>
  <c r="C124" i="12" a="1"/>
  <c r="H64" i="12" a="1"/>
  <c r="F61" i="12" a="1"/>
  <c r="C113" i="12" a="1"/>
  <c r="C9" i="12" a="1"/>
  <c r="C111" i="12" a="1"/>
  <c r="H46" i="12" a="1"/>
  <c r="F49" i="12" a="1"/>
  <c r="H62" i="12" a="1"/>
  <c r="H76" i="12" a="1"/>
  <c r="C26" i="12" a="1"/>
  <c r="H59" i="12" a="1"/>
  <c r="F91" i="12" a="1"/>
  <c r="C4" i="12" a="1"/>
  <c r="H133" i="12" a="1"/>
  <c r="C95" i="12" a="1"/>
  <c r="H57" i="12" a="1"/>
  <c r="C33" i="12" a="1"/>
  <c r="F28" i="12" a="1"/>
  <c r="C92" i="12" a="1"/>
  <c r="C104" i="12" a="1"/>
  <c r="H85" i="12" a="1"/>
  <c r="C63" i="12" a="1"/>
  <c r="F60" i="12" a="1"/>
  <c r="C122" i="12" a="1"/>
  <c r="C22" i="12" a="1"/>
  <c r="C93" i="12" a="1"/>
  <c r="H120" i="12" a="1"/>
  <c r="C86" i="12" a="1"/>
  <c r="H132" i="12" a="1"/>
  <c r="F6" i="12" a="1"/>
  <c r="C128" i="12" a="1"/>
  <c r="F16" i="12" a="1"/>
  <c r="C73" i="12" a="1"/>
  <c r="C114" i="12" a="1"/>
  <c r="H124" i="12" a="1"/>
  <c r="C125" i="12" a="1"/>
  <c r="H33" i="12" a="1"/>
  <c r="C129" i="12" a="1"/>
  <c r="C49" i="12" a="1"/>
  <c r="F74" i="12" a="1"/>
  <c r="H117" i="12" a="1"/>
  <c r="F7" i="12" a="1"/>
  <c r="C54" i="12" a="1"/>
  <c r="F27" i="12" a="1"/>
  <c r="F39" i="12" a="1"/>
  <c r="C97" i="12" a="1"/>
  <c r="F131" i="12" a="1"/>
  <c r="C40" i="12" a="1"/>
  <c r="F108" i="12" a="1"/>
  <c r="F116" i="12" a="1"/>
  <c r="C3" i="12" a="1"/>
  <c r="C108" i="12" a="1"/>
  <c r="H25" i="12" a="1"/>
  <c r="F34" i="12" a="1"/>
  <c r="H45" i="12" a="1"/>
  <c r="H17" i="12" a="1"/>
  <c r="F3" i="12" a="1"/>
  <c r="C96" i="12" a="1"/>
  <c r="C5" i="12" a="1"/>
  <c r="C32" i="12" a="1"/>
  <c r="F111" i="12" a="1"/>
  <c r="F89" i="12" a="1"/>
  <c r="F113" i="12" a="1"/>
  <c r="H71" i="12" a="1"/>
  <c r="C105" i="12" a="1"/>
  <c r="C133" i="12" a="1"/>
  <c r="C7" i="12" a="1"/>
  <c r="H31" i="12" a="1"/>
  <c r="H70" i="12" a="1"/>
  <c r="H119" i="12" a="1"/>
  <c r="C130" i="12" a="1"/>
  <c r="F132" i="12" a="1"/>
  <c r="F88" i="12" a="1"/>
  <c r="F18" i="12" a="1"/>
  <c r="C126" i="12" a="1"/>
  <c r="H116" i="12" a="1"/>
  <c r="F24" i="12" a="1"/>
  <c r="H75" i="12" a="1"/>
  <c r="F40" i="12" a="1"/>
  <c r="C53" i="12" a="1"/>
  <c r="F62" i="12" a="1"/>
  <c r="F114" i="12" a="1"/>
  <c r="C119" i="12" a="1"/>
  <c r="F17" i="12" a="1"/>
  <c r="H13" i="12" a="1"/>
  <c r="F138" i="12" a="1"/>
  <c r="F50" i="12" a="1"/>
  <c r="C10" i="12" a="1"/>
  <c r="F79" i="12" a="1"/>
  <c r="F137" i="12" a="1"/>
  <c r="H9" i="12" a="1"/>
  <c r="F121" i="12" a="1"/>
  <c r="F23" i="12" a="1"/>
  <c r="F52" i="12" a="1"/>
  <c r="C64" i="12" a="1"/>
  <c r="F93" i="12" a="1"/>
  <c r="C61" i="12" a="1"/>
  <c r="H90" i="12" a="1"/>
  <c r="F30" i="12" a="1"/>
  <c r="H86" i="12" a="1"/>
  <c r="F69" i="12" a="1"/>
  <c r="C29" i="12" a="1"/>
  <c r="H83" i="12" a="1"/>
  <c r="H34" i="12" a="1"/>
  <c r="F95" i="12" a="1"/>
  <c r="F11" i="12" a="1"/>
  <c r="F109" i="12" a="1"/>
  <c r="C43" i="12" a="1"/>
  <c r="C8" i="12" a="1"/>
  <c r="F68" i="12" a="1"/>
  <c r="F81" i="12" a="1"/>
  <c r="C27" i="12" a="1"/>
  <c r="C57" i="12" a="1"/>
  <c r="F73" i="12" a="1"/>
  <c r="H134" i="12" a="1"/>
  <c r="F134" i="12" a="1"/>
  <c r="D135" i="12" l="1"/>
  <c r="D136" i="12" s="1"/>
  <c r="D137" i="12" s="1"/>
  <c r="D138" i="12" s="1"/>
  <c r="C26" i="13"/>
  <c r="C2" i="13"/>
  <c r="C8" i="13"/>
  <c r="C16" i="13"/>
  <c r="C25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14" i="4"/>
  <c r="E20" i="4"/>
  <c r="E17" i="4"/>
  <c r="E16" i="4"/>
  <c r="C8" i="4"/>
  <c r="E18" i="4"/>
  <c r="E6" i="4"/>
  <c r="C19" i="4"/>
  <c r="C2" i="4"/>
  <c r="C6" i="4"/>
  <c r="C16" i="4"/>
  <c r="C7" i="4"/>
  <c r="E21" i="4"/>
  <c r="C9" i="4"/>
  <c r="E11" i="4"/>
  <c r="E5" i="4"/>
  <c r="C10" i="4"/>
  <c r="C20" i="4"/>
  <c r="E15" i="4"/>
  <c r="C11" i="4"/>
  <c r="E19" i="4"/>
  <c r="C5" i="4"/>
  <c r="E8" i="4"/>
  <c r="C18" i="4"/>
  <c r="E7" i="4"/>
  <c r="E4" i="4"/>
  <c r="E10" i="4"/>
  <c r="E12" i="4"/>
  <c r="E2" i="4"/>
  <c r="C3" i="4"/>
  <c r="C4" i="4"/>
  <c r="C15" i="4"/>
  <c r="E13" i="4"/>
  <c r="C17" i="4"/>
  <c r="E14" i="4"/>
  <c r="C21" i="4"/>
  <c r="E3" i="4"/>
  <c r="C12" i="4"/>
  <c r="E9" i="4"/>
  <c r="C13" i="4"/>
  <c r="F19" i="11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18" i="11"/>
  <c r="F5" i="11"/>
  <c r="F15" i="11"/>
  <c r="C134" i="12"/>
  <c r="F134" i="12"/>
  <c r="H134" i="12"/>
  <c r="C84" i="12"/>
  <c r="H21" i="12"/>
  <c r="C41" i="12"/>
  <c r="H20" i="12"/>
  <c r="F126" i="12"/>
  <c r="C61" i="12"/>
  <c r="H29" i="12"/>
  <c r="H41" i="12"/>
  <c r="H77" i="12"/>
  <c r="F66" i="12"/>
  <c r="H34" i="12"/>
  <c r="F123" i="12"/>
  <c r="H6" i="12"/>
  <c r="H40" i="12"/>
  <c r="H44" i="12"/>
  <c r="F110" i="12"/>
  <c r="H89" i="12"/>
  <c r="F15" i="12"/>
  <c r="F44" i="12"/>
  <c r="F109" i="12"/>
  <c r="F76" i="12"/>
  <c r="F73" i="12"/>
  <c r="H135" i="12"/>
  <c r="C55" i="12"/>
  <c r="H35" i="12"/>
  <c r="F105" i="12"/>
  <c r="F136" i="12"/>
  <c r="F18" i="12"/>
  <c r="C10" i="12"/>
  <c r="F127" i="12"/>
  <c r="C36" i="12"/>
  <c r="F34" i="12"/>
  <c r="F116" i="12"/>
  <c r="C123" i="12"/>
  <c r="C111" i="12"/>
  <c r="H31" i="12"/>
  <c r="F114" i="12"/>
  <c r="F53" i="12"/>
  <c r="C32" i="12"/>
  <c r="C76" i="12"/>
  <c r="F104" i="12"/>
  <c r="F35" i="12"/>
  <c r="H5" i="12"/>
  <c r="F19" i="12"/>
  <c r="F119" i="12"/>
  <c r="H57" i="12"/>
  <c r="C70" i="12"/>
  <c r="C42" i="12"/>
  <c r="F17" i="12"/>
  <c r="H56" i="12"/>
  <c r="F129" i="12"/>
  <c r="C129" i="12"/>
  <c r="H68" i="12"/>
  <c r="F91" i="12"/>
  <c r="H120" i="12"/>
  <c r="F29" i="12"/>
  <c r="C49" i="12"/>
  <c r="C7" i="12"/>
  <c r="F128" i="12"/>
  <c r="F63" i="12"/>
  <c r="F92" i="12"/>
  <c r="F133" i="12"/>
  <c r="H45" i="12"/>
  <c r="H43" i="12"/>
  <c r="F55" i="12"/>
  <c r="H133" i="12"/>
  <c r="H138" i="12"/>
  <c r="C127" i="12"/>
  <c r="C52" i="12"/>
  <c r="C37" i="12"/>
  <c r="H36" i="12"/>
  <c r="H17" i="12"/>
  <c r="H2" i="12"/>
  <c r="F31" i="12"/>
  <c r="H88" i="12"/>
  <c r="H37" i="12"/>
  <c r="C44" i="12"/>
  <c r="F30" i="12"/>
  <c r="C95" i="12"/>
  <c r="H85" i="12"/>
  <c r="F7" i="12"/>
  <c r="F107" i="12"/>
  <c r="F79" i="12"/>
  <c r="F100" i="12"/>
  <c r="H24" i="12"/>
  <c r="F28" i="12"/>
  <c r="H114" i="12"/>
  <c r="C20" i="12"/>
  <c r="C14" i="12"/>
  <c r="F51" i="12"/>
  <c r="C121" i="12"/>
  <c r="C18" i="12"/>
  <c r="F113" i="12"/>
  <c r="H62" i="12"/>
  <c r="H9" i="12"/>
  <c r="F115" i="12"/>
  <c r="C28" i="12"/>
  <c r="C82" i="12"/>
  <c r="C130" i="12"/>
  <c r="F75" i="12"/>
  <c r="C68" i="12"/>
  <c r="F87" i="12"/>
  <c r="F12" i="12"/>
  <c r="F49" i="12"/>
  <c r="F78" i="12"/>
  <c r="F131" i="12"/>
  <c r="F124" i="12"/>
  <c r="C3" i="12"/>
  <c r="C59" i="12"/>
  <c r="F6" i="12"/>
  <c r="H69" i="12"/>
  <c r="C92" i="12"/>
  <c r="C100" i="12"/>
  <c r="C116" i="12"/>
  <c r="F70" i="12"/>
  <c r="F23" i="12"/>
  <c r="C11" i="12"/>
  <c r="C118" i="12"/>
  <c r="F122" i="12"/>
  <c r="F112" i="12"/>
  <c r="H76" i="12"/>
  <c r="H126" i="12"/>
  <c r="C114" i="12"/>
  <c r="F5" i="12"/>
  <c r="H118" i="12"/>
  <c r="F72" i="12"/>
  <c r="H32" i="12"/>
  <c r="H50" i="12"/>
  <c r="C90" i="12"/>
  <c r="H13" i="12"/>
  <c r="F32" i="12"/>
  <c r="C30" i="12"/>
  <c r="H87" i="12"/>
  <c r="H59" i="12"/>
  <c r="C105" i="12"/>
  <c r="C119" i="12"/>
  <c r="C62" i="12"/>
  <c r="F77" i="12"/>
  <c r="C53" i="12"/>
  <c r="C91" i="12"/>
  <c r="F82" i="12"/>
  <c r="F103" i="12"/>
  <c r="C99" i="12"/>
  <c r="C23" i="12"/>
  <c r="C83" i="12"/>
  <c r="H127" i="12"/>
  <c r="F33" i="12"/>
  <c r="C120" i="12"/>
  <c r="C67" i="12"/>
  <c r="C98" i="12"/>
  <c r="H65" i="12"/>
  <c r="C81" i="12"/>
  <c r="F94" i="12"/>
  <c r="C5" i="12"/>
  <c r="F40" i="12"/>
  <c r="C33" i="12"/>
  <c r="C112" i="12"/>
  <c r="F41" i="12"/>
  <c r="C89" i="12"/>
  <c r="H91" i="12"/>
  <c r="C57" i="12"/>
  <c r="H49" i="12"/>
  <c r="H14" i="12"/>
  <c r="H83" i="12"/>
  <c r="F37" i="12"/>
  <c r="C8" i="12"/>
  <c r="C2" i="12"/>
  <c r="F4" i="12"/>
  <c r="F106" i="12"/>
  <c r="H4" i="12"/>
  <c r="H25" i="12"/>
  <c r="C124" i="12"/>
  <c r="F9" i="12"/>
  <c r="H67" i="12"/>
  <c r="C38" i="12"/>
  <c r="F97" i="12"/>
  <c r="H51" i="12"/>
  <c r="H48" i="12"/>
  <c r="H64" i="12"/>
  <c r="C51" i="12"/>
  <c r="H115" i="12"/>
  <c r="C35" i="12"/>
  <c r="F69" i="12"/>
  <c r="F10" i="12"/>
  <c r="H27" i="12"/>
  <c r="C136" i="12"/>
  <c r="H117" i="12"/>
  <c r="F11" i="12"/>
  <c r="C4" i="12"/>
  <c r="F61" i="12"/>
  <c r="C85" i="12"/>
  <c r="C12" i="12"/>
  <c r="F118" i="12"/>
  <c r="C113" i="12"/>
  <c r="C74" i="12"/>
  <c r="C56" i="12"/>
  <c r="C34" i="12"/>
  <c r="F42" i="12"/>
  <c r="C125" i="12"/>
  <c r="H22" i="12"/>
  <c r="C39" i="12"/>
  <c r="H30" i="12"/>
  <c r="C132" i="12"/>
  <c r="H128" i="12"/>
  <c r="C16" i="12"/>
  <c r="H121" i="12"/>
  <c r="F68" i="12"/>
  <c r="H130" i="12"/>
  <c r="H79" i="12"/>
  <c r="H129" i="12"/>
  <c r="C43" i="12"/>
  <c r="F108" i="12"/>
  <c r="H47" i="12"/>
  <c r="H11" i="12"/>
  <c r="F132" i="12"/>
  <c r="C86" i="12"/>
  <c r="C115" i="12"/>
  <c r="H3" i="12"/>
  <c r="C75" i="12"/>
  <c r="F84" i="12"/>
  <c r="F80" i="12"/>
  <c r="F52" i="12"/>
  <c r="C88" i="12"/>
  <c r="F89" i="12"/>
  <c r="H60" i="12"/>
  <c r="C101" i="12"/>
  <c r="C106" i="12"/>
  <c r="F25" i="12"/>
  <c r="F86" i="12"/>
  <c r="F59" i="12"/>
  <c r="F24" i="12"/>
  <c r="H10" i="12"/>
  <c r="H38" i="12"/>
  <c r="H116" i="12"/>
  <c r="H124" i="12"/>
  <c r="F138" i="12"/>
  <c r="C25" i="12"/>
  <c r="C17" i="12"/>
  <c r="H42" i="12"/>
  <c r="F13" i="12"/>
  <c r="H53" i="12"/>
  <c r="C65" i="12"/>
  <c r="C24" i="12"/>
  <c r="F111" i="12"/>
  <c r="F8" i="12"/>
  <c r="C126" i="12"/>
  <c r="C104" i="12"/>
  <c r="F130" i="12"/>
  <c r="H54" i="12"/>
  <c r="F81" i="12"/>
  <c r="F21" i="12"/>
  <c r="H132" i="12"/>
  <c r="C79" i="12"/>
  <c r="H80" i="12"/>
  <c r="H119" i="12"/>
  <c r="H23" i="12"/>
  <c r="C15" i="12"/>
  <c r="C40" i="12"/>
  <c r="C108" i="12"/>
  <c r="F43" i="12"/>
  <c r="F48" i="12"/>
  <c r="C97" i="12"/>
  <c r="C66" i="12"/>
  <c r="C47" i="12"/>
  <c r="F57" i="12"/>
  <c r="F54" i="12"/>
  <c r="H12" i="12"/>
  <c r="H46" i="12"/>
  <c r="H86" i="12"/>
  <c r="C22" i="12"/>
  <c r="C137" i="12"/>
  <c r="F137" i="12"/>
  <c r="H74" i="12"/>
  <c r="H136" i="12"/>
  <c r="C19" i="12"/>
  <c r="C29" i="12"/>
  <c r="F2" i="12"/>
  <c r="C45" i="12"/>
  <c r="C21" i="12"/>
  <c r="F36" i="12"/>
  <c r="C133" i="12"/>
  <c r="H61" i="12"/>
  <c r="H63" i="12"/>
  <c r="C13" i="12"/>
  <c r="C64" i="12"/>
  <c r="F16" i="12"/>
  <c r="H125" i="12"/>
  <c r="H78" i="12"/>
  <c r="H58" i="12"/>
  <c r="C50" i="12"/>
  <c r="C6" i="12"/>
  <c r="H75" i="12"/>
  <c r="F47" i="12"/>
  <c r="F74" i="12"/>
  <c r="F117" i="12"/>
  <c r="F98" i="12"/>
  <c r="F99" i="12"/>
  <c r="H123" i="12"/>
  <c r="F45" i="12"/>
  <c r="C46" i="12"/>
  <c r="H137" i="12"/>
  <c r="C54" i="12"/>
  <c r="F95" i="12"/>
  <c r="C73" i="12"/>
  <c r="H84" i="12"/>
  <c r="F88" i="12"/>
  <c r="C27" i="12"/>
  <c r="H52" i="12"/>
  <c r="H122" i="12"/>
  <c r="C138" i="12"/>
  <c r="F20" i="12"/>
  <c r="C122" i="12"/>
  <c r="H71" i="12"/>
  <c r="F67" i="12"/>
  <c r="H93" i="12"/>
  <c r="H82" i="12"/>
  <c r="C96" i="12"/>
  <c r="H15" i="12"/>
  <c r="F83" i="12"/>
  <c r="C117" i="12"/>
  <c r="H8" i="12"/>
  <c r="C103" i="12"/>
  <c r="C26" i="12"/>
  <c r="F39" i="12"/>
  <c r="C107" i="12"/>
  <c r="C78" i="12"/>
  <c r="F62" i="12"/>
  <c r="H81" i="12"/>
  <c r="H90" i="12"/>
  <c r="F125" i="12"/>
  <c r="F27" i="12"/>
  <c r="C93" i="12"/>
  <c r="H72" i="12"/>
  <c r="C128" i="12"/>
  <c r="H16" i="12"/>
  <c r="C135" i="12"/>
  <c r="F64" i="12"/>
  <c r="C31" i="12"/>
  <c r="C58" i="12"/>
  <c r="H131" i="12"/>
  <c r="C109" i="12"/>
  <c r="F46" i="12"/>
  <c r="F90" i="12"/>
  <c r="F101" i="12"/>
  <c r="F120" i="12"/>
  <c r="C94" i="12"/>
  <c r="C77" i="12"/>
  <c r="C60" i="12"/>
  <c r="H7" i="12"/>
  <c r="H66" i="12"/>
  <c r="H92" i="12"/>
  <c r="C48" i="12"/>
  <c r="C80" i="12"/>
  <c r="C131" i="12"/>
  <c r="H70" i="12"/>
  <c r="C110" i="12"/>
  <c r="F71" i="12"/>
  <c r="H19" i="12"/>
  <c r="C63" i="12"/>
  <c r="C9" i="12"/>
  <c r="H33" i="12"/>
  <c r="F38" i="12"/>
  <c r="F26" i="12"/>
  <c r="H28" i="12"/>
  <c r="F56" i="12"/>
  <c r="C72" i="12"/>
  <c r="H39" i="12"/>
  <c r="F65" i="12"/>
  <c r="C69" i="12"/>
  <c r="F60" i="12"/>
  <c r="F14" i="12"/>
  <c r="H18" i="12"/>
  <c r="F50" i="12"/>
  <c r="F85" i="12"/>
  <c r="C87" i="12"/>
  <c r="F96" i="12"/>
  <c r="F22" i="12"/>
  <c r="H73" i="12"/>
  <c r="F93" i="12"/>
  <c r="C71" i="12"/>
  <c r="H26" i="12"/>
  <c r="F121" i="12"/>
  <c r="F58" i="12"/>
  <c r="H55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<sst xmlns="http://schemas.openxmlformats.org/spreadsheetml/2006/main" count="1158" uniqueCount="583">
  <si>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</si>
  <si>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</si>
  <si>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</si>
  <si>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</si>
  <si>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</si>
  <si>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</si>
  <si>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</si>
  <si>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</si>
  <si>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</si>
  <si>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</si>
  <si>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</si>
  <si>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</si>
  <si>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</si>
  <si>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</si>
  <si>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</si>
  <si>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</si>
  <si>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</si>
  <si>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</si>
  <si>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</si>
  <si>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</si>
  <si>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</si>
  <si>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</si>
  <si>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</si>
  <si>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</si>
  <si>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</si>
  <si>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</si>
  <si>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</si>
  <si>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</si>
  <si>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</si>
  <si>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</si>
  <si>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</si>
  <si>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</si>
  <si>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</si>
  <si>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</si>
  <si>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</si>
  <si>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</si>
  <si>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</si>
  <si>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</si>
  <si>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</si>
  <si>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</si>
  <si>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</si>
  <si>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</si>
  <si>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</si>
  <si>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</si>
  <si>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</si>
  <si>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</si>
  <si>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</si>
  <si>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</si>
  <si>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</si>
  <si>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</si>
  <si>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</si>
  <si>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</si>
  <si>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</si>
  <si>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</si>
  <si>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</si>
  <si>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</si>
  <si>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</si>
  <si>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</si>
  <si>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</si>
  <si>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</si>
  <si>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</si>
  <si>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</si>
  <si>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</si>
  <si>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</si>
  <si>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</si>
  <si>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</si>
  <si>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</si>
  <si>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</si>
  <si>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</si>
  <si>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</si>
  <si>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</si>
  <si>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</si>
  <si>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</si>
  <si>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</si>
  <si>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</si>
  <si>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</si>
  <si>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</si>
  <si>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</si>
  <si>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</si>
  <si>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</si>
  <si>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</si>
  <si>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</si>
  <si>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</si>
  <si>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</si>
  <si>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</si>
  <si>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</si>
  <si>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</si>
  <si>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</si>
  <si>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</si>
  <si>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</si>
  <si>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</si>
  <si>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</si>
  <si>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</si>
  <si>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</si>
  <si>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</si>
  <si>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</si>
  <si>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</si>
  <si>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</si>
  <si>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</si>
  <si>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</si>
  <si>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</si>
  <si>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</si>
  <si>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</si>
  <si>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</si>
  <si>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</si>
  <si>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</si>
  <si>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</si>
  <si>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</si>
  <si>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</si>
  <si>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</si>
  <si>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</si>
  <si>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</si>
  <si>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</si>
  <si>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</si>
  <si>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</si>
  <si>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</si>
  <si>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</si>
  <si>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</si>
  <si>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</si>
  <si>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</si>
  <si>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</si>
  <si>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</si>
  <si>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</si>
  <si>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</si>
  <si>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</si>
  <si>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</si>
  <si>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</si>
  <si>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</si>
  <si>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</si>
  <si>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</si>
  <si>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</si>
  <si>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</si>
  <si>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</si>
  <si>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</si>
  <si>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</si>
  <si>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</si>
  <si>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</si>
  <si>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</si>
  <si>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</si>
  <si>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</si>
  <si>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</si>
  <si>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</si>
  <si>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</si>
  <si>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ProcedureCreate</t>
  </si>
  <si>
    <t>ProcedureRead</t>
  </si>
  <si>
    <t>ProcedureUpdate</t>
  </si>
  <si>
    <t>ProcedureDelete</t>
  </si>
  <si>
    <t>ProcedureList</t>
  </si>
  <si>
    <t>Types</t>
  </si>
  <si>
    <t>TypesCreate</t>
  </si>
  <si>
    <t>TypesRead</t>
  </si>
  <si>
    <t>TypesUpdate</t>
  </si>
  <si>
    <t>TypesDelete</t>
  </si>
  <si>
    <t>TypesList</t>
  </si>
  <si>
    <t>Domains</t>
  </si>
  <si>
    <t>Domínios</t>
  </si>
  <si>
    <t>DomainsCreate</t>
  </si>
  <si>
    <t>DomainsRead</t>
  </si>
  <si>
    <t>DomainsUpdate</t>
  </si>
  <si>
    <t>DomainsDelete</t>
  </si>
  <si>
    <t>DomainsList</t>
  </si>
  <si>
    <t>Masks</t>
  </si>
  <si>
    <t>Máscaras de Edição</t>
  </si>
  <si>
    <t>MasksCreate</t>
  </si>
  <si>
    <t>MasksRead</t>
  </si>
  <si>
    <t>MasksUpdate</t>
  </si>
  <si>
    <t>MasksDelete</t>
  </si>
  <si>
    <t>MasksList</t>
  </si>
  <si>
    <t>Systems</t>
  </si>
  <si>
    <t>SystemsCreate</t>
  </si>
  <si>
    <t>SystemsRead</t>
  </si>
  <si>
    <t>SystemsUpdate</t>
  </si>
  <si>
    <t>SystemsDelete</t>
  </si>
  <si>
    <t>SystemsList</t>
  </si>
  <si>
    <t>MenusCreate</t>
  </si>
  <si>
    <t>MenusRead</t>
  </si>
  <si>
    <t>MenusUpdate</t>
  </si>
  <si>
    <t>MenusDelete</t>
  </si>
  <si>
    <t>MenusList</t>
  </si>
  <si>
    <t>Users</t>
  </si>
  <si>
    <t>UsersCreate</t>
  </si>
  <si>
    <t>UsersRead</t>
  </si>
  <si>
    <t>UsersUpdate</t>
  </si>
  <si>
    <t>UsersDelete</t>
  </si>
  <si>
    <t>UsersList</t>
  </si>
  <si>
    <t>SystemsUsers</t>
  </si>
  <si>
    <t>Sistemas x Usuários</t>
  </si>
  <si>
    <t>SystemsUsersCreate</t>
  </si>
  <si>
    <t>SystemsUsersRead</t>
  </si>
  <si>
    <t>SystemsUsersUpdate</t>
  </si>
  <si>
    <t>SystemsUsersDelete</t>
  </si>
  <si>
    <t>Databases</t>
  </si>
  <si>
    <t>Bancos-de-Dados</t>
  </si>
  <si>
    <t>DatabasesCreate</t>
  </si>
  <si>
    <t>DatabasesRead</t>
  </si>
  <si>
    <t>DatabasesUpdate</t>
  </si>
  <si>
    <t>DatabasesDelete</t>
  </si>
  <si>
    <t>DatabasesList</t>
  </si>
  <si>
    <t>SystemsDatabases</t>
  </si>
  <si>
    <t>Sistemas x Bancos-de-Dados</t>
  </si>
  <si>
    <t>SystemsDatabasesCreate</t>
  </si>
  <si>
    <t>SystemsDatabasesRead</t>
  </si>
  <si>
    <t>SystemsDatabasesUpdate</t>
  </si>
  <si>
    <t>SystemsDatabasesDelete</t>
  </si>
  <si>
    <t>Tables</t>
  </si>
  <si>
    <t>TablesCreate</t>
  </si>
  <si>
    <t>TablesRead</t>
  </si>
  <si>
    <t>TablesUpdate</t>
  </si>
  <si>
    <t>TablesDelete</t>
  </si>
  <si>
    <t>TablesList</t>
  </si>
  <si>
    <t>Columns</t>
  </si>
  <si>
    <t>ColumnsCreate</t>
  </si>
  <si>
    <t>ColumnsRead</t>
  </si>
  <si>
    <t>ColumnsUpdate</t>
  </si>
  <si>
    <t>ColumnsDelete</t>
  </si>
  <si>
    <t>ColumnsList</t>
  </si>
  <si>
    <t>Indexes</t>
  </si>
  <si>
    <t>Índices</t>
  </si>
  <si>
    <t>IndexesCreate</t>
  </si>
  <si>
    <t>IndexesRead</t>
  </si>
  <si>
    <t>IndexesUpdate</t>
  </si>
  <si>
    <t>IndexesDelete</t>
  </si>
  <si>
    <t>IndexesList</t>
  </si>
  <si>
    <t>Chaves de índices</t>
  </si>
  <si>
    <t>IndexkeysCreate</t>
  </si>
  <si>
    <t>IndexkeysRead</t>
  </si>
  <si>
    <t>IndexkeysUpdate</t>
  </si>
  <si>
    <t>IndexkeysDelete</t>
  </si>
  <si>
    <t>Categories</t>
  </si>
  <si>
    <t>Categorias de tipos de dados</t>
  </si>
  <si>
    <t>CategoriesRead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</si>
  <si>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</si>
  <si>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</si>
  <si>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</si>
  <si>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</si>
  <si>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</si>
  <si>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</si>
  <si>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</si>
  <si>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</si>
  <si>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</si>
  <si>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</si>
  <si>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</si>
  <si>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</si>
  <si>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</si>
  <si>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</si>
  <si>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</si>
  <si>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</si>
  <si>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</si>
  <si>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</si>
  <si>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</si>
  <si>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</si>
  <si>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</si>
  <si>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</si>
  <si>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</si>
  <si>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</si>
  <si>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</si>
  <si>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</si>
  <si>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</si>
  <si>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</si>
  <si>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</si>
  <si>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</si>
  <si>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</si>
  <si>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</si>
  <si>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</si>
  <si>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</si>
  <si>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</si>
  <si>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</si>
  <si>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</si>
  <si>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</si>
  <si>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</si>
  <si>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</si>
  <si>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</si>
  <si>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</si>
  <si>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</si>
  <si>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</si>
  <si>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</si>
  <si>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</si>
  <si>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</si>
  <si>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</si>
  <si>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</si>
  <si>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Valor padrão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</si>
  <si>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</si>
  <si>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</si>
  <si>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</si>
  <si>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</si>
  <si>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</si>
  <si>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</si>
  <si>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</si>
  <si>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</si>
  <si>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</si>
  <si>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</si>
  <si>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</si>
  <si>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</si>
  <si>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</si>
  <si>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</si>
  <si>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</si>
  <si>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</si>
  <si>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</si>
  <si>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</si>
  <si>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</si>
  <si>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</si>
  <si>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</si>
  <si>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</si>
  <si>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</si>
  <si>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</si>
  <si>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</si>
  <si>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</si>
  <si>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</si>
  <si>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</si>
  <si>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</si>
  <si>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</si>
  <si>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</si>
  <si>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</si>
  <si>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</si>
  <si>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</si>
  <si>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</si>
  <si>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</si>
  <si>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</si>
  <si>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</si>
  <si>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</si>
  <si>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</si>
  <si>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</si>
  <si>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</si>
  <si>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</si>
  <si>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</si>
  <si>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</si>
  <si>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</si>
  <si>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</si>
  <si>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</si>
  <si>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</si>
  <si>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</si>
  <si>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</si>
  <si>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</si>
  <si>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</si>
  <si>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</si>
  <si>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tabela-pai</t>
  </si>
  <si>
    <t>Tabela-pai</t>
  </si>
  <si>
    <t>Nome da procedure create da tabela</t>
  </si>
  <si>
    <t>Procedure Create</t>
  </si>
  <si>
    <t>Nome da procedure read da tabela</t>
  </si>
  <si>
    <t>Procedure Read</t>
  </si>
  <si>
    <t>Nome da procedure update da tabela</t>
  </si>
  <si>
    <t>Procedure Update</t>
  </si>
  <si>
    <t>Nome da procedure delete da tabela</t>
  </si>
  <si>
    <t>Procedure Delete</t>
  </si>
  <si>
    <t>Nome da procedure list da tabela</t>
  </si>
  <si>
    <t>Procedure List</t>
  </si>
  <si>
    <t>CAST('0' AS bigint)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</si>
  <si>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</si>
  <si>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</si>
  <si>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</si>
  <si>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</si>
  <si>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</si>
  <si>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</si>
  <si>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</si>
  <si>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</si>
  <si>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</si>
  <si>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</si>
  <si>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</si>
  <si>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</si>
  <si>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</si>
  <si>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</si>
  <si>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</si>
  <si>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</si>
  <si>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</si>
  <si>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</si>
  <si>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</si>
  <si>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</si>
  <si>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</si>
  <si>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</si>
  <si>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</si>
  <si>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</si>
  <si>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</si>
  <si>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</si>
  <si>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</si>
  <si>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</si>
  <si>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</si>
  <si>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</si>
  <si>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</si>
  <si>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</si>
  <si>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</si>
  <si>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</si>
  <si>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</si>
  <si>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</si>
  <si>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</si>
  <si>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</si>
  <si>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</si>
  <si>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</si>
  <si>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</si>
  <si>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</si>
  <si>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</si>
  <si>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</si>
  <si>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</si>
  <si>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</si>
  <si>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</si>
  <si>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</si>
  <si>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</si>
  <si>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</si>
  <si>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</si>
  <si>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</si>
  <si>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</si>
  <si>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</si>
  <si>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</si>
  <si>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</si>
  <si>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</si>
  <si>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</si>
  <si>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</si>
  <si>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</si>
  <si>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</si>
  <si>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</si>
  <si>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</si>
  <si>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</si>
  <si>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</si>
  <si>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</si>
  <si>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</si>
  <si>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</si>
  <si>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</si>
  <si>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</si>
  <si>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</si>
  <si>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</si>
  <si>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</si>
  <si>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</si>
  <si>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</si>
  <si>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</si>
  <si>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</si>
  <si>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</si>
  <si>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</si>
  <si>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IsConfirmed</t>
  </si>
  <si>
    <t>ID  da Atualização</t>
  </si>
  <si>
    <t>Log de Acesso</t>
  </si>
  <si>
    <t>Ação de Atualização</t>
  </si>
  <si>
    <t>Confirmado?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</si>
  <si>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</si>
  <si>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</si>
  <si>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</si>
  <si>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</si>
  <si>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</si>
  <si>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</si>
  <si>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</si>
  <si>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</si>
  <si>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</si>
  <si>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</si>
  <si>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</si>
  <si>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</si>
  <si>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</si>
  <si>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</si>
  <si>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</si>
  <si>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</si>
  <si>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</si>
  <si>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</si>
  <si>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</si>
  <si>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</si>
  <si>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</si>
  <si>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Transactions</t>
  </si>
  <si>
    <t>adm</t>
  </si>
  <si>
    <t>Administrador</t>
  </si>
  <si>
    <t>DatabasesTables</t>
  </si>
  <si>
    <t>Bancos-de-Dados x Tabelas</t>
  </si>
  <si>
    <t>DatabasesTablesCreate</t>
  </si>
  <si>
    <t>DatabasesTablesRead</t>
  </si>
  <si>
    <t>DatabasesTablesUpdate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</si>
  <si>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</si>
  <si>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</si>
  <si>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</si>
  <si>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</si>
  <si>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</si>
  <si>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</si>
  <si>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</si>
  <si>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</si>
  <si>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</si>
  <si>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</si>
  <si>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</si>
  <si>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</si>
  <si>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</si>
  <si>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</si>
  <si>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</si>
  <si>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</si>
  <si>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</si>
  <si>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</si>
  <si>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cruda x Logs</t>
  </si>
  <si>
    <t>cruda x Transactions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</si>
  <si>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</si>
  <si>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</si>
  <si>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</si>
  <si>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</si>
  <si>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</si>
  <si>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</si>
  <si>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</si>
  <si>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</si>
  <si>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</si>
  <si>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</si>
  <si>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</si>
  <si>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</si>
  <si>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</si>
  <si>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</si>
  <si>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</si>
  <si>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</si>
  <si>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</si>
  <si>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</si>
  <si>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</si>
  <si>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</si>
  <si>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</si>
  <si>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Transaction</t>
  </si>
  <si>
    <t>NOTEBOOK-DELL</t>
  </si>
  <si>
    <t>LoginId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</si>
  <si>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</si>
  <si>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</si>
  <si>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</si>
  <si>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</si>
  <si>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</si>
  <si>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</si>
  <si>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</si>
  <si>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TransactionId</t>
  </si>
  <si>
    <t>Operations</t>
  </si>
  <si>
    <t>Operation</t>
  </si>
  <si>
    <t>Operações em Tabelas</t>
  </si>
  <si>
    <t>Transações em Bancos-de-Dados</t>
  </si>
  <si>
    <t>LastRecord</t>
  </si>
  <si>
    <t>ActualRecord</t>
  </si>
  <si>
    <t>Id da Transação</t>
  </si>
  <si>
    <t>Registro Anterior</t>
  </si>
  <si>
    <t>Registro Atual</t>
  </si>
  <si>
    <t>labrego</t>
  </si>
  <si>
    <t>João da Rocha Labrego</t>
  </si>
  <si>
    <t>cruda x labrego</t>
  </si>
  <si>
    <t>Transação</t>
  </si>
  <si>
    <t>JSON;JS;SQL</t>
  </si>
  <si>
    <t>left;center;right</t>
  </si>
  <si>
    <t>create;read;update;delete;commit;rollback</t>
  </si>
  <si>
    <t>create;read;update;delete</t>
  </si>
  <si>
    <t>IsLogged</t>
  </si>
  <si>
    <t>cruda x Operations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</si>
  <si>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</si>
  <si>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</si>
  <si>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</si>
  <si>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</si>
  <si>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</si>
  <si>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</si>
  <si>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</si>
  <si>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</si>
  <si>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</si>
  <si>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</si>
  <si>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</si>
  <si>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</si>
  <si>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</si>
  <si>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</si>
  <si>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</si>
  <si>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</si>
  <si>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</si>
  <si>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</si>
  <si>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UNQ_Indexkeys_IndexId_Column</t>
  </si>
  <si>
    <t>UNQ_Transactions_LoginId_SystemId_DatabaseId</t>
  </si>
  <si>
    <t>UNQ_Operations_TransactionId_TableId_Action</t>
  </si>
  <si>
    <t>UNQ_SystemsUsers_SystemId_UserId</t>
  </si>
  <si>
    <t>UNQ_Logins_SystemId_UserId_IsLogged</t>
  </si>
  <si>
    <t>CategoriesCreate</t>
  </si>
  <si>
    <t>CategoriesUpdate</t>
  </si>
  <si>
    <t>CategoriesDelete</t>
  </si>
  <si>
    <t>CategoriesList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</si>
  <si>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</si>
  <si>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</si>
  <si>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</si>
  <si>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</si>
  <si>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</si>
  <si>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</si>
  <si>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</si>
  <si>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</si>
  <si>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</si>
  <si>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</si>
  <si>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</si>
  <si>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</si>
  <si>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</si>
  <si>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</si>
  <si>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</si>
  <si>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</si>
  <si>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</si>
  <si>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</si>
  <si>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</si>
  <si>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</si>
  <si>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TableName</t>
  </si>
  <si>
    <t>Nome da Tabela</t>
  </si>
  <si>
    <t>CurrentId</t>
  </si>
  <si>
    <t>Id atual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</si>
</sst>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436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ilha2"/>
  <dimension ref="A1:P35"/>
  <sheetViews>
    <sheetView workbookViewId="0">
      <pane ySplit="1" topLeftCell="A2" activePane="bottomLeft" state="frozen"/>
      <selection pane="bottomLeft" activeCell="G21" sqref="G21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6" width="26.109375" style="3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532</v>
      </c>
      <c r="D1" s="1" t="s">
        <v>1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433</v>
      </c>
      <c r="N1" s="1" t="s">
        <v>432</v>
      </c>
      <c r="O1" s="1" t="s">
        <v>435</v>
      </c>
      <c r="P1" s="2" t="s">
        <v>34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s="12">
        <v>-9007199254740990</v>
      </c>
      <c r="F2" s="1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36</v>
      </c>
      <c r="F3" s="3" t="s">
        <v>36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7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s="3" t="s">
        <v>36</v>
      </c>
      <c r="F4" s="3" t="s">
        <v>36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s="3" t="s">
        <v>36</v>
      </c>
      <c r="F5" s="3" t="s">
        <v>36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568</v>
      </c>
      <c r="F6" s="6" t="s">
        <v>573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569</v>
      </c>
      <c r="F7" s="6" t="s">
        <v>574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s="6" t="s">
        <v>570</v>
      </c>
      <c r="F8" s="6" t="s">
        <v>575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s="6" t="s">
        <v>570</v>
      </c>
      <c r="F9" s="6" t="s">
        <v>575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s="12">
        <v>-9007199254740990</v>
      </c>
      <c r="F10" s="12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s="12">
        <v>-9007199254740990</v>
      </c>
      <c r="F11" s="12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s="3" t="s">
        <v>36</v>
      </c>
      <c r="F12" s="3" t="s">
        <v>36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s="3" t="s">
        <v>36</v>
      </c>
      <c r="F13" s="3" t="s">
        <v>36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s="3" t="s">
        <v>36</v>
      </c>
      <c r="F14" s="3" t="s">
        <v>36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36</v>
      </c>
      <c r="F15" s="3" t="s">
        <v>36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s="3">
        <v>-2147483648</v>
      </c>
      <c r="F16" s="3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s="12">
        <v>-922337203685477</v>
      </c>
      <c r="F17" s="12">
        <v>922337203685477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s="3" t="s">
        <v>36</v>
      </c>
      <c r="F18" s="3" t="s">
        <v>36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s="3" t="s">
        <v>36</v>
      </c>
      <c r="F19" s="3" t="s">
        <v>36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12">
        <v>-9007199254740990</v>
      </c>
      <c r="F20" s="12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s="3" t="s">
        <v>36</v>
      </c>
      <c r="F21" s="3" t="s">
        <v>36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s="12">
        <v>-9007199254740990</v>
      </c>
      <c r="F22" s="12">
        <v>9007199254740990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s="6" t="s">
        <v>571</v>
      </c>
      <c r="F23" s="6" t="s">
        <v>576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s="3">
        <v>-32768</v>
      </c>
      <c r="F24" s="3">
        <v>32767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s="3">
        <v>214748</v>
      </c>
      <c r="F25" s="3">
        <v>214748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s="3" t="s">
        <v>36</v>
      </c>
      <c r="F26" s="3" t="s">
        <v>36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s="3" t="s">
        <v>36</v>
      </c>
      <c r="F27" s="3" t="s">
        <v>36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36</v>
      </c>
      <c r="F28" s="3" t="s">
        <v>36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572</v>
      </c>
      <c r="F29" s="6" t="s">
        <v>577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57</v>
      </c>
      <c r="E30" s="6" t="s">
        <v>36</v>
      </c>
      <c r="F30" s="6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58</v>
      </c>
      <c r="E31" s="3">
        <v>0</v>
      </c>
      <c r="F31" s="3">
        <v>255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59</v>
      </c>
      <c r="E32" s="3" t="s">
        <v>36</v>
      </c>
      <c r="F32" s="3" t="s">
        <v>36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60</v>
      </c>
      <c r="E33" s="3" t="s">
        <v>36</v>
      </c>
      <c r="F33" s="3" t="s">
        <v>36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61</v>
      </c>
      <c r="E34" s="3" t="s">
        <v>36</v>
      </c>
      <c r="F34" s="3" t="s">
        <v>36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62</v>
      </c>
      <c r="E35" s="3" t="s">
        <v>36</v>
      </c>
      <c r="F35" s="3" t="s">
        <v>36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ilha4"/>
  <dimension ref="A1:M22"/>
  <sheetViews>
    <sheetView workbookViewId="0">
      <pane ySplit="1" topLeftCell="A2" activePane="bottomLeft" state="frozen"/>
      <selection pane="bottomLeft" activeCell="I22" sqref="I22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63</v>
      </c>
      <c r="C1" s="1" t="s">
        <v>533</v>
      </c>
      <c r="D1" s="1" t="s">
        <v>64</v>
      </c>
      <c r="E1" s="1" t="s">
        <v>534</v>
      </c>
      <c r="F1" s="1" t="s">
        <v>1</v>
      </c>
      <c r="G1" s="1" t="s">
        <v>65</v>
      </c>
      <c r="H1" s="1" t="s">
        <v>66</v>
      </c>
      <c r="I1" s="1" t="s">
        <v>452</v>
      </c>
      <c r="J1" s="1" t="s">
        <v>67</v>
      </c>
      <c r="K1" s="1" t="s">
        <v>26</v>
      </c>
      <c r="L1" s="1" t="s">
        <v>27</v>
      </c>
      <c r="M1" s="1" t="s">
        <v>434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68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69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70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71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72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73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74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75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76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77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78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79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80</v>
      </c>
      <c r="M14" t="s">
        <v>445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81</v>
      </c>
      <c r="M15" t="s">
        <v>81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90</v>
      </c>
      <c r="M16" t="s">
        <v>90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82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83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434</v>
      </c>
      <c r="G19">
        <v>5</v>
      </c>
      <c r="I19" t="s">
        <v>526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437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527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101</v>
      </c>
      <c r="G22">
        <v>15</v>
      </c>
      <c r="I22" t="s">
        <v>528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E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</row>
    <row r="2" spans="1:5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</row>
    <row r="2" spans="1:7" x14ac:dyDescent="0.3">
      <c r="A2">
        <f>ROW(A2)-1</f>
        <v>1</v>
      </c>
      <c r="B2">
        <v>1</v>
      </c>
      <c r="C2">
        <v>5</v>
      </c>
      <c r="D2" t="s">
        <v>103</v>
      </c>
      <c r="E2" t="s">
        <v>103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106</v>
      </c>
      <c r="E3" t="s">
        <v>107</v>
      </c>
      <c r="F3" t="s">
        <v>559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108</v>
      </c>
      <c r="E4" t="s">
        <v>109</v>
      </c>
      <c r="F4" t="s">
        <v>560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110</v>
      </c>
      <c r="E5" t="s">
        <v>111</v>
      </c>
      <c r="F5" t="s">
        <v>561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112</v>
      </c>
      <c r="E6" t="s">
        <v>113</v>
      </c>
      <c r="F6" t="s">
        <v>562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114</v>
      </c>
      <c r="E7" t="s">
        <v>115</v>
      </c>
      <c r="F7" t="s">
        <v>563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116</v>
      </c>
      <c r="E8" t="s">
        <v>117</v>
      </c>
      <c r="F8" t="s">
        <v>564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104</v>
      </c>
      <c r="E9" t="s">
        <v>105</v>
      </c>
      <c r="F9" t="s">
        <v>565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118</v>
      </c>
      <c r="E10" t="s">
        <v>119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120</v>
      </c>
      <c r="E11" t="s">
        <v>121</v>
      </c>
      <c r="F11" t="s">
        <v>566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122</v>
      </c>
      <c r="E12" t="s">
        <v>123</v>
      </c>
      <c r="F12" t="s">
        <v>567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124</v>
      </c>
      <c r="E13" t="s">
        <v>125</v>
      </c>
      <c r="F13" t="s">
        <v>126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454</v>
      </c>
      <c r="C2" t="s">
        <v>454</v>
      </c>
      <c r="D2" t="s">
        <v>455</v>
      </c>
      <c r="E2">
        <v>0</v>
      </c>
      <c r="F2" t="b">
        <v>1</v>
      </c>
    </row>
    <row r="3" spans="1:6" x14ac:dyDescent="0.3">
      <c r="A3">
        <f>ROW(A3)-1</f>
        <v>2</v>
      </c>
      <c r="B3" t="s">
        <v>522</v>
      </c>
      <c r="C3" t="s">
        <v>130</v>
      </c>
      <c r="D3" t="s">
        <v>523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536</v>
      </c>
      <c r="D1" s="1" t="s">
        <v>131</v>
      </c>
      <c r="E1" s="1" t="s">
        <v>535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463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524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F2" sqref="F2:I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503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536</v>
      </c>
      <c r="D1" s="1" t="s">
        <v>141</v>
      </c>
      <c r="E1" s="1" t="s">
        <v>537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462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M19"/>
  <sheetViews>
    <sheetView topLeftCell="G1" workbookViewId="0">
      <pane ySplit="1" topLeftCell="A2" activePane="bottomLeft" state="frozen"/>
      <selection pane="bottomLeft" activeCell="M1" sqref="M1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21.77734375" bestFit="1" customWidth="1"/>
    <col min="8" max="8" width="20.33203125" bestFit="1" customWidth="1"/>
    <col min="9" max="9" width="22.33203125" bestFit="1" customWidth="1"/>
    <col min="10" max="10" width="21.6640625" bestFit="1" customWidth="1"/>
    <col min="11" max="11" width="12.44140625" bestFit="1" customWidth="1"/>
    <col min="12" max="12" width="11.77734375" bestFit="1" customWidth="1"/>
    <col min="13" max="13" width="9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578</v>
      </c>
      <c r="G1" s="1" t="s">
        <v>143</v>
      </c>
      <c r="H1" s="1" t="s">
        <v>144</v>
      </c>
      <c r="I1" s="1" t="s">
        <v>145</v>
      </c>
      <c r="J1" s="1" t="s">
        <v>146</v>
      </c>
      <c r="K1" s="1" t="s">
        <v>147</v>
      </c>
      <c r="L1" s="1" t="s">
        <v>449</v>
      </c>
      <c r="M1" s="1" t="s">
        <v>581</v>
      </c>
    </row>
    <row r="2" spans="1:13" x14ac:dyDescent="0.3">
      <c r="A2">
        <f>ROW(A2)-1</f>
        <v>1</v>
      </c>
      <c r="B2" t="s">
        <v>228</v>
      </c>
      <c r="C2" t="s">
        <v>488</v>
      </c>
      <c r="D2" t="s">
        <v>229</v>
      </c>
      <c r="F2" t="str">
        <f t="array" ref="F2">GetValue("Tables",E2,"Name")</f>
        <v/>
      </c>
      <c r="G2" t="s">
        <v>555</v>
      </c>
      <c r="H2" t="s">
        <v>230</v>
      </c>
      <c r="I2" t="s">
        <v>556</v>
      </c>
      <c r="J2" t="s">
        <v>557</v>
      </c>
      <c r="K2" t="s">
        <v>558</v>
      </c>
      <c r="L2" t="b">
        <v>1</v>
      </c>
      <c r="M2">
        <f t="array" ref="M2">LastId(A2)</f>
        <v>10</v>
      </c>
    </row>
    <row r="3" spans="1:13" x14ac:dyDescent="0.3">
      <c r="A3">
        <f>ROW(A3)-1</f>
        <v>2</v>
      </c>
      <c r="B3" t="s">
        <v>148</v>
      </c>
      <c r="C3" t="s">
        <v>489</v>
      </c>
      <c r="D3" t="s">
        <v>104</v>
      </c>
      <c r="F3" t="str">
        <f t="array" ref="F3">GetValue("Tables",E3,"Name")</f>
        <v/>
      </c>
      <c r="G3" t="s">
        <v>149</v>
      </c>
      <c r="H3" t="s">
        <v>150</v>
      </c>
      <c r="I3" t="s">
        <v>151</v>
      </c>
      <c r="J3" t="s">
        <v>152</v>
      </c>
      <c r="K3" t="s">
        <v>153</v>
      </c>
      <c r="L3" t="b">
        <v>1</v>
      </c>
      <c r="M3">
        <f t="array" ref="M3">LastId(A3)</f>
        <v>34</v>
      </c>
    </row>
    <row r="4" spans="1:13" x14ac:dyDescent="0.3">
      <c r="A4">
        <f>ROW(A4)-1</f>
        <v>3</v>
      </c>
      <c r="B4" t="s">
        <v>161</v>
      </c>
      <c r="C4" t="s">
        <v>84</v>
      </c>
      <c r="D4" t="s">
        <v>162</v>
      </c>
      <c r="F4" t="str">
        <f t="array" ref="F4">GetValue("Tables",E4,"Name")</f>
        <v/>
      </c>
      <c r="G4" t="s">
        <v>163</v>
      </c>
      <c r="H4" t="s">
        <v>164</v>
      </c>
      <c r="I4" t="s">
        <v>165</v>
      </c>
      <c r="J4" t="s">
        <v>166</v>
      </c>
      <c r="K4" t="s">
        <v>167</v>
      </c>
      <c r="L4" t="b">
        <v>1</v>
      </c>
      <c r="M4">
        <f t="array" ref="M4">LastId(A4)</f>
        <v>6</v>
      </c>
    </row>
    <row r="5" spans="1:13" x14ac:dyDescent="0.3">
      <c r="A5">
        <f t="shared" ref="A5:A19" si="0">ROW(A5)-1</f>
        <v>4</v>
      </c>
      <c r="B5" t="s">
        <v>154</v>
      </c>
      <c r="C5" t="s">
        <v>490</v>
      </c>
      <c r="D5" t="s">
        <v>155</v>
      </c>
      <c r="F5" t="str">
        <f t="array" ref="F5">GetValue("Tables",E5,"Name")</f>
        <v/>
      </c>
      <c r="G5" t="s">
        <v>156</v>
      </c>
      <c r="H5" t="s">
        <v>157</v>
      </c>
      <c r="I5" t="s">
        <v>158</v>
      </c>
      <c r="J5" t="s">
        <v>159</v>
      </c>
      <c r="K5" t="s">
        <v>160</v>
      </c>
      <c r="L5" t="b">
        <v>1</v>
      </c>
      <c r="M5">
        <f t="array" ref="M5">LastId(A5)</f>
        <v>21</v>
      </c>
    </row>
    <row r="6" spans="1:13" x14ac:dyDescent="0.3">
      <c r="A6">
        <f t="shared" si="0"/>
        <v>5</v>
      </c>
      <c r="B6" t="s">
        <v>168</v>
      </c>
      <c r="C6" t="s">
        <v>491</v>
      </c>
      <c r="D6" t="s">
        <v>112</v>
      </c>
      <c r="F6" t="str">
        <f t="array" ref="F6">GetValue("Tables",E6,"Name")</f>
        <v/>
      </c>
      <c r="G6" t="s">
        <v>169</v>
      </c>
      <c r="H6" t="s">
        <v>170</v>
      </c>
      <c r="I6" t="s">
        <v>171</v>
      </c>
      <c r="J6" t="s">
        <v>172</v>
      </c>
      <c r="K6" t="s">
        <v>173</v>
      </c>
      <c r="L6" t="b">
        <v>1</v>
      </c>
      <c r="M6">
        <f t="array" ref="M6">LastId(A6)</f>
        <v>1</v>
      </c>
    </row>
    <row r="7" spans="1:13" x14ac:dyDescent="0.3">
      <c r="A7">
        <f t="shared" si="0"/>
        <v>6</v>
      </c>
      <c r="B7" t="s">
        <v>110</v>
      </c>
      <c r="C7" t="s">
        <v>492</v>
      </c>
      <c r="D7" t="s">
        <v>110</v>
      </c>
      <c r="E7">
        <v>5</v>
      </c>
      <c r="F7" t="str">
        <f t="array" ref="F7">GetValue("Tables",E7,"Name")</f>
        <v>Systems</v>
      </c>
      <c r="G7" t="s">
        <v>174</v>
      </c>
      <c r="H7" t="s">
        <v>175</v>
      </c>
      <c r="I7" t="s">
        <v>176</v>
      </c>
      <c r="J7" t="s">
        <v>177</v>
      </c>
      <c r="K7" t="s">
        <v>178</v>
      </c>
      <c r="L7" t="b">
        <v>1</v>
      </c>
      <c r="M7">
        <f t="array" ref="M7">LastId(A7)</f>
        <v>12</v>
      </c>
    </row>
    <row r="8" spans="1:13" x14ac:dyDescent="0.3">
      <c r="A8">
        <f t="shared" si="0"/>
        <v>7</v>
      </c>
      <c r="B8" t="s">
        <v>179</v>
      </c>
      <c r="C8" t="s">
        <v>493</v>
      </c>
      <c r="D8" t="s">
        <v>106</v>
      </c>
      <c r="F8" t="str">
        <f t="array" ref="F8">GetValue("Tables",E8,"Name")</f>
        <v/>
      </c>
      <c r="G8" t="s">
        <v>180</v>
      </c>
      <c r="H8" t="s">
        <v>181</v>
      </c>
      <c r="I8" t="s">
        <v>182</v>
      </c>
      <c r="J8" t="s">
        <v>183</v>
      </c>
      <c r="K8" t="s">
        <v>184</v>
      </c>
      <c r="L8" t="b">
        <v>1</v>
      </c>
      <c r="M8">
        <f t="array" ref="M8">LastId(A8)</f>
        <v>2</v>
      </c>
    </row>
    <row r="9" spans="1:13" x14ac:dyDescent="0.3">
      <c r="A9">
        <f t="shared" si="0"/>
        <v>8</v>
      </c>
      <c r="B9" t="s">
        <v>185</v>
      </c>
      <c r="C9" t="s">
        <v>494</v>
      </c>
      <c r="D9" t="s">
        <v>186</v>
      </c>
      <c r="E9">
        <v>5</v>
      </c>
      <c r="F9" t="str">
        <f t="array" ref="F9">GetValue("Tables",E9,"Name")</f>
        <v>Systems</v>
      </c>
      <c r="G9" t="s">
        <v>187</v>
      </c>
      <c r="H9" t="s">
        <v>188</v>
      </c>
      <c r="I9" t="s">
        <v>189</v>
      </c>
      <c r="J9" t="s">
        <v>190</v>
      </c>
      <c r="L9" t="b">
        <v>1</v>
      </c>
      <c r="M9">
        <f t="array" ref="M9">LastId(A9)</f>
        <v>2</v>
      </c>
    </row>
    <row r="10" spans="1:13" x14ac:dyDescent="0.3">
      <c r="A10">
        <f t="shared" si="0"/>
        <v>9</v>
      </c>
      <c r="B10" t="s">
        <v>191</v>
      </c>
      <c r="C10" t="s">
        <v>495</v>
      </c>
      <c r="D10" t="s">
        <v>192</v>
      </c>
      <c r="F10" t="str">
        <f t="array" ref="F10">GetValue("Tables",E10,"Name")</f>
        <v/>
      </c>
      <c r="G10" t="s">
        <v>193</v>
      </c>
      <c r="H10" t="s">
        <v>194</v>
      </c>
      <c r="I10" t="s">
        <v>195</v>
      </c>
      <c r="J10" t="s">
        <v>196</v>
      </c>
      <c r="K10" t="s">
        <v>197</v>
      </c>
      <c r="L10" t="b">
        <v>1</v>
      </c>
      <c r="M10">
        <f t="array" ref="M10">LastId(A10)</f>
        <v>1</v>
      </c>
    </row>
    <row r="11" spans="1:13" x14ac:dyDescent="0.3">
      <c r="A11">
        <f t="shared" si="0"/>
        <v>10</v>
      </c>
      <c r="B11" t="s">
        <v>198</v>
      </c>
      <c r="C11" t="s">
        <v>496</v>
      </c>
      <c r="D11" t="s">
        <v>199</v>
      </c>
      <c r="E11">
        <v>5</v>
      </c>
      <c r="F11" t="str">
        <f t="array" ref="F11">GetValue("Tables",E11,"Name")</f>
        <v>Systems</v>
      </c>
      <c r="G11" t="s">
        <v>200</v>
      </c>
      <c r="H11" t="s">
        <v>201</v>
      </c>
      <c r="I11" t="s">
        <v>202</v>
      </c>
      <c r="J11" t="s">
        <v>203</v>
      </c>
      <c r="L11" t="b">
        <v>1</v>
      </c>
      <c r="M11">
        <f t="array" ref="M11">LastId(A11)</f>
        <v>1</v>
      </c>
    </row>
    <row r="12" spans="1:13" x14ac:dyDescent="0.3">
      <c r="A12">
        <f t="shared" si="0"/>
        <v>11</v>
      </c>
      <c r="B12" t="s">
        <v>204</v>
      </c>
      <c r="C12" t="s">
        <v>497</v>
      </c>
      <c r="D12" t="s">
        <v>108</v>
      </c>
      <c r="E12">
        <v>8</v>
      </c>
      <c r="F12" t="str">
        <f t="array" ref="F12">GetValue("Tables",E12,"Name")</f>
        <v>SystemsUsers</v>
      </c>
      <c r="G12" t="s">
        <v>205</v>
      </c>
      <c r="H12" t="s">
        <v>206</v>
      </c>
      <c r="I12" t="s">
        <v>207</v>
      </c>
      <c r="J12" t="s">
        <v>208</v>
      </c>
      <c r="K12" t="s">
        <v>209</v>
      </c>
      <c r="L12" t="b">
        <v>1</v>
      </c>
      <c r="M12">
        <f t="array" ref="M12">LastId(A12)</f>
        <v>18</v>
      </c>
    </row>
    <row r="13" spans="1:13" x14ac:dyDescent="0.3">
      <c r="A13">
        <f t="shared" si="0"/>
        <v>12</v>
      </c>
      <c r="B13" t="s">
        <v>456</v>
      </c>
      <c r="C13" t="s">
        <v>498</v>
      </c>
      <c r="D13" t="s">
        <v>457</v>
      </c>
      <c r="E13">
        <v>9</v>
      </c>
      <c r="F13" t="str">
        <f t="array" ref="F13">GetValue("Tables",E13,"Name")</f>
        <v>Databases</v>
      </c>
      <c r="G13" t="s">
        <v>458</v>
      </c>
      <c r="H13" t="s">
        <v>459</v>
      </c>
      <c r="I13" t="s">
        <v>460</v>
      </c>
      <c r="J13" t="s">
        <v>196</v>
      </c>
      <c r="L13" t="b">
        <v>1</v>
      </c>
      <c r="M13">
        <f t="array" ref="M13">LastId(A13)</f>
        <v>18</v>
      </c>
    </row>
    <row r="14" spans="1:13" x14ac:dyDescent="0.3">
      <c r="A14">
        <f t="shared" si="0"/>
        <v>13</v>
      </c>
      <c r="B14" t="s">
        <v>210</v>
      </c>
      <c r="C14" t="s">
        <v>499</v>
      </c>
      <c r="D14" t="s">
        <v>116</v>
      </c>
      <c r="E14">
        <v>10</v>
      </c>
      <c r="F14" t="str">
        <f t="array" ref="F14">GetValue("Tables",E14,"Name")</f>
        <v>SystemsDatabases</v>
      </c>
      <c r="G14" t="s">
        <v>211</v>
      </c>
      <c r="H14" t="s">
        <v>212</v>
      </c>
      <c r="I14" t="s">
        <v>213</v>
      </c>
      <c r="J14" t="s">
        <v>214</v>
      </c>
      <c r="K14" t="s">
        <v>215</v>
      </c>
      <c r="L14" t="b">
        <v>1</v>
      </c>
      <c r="M14">
        <f t="array" ref="M14">LastId(A14)</f>
        <v>139</v>
      </c>
    </row>
    <row r="15" spans="1:13" x14ac:dyDescent="0.3">
      <c r="A15">
        <f t="shared" si="0"/>
        <v>14</v>
      </c>
      <c r="B15" t="s">
        <v>216</v>
      </c>
      <c r="C15" t="s">
        <v>500</v>
      </c>
      <c r="D15" t="s">
        <v>217</v>
      </c>
      <c r="E15">
        <v>10</v>
      </c>
      <c r="F15" t="str">
        <f t="array" ref="F15">GetValue("Tables",E15,"Name")</f>
        <v>SystemsDatabases</v>
      </c>
      <c r="G15" t="s">
        <v>218</v>
      </c>
      <c r="H15" t="s">
        <v>219</v>
      </c>
      <c r="I15" t="s">
        <v>220</v>
      </c>
      <c r="J15" t="s">
        <v>221</v>
      </c>
      <c r="K15" t="s">
        <v>222</v>
      </c>
      <c r="L15" t="b">
        <v>1</v>
      </c>
      <c r="M15">
        <f t="array" ref="M15">LastId(A15)</f>
        <v>25</v>
      </c>
    </row>
    <row r="16" spans="1:13" x14ac:dyDescent="0.3">
      <c r="A16">
        <f t="shared" si="0"/>
        <v>15</v>
      </c>
      <c r="B16" t="s">
        <v>438</v>
      </c>
      <c r="C16" t="s">
        <v>501</v>
      </c>
      <c r="D16" t="s">
        <v>223</v>
      </c>
      <c r="E16">
        <v>12</v>
      </c>
      <c r="F16" t="str">
        <f t="array" ref="F16">GetValue("Tables",E16,"Name")</f>
        <v>DatabasesTables</v>
      </c>
      <c r="G16" t="s">
        <v>224</v>
      </c>
      <c r="H16" t="s">
        <v>225</v>
      </c>
      <c r="I16" t="s">
        <v>226</v>
      </c>
      <c r="J16" t="s">
        <v>227</v>
      </c>
      <c r="L16" t="b">
        <v>1</v>
      </c>
      <c r="M16">
        <f t="array" ref="M16">LastId(A16)</f>
        <v>40</v>
      </c>
    </row>
    <row r="17" spans="1:13" x14ac:dyDescent="0.3">
      <c r="A17">
        <f t="shared" si="0"/>
        <v>16</v>
      </c>
      <c r="B17" t="s">
        <v>505</v>
      </c>
      <c r="C17" t="s">
        <v>506</v>
      </c>
      <c r="D17" t="s">
        <v>507</v>
      </c>
      <c r="F17" t="str">
        <f t="array" ref="F17">GetValue("Tables",E17,"Name")</f>
        <v/>
      </c>
      <c r="L17" t="b">
        <v>0</v>
      </c>
      <c r="M17">
        <f t="array" ref="M17">LastId(A17)</f>
        <v>0</v>
      </c>
    </row>
    <row r="18" spans="1:13" x14ac:dyDescent="0.3">
      <c r="A18">
        <f t="shared" si="0"/>
        <v>17</v>
      </c>
      <c r="B18" t="s">
        <v>453</v>
      </c>
      <c r="C18" t="s">
        <v>502</v>
      </c>
      <c r="D18" t="s">
        <v>516</v>
      </c>
      <c r="E18">
        <v>16</v>
      </c>
      <c r="F18" t="str">
        <f t="array" ref="F18">GetValue("Tables",E18,"Name")</f>
        <v>Logins</v>
      </c>
      <c r="L18" t="b">
        <v>0</v>
      </c>
      <c r="M18">
        <f t="array" ref="M18">LastId(A18)</f>
        <v>0</v>
      </c>
    </row>
    <row r="19" spans="1:13" x14ac:dyDescent="0.3">
      <c r="A19">
        <f t="shared" si="0"/>
        <v>18</v>
      </c>
      <c r="B19" t="s">
        <v>513</v>
      </c>
      <c r="C19" t="s">
        <v>514</v>
      </c>
      <c r="D19" t="s">
        <v>515</v>
      </c>
      <c r="E19">
        <v>17</v>
      </c>
      <c r="F19" t="str">
        <f t="array" ref="F19">GetValue("Tables",E19,"Name")</f>
        <v>Transactions</v>
      </c>
      <c r="L19" t="b">
        <v>0</v>
      </c>
      <c r="M19">
        <f t="array" ref="M19">LastId(A19)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9"/>
  <sheetViews>
    <sheetView workbookViewId="0">
      <selection activeCell="E2" sqref="E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537</v>
      </c>
      <c r="D1" s="1" t="s">
        <v>231</v>
      </c>
      <c r="E1" s="1" t="s">
        <v>538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464</v>
      </c>
    </row>
    <row r="3" spans="1:6" x14ac:dyDescent="0.3">
      <c r="A3">
        <f t="shared" ref="A3:A19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465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466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467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468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469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470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471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472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473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474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475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476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477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478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479</v>
      </c>
    </row>
    <row r="18" spans="1:6" x14ac:dyDescent="0.3">
      <c r="A18">
        <f t="shared" si="0"/>
        <v>17</v>
      </c>
      <c r="B18">
        <v>1</v>
      </c>
      <c r="C18" t="str">
        <f t="array" ref="C18">GetValue("Databases",B18,"Name")</f>
        <v>cruda</v>
      </c>
      <c r="D18">
        <v>17</v>
      </c>
      <c r="E18" t="str">
        <f t="array" ref="E18">GetValue("Tables",D18,"Name")</f>
        <v>Transactions</v>
      </c>
      <c r="F18" t="s">
        <v>480</v>
      </c>
    </row>
    <row r="19" spans="1:6" x14ac:dyDescent="0.3">
      <c r="A19">
        <f t="shared" si="0"/>
        <v>18</v>
      </c>
      <c r="B19">
        <v>1</v>
      </c>
      <c r="C19" t="str">
        <f t="array" ref="C19">GetValue("Databases",B19,"Name")</f>
        <v>cruda</v>
      </c>
      <c r="D19">
        <v>18</v>
      </c>
      <c r="E19" t="str">
        <f t="array" ref="E19">GetValue("Tables",D19,"Name")</f>
        <v>Operations</v>
      </c>
      <c r="F19" t="s">
        <v>531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X138"/>
  <sheetViews>
    <sheetView tabSelected="1" zoomScaleNormal="100" workbookViewId="0">
      <pane ySplit="1" topLeftCell="A78" activePane="bottomLeft" state="frozen"/>
      <selection pane="bottomLeft" activeCell="I88" sqref="I88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5.77734375" bestFit="1" customWidth="1"/>
    <col min="8" max="8" width="20.21875" bestFit="1" customWidth="1"/>
    <col min="9" max="9" width="16" bestFit="1" customWidth="1"/>
    <col min="10" max="10" width="33.88671875" bestFit="1" customWidth="1"/>
    <col min="11" max="12" width="21.44140625" bestFit="1" customWidth="1"/>
    <col min="13" max="13" width="22.6640625" bestFit="1" customWidth="1"/>
    <col min="14" max="14" width="15.5546875" bestFit="1" customWidth="1"/>
    <col min="15" max="15" width="9.21875" style="4" bestFit="1" customWidth="1"/>
    <col min="16" max="16" width="9.5546875" style="3" bestFit="1" customWidth="1"/>
    <col min="17" max="17" width="11.88671875" bestFit="1" customWidth="1"/>
    <col min="18" max="18" width="15.21875" bestFit="1" customWidth="1"/>
    <col min="19" max="22" width="11.77734375" bestFit="1" customWidth="1"/>
    <col min="23" max="23" width="12" bestFit="1" customWidth="1"/>
    <col min="24" max="24" width="11.77734375" bestFit="1" customWidth="1"/>
  </cols>
  <sheetData>
    <row r="1" spans="1:24" s="1" customFormat="1" x14ac:dyDescent="0.3">
      <c r="A1" s="11" t="s">
        <v>0</v>
      </c>
      <c r="B1" s="11" t="s">
        <v>231</v>
      </c>
      <c r="C1" s="11" t="s">
        <v>538</v>
      </c>
      <c r="D1" s="11" t="s">
        <v>98</v>
      </c>
      <c r="E1" s="11" t="s">
        <v>232</v>
      </c>
      <c r="F1" s="11" t="s">
        <v>539</v>
      </c>
      <c r="G1" s="11" t="s">
        <v>233</v>
      </c>
      <c r="H1" s="11" t="s">
        <v>540</v>
      </c>
      <c r="I1" s="11" t="s">
        <v>1</v>
      </c>
      <c r="J1" s="11" t="s">
        <v>91</v>
      </c>
      <c r="K1" s="11" t="s">
        <v>234</v>
      </c>
      <c r="L1" s="11" t="s">
        <v>99</v>
      </c>
      <c r="M1" s="11" t="s">
        <v>452</v>
      </c>
      <c r="N1" s="11" t="s">
        <v>67</v>
      </c>
      <c r="O1" s="13" t="s">
        <v>26</v>
      </c>
      <c r="P1" s="18" t="s">
        <v>27</v>
      </c>
      <c r="Q1" s="11" t="s">
        <v>235</v>
      </c>
      <c r="R1" s="11" t="s">
        <v>236</v>
      </c>
      <c r="S1" s="11" t="s">
        <v>237</v>
      </c>
      <c r="T1" s="11" t="s">
        <v>238</v>
      </c>
      <c r="U1" s="11" t="s">
        <v>239</v>
      </c>
      <c r="V1" s="11" t="s">
        <v>240</v>
      </c>
      <c r="W1" s="11" t="s">
        <v>241</v>
      </c>
      <c r="X1" s="11" t="s">
        <v>242</v>
      </c>
    </row>
    <row r="2" spans="1:24" x14ac:dyDescent="0.3">
      <c r="A2" s="8">
        <f t="shared" ref="A2:A12" si="0">ROW(A2)-1</f>
        <v>1</v>
      </c>
      <c r="B2" s="9">
        <v>1</v>
      </c>
      <c r="C2" s="9" t="str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/>
      <c r="H2" s="8" t="str">
        <f t="array" ref="H2">GetValue("Tables",G2,"Name")</f>
        <v/>
      </c>
      <c r="I2" s="8" t="s">
        <v>0</v>
      </c>
      <c r="J2" s="8" t="s">
        <v>398</v>
      </c>
      <c r="K2" s="8" t="s">
        <v>248</v>
      </c>
      <c r="L2" s="8" t="s">
        <v>248</v>
      </c>
      <c r="M2" s="8"/>
      <c r="N2" s="8"/>
      <c r="O2" s="14">
        <v>1</v>
      </c>
      <c r="P2" s="15"/>
      <c r="Q2" s="8" t="b">
        <v>1</v>
      </c>
      <c r="R2" s="8" t="b">
        <v>0</v>
      </c>
      <c r="S2" s="8" t="b">
        <v>1</v>
      </c>
      <c r="T2" s="8"/>
      <c r="U2" s="8" t="b">
        <v>1</v>
      </c>
      <c r="V2" s="8" t="b">
        <v>0</v>
      </c>
      <c r="W2" s="8" t="b">
        <v>0</v>
      </c>
      <c r="X2" s="8"/>
    </row>
    <row r="3" spans="1:24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/>
      <c r="H3" s="8" t="str">
        <f t="array" ref="H3">GetValue("Tables",G3,"Name")</f>
        <v/>
      </c>
      <c r="I3" s="8" t="s">
        <v>1</v>
      </c>
      <c r="J3" s="8" t="s">
        <v>399</v>
      </c>
      <c r="K3" s="8" t="s">
        <v>246</v>
      </c>
      <c r="L3" s="8" t="s">
        <v>246</v>
      </c>
      <c r="M3" s="8"/>
      <c r="N3" s="8"/>
      <c r="O3" s="14" t="s">
        <v>36</v>
      </c>
      <c r="P3" s="15"/>
      <c r="Q3" s="8" t="b">
        <v>0</v>
      </c>
      <c r="R3" s="8"/>
      <c r="S3" s="8" t="b">
        <v>1</v>
      </c>
      <c r="T3" s="8" t="b">
        <v>1</v>
      </c>
      <c r="U3" s="8" t="b">
        <v>1</v>
      </c>
      <c r="V3" s="8" t="b">
        <v>1</v>
      </c>
      <c r="W3" s="8" t="b">
        <v>1</v>
      </c>
      <c r="X3" s="8" t="b">
        <v>0</v>
      </c>
    </row>
    <row r="4" spans="1:24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/>
      <c r="H4" s="8" t="str">
        <f t="array" ref="H4">GetValue("Tables",G4,"Name")</f>
        <v/>
      </c>
      <c r="I4" s="8" t="s">
        <v>2</v>
      </c>
      <c r="J4" s="8" t="s">
        <v>400</v>
      </c>
      <c r="K4" s="8" t="s">
        <v>401</v>
      </c>
      <c r="L4" s="8" t="s">
        <v>401</v>
      </c>
      <c r="M4" s="8"/>
      <c r="N4" s="8"/>
      <c r="O4" s="15" t="s">
        <v>36</v>
      </c>
      <c r="P4" s="15"/>
      <c r="Q4" s="8" t="b">
        <v>0</v>
      </c>
      <c r="R4" s="8"/>
      <c r="S4" s="8" t="b">
        <v>0</v>
      </c>
      <c r="T4" s="8" t="b">
        <v>0</v>
      </c>
      <c r="U4" s="8" t="b">
        <v>0</v>
      </c>
      <c r="V4" s="8" t="b">
        <v>1</v>
      </c>
      <c r="W4" s="8" t="b">
        <v>1</v>
      </c>
      <c r="X4" s="8" t="b">
        <v>0</v>
      </c>
    </row>
    <row r="5" spans="1:24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/>
      <c r="H5" s="8" t="str">
        <f t="array" ref="H5">GetValue("Tables",G5,"Name")</f>
        <v/>
      </c>
      <c r="I5" s="8" t="s">
        <v>3</v>
      </c>
      <c r="J5" s="8" t="s">
        <v>402</v>
      </c>
      <c r="K5" s="8" t="s">
        <v>403</v>
      </c>
      <c r="L5" s="8" t="s">
        <v>403</v>
      </c>
      <c r="M5" s="8"/>
      <c r="N5" s="8"/>
      <c r="O5" s="15" t="s">
        <v>36</v>
      </c>
      <c r="P5" s="15"/>
      <c r="Q5" s="8" t="b">
        <v>0</v>
      </c>
      <c r="R5" s="8"/>
      <c r="S5" s="8" t="b">
        <v>0</v>
      </c>
      <c r="T5" s="8" t="b">
        <v>0</v>
      </c>
      <c r="U5" s="8" t="b">
        <v>0</v>
      </c>
      <c r="V5" s="8" t="b">
        <v>1</v>
      </c>
      <c r="W5" s="8" t="b">
        <v>1</v>
      </c>
      <c r="X5" s="8" t="b">
        <v>0</v>
      </c>
    </row>
    <row r="6" spans="1:24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/>
      <c r="H6" s="8" t="str">
        <f t="array" ref="H6">GetValue("Tables",G6,"Name")</f>
        <v/>
      </c>
      <c r="I6" s="8" t="s">
        <v>4</v>
      </c>
      <c r="J6" s="8" t="s">
        <v>404</v>
      </c>
      <c r="K6" s="8" t="s">
        <v>405</v>
      </c>
      <c r="L6" s="8" t="s">
        <v>405</v>
      </c>
      <c r="M6" s="8"/>
      <c r="N6" s="8"/>
      <c r="O6" s="15" t="s">
        <v>36</v>
      </c>
      <c r="P6" s="15"/>
      <c r="Q6" s="8"/>
      <c r="R6" s="8"/>
      <c r="S6" s="8" t="b">
        <v>1</v>
      </c>
      <c r="T6" s="8"/>
      <c r="U6" s="8" t="b">
        <v>1</v>
      </c>
      <c r="V6" s="8" t="b">
        <v>1</v>
      </c>
      <c r="W6" s="8" t="b">
        <v>1</v>
      </c>
      <c r="X6" s="8"/>
    </row>
    <row r="7" spans="1:24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/>
      <c r="H7" s="8" t="str">
        <f t="array" ref="H7">GetValue("Tables",G7,"Name")</f>
        <v/>
      </c>
      <c r="I7" s="8" t="s">
        <v>5</v>
      </c>
      <c r="J7" s="8" t="s">
        <v>406</v>
      </c>
      <c r="K7" s="8" t="s">
        <v>407</v>
      </c>
      <c r="L7" s="8" t="s">
        <v>407</v>
      </c>
      <c r="M7" s="8"/>
      <c r="N7" s="8"/>
      <c r="O7" s="15" t="s">
        <v>36</v>
      </c>
      <c r="P7" s="15"/>
      <c r="Q7" s="8"/>
      <c r="R7" s="8"/>
      <c r="S7" s="8" t="b">
        <v>1</v>
      </c>
      <c r="T7" s="8"/>
      <c r="U7" s="8" t="b">
        <v>1</v>
      </c>
      <c r="V7" s="8" t="b">
        <v>1</v>
      </c>
      <c r="W7" s="8" t="b">
        <v>1</v>
      </c>
      <c r="X7" s="8"/>
    </row>
    <row r="8" spans="1:24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/>
      <c r="H8" s="8" t="str">
        <f t="array" ref="H8">GetValue("Tables",G8,"Name")</f>
        <v/>
      </c>
      <c r="I8" s="8" t="s">
        <v>6</v>
      </c>
      <c r="J8" s="8" t="s">
        <v>408</v>
      </c>
      <c r="K8" s="8" t="s">
        <v>409</v>
      </c>
      <c r="L8" s="8" t="s">
        <v>409</v>
      </c>
      <c r="M8" s="8"/>
      <c r="N8" s="8"/>
      <c r="O8" s="15" t="s">
        <v>36</v>
      </c>
      <c r="P8" s="15"/>
      <c r="Q8" s="8"/>
      <c r="R8" s="8"/>
      <c r="S8" s="8" t="b">
        <v>1</v>
      </c>
      <c r="T8" s="8"/>
      <c r="U8" s="8" t="b">
        <v>1</v>
      </c>
      <c r="V8" s="8" t="b">
        <v>1</v>
      </c>
      <c r="W8" s="8" t="b">
        <v>1</v>
      </c>
      <c r="X8" s="8"/>
    </row>
    <row r="9" spans="1:24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/>
      <c r="H9" s="8" t="str">
        <f t="array" ref="H9">GetValue("Tables",G9,"Name")</f>
        <v/>
      </c>
      <c r="I9" s="8" t="s">
        <v>7</v>
      </c>
      <c r="J9" s="8" t="s">
        <v>410</v>
      </c>
      <c r="K9" s="8" t="s">
        <v>411</v>
      </c>
      <c r="L9" s="8" t="s">
        <v>411</v>
      </c>
      <c r="M9" s="8"/>
      <c r="N9" s="8"/>
      <c r="O9" s="15" t="s">
        <v>36</v>
      </c>
      <c r="P9" s="15"/>
      <c r="Q9" s="8"/>
      <c r="R9" s="8"/>
      <c r="S9" s="8" t="b">
        <v>1</v>
      </c>
      <c r="T9" s="8"/>
      <c r="U9" s="8" t="b">
        <v>1</v>
      </c>
      <c r="V9" s="8" t="b">
        <v>1</v>
      </c>
      <c r="W9" s="8" t="b">
        <v>1</v>
      </c>
      <c r="X9" s="8"/>
    </row>
    <row r="10" spans="1:24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/>
      <c r="H10" s="8" t="str">
        <f t="array" ref="H10">GetValue("Tables",G10,"Name")</f>
        <v/>
      </c>
      <c r="I10" s="8" t="s">
        <v>8</v>
      </c>
      <c r="J10" s="8" t="s">
        <v>412</v>
      </c>
      <c r="K10" s="8" t="s">
        <v>413</v>
      </c>
      <c r="L10" s="8" t="s">
        <v>413</v>
      </c>
      <c r="M10" s="8"/>
      <c r="N10" s="8"/>
      <c r="O10" s="15" t="s">
        <v>36</v>
      </c>
      <c r="P10" s="15"/>
      <c r="Q10" s="8"/>
      <c r="R10" s="8"/>
      <c r="S10" s="8" t="b">
        <v>1</v>
      </c>
      <c r="T10" s="8"/>
      <c r="U10" s="8" t="b">
        <v>1</v>
      </c>
      <c r="V10" s="8" t="b">
        <v>1</v>
      </c>
      <c r="W10" s="8" t="b">
        <v>1</v>
      </c>
      <c r="X10" s="8"/>
    </row>
    <row r="11" spans="1:24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/>
      <c r="H11" s="8" t="str">
        <f t="array" ref="H11">GetValue("Tables",G11,"Name")</f>
        <v/>
      </c>
      <c r="I11" s="8" t="s">
        <v>9</v>
      </c>
      <c r="J11" s="8" t="s">
        <v>414</v>
      </c>
      <c r="K11" s="8" t="s">
        <v>415</v>
      </c>
      <c r="L11" s="8" t="s">
        <v>415</v>
      </c>
      <c r="M11" s="8"/>
      <c r="N11" s="8"/>
      <c r="O11" s="15" t="s">
        <v>36</v>
      </c>
      <c r="P11" s="15"/>
      <c r="Q11" s="8"/>
      <c r="R11" s="8"/>
      <c r="S11" s="8" t="b">
        <v>1</v>
      </c>
      <c r="T11" s="8"/>
      <c r="U11" s="8" t="b">
        <v>1</v>
      </c>
      <c r="V11" s="8" t="b">
        <v>1</v>
      </c>
      <c r="W11" s="8" t="b">
        <v>1</v>
      </c>
      <c r="X11" s="8"/>
    </row>
    <row r="12" spans="1:24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/>
      <c r="H12" s="10" t="str">
        <f t="array" ref="H12">GetValue("Tables",G12,"Name")</f>
        <v/>
      </c>
      <c r="I12" s="10" t="s">
        <v>0</v>
      </c>
      <c r="J12" s="10" t="s">
        <v>243</v>
      </c>
      <c r="K12" s="10" t="s">
        <v>244</v>
      </c>
      <c r="L12" s="10" t="s">
        <v>244</v>
      </c>
      <c r="M12" s="10"/>
      <c r="N12" s="10"/>
      <c r="O12" s="16">
        <v>1</v>
      </c>
      <c r="P12" s="16"/>
      <c r="Q12" s="10" t="b">
        <v>1</v>
      </c>
      <c r="R12" s="10" t="b">
        <v>0</v>
      </c>
      <c r="S12" s="10" t="b">
        <v>1</v>
      </c>
      <c r="T12" s="10"/>
      <c r="U12" s="10" t="b">
        <v>1</v>
      </c>
      <c r="V12" s="10" t="b">
        <v>0</v>
      </c>
      <c r="W12" s="10" t="b">
        <v>0</v>
      </c>
      <c r="X12" s="10"/>
    </row>
    <row r="13" spans="1:24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>
        <v>1</v>
      </c>
      <c r="H13" s="10" t="str">
        <f t="array" ref="H13">GetValue("Tables",G13,"Name")</f>
        <v>Categories</v>
      </c>
      <c r="I13" s="10" t="s">
        <v>25</v>
      </c>
      <c r="J13" s="10" t="s">
        <v>247</v>
      </c>
      <c r="K13" s="10" t="s">
        <v>248</v>
      </c>
      <c r="L13" s="10" t="s">
        <v>248</v>
      </c>
      <c r="M13" s="10"/>
      <c r="N13" s="10"/>
      <c r="O13" s="16" t="s">
        <v>36</v>
      </c>
      <c r="P13" s="16"/>
      <c r="Q13" s="10" t="b">
        <v>0</v>
      </c>
      <c r="R13" s="10"/>
      <c r="S13" s="10" t="b">
        <v>1</v>
      </c>
      <c r="T13" s="10" t="b">
        <v>0</v>
      </c>
      <c r="U13" s="10" t="b">
        <v>0</v>
      </c>
      <c r="V13" s="10" t="b">
        <v>1</v>
      </c>
      <c r="W13" s="10" t="b">
        <v>1</v>
      </c>
      <c r="X13" s="10" t="b">
        <v>0</v>
      </c>
    </row>
    <row r="14" spans="1:24" x14ac:dyDescent="0.3">
      <c r="A14" s="10">
        <f t="shared" ref="A14:A79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/>
      <c r="H14" s="10" t="str">
        <f t="array" ref="H14">GetValue("Tables",G14,"Name")</f>
        <v/>
      </c>
      <c r="I14" s="10" t="s">
        <v>1</v>
      </c>
      <c r="J14" s="10" t="s">
        <v>245</v>
      </c>
      <c r="K14" s="10" t="s">
        <v>246</v>
      </c>
      <c r="L14" s="10" t="s">
        <v>246</v>
      </c>
      <c r="M14" s="10"/>
      <c r="N14" s="10"/>
      <c r="O14" s="16" t="s">
        <v>36</v>
      </c>
      <c r="P14" s="16"/>
      <c r="Q14" s="10" t="b">
        <v>0</v>
      </c>
      <c r="R14" s="10"/>
      <c r="S14" s="10" t="b">
        <v>1</v>
      </c>
      <c r="T14" s="10" t="b">
        <v>1</v>
      </c>
      <c r="U14" s="10" t="b">
        <v>1</v>
      </c>
      <c r="V14" s="10" t="b">
        <v>1</v>
      </c>
      <c r="W14" s="10" t="b">
        <v>1</v>
      </c>
      <c r="X14" s="10" t="b">
        <v>0</v>
      </c>
    </row>
    <row r="15" spans="1:24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/>
      <c r="H15" s="10" t="str">
        <f t="array" ref="H15">GetValue("Tables",G15,"Name")</f>
        <v/>
      </c>
      <c r="I15" s="10" t="s">
        <v>26</v>
      </c>
      <c r="J15" s="10" t="s">
        <v>249</v>
      </c>
      <c r="K15" s="10" t="s">
        <v>250</v>
      </c>
      <c r="L15" s="10" t="s">
        <v>250</v>
      </c>
      <c r="M15" s="10"/>
      <c r="N15" s="10"/>
      <c r="O15" s="16" t="s">
        <v>36</v>
      </c>
      <c r="P15" s="16"/>
      <c r="Q15" s="10"/>
      <c r="R15" s="10"/>
      <c r="S15" s="10" t="b">
        <v>0</v>
      </c>
      <c r="T15" s="10"/>
      <c r="U15" s="10" t="b">
        <v>0</v>
      </c>
      <c r="V15" s="10" t="b">
        <v>1</v>
      </c>
      <c r="W15" s="10" t="b">
        <v>1</v>
      </c>
      <c r="X15" s="10"/>
    </row>
    <row r="16" spans="1:24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/>
      <c r="H16" s="10" t="str">
        <f t="array" ref="H16">GetValue("Tables",G16,"Name")</f>
        <v/>
      </c>
      <c r="I16" s="10" t="s">
        <v>27</v>
      </c>
      <c r="J16" s="10" t="s">
        <v>251</v>
      </c>
      <c r="K16" s="10" t="s">
        <v>252</v>
      </c>
      <c r="L16" s="10" t="s">
        <v>252</v>
      </c>
      <c r="M16" s="10"/>
      <c r="N16" s="10"/>
      <c r="O16" s="16" t="s">
        <v>36</v>
      </c>
      <c r="P16" s="16"/>
      <c r="Q16" s="10"/>
      <c r="R16" s="10"/>
      <c r="S16" s="10" t="b">
        <v>0</v>
      </c>
      <c r="T16" s="10"/>
      <c r="U16" s="10" t="b">
        <v>0</v>
      </c>
      <c r="V16" s="10" t="b">
        <v>1</v>
      </c>
      <c r="W16" s="10" t="b">
        <v>1</v>
      </c>
      <c r="X16" s="10"/>
    </row>
    <row r="17" spans="1:24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/>
      <c r="H17" s="10" t="str">
        <f t="array" ref="H17">GetValue("Tables",G17,"Name")</f>
        <v/>
      </c>
      <c r="I17" s="10" t="s">
        <v>28</v>
      </c>
      <c r="J17" s="10" t="s">
        <v>253</v>
      </c>
      <c r="K17" s="10" t="s">
        <v>254</v>
      </c>
      <c r="L17" s="10" t="s">
        <v>254</v>
      </c>
      <c r="M17" s="10"/>
      <c r="N17" s="10"/>
      <c r="O17" s="16" t="s">
        <v>36</v>
      </c>
      <c r="P17" s="16"/>
      <c r="Q17" s="10"/>
      <c r="R17" s="10"/>
      <c r="S17" s="10" t="b">
        <v>1</v>
      </c>
      <c r="T17" s="10"/>
      <c r="U17" s="10" t="b">
        <v>1</v>
      </c>
      <c r="V17" s="10" t="b">
        <v>1</v>
      </c>
      <c r="W17" s="10" t="b">
        <v>1</v>
      </c>
      <c r="X17" s="10"/>
    </row>
    <row r="18" spans="1:24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/>
      <c r="H18" s="10" t="str">
        <f t="array" ref="H18">GetValue("Tables",G18,"Name")</f>
        <v/>
      </c>
      <c r="I18" s="10" t="s">
        <v>29</v>
      </c>
      <c r="J18" s="10" t="s">
        <v>255</v>
      </c>
      <c r="K18" s="10" t="s">
        <v>256</v>
      </c>
      <c r="L18" s="10" t="s">
        <v>256</v>
      </c>
      <c r="M18" s="10"/>
      <c r="N18" s="10"/>
      <c r="O18" s="16" t="s">
        <v>36</v>
      </c>
      <c r="P18" s="16"/>
      <c r="Q18" s="10"/>
      <c r="R18" s="10"/>
      <c r="S18" s="10" t="b">
        <v>1</v>
      </c>
      <c r="T18" s="10"/>
      <c r="U18" s="10" t="b">
        <v>1</v>
      </c>
      <c r="V18" s="10" t="b">
        <v>1</v>
      </c>
      <c r="W18" s="10" t="b">
        <v>1</v>
      </c>
      <c r="X18" s="10"/>
    </row>
    <row r="19" spans="1:24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/>
      <c r="H19" s="10" t="str">
        <f t="array" ref="H19">GetValue("Tables",G19,"Name")</f>
        <v/>
      </c>
      <c r="I19" s="10" t="s">
        <v>30</v>
      </c>
      <c r="J19" s="10" t="s">
        <v>257</v>
      </c>
      <c r="K19" s="10" t="s">
        <v>258</v>
      </c>
      <c r="L19" s="10" t="s">
        <v>258</v>
      </c>
      <c r="M19" s="10"/>
      <c r="N19" s="10"/>
      <c r="O19" s="16" t="s">
        <v>36</v>
      </c>
      <c r="P19" s="16"/>
      <c r="Q19" s="10"/>
      <c r="R19" s="10"/>
      <c r="S19" s="10" t="b">
        <v>1</v>
      </c>
      <c r="T19" s="10"/>
      <c r="U19" s="10" t="b">
        <v>1</v>
      </c>
      <c r="V19" s="10" t="b">
        <v>1</v>
      </c>
      <c r="W19" s="10" t="b">
        <v>1</v>
      </c>
      <c r="X19" s="10"/>
    </row>
    <row r="20" spans="1:24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/>
      <c r="H20" s="10" t="str">
        <f t="array" ref="H20">GetValue("Tables",G20,"Name")</f>
        <v/>
      </c>
      <c r="I20" s="10" t="s">
        <v>31</v>
      </c>
      <c r="J20" s="10" t="s">
        <v>259</v>
      </c>
      <c r="K20" s="10" t="s">
        <v>260</v>
      </c>
      <c r="L20" s="10" t="s">
        <v>260</v>
      </c>
      <c r="M20" s="10"/>
      <c r="N20" s="10"/>
      <c r="O20" s="16" t="s">
        <v>36</v>
      </c>
      <c r="P20" s="16"/>
      <c r="Q20" s="10"/>
      <c r="R20" s="10"/>
      <c r="S20" s="10" t="b">
        <v>1</v>
      </c>
      <c r="T20" s="10"/>
      <c r="U20" s="10" t="b">
        <v>1</v>
      </c>
      <c r="V20" s="10" t="b">
        <v>1</v>
      </c>
      <c r="W20" s="10" t="b">
        <v>1</v>
      </c>
      <c r="X20" s="10"/>
    </row>
    <row r="21" spans="1:24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/>
      <c r="H21" s="10" t="str">
        <f t="array" ref="H21">GetValue("Tables",G21,"Name")</f>
        <v/>
      </c>
      <c r="I21" s="10" t="s">
        <v>32</v>
      </c>
      <c r="J21" s="10" t="s">
        <v>261</v>
      </c>
      <c r="K21" s="10" t="s">
        <v>262</v>
      </c>
      <c r="L21" s="10" t="s">
        <v>262</v>
      </c>
      <c r="M21" s="10"/>
      <c r="N21" s="10"/>
      <c r="O21" s="16" t="s">
        <v>36</v>
      </c>
      <c r="P21" s="16"/>
      <c r="Q21" s="10"/>
      <c r="R21" s="10"/>
      <c r="S21" s="10" t="b">
        <v>1</v>
      </c>
      <c r="T21" s="10"/>
      <c r="U21" s="10" t="b">
        <v>1</v>
      </c>
      <c r="V21" s="10" t="b">
        <v>1</v>
      </c>
      <c r="W21" s="10" t="b">
        <v>1</v>
      </c>
      <c r="X21" s="10"/>
    </row>
    <row r="22" spans="1:24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/>
      <c r="H22" s="10" t="str">
        <f t="array" ref="H22">GetValue("Tables",G22,"Name")</f>
        <v/>
      </c>
      <c r="I22" s="10" t="s">
        <v>33</v>
      </c>
      <c r="J22" s="10" t="s">
        <v>263</v>
      </c>
      <c r="K22" s="10" t="s">
        <v>264</v>
      </c>
      <c r="L22" s="10" t="s">
        <v>264</v>
      </c>
      <c r="M22" s="10"/>
      <c r="N22" s="10"/>
      <c r="O22" s="16" t="s">
        <v>36</v>
      </c>
      <c r="P22" s="16"/>
      <c r="Q22" s="10"/>
      <c r="R22" s="10"/>
      <c r="S22" s="10" t="b">
        <v>1</v>
      </c>
      <c r="T22" s="10"/>
      <c r="U22" s="10" t="b">
        <v>1</v>
      </c>
      <c r="V22" s="10" t="b">
        <v>1</v>
      </c>
      <c r="W22" s="10" t="b">
        <v>1</v>
      </c>
      <c r="X22" s="10"/>
    </row>
    <row r="23" spans="1:24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/>
      <c r="H23" s="10" t="str">
        <f t="array" ref="H23">GetValue("Tables",G23,"Name")</f>
        <v/>
      </c>
      <c r="I23" s="10" t="s">
        <v>433</v>
      </c>
      <c r="J23" s="10" t="s">
        <v>439</v>
      </c>
      <c r="K23" s="10" t="s">
        <v>440</v>
      </c>
      <c r="L23" s="10" t="s">
        <v>440</v>
      </c>
      <c r="M23" s="10"/>
      <c r="N23" s="10"/>
      <c r="O23" s="16" t="s">
        <v>36</v>
      </c>
      <c r="P23" s="16"/>
      <c r="Q23" s="10"/>
      <c r="R23" s="10"/>
      <c r="S23" s="10" t="b">
        <v>1</v>
      </c>
      <c r="T23" s="10"/>
      <c r="U23" s="10" t="b">
        <v>1</v>
      </c>
      <c r="V23" s="10" t="b">
        <v>1</v>
      </c>
      <c r="W23" s="10" t="b">
        <v>1</v>
      </c>
      <c r="X23" s="10"/>
    </row>
    <row r="24" spans="1:24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/>
      <c r="H24" s="10" t="str">
        <f t="array" ref="H24">GetValue("Tables",G24,"Name")</f>
        <v/>
      </c>
      <c r="I24" s="10" t="s">
        <v>432</v>
      </c>
      <c r="J24" s="10" t="s">
        <v>441</v>
      </c>
      <c r="K24" s="10" t="s">
        <v>442</v>
      </c>
      <c r="L24" s="10" t="s">
        <v>442</v>
      </c>
      <c r="M24" s="10"/>
      <c r="N24" s="10"/>
      <c r="O24" s="16" t="s">
        <v>36</v>
      </c>
      <c r="P24" s="16"/>
      <c r="Q24" s="10"/>
      <c r="R24" s="10"/>
      <c r="S24" s="10" t="b">
        <v>1</v>
      </c>
      <c r="T24" s="10"/>
      <c r="U24" s="10" t="b">
        <v>1</v>
      </c>
      <c r="V24" s="10" t="b">
        <v>1</v>
      </c>
      <c r="W24" s="10" t="b">
        <v>1</v>
      </c>
      <c r="X24" s="10"/>
    </row>
    <row r="25" spans="1:24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/>
      <c r="H25" s="10" t="str">
        <f t="array" ref="H25">GetValue("Tables",G25,"Name")</f>
        <v/>
      </c>
      <c r="I25" s="10" t="s">
        <v>435</v>
      </c>
      <c r="J25" s="10" t="s">
        <v>443</v>
      </c>
      <c r="K25" s="10" t="s">
        <v>444</v>
      </c>
      <c r="L25" s="10" t="s">
        <v>444</v>
      </c>
      <c r="M25" s="10"/>
      <c r="N25" s="10"/>
      <c r="O25" s="16" t="s">
        <v>36</v>
      </c>
      <c r="P25" s="16"/>
      <c r="Q25" s="10"/>
      <c r="R25" s="10"/>
      <c r="S25" s="10" t="b">
        <v>1</v>
      </c>
      <c r="T25" s="10"/>
      <c r="U25" s="10" t="b">
        <v>1</v>
      </c>
      <c r="V25" s="10" t="b">
        <v>1</v>
      </c>
      <c r="W25" s="10" t="b">
        <v>1</v>
      </c>
      <c r="X25" s="10"/>
    </row>
    <row r="26" spans="1:24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/>
      <c r="H26" s="10" t="str">
        <f t="array" ref="H26">GetValue("Tables",G26,"Name")</f>
        <v/>
      </c>
      <c r="I26" s="10" t="s">
        <v>34</v>
      </c>
      <c r="J26" s="10" t="s">
        <v>265</v>
      </c>
      <c r="K26" s="10" t="s">
        <v>266</v>
      </c>
      <c r="L26" s="10" t="s">
        <v>266</v>
      </c>
      <c r="M26" s="10"/>
      <c r="N26" s="10"/>
      <c r="O26" s="16" t="s">
        <v>36</v>
      </c>
      <c r="P26" s="16"/>
      <c r="Q26" s="10"/>
      <c r="R26" s="10"/>
      <c r="S26" s="10" t="b">
        <v>1</v>
      </c>
      <c r="T26" s="10"/>
      <c r="U26" s="10" t="b">
        <v>1</v>
      </c>
      <c r="V26" s="10" t="b">
        <v>1</v>
      </c>
      <c r="W26" s="10" t="b">
        <v>1</v>
      </c>
      <c r="X26" s="10"/>
    </row>
    <row r="27" spans="1:24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/>
      <c r="H27" s="8" t="str">
        <f t="array" ref="H27">GetValue("Tables",G27,"Name")</f>
        <v/>
      </c>
      <c r="I27" s="8" t="s">
        <v>0</v>
      </c>
      <c r="J27" s="8" t="s">
        <v>281</v>
      </c>
      <c r="K27" s="8" t="s">
        <v>244</v>
      </c>
      <c r="L27" s="8" t="s">
        <v>244</v>
      </c>
      <c r="M27" s="8"/>
      <c r="N27" s="8"/>
      <c r="O27" s="15" t="s">
        <v>36</v>
      </c>
      <c r="P27" s="15"/>
      <c r="Q27" s="8" t="b">
        <v>1</v>
      </c>
      <c r="R27" s="8" t="b">
        <v>0</v>
      </c>
      <c r="S27" s="8" t="b">
        <v>1</v>
      </c>
      <c r="T27" s="8"/>
      <c r="U27" s="8" t="b">
        <v>1</v>
      </c>
      <c r="V27" s="8" t="b">
        <v>0</v>
      </c>
      <c r="W27" s="8" t="b">
        <v>0</v>
      </c>
      <c r="X27" s="8"/>
    </row>
    <row r="28" spans="1:24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/>
      <c r="H28" s="8" t="str">
        <f t="array" ref="H28">GetValue("Tables",G28,"Name")</f>
        <v/>
      </c>
      <c r="I28" s="8" t="s">
        <v>1</v>
      </c>
      <c r="J28" s="8" t="s">
        <v>282</v>
      </c>
      <c r="K28" s="8" t="s">
        <v>246</v>
      </c>
      <c r="L28" s="8" t="s">
        <v>246</v>
      </c>
      <c r="M28" s="8"/>
      <c r="N28" s="8"/>
      <c r="O28" s="15" t="s">
        <v>36</v>
      </c>
      <c r="P28" s="15"/>
      <c r="Q28" s="8" t="b">
        <v>0</v>
      </c>
      <c r="R28" s="8"/>
      <c r="S28" s="8" t="b">
        <v>1</v>
      </c>
      <c r="T28" s="8"/>
      <c r="U28" s="8" t="b">
        <v>1</v>
      </c>
      <c r="V28" s="8" t="b">
        <v>1</v>
      </c>
      <c r="W28" s="8" t="b">
        <v>1</v>
      </c>
      <c r="X28" s="8"/>
    </row>
    <row r="29" spans="1:24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/>
      <c r="H29" s="8" t="str">
        <f t="array" ref="H29">GetValue("Tables",G29,"Name")</f>
        <v/>
      </c>
      <c r="I29" s="8" t="s">
        <v>84</v>
      </c>
      <c r="J29" s="8" t="s">
        <v>283</v>
      </c>
      <c r="K29" s="8" t="s">
        <v>271</v>
      </c>
      <c r="L29" s="8" t="s">
        <v>271</v>
      </c>
      <c r="M29" s="8"/>
      <c r="N29" s="8"/>
      <c r="O29" s="15" t="s">
        <v>36</v>
      </c>
      <c r="P29" s="15"/>
      <c r="Q29" s="8" t="b">
        <v>0</v>
      </c>
      <c r="R29" s="8"/>
      <c r="S29" s="8" t="b">
        <v>1</v>
      </c>
      <c r="T29" s="8"/>
      <c r="U29" s="8"/>
      <c r="V29" s="8" t="b">
        <v>1</v>
      </c>
      <c r="W29" s="8" t="b">
        <v>0</v>
      </c>
      <c r="X29" s="8"/>
    </row>
    <row r="30" spans="1:24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/>
      <c r="H30" s="10" t="str">
        <f t="array" ref="H30">GetValue("Tables",G30,"Name")</f>
        <v/>
      </c>
      <c r="I30" s="10" t="s">
        <v>0</v>
      </c>
      <c r="J30" s="10" t="s">
        <v>267</v>
      </c>
      <c r="K30" s="10" t="s">
        <v>244</v>
      </c>
      <c r="L30" s="10" t="s">
        <v>244</v>
      </c>
      <c r="M30" s="10"/>
      <c r="N30" s="10"/>
      <c r="O30" s="17">
        <v>1</v>
      </c>
      <c r="P30" s="17"/>
      <c r="Q30" s="10" t="b">
        <v>1</v>
      </c>
      <c r="R30" s="10" t="b">
        <v>0</v>
      </c>
      <c r="S30" s="10" t="b">
        <v>1</v>
      </c>
      <c r="T30" s="10"/>
      <c r="U30" s="10" t="b">
        <v>1</v>
      </c>
      <c r="V30" s="10" t="b">
        <v>0</v>
      </c>
      <c r="W30" s="10" t="b">
        <v>0</v>
      </c>
      <c r="X30" s="10"/>
    </row>
    <row r="31" spans="1:24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>
        <v>2</v>
      </c>
      <c r="H31" s="10" t="str">
        <f t="array" ref="H31">GetValue("Tables",G31,"Name")</f>
        <v>Types</v>
      </c>
      <c r="I31" s="10" t="s">
        <v>63</v>
      </c>
      <c r="J31" s="10" t="s">
        <v>268</v>
      </c>
      <c r="K31" s="10" t="s">
        <v>269</v>
      </c>
      <c r="L31" s="10" t="s">
        <v>269</v>
      </c>
      <c r="M31" s="10"/>
      <c r="N31" s="10"/>
      <c r="O31" s="17">
        <v>1</v>
      </c>
      <c r="P31" s="16"/>
      <c r="Q31" s="10" t="b">
        <v>0</v>
      </c>
      <c r="R31" s="10" t="b">
        <v>0</v>
      </c>
      <c r="S31" s="10" t="b">
        <v>1</v>
      </c>
      <c r="T31" s="10"/>
      <c r="U31" s="10" t="b">
        <v>1</v>
      </c>
      <c r="V31" s="10" t="b">
        <v>1</v>
      </c>
      <c r="W31" s="10" t="b">
        <v>1</v>
      </c>
      <c r="X31" s="10"/>
    </row>
    <row r="32" spans="1:24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>
        <v>3</v>
      </c>
      <c r="H32" s="10" t="str">
        <f t="array" ref="H32">GetValue("Tables",G32,"Name")</f>
        <v>Masks</v>
      </c>
      <c r="I32" s="10" t="s">
        <v>64</v>
      </c>
      <c r="J32" s="10" t="s">
        <v>270</v>
      </c>
      <c r="K32" s="10" t="s">
        <v>271</v>
      </c>
      <c r="L32" s="10" t="s">
        <v>271</v>
      </c>
      <c r="M32" s="10"/>
      <c r="N32" s="10"/>
      <c r="O32" s="17" t="s">
        <v>36</v>
      </c>
      <c r="P32" s="16"/>
      <c r="Q32" s="10" t="b">
        <v>0</v>
      </c>
      <c r="R32" s="10"/>
      <c r="S32" s="10" t="b">
        <v>0</v>
      </c>
      <c r="T32" s="10"/>
      <c r="U32" s="10" t="b">
        <v>1</v>
      </c>
      <c r="V32" s="10" t="b">
        <v>1</v>
      </c>
      <c r="W32" s="10" t="b">
        <v>1</v>
      </c>
      <c r="X32" s="10"/>
    </row>
    <row r="33" spans="1:24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/>
      <c r="H33" s="10" t="str">
        <f t="array" ref="H33">GetValue("Tables",G33,"Name")</f>
        <v/>
      </c>
      <c r="I33" s="10" t="s">
        <v>1</v>
      </c>
      <c r="J33" s="10" t="s">
        <v>272</v>
      </c>
      <c r="K33" s="10" t="s">
        <v>246</v>
      </c>
      <c r="L33" s="10" t="s">
        <v>246</v>
      </c>
      <c r="M33" s="10"/>
      <c r="N33" s="10"/>
      <c r="O33" s="17" t="s">
        <v>36</v>
      </c>
      <c r="P33" s="16"/>
      <c r="Q33" s="10" t="b">
        <v>0</v>
      </c>
      <c r="R33" s="10"/>
      <c r="S33" s="10" t="b">
        <v>1</v>
      </c>
      <c r="T33" s="10" t="b">
        <v>1</v>
      </c>
      <c r="U33" s="10" t="b">
        <v>1</v>
      </c>
      <c r="V33" s="10" t="b">
        <v>1</v>
      </c>
      <c r="W33" s="10" t="b">
        <v>1</v>
      </c>
      <c r="X33" s="10"/>
    </row>
    <row r="34" spans="1:24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/>
      <c r="H34" s="10" t="str">
        <f t="array" ref="H34">GetValue("Tables",G34,"Name")</f>
        <v/>
      </c>
      <c r="I34" s="10" t="s">
        <v>65</v>
      </c>
      <c r="J34" s="10" t="s">
        <v>273</v>
      </c>
      <c r="K34" s="10" t="s">
        <v>274</v>
      </c>
      <c r="L34" s="10" t="s">
        <v>274</v>
      </c>
      <c r="M34" s="10"/>
      <c r="N34" s="10"/>
      <c r="O34" s="17">
        <v>0</v>
      </c>
      <c r="P34" s="16"/>
      <c r="Q34" s="10" t="b">
        <v>0</v>
      </c>
      <c r="R34" s="10" t="b">
        <v>0</v>
      </c>
      <c r="S34" s="10" t="b">
        <v>0</v>
      </c>
      <c r="T34" s="10"/>
      <c r="U34" s="10" t="b">
        <v>0</v>
      </c>
      <c r="V34" s="10" t="b">
        <v>1</v>
      </c>
      <c r="W34" s="10" t="b">
        <v>1</v>
      </c>
      <c r="X34" s="10"/>
    </row>
    <row r="35" spans="1:24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/>
      <c r="H35" s="10" t="str">
        <f t="array" ref="H35">GetValue("Tables",G35,"Name")</f>
        <v/>
      </c>
      <c r="I35" s="10" t="s">
        <v>66</v>
      </c>
      <c r="J35" s="10" t="s">
        <v>275</v>
      </c>
      <c r="K35" s="10" t="s">
        <v>276</v>
      </c>
      <c r="L35" s="10" t="s">
        <v>276</v>
      </c>
      <c r="M35" s="10"/>
      <c r="N35" s="10"/>
      <c r="O35" s="17">
        <v>0</v>
      </c>
      <c r="P35" s="16"/>
      <c r="Q35" s="10" t="b">
        <v>0</v>
      </c>
      <c r="R35" s="10" t="b">
        <v>0</v>
      </c>
      <c r="S35" s="10" t="b">
        <v>0</v>
      </c>
      <c r="T35" s="10"/>
      <c r="U35" s="10" t="b">
        <v>0</v>
      </c>
      <c r="V35" s="10" t="b">
        <v>1</v>
      </c>
      <c r="W35" s="10" t="b">
        <v>1</v>
      </c>
      <c r="X35" s="10"/>
    </row>
    <row r="36" spans="1:24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/>
      <c r="H36" s="10" t="str">
        <f t="array" ref="H36">GetValue("Tables",G36,"Name")</f>
        <v/>
      </c>
      <c r="I36" s="10" t="s">
        <v>452</v>
      </c>
      <c r="J36" s="10" t="s">
        <v>448</v>
      </c>
      <c r="K36" s="10" t="s">
        <v>448</v>
      </c>
      <c r="L36" s="10" t="s">
        <v>448</v>
      </c>
      <c r="M36" s="10"/>
      <c r="N36" s="10"/>
      <c r="O36" s="17" t="s">
        <v>36</v>
      </c>
      <c r="P36" s="16"/>
      <c r="Q36" s="10"/>
      <c r="R36" s="10"/>
      <c r="S36" s="10" t="b">
        <v>0</v>
      </c>
      <c r="T36" s="10"/>
      <c r="U36" s="10" t="b">
        <v>1</v>
      </c>
      <c r="V36" s="10" t="b">
        <v>1</v>
      </c>
      <c r="W36" s="10" t="b">
        <v>1</v>
      </c>
      <c r="X36" s="10"/>
    </row>
    <row r="37" spans="1:24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/>
      <c r="H37" s="10" t="str">
        <f t="array" ref="H37">GetValue("Tables",G37,"Name")</f>
        <v/>
      </c>
      <c r="I37" s="10" t="s">
        <v>67</v>
      </c>
      <c r="J37" s="10" t="s">
        <v>277</v>
      </c>
      <c r="K37" s="10" t="s">
        <v>250</v>
      </c>
      <c r="L37" s="10" t="s">
        <v>250</v>
      </c>
      <c r="M37" s="10"/>
      <c r="N37" s="10"/>
      <c r="O37" s="17" t="s">
        <v>36</v>
      </c>
      <c r="P37" s="16"/>
      <c r="Q37" s="10"/>
      <c r="R37" s="10"/>
      <c r="S37" s="10" t="b">
        <v>0</v>
      </c>
      <c r="T37" s="10"/>
      <c r="U37" s="10"/>
      <c r="V37" s="10" t="b">
        <v>1</v>
      </c>
      <c r="W37" s="10" t="b">
        <v>0</v>
      </c>
      <c r="X37" s="10"/>
    </row>
    <row r="38" spans="1:24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/>
      <c r="H38" s="10" t="str">
        <f t="array" ref="H38">GetValue("Tables",G38,"Name")</f>
        <v/>
      </c>
      <c r="I38" s="10" t="s">
        <v>26</v>
      </c>
      <c r="J38" s="10" t="s">
        <v>278</v>
      </c>
      <c r="K38" s="10" t="s">
        <v>252</v>
      </c>
      <c r="L38" s="10" t="s">
        <v>252</v>
      </c>
      <c r="M38" s="10"/>
      <c r="N38" s="10"/>
      <c r="O38" s="17" t="s">
        <v>36</v>
      </c>
      <c r="P38" s="16"/>
      <c r="Q38" s="10"/>
      <c r="R38" s="10"/>
      <c r="S38" s="10" t="b">
        <v>0</v>
      </c>
      <c r="T38" s="10"/>
      <c r="U38" s="10"/>
      <c r="V38" s="10" t="b">
        <v>1</v>
      </c>
      <c r="W38" s="10" t="b">
        <v>0</v>
      </c>
      <c r="X38" s="10"/>
    </row>
    <row r="39" spans="1:24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/>
      <c r="H39" s="10" t="str">
        <f t="array" ref="H39">GetValue("Tables",G39,"Name")</f>
        <v/>
      </c>
      <c r="I39" s="10" t="s">
        <v>27</v>
      </c>
      <c r="J39" s="10" t="s">
        <v>279</v>
      </c>
      <c r="K39" s="10" t="s">
        <v>280</v>
      </c>
      <c r="L39" s="10" t="s">
        <v>280</v>
      </c>
      <c r="M39" s="10"/>
      <c r="N39" s="10"/>
      <c r="O39" s="17" t="s">
        <v>36</v>
      </c>
      <c r="P39" s="16"/>
      <c r="Q39" s="10"/>
      <c r="R39" s="10"/>
      <c r="S39" s="10" t="b">
        <v>0</v>
      </c>
      <c r="T39" s="10"/>
      <c r="U39" s="10"/>
      <c r="V39" s="10" t="b">
        <v>1</v>
      </c>
      <c r="W39" s="10" t="b">
        <v>0</v>
      </c>
      <c r="X39" s="10"/>
    </row>
    <row r="40" spans="1:24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/>
      <c r="H40" s="10" t="str">
        <f t="array" ref="H40">GetValue("Tables",G40,"Name")</f>
        <v/>
      </c>
      <c r="I40" s="10" t="s">
        <v>434</v>
      </c>
      <c r="J40" s="10" t="s">
        <v>446</v>
      </c>
      <c r="K40" s="10" t="s">
        <v>447</v>
      </c>
      <c r="L40" s="10" t="s">
        <v>447</v>
      </c>
      <c r="M40" s="10"/>
      <c r="N40" s="10"/>
      <c r="O40" s="17" t="s">
        <v>36</v>
      </c>
      <c r="P40" s="16"/>
      <c r="Q40" s="10"/>
      <c r="R40" s="10"/>
      <c r="S40" s="10" t="b">
        <v>0</v>
      </c>
      <c r="T40" s="10"/>
      <c r="U40" s="10" t="b">
        <v>1</v>
      </c>
      <c r="V40" s="10" t="b">
        <v>1</v>
      </c>
      <c r="W40" s="10" t="b">
        <v>1</v>
      </c>
      <c r="X40" s="10"/>
    </row>
    <row r="41" spans="1:24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/>
      <c r="H41" s="8" t="str">
        <f t="array" ref="H41">GetValue("Tables",G41,"Name")</f>
        <v/>
      </c>
      <c r="I41" s="8" t="s">
        <v>0</v>
      </c>
      <c r="J41" s="8" t="s">
        <v>284</v>
      </c>
      <c r="K41" s="8" t="s">
        <v>244</v>
      </c>
      <c r="L41" s="8" t="s">
        <v>244</v>
      </c>
      <c r="M41" s="8"/>
      <c r="N41" s="8"/>
      <c r="O41" s="15">
        <v>1</v>
      </c>
      <c r="P41" s="15"/>
      <c r="Q41" s="8" t="b">
        <v>1</v>
      </c>
      <c r="R41" s="8" t="b">
        <v>0</v>
      </c>
      <c r="S41" s="8" t="b">
        <v>1</v>
      </c>
      <c r="T41" s="8"/>
      <c r="U41" s="8" t="b">
        <v>1</v>
      </c>
      <c r="V41" s="8" t="b">
        <v>0</v>
      </c>
      <c r="W41" s="8" t="b">
        <v>0</v>
      </c>
      <c r="X41" s="8"/>
    </row>
    <row r="42" spans="1:24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/>
      <c r="H42" s="8" t="str">
        <f t="array" ref="H42">GetValue("Tables",G42,"Name")</f>
        <v/>
      </c>
      <c r="I42" s="8" t="s">
        <v>1</v>
      </c>
      <c r="J42" s="8" t="s">
        <v>285</v>
      </c>
      <c r="K42" s="8" t="s">
        <v>246</v>
      </c>
      <c r="L42" s="8" t="s">
        <v>246</v>
      </c>
      <c r="M42" s="8"/>
      <c r="N42" s="8"/>
      <c r="O42" s="15" t="s">
        <v>36</v>
      </c>
      <c r="P42" s="15"/>
      <c r="Q42" s="8" t="b">
        <v>0</v>
      </c>
      <c r="R42" s="8"/>
      <c r="S42" s="8" t="b">
        <v>1</v>
      </c>
      <c r="T42" s="8" t="b">
        <v>1</v>
      </c>
      <c r="U42" s="8" t="b">
        <v>1</v>
      </c>
      <c r="V42" s="8" t="b">
        <v>1</v>
      </c>
      <c r="W42" s="8" t="b">
        <v>1</v>
      </c>
      <c r="X42" s="8" t="b">
        <v>0</v>
      </c>
    </row>
    <row r="43" spans="1:24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/>
      <c r="H43" s="8" t="str">
        <f t="array" ref="H43">GetValue("Tables",G43,"Name")</f>
        <v/>
      </c>
      <c r="I43" s="8" t="s">
        <v>91</v>
      </c>
      <c r="J43" s="8" t="s">
        <v>286</v>
      </c>
      <c r="K43" s="8" t="s">
        <v>287</v>
      </c>
      <c r="L43" s="8" t="s">
        <v>287</v>
      </c>
      <c r="M43" s="8"/>
      <c r="N43" s="8"/>
      <c r="O43" s="15" t="s">
        <v>36</v>
      </c>
      <c r="P43" s="15"/>
      <c r="Q43" s="8" t="b">
        <v>0</v>
      </c>
      <c r="R43" s="8"/>
      <c r="S43" s="8" t="b">
        <v>1</v>
      </c>
      <c r="T43" s="8" t="b">
        <v>0</v>
      </c>
      <c r="U43" s="8" t="b">
        <v>0</v>
      </c>
      <c r="V43" s="8" t="b">
        <v>1</v>
      </c>
      <c r="W43" s="8" t="b">
        <v>1</v>
      </c>
      <c r="X43" s="8" t="b">
        <v>0</v>
      </c>
    </row>
    <row r="44" spans="1:24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/>
      <c r="H44" s="8" t="str">
        <f t="array" ref="H44">GetValue("Tables",G44,"Name")</f>
        <v/>
      </c>
      <c r="I44" s="8" t="s">
        <v>92</v>
      </c>
      <c r="J44" s="8" t="s">
        <v>288</v>
      </c>
      <c r="K44" s="8" t="s">
        <v>289</v>
      </c>
      <c r="L44" s="8" t="s">
        <v>289</v>
      </c>
      <c r="M44" s="8"/>
      <c r="N44" s="8"/>
      <c r="O44" s="15" t="s">
        <v>36</v>
      </c>
      <c r="P44" s="15"/>
      <c r="Q44" s="8" t="b">
        <v>0</v>
      </c>
      <c r="R44" s="8"/>
      <c r="S44" s="8" t="b">
        <v>1</v>
      </c>
      <c r="T44" s="8" t="b">
        <v>0</v>
      </c>
      <c r="U44" s="8" t="b">
        <v>1</v>
      </c>
      <c r="V44" s="8" t="b">
        <v>1</v>
      </c>
      <c r="W44" s="8" t="b">
        <v>1</v>
      </c>
      <c r="X44" s="8" t="b">
        <v>0</v>
      </c>
    </row>
    <row r="45" spans="1:24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/>
      <c r="H45" s="8" t="str">
        <f t="array" ref="H45">GetValue("Tables",G45,"Name")</f>
        <v/>
      </c>
      <c r="I45" s="8" t="s">
        <v>93</v>
      </c>
      <c r="J45" s="8" t="s">
        <v>290</v>
      </c>
      <c r="K45" s="8" t="s">
        <v>291</v>
      </c>
      <c r="L45" s="8" t="s">
        <v>291</v>
      </c>
      <c r="M45" s="8"/>
      <c r="N45" s="8">
        <v>5</v>
      </c>
      <c r="O45" s="15">
        <v>1</v>
      </c>
      <c r="P45" s="15"/>
      <c r="Q45" s="8" t="b">
        <v>0</v>
      </c>
      <c r="R45" s="8" t="b">
        <v>0</v>
      </c>
      <c r="S45" s="8" t="b">
        <v>1</v>
      </c>
      <c r="T45" s="8"/>
      <c r="U45" s="8" t="b">
        <v>0</v>
      </c>
      <c r="V45" s="8" t="b">
        <v>1</v>
      </c>
      <c r="W45" s="8" t="b">
        <v>1</v>
      </c>
      <c r="X45" s="8"/>
    </row>
    <row r="46" spans="1:24" x14ac:dyDescent="0.3">
      <c r="A46" s="10">
        <f t="shared" si="2"/>
        <v>45</v>
      </c>
      <c r="B46" s="10">
        <v>6</v>
      </c>
      <c r="C46" s="10" t="str">
        <f t="array" ref="C46">GetValue("Tables",B46,"Name")</f>
        <v>Menus</v>
      </c>
      <c r="D46" s="10">
        <v>5</v>
      </c>
      <c r="E46" s="10">
        <v>1</v>
      </c>
      <c r="F46" s="10" t="str">
        <f t="array" ref="F46">GetValue("Domains",E46,"Name")</f>
        <v>BigInteger</v>
      </c>
      <c r="G46" s="10"/>
      <c r="H46" s="10" t="str">
        <f t="array" ref="H46">GetValue("Tables",G46,"Name")</f>
        <v/>
      </c>
      <c r="I46" s="10" t="s">
        <v>0</v>
      </c>
      <c r="J46" s="10" t="s">
        <v>292</v>
      </c>
      <c r="K46" s="10" t="s">
        <v>244</v>
      </c>
      <c r="L46" s="10" t="s">
        <v>244</v>
      </c>
      <c r="M46" s="10"/>
      <c r="N46" s="10"/>
      <c r="O46" s="17">
        <v>1</v>
      </c>
      <c r="P46" s="17"/>
      <c r="Q46" s="10" t="b">
        <v>1</v>
      </c>
      <c r="R46" s="10" t="b">
        <v>0</v>
      </c>
      <c r="S46" s="10" t="b">
        <v>1</v>
      </c>
      <c r="T46" s="10"/>
      <c r="U46" s="10" t="b">
        <v>1</v>
      </c>
      <c r="V46" s="10" t="b">
        <v>0</v>
      </c>
      <c r="W46" s="10" t="b">
        <v>0</v>
      </c>
      <c r="X46" s="10"/>
    </row>
    <row r="47" spans="1:24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f t="shared" ref="D47:D52" si="5">D46+5</f>
        <v>10</v>
      </c>
      <c r="E47" s="10">
        <v>1</v>
      </c>
      <c r="F47" s="10" t="str">
        <f t="array" ref="F47">GetValue("Domains",E47,"Name")</f>
        <v>BigInteger</v>
      </c>
      <c r="G47" s="10">
        <v>5</v>
      </c>
      <c r="H47" s="10" t="str">
        <f t="array" ref="H47">GetValue("Tables",G47,"Name")</f>
        <v>Systems</v>
      </c>
      <c r="I47" s="10" t="s">
        <v>97</v>
      </c>
      <c r="J47" s="10" t="s">
        <v>293</v>
      </c>
      <c r="K47" s="10" t="s">
        <v>294</v>
      </c>
      <c r="L47" s="10" t="s">
        <v>294</v>
      </c>
      <c r="M47" s="10"/>
      <c r="N47" s="10"/>
      <c r="O47" s="17">
        <v>1</v>
      </c>
      <c r="P47" s="16"/>
      <c r="Q47" s="10" t="b">
        <v>0</v>
      </c>
      <c r="R47" s="10" t="b">
        <v>0</v>
      </c>
      <c r="S47" s="10" t="b">
        <v>1</v>
      </c>
      <c r="T47" s="10"/>
      <c r="U47" s="10" t="b">
        <v>1</v>
      </c>
      <c r="V47" s="10" t="b">
        <v>1</v>
      </c>
      <c r="W47" s="10" t="b">
        <v>1</v>
      </c>
      <c r="X47" s="10"/>
    </row>
    <row r="48" spans="1:24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si="5"/>
        <v>15</v>
      </c>
      <c r="E48" s="10">
        <v>4</v>
      </c>
      <c r="F48" s="10" t="str">
        <f t="array" ref="F48">GetValue("Domains",E48,"Name")</f>
        <v>SmallInteger</v>
      </c>
      <c r="G48" s="10"/>
      <c r="H48" s="10" t="str">
        <f t="array" ref="H48">GetValue("Tables",G48,"Name")</f>
        <v/>
      </c>
      <c r="I48" s="10" t="s">
        <v>98</v>
      </c>
      <c r="J48" s="10" t="s">
        <v>295</v>
      </c>
      <c r="K48" s="10" t="s">
        <v>296</v>
      </c>
      <c r="L48" s="10" t="s">
        <v>296</v>
      </c>
      <c r="M48" s="10"/>
      <c r="N48" s="10"/>
      <c r="O48" s="17">
        <v>1</v>
      </c>
      <c r="P48" s="16"/>
      <c r="Q48" s="10" t="b">
        <v>0</v>
      </c>
      <c r="R48" s="10" t="b">
        <v>0</v>
      </c>
      <c r="S48" s="10" t="b">
        <v>1</v>
      </c>
      <c r="T48" s="10"/>
      <c r="U48" s="10" t="b">
        <v>0</v>
      </c>
      <c r="V48" s="10" t="b">
        <v>1</v>
      </c>
      <c r="W48" s="10" t="b">
        <v>1</v>
      </c>
      <c r="X48" s="10"/>
    </row>
    <row r="49" spans="1:24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20</v>
      </c>
      <c r="E49" s="10">
        <v>8</v>
      </c>
      <c r="F49" s="10" t="str">
        <f t="array" ref="F49">GetValue("Domains",E49,"Name")</f>
        <v>Varchar(20)</v>
      </c>
      <c r="G49" s="10"/>
      <c r="H49" s="10" t="str">
        <f t="array" ref="H49">GetValue("Tables",G49,"Name")</f>
        <v/>
      </c>
      <c r="I49" s="10" t="s">
        <v>99</v>
      </c>
      <c r="J49" s="10" t="s">
        <v>297</v>
      </c>
      <c r="K49" s="10" t="s">
        <v>298</v>
      </c>
      <c r="L49" s="10" t="s">
        <v>298</v>
      </c>
      <c r="M49" s="10"/>
      <c r="N49" s="10"/>
      <c r="O49" s="17" t="s">
        <v>36</v>
      </c>
      <c r="P49" s="16"/>
      <c r="Q49" s="10" t="b">
        <v>0</v>
      </c>
      <c r="R49" s="10"/>
      <c r="S49" s="10" t="b">
        <v>1</v>
      </c>
      <c r="T49" s="10"/>
      <c r="U49" s="10" t="b">
        <v>1</v>
      </c>
      <c r="V49" s="10" t="b">
        <v>1</v>
      </c>
      <c r="W49" s="10" t="b">
        <v>1</v>
      </c>
      <c r="X49" s="10" t="b">
        <v>0</v>
      </c>
    </row>
    <row r="50" spans="1:24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25</v>
      </c>
      <c r="E50" s="10">
        <v>10</v>
      </c>
      <c r="F50" s="10" t="str">
        <f t="array" ref="F50">GetValue("Domains",E50,"Name")</f>
        <v>Varchar(50)</v>
      </c>
      <c r="G50" s="10"/>
      <c r="H50" s="10" t="str">
        <f t="array" ref="H50">GetValue("Tables",G50,"Name")</f>
        <v/>
      </c>
      <c r="I50" s="10" t="s">
        <v>100</v>
      </c>
      <c r="J50" s="10" t="s">
        <v>299</v>
      </c>
      <c r="K50" s="10" t="s">
        <v>300</v>
      </c>
      <c r="L50" s="10" t="s">
        <v>300</v>
      </c>
      <c r="M50" s="10"/>
      <c r="N50" s="10"/>
      <c r="O50" s="17" t="s">
        <v>36</v>
      </c>
      <c r="P50" s="16"/>
      <c r="Q50" s="10" t="b">
        <v>0</v>
      </c>
      <c r="R50" s="10"/>
      <c r="S50" s="10" t="b">
        <v>1</v>
      </c>
      <c r="T50" s="10"/>
      <c r="U50" s="10" t="b">
        <v>0</v>
      </c>
      <c r="V50" s="10" t="b">
        <v>1</v>
      </c>
      <c r="W50" s="10" t="b">
        <v>1</v>
      </c>
      <c r="X50" s="10" t="b">
        <v>0</v>
      </c>
    </row>
    <row r="51" spans="1:24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30</v>
      </c>
      <c r="E51" s="10">
        <v>10</v>
      </c>
      <c r="F51" s="10" t="str">
        <f t="array" ref="F51">GetValue("Domains",E51,"Name")</f>
        <v>Varchar(50)</v>
      </c>
      <c r="G51" s="10"/>
      <c r="H51" s="10" t="str">
        <f t="array" ref="H51">GetValue("Tables",G51,"Name")</f>
        <v/>
      </c>
      <c r="I51" s="10" t="s">
        <v>101</v>
      </c>
      <c r="J51" s="10" t="s">
        <v>301</v>
      </c>
      <c r="K51" s="10" t="s">
        <v>302</v>
      </c>
      <c r="L51" s="10" t="s">
        <v>302</v>
      </c>
      <c r="M51" s="10"/>
      <c r="N51" s="10"/>
      <c r="O51" s="17" t="s">
        <v>36</v>
      </c>
      <c r="P51" s="16"/>
      <c r="Q51" s="10" t="b">
        <v>0</v>
      </c>
      <c r="R51" s="10"/>
      <c r="S51" s="10" t="b">
        <v>0</v>
      </c>
      <c r="T51" s="10"/>
      <c r="U51" s="10" t="b">
        <v>0</v>
      </c>
      <c r="V51" s="10" t="b">
        <v>1</v>
      </c>
      <c r="W51" s="10" t="b">
        <v>1</v>
      </c>
      <c r="X51" s="10" t="b">
        <v>0</v>
      </c>
    </row>
    <row r="52" spans="1:24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35</v>
      </c>
      <c r="E52" s="10">
        <v>1</v>
      </c>
      <c r="F52" s="10" t="str">
        <f t="array" ref="F52">GetValue("Domains",E52,"Name")</f>
        <v>BigInteger</v>
      </c>
      <c r="G52" s="10">
        <v>6</v>
      </c>
      <c r="H52" s="10" t="str">
        <f t="array" ref="H52">GetValue("Tables",G52,"Name")</f>
        <v>Menus</v>
      </c>
      <c r="I52" s="10" t="s">
        <v>102</v>
      </c>
      <c r="J52" s="10" t="s">
        <v>303</v>
      </c>
      <c r="K52" s="10" t="s">
        <v>304</v>
      </c>
      <c r="L52" s="10" t="s">
        <v>304</v>
      </c>
      <c r="M52" s="10"/>
      <c r="N52" s="10"/>
      <c r="O52" s="17">
        <v>1</v>
      </c>
      <c r="P52" s="16"/>
      <c r="Q52" s="10" t="b">
        <v>0</v>
      </c>
      <c r="R52" s="10" t="b">
        <v>0</v>
      </c>
      <c r="S52" s="10" t="b">
        <v>0</v>
      </c>
      <c r="T52" s="10"/>
      <c r="U52" s="10" t="b">
        <v>0</v>
      </c>
      <c r="V52" s="10" t="b">
        <v>1</v>
      </c>
      <c r="W52" s="10" t="b">
        <v>0</v>
      </c>
      <c r="X52" s="10"/>
    </row>
    <row r="53" spans="1:24" x14ac:dyDescent="0.3">
      <c r="A53" s="8">
        <f t="shared" si="2"/>
        <v>52</v>
      </c>
      <c r="B53" s="8">
        <v>7</v>
      </c>
      <c r="C53" s="8" t="str">
        <f t="array" ref="C53">GetValue("Tables",B53,"Name")</f>
        <v>Users</v>
      </c>
      <c r="D53" s="8">
        <v>5</v>
      </c>
      <c r="E53" s="8">
        <v>1</v>
      </c>
      <c r="F53" s="8" t="str">
        <f t="array" ref="F53">GetValue("Domains",E53,"Name")</f>
        <v>BigInteger</v>
      </c>
      <c r="G53" s="8"/>
      <c r="H53" s="8" t="str">
        <f t="array" ref="H53">GetValue("Tables",G53,"Name")</f>
        <v/>
      </c>
      <c r="I53" s="8" t="s">
        <v>0</v>
      </c>
      <c r="J53" s="8" t="s">
        <v>305</v>
      </c>
      <c r="K53" s="8" t="s">
        <v>244</v>
      </c>
      <c r="L53" s="8" t="s">
        <v>244</v>
      </c>
      <c r="M53" s="8"/>
      <c r="N53" s="8"/>
      <c r="O53" s="15">
        <v>1</v>
      </c>
      <c r="P53" s="15"/>
      <c r="Q53" s="8" t="b">
        <v>1</v>
      </c>
      <c r="R53" s="8" t="b">
        <v>0</v>
      </c>
      <c r="S53" s="8" t="b">
        <v>1</v>
      </c>
      <c r="T53" s="8"/>
      <c r="U53" s="8" t="b">
        <v>1</v>
      </c>
      <c r="V53" s="8" t="b">
        <v>0</v>
      </c>
      <c r="W53" s="8" t="b">
        <v>0</v>
      </c>
      <c r="X53" s="8"/>
    </row>
    <row r="54" spans="1:24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f>D53+5</f>
        <v>10</v>
      </c>
      <c r="E54" s="8">
        <v>9</v>
      </c>
      <c r="F54" s="8" t="str">
        <f t="array" ref="F54">GetValue("Domains",E54,"Name")</f>
        <v>Varchar(25)</v>
      </c>
      <c r="G54" s="8"/>
      <c r="H54" s="8" t="str">
        <f t="array" ref="H54">GetValue("Tables",G54,"Name")</f>
        <v/>
      </c>
      <c r="I54" s="8" t="s">
        <v>1</v>
      </c>
      <c r="J54" s="8" t="s">
        <v>306</v>
      </c>
      <c r="K54" s="8" t="s">
        <v>246</v>
      </c>
      <c r="L54" s="8" t="s">
        <v>246</v>
      </c>
      <c r="M54" s="8"/>
      <c r="N54" s="8"/>
      <c r="O54" s="15" t="s">
        <v>36</v>
      </c>
      <c r="P54" s="15"/>
      <c r="Q54" s="8" t="b">
        <v>0</v>
      </c>
      <c r="R54" s="8"/>
      <c r="S54" s="8" t="b">
        <v>1</v>
      </c>
      <c r="T54" s="8" t="b">
        <v>1</v>
      </c>
      <c r="U54" s="8" t="b">
        <v>1</v>
      </c>
      <c r="V54" s="8" t="b">
        <v>1</v>
      </c>
      <c r="W54" s="8" t="b">
        <v>1</v>
      </c>
      <c r="X54" s="8" t="b">
        <v>0</v>
      </c>
    </row>
    <row r="55" spans="1:24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15</v>
      </c>
      <c r="E55" s="8">
        <v>11</v>
      </c>
      <c r="F55" s="8" t="str">
        <f t="array" ref="F55">GetValue("Domains",E55,"Name")</f>
        <v>Varchar(256)</v>
      </c>
      <c r="G55" s="8"/>
      <c r="H55" s="8" t="str">
        <f t="array" ref="H55">GetValue("Tables",G55,"Name")</f>
        <v/>
      </c>
      <c r="I55" s="8" t="s">
        <v>127</v>
      </c>
      <c r="J55" s="8" t="s">
        <v>307</v>
      </c>
      <c r="K55" s="8" t="s">
        <v>308</v>
      </c>
      <c r="L55" s="8" t="s">
        <v>308</v>
      </c>
      <c r="M55" s="8"/>
      <c r="N55" s="8"/>
      <c r="O55" s="15" t="s">
        <v>36</v>
      </c>
      <c r="P55" s="15"/>
      <c r="Q55" s="8" t="b">
        <v>0</v>
      </c>
      <c r="R55" s="8"/>
      <c r="S55" s="8" t="b">
        <v>1</v>
      </c>
      <c r="T55" s="8" t="b">
        <v>0</v>
      </c>
      <c r="U55" s="8" t="b">
        <v>0</v>
      </c>
      <c r="V55" s="8" t="b">
        <v>1</v>
      </c>
      <c r="W55" s="8" t="b">
        <v>0</v>
      </c>
      <c r="X55" s="8" t="b">
        <v>1</v>
      </c>
    </row>
    <row r="56" spans="1:24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20</v>
      </c>
      <c r="E56" s="8">
        <v>10</v>
      </c>
      <c r="F56" s="8" t="str">
        <f t="array" ref="F56">GetValue("Domains",E56,"Name")</f>
        <v>Varchar(50)</v>
      </c>
      <c r="G56" s="8"/>
      <c r="H56" s="8" t="str">
        <f t="array" ref="H56">GetValue("Tables",G56,"Name")</f>
        <v/>
      </c>
      <c r="I56" s="8" t="s">
        <v>128</v>
      </c>
      <c r="J56" s="8" t="s">
        <v>309</v>
      </c>
      <c r="K56" s="8" t="s">
        <v>310</v>
      </c>
      <c r="L56" s="8" t="s">
        <v>310</v>
      </c>
      <c r="M56" s="8"/>
      <c r="N56" s="8"/>
      <c r="O56" s="15" t="s">
        <v>36</v>
      </c>
      <c r="P56" s="15"/>
      <c r="Q56" s="8" t="b">
        <v>0</v>
      </c>
      <c r="R56" s="8"/>
      <c r="S56" s="8" t="b">
        <v>1</v>
      </c>
      <c r="T56" s="8" t="b">
        <v>0</v>
      </c>
      <c r="U56" s="8" t="b">
        <v>1</v>
      </c>
      <c r="V56" s="8" t="b">
        <v>1</v>
      </c>
      <c r="W56" s="8" t="b">
        <v>1</v>
      </c>
      <c r="X56" s="8" t="b">
        <v>0</v>
      </c>
    </row>
    <row r="57" spans="1:24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25</v>
      </c>
      <c r="E57" s="8">
        <v>5</v>
      </c>
      <c r="F57" s="8" t="str">
        <f t="array" ref="F57">GetValue("Domains",E57,"Name")</f>
        <v>TinyInteger</v>
      </c>
      <c r="G57" s="8"/>
      <c r="H57" s="8" t="str">
        <f t="array" ref="H57">GetValue("Tables",G57,"Name")</f>
        <v/>
      </c>
      <c r="I57" s="8" t="s">
        <v>129</v>
      </c>
      <c r="J57" s="8" t="s">
        <v>311</v>
      </c>
      <c r="K57" s="8" t="s">
        <v>311</v>
      </c>
      <c r="L57" s="8" t="s">
        <v>311</v>
      </c>
      <c r="M57" s="8"/>
      <c r="N57" s="8">
        <v>0</v>
      </c>
      <c r="O57" s="15">
        <v>0</v>
      </c>
      <c r="P57" s="15"/>
      <c r="Q57" s="8" t="b">
        <v>0</v>
      </c>
      <c r="R57" s="8" t="b">
        <v>0</v>
      </c>
      <c r="S57" s="8" t="b">
        <v>1</v>
      </c>
      <c r="T57" s="8"/>
      <c r="U57" s="8" t="b">
        <v>0</v>
      </c>
      <c r="V57" s="8" t="b">
        <v>1</v>
      </c>
      <c r="W57" s="8" t="b">
        <v>1</v>
      </c>
      <c r="X57" s="8"/>
    </row>
    <row r="58" spans="1:24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30</v>
      </c>
      <c r="E58" s="8">
        <v>6</v>
      </c>
      <c r="F58" s="8" t="str">
        <f t="array" ref="F58">GetValue("Domains",E58,"Name")</f>
        <v>Boolean</v>
      </c>
      <c r="G58" s="8"/>
      <c r="H58" s="8" t="str">
        <f t="array" ref="H58">GetValue("Tables",G58,"Name")</f>
        <v/>
      </c>
      <c r="I58" s="8" t="s">
        <v>34</v>
      </c>
      <c r="J58" s="8" t="s">
        <v>312</v>
      </c>
      <c r="K58" s="8" t="s">
        <v>312</v>
      </c>
      <c r="L58" s="8" t="s">
        <v>312</v>
      </c>
      <c r="M58" s="8"/>
      <c r="N58" s="8"/>
      <c r="O58" s="15" t="s">
        <v>36</v>
      </c>
      <c r="P58" s="15"/>
      <c r="Q58" s="8" t="b">
        <v>0</v>
      </c>
      <c r="R58" s="8"/>
      <c r="S58" s="8" t="b">
        <v>1</v>
      </c>
      <c r="T58" s="8"/>
      <c r="U58" s="8" t="b">
        <v>1</v>
      </c>
      <c r="V58" s="8" t="b">
        <v>1</v>
      </c>
      <c r="W58" s="8" t="b">
        <v>1</v>
      </c>
      <c r="X58" s="8"/>
    </row>
    <row r="59" spans="1:24" x14ac:dyDescent="0.3">
      <c r="A59" s="10">
        <f t="shared" si="2"/>
        <v>58</v>
      </c>
      <c r="B59" s="10">
        <v>8</v>
      </c>
      <c r="C59" s="10" t="str">
        <f t="array" ref="C59">GetValue("Tables",B59,"Name")</f>
        <v>SystemsUsers</v>
      </c>
      <c r="D59" s="10">
        <v>5</v>
      </c>
      <c r="E59" s="10">
        <v>1</v>
      </c>
      <c r="F59" s="10" t="str">
        <f t="array" ref="F59">GetValue("Domains",E59,"Name")</f>
        <v>BigInteger</v>
      </c>
      <c r="G59" s="10"/>
      <c r="H59" s="10" t="str">
        <f t="array" ref="H59">GetValue("Tables",G59,"Name")</f>
        <v/>
      </c>
      <c r="I59" s="10" t="s">
        <v>0</v>
      </c>
      <c r="J59" s="10" t="s">
        <v>313</v>
      </c>
      <c r="K59" s="10" t="s">
        <v>294</v>
      </c>
      <c r="L59" s="10" t="s">
        <v>294</v>
      </c>
      <c r="M59" s="10"/>
      <c r="N59" s="10"/>
      <c r="O59" s="17">
        <v>1</v>
      </c>
      <c r="P59" s="17"/>
      <c r="Q59" s="10" t="b">
        <v>1</v>
      </c>
      <c r="R59" s="10" t="b">
        <v>0</v>
      </c>
      <c r="S59" s="10" t="b">
        <v>1</v>
      </c>
      <c r="T59" s="10"/>
      <c r="U59" s="10" t="b">
        <v>1</v>
      </c>
      <c r="V59" s="10" t="b">
        <v>0</v>
      </c>
      <c r="W59" s="10" t="b">
        <v>0</v>
      </c>
      <c r="X59" s="10"/>
    </row>
    <row r="60" spans="1:24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f>D59+5</f>
        <v>10</v>
      </c>
      <c r="E60" s="10">
        <v>1</v>
      </c>
      <c r="F60" s="10" t="str">
        <f t="array" ref="F60">GetValue("Domains",E60,"Name")</f>
        <v>BigInteger</v>
      </c>
      <c r="G60" s="10">
        <v>5</v>
      </c>
      <c r="H60" s="10" t="str">
        <f t="array" ref="H60">GetValue("Tables",G60,"Name")</f>
        <v>Systems</v>
      </c>
      <c r="I60" s="10" t="s">
        <v>97</v>
      </c>
      <c r="J60" s="10" t="s">
        <v>284</v>
      </c>
      <c r="K60" s="10" t="s">
        <v>244</v>
      </c>
      <c r="L60" s="10" t="s">
        <v>244</v>
      </c>
      <c r="M60" s="10"/>
      <c r="N60" s="10"/>
      <c r="O60" s="17">
        <v>1</v>
      </c>
      <c r="P60" s="17"/>
      <c r="Q60" s="10" t="b">
        <v>0</v>
      </c>
      <c r="R60" s="10" t="b">
        <v>0</v>
      </c>
      <c r="S60" s="10" t="b">
        <v>1</v>
      </c>
      <c r="T60" s="10"/>
      <c r="U60" s="10" t="b">
        <v>1</v>
      </c>
      <c r="V60" s="10" t="b">
        <v>1</v>
      </c>
      <c r="W60" s="10" t="b">
        <v>1</v>
      </c>
      <c r="X60" s="10"/>
    </row>
    <row r="61" spans="1:24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15</v>
      </c>
      <c r="E61" s="10">
        <v>1</v>
      </c>
      <c r="F61" s="10" t="str">
        <f t="array" ref="F61">GetValue("Domains",E61,"Name")</f>
        <v>BigInteger</v>
      </c>
      <c r="G61" s="10">
        <v>7</v>
      </c>
      <c r="H61" s="10" t="str">
        <f t="array" ref="H61">GetValue("Tables",G61,"Name")</f>
        <v>Users</v>
      </c>
      <c r="I61" s="10" t="s">
        <v>131</v>
      </c>
      <c r="J61" s="10" t="s">
        <v>305</v>
      </c>
      <c r="K61" s="10" t="s">
        <v>314</v>
      </c>
      <c r="L61" s="10" t="s">
        <v>314</v>
      </c>
      <c r="M61" s="10"/>
      <c r="N61" s="10"/>
      <c r="O61" s="17">
        <v>1</v>
      </c>
      <c r="P61" s="17"/>
      <c r="Q61" s="10" t="b">
        <v>0</v>
      </c>
      <c r="R61" s="10" t="b">
        <v>0</v>
      </c>
      <c r="S61" s="10" t="b">
        <v>1</v>
      </c>
      <c r="T61" s="10"/>
      <c r="U61" s="10" t="b">
        <v>1</v>
      </c>
      <c r="V61" s="10" t="b">
        <v>1</v>
      </c>
      <c r="W61" s="10" t="b">
        <v>1</v>
      </c>
      <c r="X61" s="10"/>
    </row>
    <row r="62" spans="1:24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20</v>
      </c>
      <c r="E62" s="10">
        <v>10</v>
      </c>
      <c r="F62" s="10" t="str">
        <f t="array" ref="F62">GetValue("Domains",E62,"Name")</f>
        <v>Varchar(50)</v>
      </c>
      <c r="G62" s="10"/>
      <c r="H62" s="10" t="str">
        <f t="array" ref="H62">GetValue("Tables",G62,"Name")</f>
        <v/>
      </c>
      <c r="I62" s="10" t="s">
        <v>91</v>
      </c>
      <c r="J62" s="10" t="s">
        <v>481</v>
      </c>
      <c r="K62" s="10" t="s">
        <v>287</v>
      </c>
      <c r="L62" s="10" t="s">
        <v>287</v>
      </c>
      <c r="M62" s="10"/>
      <c r="N62" s="10"/>
      <c r="O62" s="17"/>
      <c r="P62" s="17"/>
      <c r="Q62" s="10" t="b">
        <v>0</v>
      </c>
      <c r="R62" s="10"/>
      <c r="S62" s="10" t="b">
        <v>1</v>
      </c>
      <c r="T62" s="10" t="b">
        <v>1</v>
      </c>
      <c r="U62" s="10" t="b">
        <v>1</v>
      </c>
      <c r="V62" s="10" t="b">
        <v>1</v>
      </c>
      <c r="W62" s="10" t="b">
        <v>1</v>
      </c>
      <c r="X62" s="10" t="b">
        <v>0</v>
      </c>
    </row>
    <row r="63" spans="1:24" x14ac:dyDescent="0.3">
      <c r="A63" s="8">
        <f t="shared" si="2"/>
        <v>62</v>
      </c>
      <c r="B63" s="8">
        <v>9</v>
      </c>
      <c r="C63" s="8" t="str">
        <f t="array" ref="C63">GetValue("Tables",B63,"Name")</f>
        <v>Databases</v>
      </c>
      <c r="D63" s="8">
        <v>5</v>
      </c>
      <c r="E63" s="8">
        <v>1</v>
      </c>
      <c r="F63" s="8" t="str">
        <f t="array" ref="F63">GetValue("Domains",E63,"Name")</f>
        <v>BigInteger</v>
      </c>
      <c r="G63" s="8"/>
      <c r="H63" s="8" t="str">
        <f t="array" ref="H63">GetValue("Tables",G63,"Name")</f>
        <v/>
      </c>
      <c r="I63" s="8" t="s">
        <v>0</v>
      </c>
      <c r="J63" s="8" t="s">
        <v>315</v>
      </c>
      <c r="K63" s="8" t="s">
        <v>244</v>
      </c>
      <c r="L63" s="8" t="s">
        <v>244</v>
      </c>
      <c r="M63" s="8"/>
      <c r="N63" s="8"/>
      <c r="O63" s="15">
        <v>1</v>
      </c>
      <c r="P63" s="15"/>
      <c r="Q63" s="8" t="b">
        <v>1</v>
      </c>
      <c r="R63" s="8" t="b">
        <v>0</v>
      </c>
      <c r="S63" s="8" t="b">
        <v>1</v>
      </c>
      <c r="T63" s="8"/>
      <c r="U63" s="8" t="b">
        <v>1</v>
      </c>
      <c r="V63" s="8" t="b">
        <v>0</v>
      </c>
      <c r="W63" s="8" t="b">
        <v>0</v>
      </c>
      <c r="X63" s="8"/>
    </row>
    <row r="64" spans="1:24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f t="shared" ref="D64:D72" si="6">D63+5</f>
        <v>10</v>
      </c>
      <c r="E64" s="8">
        <v>9</v>
      </c>
      <c r="F64" s="8" t="str">
        <f t="array" ref="F64">GetValue("Domains",E64,"Name")</f>
        <v>Varchar(25)</v>
      </c>
      <c r="G64" s="8"/>
      <c r="H64" s="8" t="str">
        <f t="array" ref="H64">GetValue("Tables",G64,"Name")</f>
        <v/>
      </c>
      <c r="I64" s="8" t="s">
        <v>1</v>
      </c>
      <c r="J64" s="8" t="s">
        <v>316</v>
      </c>
      <c r="K64" s="8" t="s">
        <v>246</v>
      </c>
      <c r="L64" s="8" t="s">
        <v>246</v>
      </c>
      <c r="M64" s="8"/>
      <c r="N64" s="8"/>
      <c r="O64" s="15" t="s">
        <v>36</v>
      </c>
      <c r="P64" s="15"/>
      <c r="Q64" s="8" t="b">
        <v>0</v>
      </c>
      <c r="R64" s="8"/>
      <c r="S64" s="8" t="b">
        <v>1</v>
      </c>
      <c r="T64" s="8" t="b">
        <v>1</v>
      </c>
      <c r="U64" s="8" t="b">
        <v>1</v>
      </c>
      <c r="V64" s="8" t="b">
        <v>1</v>
      </c>
      <c r="W64" s="8" t="b">
        <v>1</v>
      </c>
      <c r="X64" s="8" t="b">
        <v>0</v>
      </c>
    </row>
    <row r="65" spans="1:24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si="6"/>
        <v>15</v>
      </c>
      <c r="E65" s="8">
        <v>10</v>
      </c>
      <c r="F65" s="8" t="str">
        <f t="array" ref="F65">GetValue("Domains",E65,"Name")</f>
        <v>Varchar(50)</v>
      </c>
      <c r="G65" s="8"/>
      <c r="H65" s="8" t="str">
        <f t="array" ref="H65">GetValue("Tables",G65,"Name")</f>
        <v/>
      </c>
      <c r="I65" s="8" t="s">
        <v>91</v>
      </c>
      <c r="J65" s="8" t="s">
        <v>317</v>
      </c>
      <c r="K65" s="8" t="s">
        <v>287</v>
      </c>
      <c r="L65" s="8" t="s">
        <v>287</v>
      </c>
      <c r="M65" s="8"/>
      <c r="N65" s="8"/>
      <c r="O65" s="15" t="s">
        <v>36</v>
      </c>
      <c r="P65" s="15"/>
      <c r="Q65" s="8" t="b">
        <v>0</v>
      </c>
      <c r="R65" s="8"/>
      <c r="S65" s="8" t="b">
        <v>1</v>
      </c>
      <c r="T65" s="8" t="b">
        <v>0</v>
      </c>
      <c r="U65" s="8" t="b">
        <v>0</v>
      </c>
      <c r="V65" s="8" t="b">
        <v>1</v>
      </c>
      <c r="W65" s="8" t="b">
        <v>1</v>
      </c>
      <c r="X65" s="8" t="b">
        <v>0</v>
      </c>
    </row>
    <row r="66" spans="1:24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20</v>
      </c>
      <c r="E66" s="8">
        <v>9</v>
      </c>
      <c r="F66" s="8" t="str">
        <f t="array" ref="F66">GetValue("Domains",E66,"Name")</f>
        <v>Varchar(25)</v>
      </c>
      <c r="G66" s="8"/>
      <c r="H66" s="8" t="str">
        <f t="array" ref="H66">GetValue("Tables",G66,"Name")</f>
        <v/>
      </c>
      <c r="I66" s="8" t="s">
        <v>132</v>
      </c>
      <c r="J66" s="8" t="s">
        <v>318</v>
      </c>
      <c r="K66" s="8" t="s">
        <v>132</v>
      </c>
      <c r="L66" s="8" t="s">
        <v>132</v>
      </c>
      <c r="M66" s="8"/>
      <c r="N66" s="8"/>
      <c r="O66" s="15" t="s">
        <v>36</v>
      </c>
      <c r="P66" s="15"/>
      <c r="Q66" s="8" t="b">
        <v>0</v>
      </c>
      <c r="R66" s="8"/>
      <c r="S66" s="8" t="b">
        <v>1</v>
      </c>
      <c r="T66" s="8" t="b">
        <v>0</v>
      </c>
      <c r="U66" s="8" t="b">
        <v>1</v>
      </c>
      <c r="V66" s="8" t="b">
        <v>1</v>
      </c>
      <c r="W66" s="8" t="b">
        <v>1</v>
      </c>
      <c r="X66" s="8" t="b">
        <v>0</v>
      </c>
    </row>
    <row r="67" spans="1:24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25</v>
      </c>
      <c r="E67" s="8">
        <v>10</v>
      </c>
      <c r="F67" s="8" t="str">
        <f t="array" ref="F67">GetValue("Domains",E67,"Name")</f>
        <v>Varchar(50)</v>
      </c>
      <c r="G67" s="8"/>
      <c r="H67" s="8" t="str">
        <f t="array" ref="H67">GetValue("Tables",G67,"Name")</f>
        <v/>
      </c>
      <c r="I67" s="8" t="s">
        <v>133</v>
      </c>
      <c r="J67" s="8" t="s">
        <v>319</v>
      </c>
      <c r="K67" s="8" t="s">
        <v>320</v>
      </c>
      <c r="L67" s="8" t="s">
        <v>320</v>
      </c>
      <c r="M67" s="8"/>
      <c r="N67" s="8"/>
      <c r="O67" s="15" t="s">
        <v>36</v>
      </c>
      <c r="P67" s="15"/>
      <c r="Q67" s="8" t="b">
        <v>0</v>
      </c>
      <c r="R67" s="8"/>
      <c r="S67" s="8" t="b">
        <v>0</v>
      </c>
      <c r="T67" s="8" t="b">
        <v>0</v>
      </c>
      <c r="U67" s="8" t="b">
        <v>0</v>
      </c>
      <c r="V67" s="8" t="b">
        <v>1</v>
      </c>
      <c r="W67" s="8" t="b">
        <v>0</v>
      </c>
      <c r="X67" s="8" t="b">
        <v>1</v>
      </c>
    </row>
    <row r="68" spans="1:24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30</v>
      </c>
      <c r="E68" s="8">
        <v>9</v>
      </c>
      <c r="F68" s="8" t="str">
        <f t="array" ref="F68">GetValue("Domains",E68,"Name")</f>
        <v>Varchar(25)</v>
      </c>
      <c r="G68" s="8"/>
      <c r="H68" s="8" t="str">
        <f t="array" ref="H68">GetValue("Tables",G68,"Name")</f>
        <v/>
      </c>
      <c r="I68" s="8" t="s">
        <v>134</v>
      </c>
      <c r="J68" s="8" t="s">
        <v>321</v>
      </c>
      <c r="K68" s="8" t="s">
        <v>322</v>
      </c>
      <c r="L68" s="8" t="s">
        <v>322</v>
      </c>
      <c r="M68" s="8"/>
      <c r="N68" s="8"/>
      <c r="O68" s="15" t="s">
        <v>36</v>
      </c>
      <c r="P68" s="15"/>
      <c r="Q68" s="8" t="b">
        <v>0</v>
      </c>
      <c r="R68" s="8"/>
      <c r="S68" s="8" t="b">
        <v>0</v>
      </c>
      <c r="T68" s="8" t="b">
        <v>0</v>
      </c>
      <c r="U68" s="8" t="b">
        <v>0</v>
      </c>
      <c r="V68" s="8" t="b">
        <v>1</v>
      </c>
      <c r="W68" s="8" t="b">
        <v>0</v>
      </c>
      <c r="X68" s="8" t="b">
        <v>0</v>
      </c>
    </row>
    <row r="69" spans="1:24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35</v>
      </c>
      <c r="E69" s="8">
        <v>3</v>
      </c>
      <c r="F69" s="8" t="str">
        <f t="array" ref="F69">GetValue("Domains",E69,"Name")</f>
        <v>ShortInteger</v>
      </c>
      <c r="G69" s="8"/>
      <c r="H69" s="8" t="str">
        <f t="array" ref="H69">GetValue("Tables",G69,"Name")</f>
        <v/>
      </c>
      <c r="I69" s="8" t="s">
        <v>135</v>
      </c>
      <c r="J69" s="8" t="s">
        <v>323</v>
      </c>
      <c r="K69" s="8" t="s">
        <v>324</v>
      </c>
      <c r="L69" s="8" t="s">
        <v>324</v>
      </c>
      <c r="M69" s="8"/>
      <c r="N69" s="8"/>
      <c r="O69" s="15">
        <v>1</v>
      </c>
      <c r="P69" s="15"/>
      <c r="Q69" s="8" t="b">
        <v>0</v>
      </c>
      <c r="R69" s="8" t="b">
        <v>0</v>
      </c>
      <c r="S69" s="8" t="b">
        <v>0</v>
      </c>
      <c r="T69" s="8"/>
      <c r="U69" s="8" t="b">
        <v>0</v>
      </c>
      <c r="V69" s="8" t="b">
        <v>1</v>
      </c>
      <c r="W69" s="8" t="b">
        <v>0</v>
      </c>
      <c r="X69" s="8"/>
    </row>
    <row r="70" spans="1:24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40</v>
      </c>
      <c r="E70" s="8">
        <v>11</v>
      </c>
      <c r="F70" s="8" t="str">
        <f t="array" ref="F70">GetValue("Domains",E70,"Name")</f>
        <v>Varchar(256)</v>
      </c>
      <c r="G70" s="8"/>
      <c r="H70" s="8" t="str">
        <f t="array" ref="H70">GetValue("Tables",G70,"Name")</f>
        <v/>
      </c>
      <c r="I70" s="8" t="s">
        <v>136</v>
      </c>
      <c r="J70" s="8" t="s">
        <v>325</v>
      </c>
      <c r="K70" s="8" t="s">
        <v>314</v>
      </c>
      <c r="L70" s="8" t="s">
        <v>314</v>
      </c>
      <c r="M70" s="8"/>
      <c r="N70" s="8"/>
      <c r="O70" s="15" t="s">
        <v>36</v>
      </c>
      <c r="P70" s="15"/>
      <c r="Q70" s="8" t="b">
        <v>0</v>
      </c>
      <c r="R70" s="8"/>
      <c r="S70" s="8" t="b">
        <v>0</v>
      </c>
      <c r="T70" s="8" t="b">
        <v>0</v>
      </c>
      <c r="U70" s="8" t="b">
        <v>0</v>
      </c>
      <c r="V70" s="8" t="b">
        <v>1</v>
      </c>
      <c r="W70" s="8" t="b">
        <v>0</v>
      </c>
      <c r="X70" s="8" t="b">
        <v>1</v>
      </c>
    </row>
    <row r="71" spans="1:24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45</v>
      </c>
      <c r="E71" s="8">
        <v>11</v>
      </c>
      <c r="F71" s="8" t="str">
        <f t="array" ref="F71">GetValue("Domains",E71,"Name")</f>
        <v>Varchar(256)</v>
      </c>
      <c r="G71" s="8"/>
      <c r="H71" s="8" t="str">
        <f t="array" ref="H71">GetValue("Tables",G71,"Name")</f>
        <v/>
      </c>
      <c r="I71" s="8" t="s">
        <v>127</v>
      </c>
      <c r="J71" s="8" t="s">
        <v>326</v>
      </c>
      <c r="K71" s="8" t="s">
        <v>308</v>
      </c>
      <c r="L71" s="8" t="s">
        <v>308</v>
      </c>
      <c r="M71" s="8"/>
      <c r="N71" s="8"/>
      <c r="O71" s="15" t="s">
        <v>36</v>
      </c>
      <c r="P71" s="15"/>
      <c r="Q71" s="8" t="b">
        <v>0</v>
      </c>
      <c r="R71" s="8"/>
      <c r="S71" s="8" t="b">
        <v>0</v>
      </c>
      <c r="T71" s="8" t="b">
        <v>0</v>
      </c>
      <c r="U71" s="8" t="b">
        <v>0</v>
      </c>
      <c r="V71" s="8" t="b">
        <v>1</v>
      </c>
      <c r="W71" s="8" t="b">
        <v>0</v>
      </c>
      <c r="X71" s="8" t="b">
        <v>1</v>
      </c>
    </row>
    <row r="72" spans="1:24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50</v>
      </c>
      <c r="E72" s="8">
        <v>11</v>
      </c>
      <c r="F72" s="8" t="str">
        <f t="array" ref="F72">GetValue("Domains",E72,"Name")</f>
        <v>Varchar(256)</v>
      </c>
      <c r="G72" s="8"/>
      <c r="H72" s="8" t="str">
        <f t="array" ref="H72">GetValue("Tables",G72,"Name")</f>
        <v/>
      </c>
      <c r="I72" s="8" t="s">
        <v>137</v>
      </c>
      <c r="J72" s="8" t="s">
        <v>327</v>
      </c>
      <c r="K72" s="8" t="s">
        <v>328</v>
      </c>
      <c r="L72" s="8" t="s">
        <v>328</v>
      </c>
      <c r="M72" s="8"/>
      <c r="N72" s="8"/>
      <c r="O72" s="15" t="s">
        <v>36</v>
      </c>
      <c r="P72" s="15"/>
      <c r="Q72" s="8" t="b">
        <v>0</v>
      </c>
      <c r="R72" s="8"/>
      <c r="S72" s="8" t="b">
        <v>0</v>
      </c>
      <c r="T72" s="8" t="b">
        <v>0</v>
      </c>
      <c r="U72" s="8" t="b">
        <v>0</v>
      </c>
      <c r="V72" s="8" t="b">
        <v>1</v>
      </c>
      <c r="W72" s="8" t="b">
        <v>0</v>
      </c>
      <c r="X72" s="8" t="b">
        <v>1</v>
      </c>
    </row>
    <row r="73" spans="1:24" x14ac:dyDescent="0.3">
      <c r="A73" s="10">
        <f t="shared" si="2"/>
        <v>72</v>
      </c>
      <c r="B73" s="10">
        <v>10</v>
      </c>
      <c r="C73" s="10" t="str">
        <f t="array" ref="C73">GetValue("Tables",B73,"Name")</f>
        <v>SystemsDatabases</v>
      </c>
      <c r="D73" s="10">
        <v>5</v>
      </c>
      <c r="E73" s="10">
        <v>1</v>
      </c>
      <c r="F73" s="10" t="str">
        <f t="array" ref="F73">GetValue("Domains",E73,"Name")</f>
        <v>BigInteger</v>
      </c>
      <c r="G73" s="10"/>
      <c r="H73" s="10" t="str">
        <f t="array" ref="H73">GetValue("Tables",G73,"Name")</f>
        <v/>
      </c>
      <c r="I73" s="10" t="s">
        <v>0</v>
      </c>
      <c r="J73" s="10" t="s">
        <v>329</v>
      </c>
      <c r="K73" s="10" t="s">
        <v>244</v>
      </c>
      <c r="L73" s="10" t="s">
        <v>244</v>
      </c>
      <c r="M73" s="10"/>
      <c r="N73" s="10"/>
      <c r="O73" s="17">
        <v>1</v>
      </c>
      <c r="P73" s="17"/>
      <c r="Q73" s="10" t="b">
        <v>1</v>
      </c>
      <c r="R73" s="10" t="b">
        <v>0</v>
      </c>
      <c r="S73" s="10" t="b">
        <v>1</v>
      </c>
      <c r="T73" s="10"/>
      <c r="U73" s="10" t="b">
        <v>1</v>
      </c>
      <c r="V73" s="10" t="b">
        <v>0</v>
      </c>
      <c r="W73" s="10" t="b">
        <v>0</v>
      </c>
      <c r="X73" s="10"/>
    </row>
    <row r="74" spans="1:24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f>D73+5</f>
        <v>10</v>
      </c>
      <c r="E74" s="10">
        <v>1</v>
      </c>
      <c r="F74" s="10" t="str">
        <f t="array" ref="F74">GetValue("Domains",E74,"Name")</f>
        <v>BigInteger</v>
      </c>
      <c r="G74" s="10">
        <v>5</v>
      </c>
      <c r="H74" s="10" t="str">
        <f t="array" ref="H74">GetValue("Tables",G74,"Name")</f>
        <v>Systems</v>
      </c>
      <c r="I74" s="10" t="s">
        <v>97</v>
      </c>
      <c r="J74" s="10" t="s">
        <v>284</v>
      </c>
      <c r="K74" s="10" t="s">
        <v>294</v>
      </c>
      <c r="L74" s="10" t="s">
        <v>294</v>
      </c>
      <c r="M74" s="10"/>
      <c r="N74" s="10"/>
      <c r="O74" s="17">
        <v>1</v>
      </c>
      <c r="P74" s="16"/>
      <c r="Q74" s="10" t="b">
        <v>0</v>
      </c>
      <c r="R74" s="10" t="b">
        <v>0</v>
      </c>
      <c r="S74" s="10" t="b">
        <v>1</v>
      </c>
      <c r="T74" s="10"/>
      <c r="U74" s="10" t="b">
        <v>1</v>
      </c>
      <c r="V74" s="10" t="b">
        <v>1</v>
      </c>
      <c r="W74" s="10" t="b">
        <v>1</v>
      </c>
      <c r="X74" s="10"/>
    </row>
    <row r="75" spans="1:24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15</v>
      </c>
      <c r="E75" s="10">
        <v>1</v>
      </c>
      <c r="F75" s="10" t="str">
        <f t="array" ref="F75">GetValue("Domains",E75,"Name")</f>
        <v>BigInteger</v>
      </c>
      <c r="G75" s="10">
        <v>9</v>
      </c>
      <c r="H75" s="10" t="str">
        <f t="array" ref="H75">GetValue("Tables",G75,"Name")</f>
        <v>Databases</v>
      </c>
      <c r="I75" s="10" t="s">
        <v>141</v>
      </c>
      <c r="J75" s="10" t="s">
        <v>315</v>
      </c>
      <c r="K75" s="10" t="s">
        <v>330</v>
      </c>
      <c r="L75" s="10" t="s">
        <v>330</v>
      </c>
      <c r="M75" s="10"/>
      <c r="N75" s="10"/>
      <c r="O75" s="17">
        <v>1</v>
      </c>
      <c r="P75" s="16"/>
      <c r="Q75" s="10" t="b">
        <v>0</v>
      </c>
      <c r="R75" s="10" t="b">
        <v>0</v>
      </c>
      <c r="S75" s="10" t="b">
        <v>1</v>
      </c>
      <c r="T75" s="10"/>
      <c r="U75" s="10" t="b">
        <v>1</v>
      </c>
      <c r="V75" s="10" t="b">
        <v>1</v>
      </c>
      <c r="W75" s="10" t="b">
        <v>1</v>
      </c>
      <c r="X75" s="10"/>
    </row>
    <row r="76" spans="1:24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20</v>
      </c>
      <c r="E76" s="10">
        <v>10</v>
      </c>
      <c r="F76" s="10" t="str">
        <f t="array" ref="F76">GetValue("Domains",E76,"Name")</f>
        <v>Varchar(50)</v>
      </c>
      <c r="G76" s="10"/>
      <c r="H76" s="10" t="str">
        <f t="array" ref="H76">GetValue("Tables",G76,"Name")</f>
        <v/>
      </c>
      <c r="I76" s="10" t="s">
        <v>91</v>
      </c>
      <c r="J76" s="10" t="s">
        <v>482</v>
      </c>
      <c r="K76" s="10" t="s">
        <v>287</v>
      </c>
      <c r="L76" s="10" t="s">
        <v>287</v>
      </c>
      <c r="M76" s="10"/>
      <c r="N76" s="10"/>
      <c r="O76" s="17"/>
      <c r="P76" s="17"/>
      <c r="Q76" s="10" t="b">
        <v>0</v>
      </c>
      <c r="R76" s="10"/>
      <c r="S76" s="10" t="b">
        <v>1</v>
      </c>
      <c r="T76" s="10" t="b">
        <v>1</v>
      </c>
      <c r="U76" s="10" t="b">
        <v>1</v>
      </c>
      <c r="V76" s="10" t="b">
        <v>1</v>
      </c>
      <c r="W76" s="10" t="b">
        <v>1</v>
      </c>
      <c r="X76" s="10" t="b">
        <v>0</v>
      </c>
    </row>
    <row r="77" spans="1:24" x14ac:dyDescent="0.3">
      <c r="A77" s="8">
        <f t="shared" si="2"/>
        <v>76</v>
      </c>
      <c r="B77" s="8">
        <v>11</v>
      </c>
      <c r="C77" s="8" t="str">
        <f t="array" ref="C77">GetValue("Tables",B77,"Name")</f>
        <v>Tables</v>
      </c>
      <c r="D77" s="8">
        <v>5</v>
      </c>
      <c r="E77" s="8">
        <v>1</v>
      </c>
      <c r="F77" s="8" t="str">
        <f t="array" ref="F77">GetValue("Domains",E77,"Name")</f>
        <v>BigInteger</v>
      </c>
      <c r="G77" s="8"/>
      <c r="H77" s="8" t="str">
        <f t="array" ref="H77">GetValue("Tables",G77,"Name")</f>
        <v/>
      </c>
      <c r="I77" s="8" t="s">
        <v>0</v>
      </c>
      <c r="J77" s="8" t="s">
        <v>331</v>
      </c>
      <c r="K77" s="8" t="s">
        <v>244</v>
      </c>
      <c r="L77" s="8" t="s">
        <v>244</v>
      </c>
      <c r="M77" s="8"/>
      <c r="N77" s="8"/>
      <c r="O77" s="15">
        <v>1</v>
      </c>
      <c r="P77" s="15"/>
      <c r="Q77" s="8" t="b">
        <v>1</v>
      </c>
      <c r="R77" s="8" t="b">
        <v>0</v>
      </c>
      <c r="S77" s="8" t="b">
        <v>1</v>
      </c>
      <c r="T77" s="8"/>
      <c r="U77" s="8" t="b">
        <v>1</v>
      </c>
      <c r="V77" s="8" t="b">
        <v>0</v>
      </c>
      <c r="W77" s="8" t="b">
        <v>0</v>
      </c>
      <c r="X77" s="8"/>
    </row>
    <row r="78" spans="1:24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f>D77+5</f>
        <v>10</v>
      </c>
      <c r="E78" s="8">
        <v>9</v>
      </c>
      <c r="F78" s="8" t="str">
        <f t="array" ref="F78">GetValue("Domains",E78,"Name")</f>
        <v>Varchar(25)</v>
      </c>
      <c r="G78" s="8"/>
      <c r="H78" s="8" t="str">
        <f t="array" ref="H78">GetValue("Tables",G78,"Name")</f>
        <v/>
      </c>
      <c r="I78" s="8" t="s">
        <v>1</v>
      </c>
      <c r="J78" s="8" t="s">
        <v>332</v>
      </c>
      <c r="K78" s="8" t="s">
        <v>246</v>
      </c>
      <c r="L78" s="8" t="s">
        <v>246</v>
      </c>
      <c r="M78" s="8"/>
      <c r="N78" s="8"/>
      <c r="O78" s="15" t="s">
        <v>36</v>
      </c>
      <c r="P78" s="15"/>
      <c r="Q78" s="8" t="b">
        <v>0</v>
      </c>
      <c r="R78" s="8"/>
      <c r="S78" s="8" t="b">
        <v>1</v>
      </c>
      <c r="T78" s="8" t="b">
        <v>1</v>
      </c>
      <c r="U78" s="8" t="b">
        <v>1</v>
      </c>
      <c r="V78" s="8" t="b">
        <v>1</v>
      </c>
      <c r="W78" s="8" t="b">
        <v>1</v>
      </c>
      <c r="X78" s="8" t="b">
        <v>0</v>
      </c>
    </row>
    <row r="79" spans="1:24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:D88" si="7">D78+5</f>
        <v>15</v>
      </c>
      <c r="E79" s="8">
        <v>9</v>
      </c>
      <c r="F79" s="8" t="str">
        <f t="array" ref="F79">GetValue("Domains",E79,"Name")</f>
        <v>Varchar(25)</v>
      </c>
      <c r="G79" s="8"/>
      <c r="H79" s="8" t="str">
        <f t="array" ref="H79">GetValue("Tables",G79,"Name")</f>
        <v/>
      </c>
      <c r="I79" s="8" t="s">
        <v>132</v>
      </c>
      <c r="J79" s="8" t="s">
        <v>333</v>
      </c>
      <c r="K79" s="8" t="s">
        <v>132</v>
      </c>
      <c r="L79" s="8" t="s">
        <v>132</v>
      </c>
      <c r="M79" s="8"/>
      <c r="N79" s="8"/>
      <c r="O79" s="15" t="s">
        <v>36</v>
      </c>
      <c r="P79" s="15"/>
      <c r="Q79" s="8" t="b">
        <v>0</v>
      </c>
      <c r="R79" s="8"/>
      <c r="S79" s="8" t="b">
        <v>1</v>
      </c>
      <c r="T79" s="8" t="b">
        <v>0</v>
      </c>
      <c r="U79" s="8" t="b">
        <v>1</v>
      </c>
      <c r="V79" s="8" t="b">
        <v>1</v>
      </c>
      <c r="W79" s="8" t="b">
        <v>1</v>
      </c>
      <c r="X79" s="8" t="b">
        <v>0</v>
      </c>
    </row>
    <row r="80" spans="1:24" x14ac:dyDescent="0.3">
      <c r="A80" s="8">
        <f t="shared" ref="A80:A130" si="8">ROW(A80)-1</f>
        <v>79</v>
      </c>
      <c r="B80" s="8">
        <v>11</v>
      </c>
      <c r="C80" s="8" t="str">
        <f t="array" ref="C80">GetValue("Tables",B80,"Name")</f>
        <v>Tables</v>
      </c>
      <c r="D80" s="8">
        <f t="shared" si="7"/>
        <v>20</v>
      </c>
      <c r="E80" s="8">
        <v>10</v>
      </c>
      <c r="F80" s="8" t="str">
        <f t="array" ref="F80">GetValue("Domains",E80,"Name")</f>
        <v>Varchar(50)</v>
      </c>
      <c r="G80" s="8"/>
      <c r="H80" s="8" t="str">
        <f t="array" ref="H80">GetValue("Tables",G80,"Name")</f>
        <v/>
      </c>
      <c r="I80" s="8" t="s">
        <v>91</v>
      </c>
      <c r="J80" s="8" t="s">
        <v>334</v>
      </c>
      <c r="K80" s="8" t="s">
        <v>287</v>
      </c>
      <c r="L80" s="8" t="s">
        <v>287</v>
      </c>
      <c r="M80" s="8"/>
      <c r="N80" s="8"/>
      <c r="O80" s="15" t="s">
        <v>36</v>
      </c>
      <c r="P80" s="15"/>
      <c r="Q80" s="8" t="b">
        <v>0</v>
      </c>
      <c r="R80" s="8"/>
      <c r="S80" s="8" t="b">
        <v>1</v>
      </c>
      <c r="T80" s="8" t="b">
        <v>0</v>
      </c>
      <c r="U80" s="8" t="b">
        <v>0</v>
      </c>
      <c r="V80" s="8" t="b">
        <v>1</v>
      </c>
      <c r="W80" s="8" t="b">
        <v>1</v>
      </c>
      <c r="X80" s="8" t="b">
        <v>0</v>
      </c>
    </row>
    <row r="81" spans="1:24" x14ac:dyDescent="0.3">
      <c r="A81" s="8">
        <f t="shared" si="8"/>
        <v>80</v>
      </c>
      <c r="B81" s="8">
        <v>11</v>
      </c>
      <c r="C81" s="8" t="str">
        <f t="array" ref="C81">GetValue("Tables",B81,"Name")</f>
        <v>Tables</v>
      </c>
      <c r="D81" s="8">
        <f t="shared" si="7"/>
        <v>25</v>
      </c>
      <c r="E81" s="8">
        <v>1</v>
      </c>
      <c r="F81" s="8" t="str">
        <f t="array" ref="F81">GetValue("Domains",E81,"Name")</f>
        <v>BigInteger</v>
      </c>
      <c r="G81" s="8">
        <v>11</v>
      </c>
      <c r="H81" s="8" t="str">
        <f t="array" ref="H81">GetValue("Tables",G81,"Name")</f>
        <v>Tables</v>
      </c>
      <c r="I81" s="8" t="s">
        <v>142</v>
      </c>
      <c r="J81" s="8" t="s">
        <v>335</v>
      </c>
      <c r="K81" s="8" t="s">
        <v>336</v>
      </c>
      <c r="L81" s="8" t="s">
        <v>336</v>
      </c>
      <c r="M81" s="8"/>
      <c r="N81" s="8"/>
      <c r="O81" s="15" t="s">
        <v>36</v>
      </c>
      <c r="P81" s="15"/>
      <c r="Q81" s="8" t="b">
        <v>0</v>
      </c>
      <c r="R81" s="8" t="b">
        <v>0</v>
      </c>
      <c r="S81" s="8" t="b">
        <v>0</v>
      </c>
      <c r="T81" s="8"/>
      <c r="U81" s="8" t="b">
        <v>1</v>
      </c>
      <c r="V81" s="8" t="b">
        <v>1</v>
      </c>
      <c r="W81" s="8" t="b">
        <v>1</v>
      </c>
      <c r="X81" s="8"/>
    </row>
    <row r="82" spans="1:24" x14ac:dyDescent="0.3">
      <c r="A82" s="8">
        <f t="shared" si="8"/>
        <v>81</v>
      </c>
      <c r="B82" s="8">
        <v>11</v>
      </c>
      <c r="C82" s="8" t="str">
        <f t="array" ref="C82">GetValue("Tables",B82,"Name")</f>
        <v>Tables</v>
      </c>
      <c r="D82" s="8">
        <f t="shared" si="7"/>
        <v>30</v>
      </c>
      <c r="E82" s="8">
        <v>10</v>
      </c>
      <c r="F82" s="8" t="str">
        <f t="array" ref="F82">GetValue("Domains",E82,"Name")</f>
        <v>Varchar(50)</v>
      </c>
      <c r="G82" s="8"/>
      <c r="H82" s="8" t="str">
        <f t="array" ref="H82">GetValue("Tables",G82,"Name")</f>
        <v/>
      </c>
      <c r="I82" s="8" t="s">
        <v>143</v>
      </c>
      <c r="J82" s="8" t="s">
        <v>337</v>
      </c>
      <c r="K82" s="8" t="s">
        <v>338</v>
      </c>
      <c r="L82" s="8" t="s">
        <v>338</v>
      </c>
      <c r="M82" s="8"/>
      <c r="N82" s="8"/>
      <c r="O82" s="15" t="s">
        <v>36</v>
      </c>
      <c r="P82" s="15"/>
      <c r="Q82" s="8" t="b">
        <v>0</v>
      </c>
      <c r="R82" s="8"/>
      <c r="S82" s="8" t="b">
        <v>0</v>
      </c>
      <c r="T82" s="8" t="b">
        <v>0</v>
      </c>
      <c r="U82" s="8" t="b">
        <v>0</v>
      </c>
      <c r="V82" s="8" t="b">
        <v>1</v>
      </c>
      <c r="W82" s="8" t="b">
        <v>1</v>
      </c>
      <c r="X82" s="8" t="b">
        <v>0</v>
      </c>
    </row>
    <row r="83" spans="1:24" x14ac:dyDescent="0.3">
      <c r="A83" s="8">
        <f t="shared" si="8"/>
        <v>82</v>
      </c>
      <c r="B83" s="8">
        <v>11</v>
      </c>
      <c r="C83" s="8" t="str">
        <f t="array" ref="C83">GetValue("Tables",B83,"Name")</f>
        <v>Tables</v>
      </c>
      <c r="D83" s="8">
        <f t="shared" si="7"/>
        <v>35</v>
      </c>
      <c r="E83" s="8">
        <v>10</v>
      </c>
      <c r="F83" s="8" t="str">
        <f t="array" ref="F83">GetValue("Domains",E83,"Name")</f>
        <v>Varchar(50)</v>
      </c>
      <c r="G83" s="8"/>
      <c r="H83" s="8" t="str">
        <f t="array" ref="H83">GetValue("Tables",G83,"Name")</f>
        <v/>
      </c>
      <c r="I83" s="8" t="s">
        <v>144</v>
      </c>
      <c r="J83" s="8" t="s">
        <v>339</v>
      </c>
      <c r="K83" s="8" t="s">
        <v>340</v>
      </c>
      <c r="L83" s="8" t="s">
        <v>340</v>
      </c>
      <c r="M83" s="8"/>
      <c r="N83" s="8"/>
      <c r="O83" s="15" t="s">
        <v>36</v>
      </c>
      <c r="P83" s="15"/>
      <c r="Q83" s="8" t="b">
        <v>0</v>
      </c>
      <c r="R83" s="8"/>
      <c r="S83" s="8" t="b">
        <v>0</v>
      </c>
      <c r="T83" s="8" t="b">
        <v>0</v>
      </c>
      <c r="U83" s="8" t="b">
        <v>0</v>
      </c>
      <c r="V83" s="8" t="b">
        <v>1</v>
      </c>
      <c r="W83" s="8" t="b">
        <v>1</v>
      </c>
      <c r="X83" s="8" t="b">
        <v>0</v>
      </c>
    </row>
    <row r="84" spans="1:24" x14ac:dyDescent="0.3">
      <c r="A84" s="8">
        <f t="shared" si="8"/>
        <v>83</v>
      </c>
      <c r="B84" s="8">
        <v>11</v>
      </c>
      <c r="C84" s="8" t="str">
        <f t="array" ref="C84">GetValue("Tables",B84,"Name")</f>
        <v>Tables</v>
      </c>
      <c r="D84" s="8">
        <f t="shared" si="7"/>
        <v>40</v>
      </c>
      <c r="E84" s="8">
        <v>10</v>
      </c>
      <c r="F84" s="8" t="str">
        <f t="array" ref="F84">GetValue("Domains",E84,"Name")</f>
        <v>Varchar(50)</v>
      </c>
      <c r="G84" s="8"/>
      <c r="H84" s="8" t="str">
        <f t="array" ref="H84">GetValue("Tables",G84,"Name")</f>
        <v/>
      </c>
      <c r="I84" s="8" t="s">
        <v>145</v>
      </c>
      <c r="J84" s="8" t="s">
        <v>341</v>
      </c>
      <c r="K84" s="8" t="s">
        <v>342</v>
      </c>
      <c r="L84" s="8" t="s">
        <v>342</v>
      </c>
      <c r="M84" s="8"/>
      <c r="N84" s="8"/>
      <c r="O84" s="15" t="s">
        <v>36</v>
      </c>
      <c r="P84" s="15"/>
      <c r="Q84" s="8" t="b">
        <v>0</v>
      </c>
      <c r="R84" s="8"/>
      <c r="S84" s="8" t="b">
        <v>0</v>
      </c>
      <c r="T84" s="8" t="b">
        <v>0</v>
      </c>
      <c r="U84" s="8" t="b">
        <v>0</v>
      </c>
      <c r="V84" s="8" t="b">
        <v>1</v>
      </c>
      <c r="W84" s="8" t="b">
        <v>1</v>
      </c>
      <c r="X84" s="8" t="b">
        <v>0</v>
      </c>
    </row>
    <row r="85" spans="1:24" x14ac:dyDescent="0.3">
      <c r="A85" s="8">
        <f t="shared" si="8"/>
        <v>84</v>
      </c>
      <c r="B85" s="8">
        <v>11</v>
      </c>
      <c r="C85" s="8" t="str">
        <f t="array" ref="C85">GetValue("Tables",B85,"Name")</f>
        <v>Tables</v>
      </c>
      <c r="D85" s="8">
        <f t="shared" si="7"/>
        <v>45</v>
      </c>
      <c r="E85" s="8">
        <v>10</v>
      </c>
      <c r="F85" s="8" t="str">
        <f t="array" ref="F85">GetValue("Domains",E85,"Name")</f>
        <v>Varchar(50)</v>
      </c>
      <c r="G85" s="8"/>
      <c r="H85" s="8" t="str">
        <f t="array" ref="H85">GetValue("Tables",G85,"Name")</f>
        <v/>
      </c>
      <c r="I85" s="8" t="s">
        <v>146</v>
      </c>
      <c r="J85" s="8" t="s">
        <v>343</v>
      </c>
      <c r="K85" s="8" t="s">
        <v>344</v>
      </c>
      <c r="L85" s="8" t="s">
        <v>344</v>
      </c>
      <c r="M85" s="8"/>
      <c r="N85" s="8"/>
      <c r="O85" s="15" t="s">
        <v>36</v>
      </c>
      <c r="P85" s="15"/>
      <c r="Q85" s="8" t="b">
        <v>0</v>
      </c>
      <c r="R85" s="8"/>
      <c r="S85" s="8" t="b">
        <v>0</v>
      </c>
      <c r="T85" s="8" t="b">
        <v>0</v>
      </c>
      <c r="U85" s="8" t="b">
        <v>0</v>
      </c>
      <c r="V85" s="8" t="b">
        <v>1</v>
      </c>
      <c r="W85" s="8" t="b">
        <v>1</v>
      </c>
      <c r="X85" s="8" t="b">
        <v>0</v>
      </c>
    </row>
    <row r="86" spans="1:24" x14ac:dyDescent="0.3">
      <c r="A86" s="8">
        <f t="shared" si="8"/>
        <v>85</v>
      </c>
      <c r="B86" s="8">
        <v>11</v>
      </c>
      <c r="C86" s="8" t="str">
        <f t="array" ref="C86">GetValue("Tables",B86,"Name")</f>
        <v>Tables</v>
      </c>
      <c r="D86" s="8">
        <f t="shared" si="7"/>
        <v>50</v>
      </c>
      <c r="E86" s="8">
        <v>10</v>
      </c>
      <c r="F86" s="8" t="str">
        <f t="array" ref="F86">GetValue("Domains",E86,"Name")</f>
        <v>Varchar(50)</v>
      </c>
      <c r="G86" s="8"/>
      <c r="H86" s="8" t="str">
        <f t="array" ref="H86">GetValue("Tables",G86,"Name")</f>
        <v/>
      </c>
      <c r="I86" s="8" t="s">
        <v>147</v>
      </c>
      <c r="J86" s="8" t="s">
        <v>345</v>
      </c>
      <c r="K86" s="8" t="s">
        <v>346</v>
      </c>
      <c r="L86" s="8" t="s">
        <v>346</v>
      </c>
      <c r="M86" s="8"/>
      <c r="N86" s="8"/>
      <c r="O86" s="15" t="s">
        <v>36</v>
      </c>
      <c r="P86" s="15"/>
      <c r="Q86" s="8" t="b">
        <v>0</v>
      </c>
      <c r="R86" s="8"/>
      <c r="S86" s="8" t="b">
        <v>0</v>
      </c>
      <c r="T86" s="8" t="b">
        <v>0</v>
      </c>
      <c r="U86" s="8" t="b">
        <v>0</v>
      </c>
      <c r="V86" s="8" t="b">
        <v>1</v>
      </c>
      <c r="W86" s="8" t="b">
        <v>1</v>
      </c>
      <c r="X86" s="8" t="b">
        <v>0</v>
      </c>
    </row>
    <row r="87" spans="1:24" x14ac:dyDescent="0.3">
      <c r="A87" s="8">
        <f t="shared" si="8"/>
        <v>86</v>
      </c>
      <c r="B87" s="8">
        <v>11</v>
      </c>
      <c r="C87" s="8" t="str">
        <f t="array" ref="C87">GetValue("Tables",B87,"Name")</f>
        <v>Tables</v>
      </c>
      <c r="D87" s="8">
        <f t="shared" si="7"/>
        <v>55</v>
      </c>
      <c r="E87" s="8">
        <v>6</v>
      </c>
      <c r="F87" s="8" t="str">
        <f t="array" ref="F87">GetValue("Domains",E87,"Name")</f>
        <v>Boolean</v>
      </c>
      <c r="G87" s="8"/>
      <c r="H87" s="8" t="str">
        <f t="array" ref="H87">GetValue("Tables",G87,"Name")</f>
        <v/>
      </c>
      <c r="I87" s="8" t="s">
        <v>449</v>
      </c>
      <c r="J87" s="8" t="s">
        <v>450</v>
      </c>
      <c r="K87" s="8" t="s">
        <v>451</v>
      </c>
      <c r="L87" s="8" t="s">
        <v>451</v>
      </c>
      <c r="M87" s="8"/>
      <c r="N87" s="8"/>
      <c r="O87" s="15" t="s">
        <v>36</v>
      </c>
      <c r="P87" s="15"/>
      <c r="Q87" s="8" t="b">
        <v>0</v>
      </c>
      <c r="R87" s="8"/>
      <c r="S87" s="8" t="b">
        <v>1</v>
      </c>
      <c r="T87" s="8"/>
      <c r="U87" s="8" t="b">
        <v>1</v>
      </c>
      <c r="V87" s="8" t="b">
        <v>1</v>
      </c>
      <c r="W87" s="8" t="b">
        <v>1</v>
      </c>
      <c r="X87" s="8"/>
    </row>
    <row r="88" spans="1:24" x14ac:dyDescent="0.3">
      <c r="A88" s="8">
        <f t="shared" si="8"/>
        <v>87</v>
      </c>
      <c r="B88" s="8">
        <v>11</v>
      </c>
      <c r="C88" s="8" t="str">
        <f t="array" ref="C88">GetValue("Tables",B88,"Name")</f>
        <v>Tables</v>
      </c>
      <c r="D88" s="8">
        <f t="shared" si="7"/>
        <v>60</v>
      </c>
      <c r="E88" s="8">
        <v>1</v>
      </c>
      <c r="F88" s="8" t="str">
        <f t="array" ref="F88">GetValue("Domains",E88,"Name")</f>
        <v>BigInteger</v>
      </c>
      <c r="G88" s="8"/>
      <c r="H88" s="8" t="str">
        <f t="array" ref="H88">GetValue("Tables",G88,"Name")</f>
        <v/>
      </c>
      <c r="I88" s="8" t="s">
        <v>581</v>
      </c>
      <c r="J88" s="8" t="s">
        <v>582</v>
      </c>
      <c r="K88" s="8" t="s">
        <v>582</v>
      </c>
      <c r="L88" s="8" t="s">
        <v>582</v>
      </c>
      <c r="M88" s="8"/>
      <c r="N88" s="8" t="s">
        <v>347</v>
      </c>
      <c r="O88" s="15">
        <v>0</v>
      </c>
      <c r="P88" s="15"/>
      <c r="Q88" s="8" t="b">
        <v>0</v>
      </c>
      <c r="R88" s="8" t="b">
        <v>0</v>
      </c>
      <c r="S88" s="8" t="b">
        <v>1</v>
      </c>
      <c r="T88" s="8" t="b">
        <v>0</v>
      </c>
      <c r="U88" s="8" t="b">
        <v>0</v>
      </c>
      <c r="V88" s="8" t="b">
        <v>0</v>
      </c>
      <c r="W88" s="8" t="b">
        <v>0</v>
      </c>
      <c r="X88" s="8"/>
    </row>
    <row r="89" spans="1:24" x14ac:dyDescent="0.3">
      <c r="A89" s="10">
        <f t="shared" si="8"/>
        <v>88</v>
      </c>
      <c r="B89" s="10">
        <v>12</v>
      </c>
      <c r="C89" s="10" t="str">
        <f t="array" ref="C89">GetValue("Tables",B89,"Name")</f>
        <v>DatabasesTables</v>
      </c>
      <c r="D89" s="10">
        <v>5</v>
      </c>
      <c r="E89" s="10">
        <v>1</v>
      </c>
      <c r="F89" s="10" t="str">
        <f t="array" ref="F89">GetValue("Domains",E89,"Name")</f>
        <v>BigInteger</v>
      </c>
      <c r="G89" s="10"/>
      <c r="H89" s="10" t="str">
        <f t="array" ref="H89">GetValue("Tables",G89,"Name")</f>
        <v/>
      </c>
      <c r="I89" s="10" t="s">
        <v>0</v>
      </c>
      <c r="J89" s="10" t="s">
        <v>484</v>
      </c>
      <c r="K89" s="10" t="s">
        <v>244</v>
      </c>
      <c r="L89" s="10" t="s">
        <v>244</v>
      </c>
      <c r="M89" s="10"/>
      <c r="N89" s="10"/>
      <c r="O89" s="17">
        <v>1</v>
      </c>
      <c r="P89" s="17"/>
      <c r="Q89" s="10" t="b">
        <v>1</v>
      </c>
      <c r="R89" s="10" t="b">
        <v>0</v>
      </c>
      <c r="S89" s="10" t="b">
        <v>1</v>
      </c>
      <c r="T89" s="10"/>
      <c r="U89" s="10" t="b">
        <v>1</v>
      </c>
      <c r="V89" s="10" t="b">
        <v>0</v>
      </c>
      <c r="W89" s="10" t="b">
        <v>0</v>
      </c>
      <c r="X89" s="10"/>
    </row>
    <row r="90" spans="1:24" x14ac:dyDescent="0.3">
      <c r="A90" s="10">
        <f t="shared" si="8"/>
        <v>89</v>
      </c>
      <c r="B90" s="10">
        <v>12</v>
      </c>
      <c r="C90" s="10" t="str">
        <f t="array" ref="C90">GetValue("Tables",B90,"Name")</f>
        <v>DatabasesTables</v>
      </c>
      <c r="D90" s="10">
        <f>D89+5</f>
        <v>10</v>
      </c>
      <c r="E90" s="10">
        <v>1</v>
      </c>
      <c r="F90" s="10" t="str">
        <f t="array" ref="F90">GetValue("Domains",E90,"Name")</f>
        <v>BigInteger</v>
      </c>
      <c r="G90" s="10">
        <v>9</v>
      </c>
      <c r="H90" s="10" t="str">
        <f t="array" ref="H90">GetValue("Tables",G90,"Name")</f>
        <v>Databases</v>
      </c>
      <c r="I90" s="10" t="s">
        <v>141</v>
      </c>
      <c r="J90" s="10" t="s">
        <v>315</v>
      </c>
      <c r="K90" s="10" t="s">
        <v>294</v>
      </c>
      <c r="L90" s="10" t="s">
        <v>294</v>
      </c>
      <c r="M90" s="10"/>
      <c r="N90" s="10"/>
      <c r="O90" s="17">
        <v>1</v>
      </c>
      <c r="P90" s="16"/>
      <c r="Q90" s="10" t="b">
        <v>0</v>
      </c>
      <c r="R90" s="10" t="b">
        <v>0</v>
      </c>
      <c r="S90" s="10" t="b">
        <v>1</v>
      </c>
      <c r="T90" s="10"/>
      <c r="U90" s="10" t="b">
        <v>1</v>
      </c>
      <c r="V90" s="10" t="b">
        <v>1</v>
      </c>
      <c r="W90" s="10" t="b">
        <v>1</v>
      </c>
      <c r="X90" s="10"/>
    </row>
    <row r="91" spans="1:24" x14ac:dyDescent="0.3">
      <c r="A91" s="10">
        <f t="shared" si="8"/>
        <v>90</v>
      </c>
      <c r="B91" s="10">
        <v>12</v>
      </c>
      <c r="C91" s="10" t="str">
        <f t="array" ref="C91">GetValue("Tables",B91,"Name")</f>
        <v>DatabasesTables</v>
      </c>
      <c r="D91" s="10">
        <f>D90+5</f>
        <v>15</v>
      </c>
      <c r="E91" s="10">
        <v>1</v>
      </c>
      <c r="F91" s="10" t="str">
        <f t="array" ref="F91">GetValue("Domains",E91,"Name")</f>
        <v>BigInteger</v>
      </c>
      <c r="G91" s="10">
        <v>11</v>
      </c>
      <c r="H91" s="10" t="str">
        <f t="array" ref="H91">GetValue("Tables",G91,"Name")</f>
        <v>Tables</v>
      </c>
      <c r="I91" s="10" t="s">
        <v>231</v>
      </c>
      <c r="J91" s="10" t="s">
        <v>331</v>
      </c>
      <c r="K91" s="10" t="s">
        <v>330</v>
      </c>
      <c r="L91" s="10" t="s">
        <v>330</v>
      </c>
      <c r="M91" s="10"/>
      <c r="N91" s="10"/>
      <c r="O91" s="17">
        <v>1</v>
      </c>
      <c r="P91" s="16"/>
      <c r="Q91" s="10" t="b">
        <v>0</v>
      </c>
      <c r="R91" s="10" t="b">
        <v>0</v>
      </c>
      <c r="S91" s="10" t="b">
        <v>1</v>
      </c>
      <c r="T91" s="10"/>
      <c r="U91" s="10" t="b">
        <v>1</v>
      </c>
      <c r="V91" s="10" t="b">
        <v>1</v>
      </c>
      <c r="W91" s="10" t="b">
        <v>1</v>
      </c>
      <c r="X91" s="10"/>
    </row>
    <row r="92" spans="1:24" x14ac:dyDescent="0.3">
      <c r="A92" s="10">
        <f t="shared" si="8"/>
        <v>91</v>
      </c>
      <c r="B92" s="10">
        <v>12</v>
      </c>
      <c r="C92" s="10" t="str">
        <f t="array" ref="C92">GetValue("Tables",B92,"Name")</f>
        <v>DatabasesTables</v>
      </c>
      <c r="D92" s="10">
        <f>D91+5</f>
        <v>20</v>
      </c>
      <c r="E92" s="10">
        <v>10</v>
      </c>
      <c r="F92" s="10" t="str">
        <f t="array" ref="F92">GetValue("Domains",E92,"Name")</f>
        <v>Varchar(50)</v>
      </c>
      <c r="G92" s="10"/>
      <c r="H92" s="10" t="str">
        <f t="array" ref="H92">GetValue("Tables",G92,"Name")</f>
        <v/>
      </c>
      <c r="I92" s="10" t="s">
        <v>91</v>
      </c>
      <c r="J92" s="10" t="s">
        <v>483</v>
      </c>
      <c r="K92" s="10" t="s">
        <v>287</v>
      </c>
      <c r="L92" s="10" t="s">
        <v>287</v>
      </c>
      <c r="M92" s="10"/>
      <c r="N92" s="10"/>
      <c r="O92" s="17"/>
      <c r="P92" s="17"/>
      <c r="Q92" s="10" t="b">
        <v>0</v>
      </c>
      <c r="R92" s="10"/>
      <c r="S92" s="10" t="b">
        <v>1</v>
      </c>
      <c r="T92" s="10" t="b">
        <v>1</v>
      </c>
      <c r="U92" s="10" t="b">
        <v>1</v>
      </c>
      <c r="V92" s="10" t="b">
        <v>1</v>
      </c>
      <c r="W92" s="10" t="b">
        <v>1</v>
      </c>
      <c r="X92" s="10" t="b">
        <v>0</v>
      </c>
    </row>
    <row r="93" spans="1:24" x14ac:dyDescent="0.3">
      <c r="A93" s="8">
        <f t="shared" si="8"/>
        <v>92</v>
      </c>
      <c r="B93" s="8">
        <v>13</v>
      </c>
      <c r="C93" s="8" t="str">
        <f t="array" ref="C93">GetValue("Tables",B93,"Name")</f>
        <v>Columns</v>
      </c>
      <c r="D93" s="8">
        <v>5</v>
      </c>
      <c r="E93" s="8">
        <v>1</v>
      </c>
      <c r="F93" s="8" t="str">
        <f t="array" ref="F93">GetValue("Domains",E93,"Name")</f>
        <v>BigInteger</v>
      </c>
      <c r="G93" s="8"/>
      <c r="H93" s="8" t="str">
        <f t="array" ref="H93">GetValue("Tables",G93,"Name")</f>
        <v/>
      </c>
      <c r="I93" s="8" t="s">
        <v>0</v>
      </c>
      <c r="J93" s="8" t="s">
        <v>348</v>
      </c>
      <c r="K93" s="8" t="s">
        <v>244</v>
      </c>
      <c r="L93" s="8" t="s">
        <v>244</v>
      </c>
      <c r="M93" s="8"/>
      <c r="N93" s="8"/>
      <c r="O93" s="15">
        <v>1</v>
      </c>
      <c r="P93" s="15"/>
      <c r="Q93" s="8" t="b">
        <v>1</v>
      </c>
      <c r="R93" s="8" t="b">
        <v>0</v>
      </c>
      <c r="S93" s="8" t="b">
        <v>1</v>
      </c>
      <c r="T93" s="8"/>
      <c r="U93" s="8" t="b">
        <v>1</v>
      </c>
      <c r="V93" s="8" t="b">
        <v>0</v>
      </c>
      <c r="W93" s="8" t="b">
        <v>0</v>
      </c>
      <c r="X93" s="8"/>
    </row>
    <row r="94" spans="1:24" x14ac:dyDescent="0.3">
      <c r="A94" s="8">
        <f t="shared" si="8"/>
        <v>93</v>
      </c>
      <c r="B94" s="8">
        <v>13</v>
      </c>
      <c r="C94" s="8" t="str">
        <f t="array" ref="C94">GetValue("Tables",B94,"Name")</f>
        <v>Columns</v>
      </c>
      <c r="D94" s="8">
        <f t="shared" ref="D94:D113" si="9">D93+5</f>
        <v>10</v>
      </c>
      <c r="E94" s="8">
        <v>1</v>
      </c>
      <c r="F94" s="8" t="str">
        <f t="array" ref="F94">GetValue("Domains",E94,"Name")</f>
        <v>BigInteger</v>
      </c>
      <c r="G94" s="8">
        <v>11</v>
      </c>
      <c r="H94" s="8" t="str">
        <f t="array" ref="H94">GetValue("Tables",G94,"Name")</f>
        <v>Tables</v>
      </c>
      <c r="I94" s="8" t="s">
        <v>231</v>
      </c>
      <c r="J94" s="8" t="s">
        <v>349</v>
      </c>
      <c r="K94" s="8" t="s">
        <v>349</v>
      </c>
      <c r="L94" s="8" t="s">
        <v>349</v>
      </c>
      <c r="M94" s="8"/>
      <c r="N94" s="8"/>
      <c r="O94" s="15">
        <v>1</v>
      </c>
      <c r="P94" s="15"/>
      <c r="Q94" s="8" t="b">
        <v>0</v>
      </c>
      <c r="R94" s="8" t="b">
        <v>0</v>
      </c>
      <c r="S94" s="8" t="b">
        <v>1</v>
      </c>
      <c r="T94" s="8"/>
      <c r="U94" s="8" t="b">
        <v>1</v>
      </c>
      <c r="V94" s="8" t="b">
        <v>1</v>
      </c>
      <c r="W94" s="8" t="b">
        <v>1</v>
      </c>
      <c r="X94" s="8"/>
    </row>
    <row r="95" spans="1:24" x14ac:dyDescent="0.3">
      <c r="A95" s="8">
        <f t="shared" si="8"/>
        <v>94</v>
      </c>
      <c r="B95" s="8">
        <v>13</v>
      </c>
      <c r="C95" s="8" t="str">
        <f t="array" ref="C95">GetValue("Tables",B95,"Name")</f>
        <v>Columns</v>
      </c>
      <c r="D95" s="8">
        <f t="shared" si="9"/>
        <v>15</v>
      </c>
      <c r="E95" s="8">
        <v>4</v>
      </c>
      <c r="F95" s="8" t="str">
        <f t="array" ref="F95">GetValue("Domains",E95,"Name")</f>
        <v>SmallInteger</v>
      </c>
      <c r="G95" s="8"/>
      <c r="H95" s="8" t="str">
        <f t="array" ref="H95">GetValue("Tables",G95,"Name")</f>
        <v/>
      </c>
      <c r="I95" s="8" t="s">
        <v>98</v>
      </c>
      <c r="J95" s="8" t="s">
        <v>296</v>
      </c>
      <c r="K95" s="8" t="s">
        <v>296</v>
      </c>
      <c r="L95" s="8" t="s">
        <v>296</v>
      </c>
      <c r="M95" s="8"/>
      <c r="N95" s="8"/>
      <c r="O95" s="15">
        <v>1</v>
      </c>
      <c r="P95" s="15"/>
      <c r="Q95" s="8" t="b">
        <v>0</v>
      </c>
      <c r="R95" s="8" t="b">
        <v>0</v>
      </c>
      <c r="S95" s="8" t="b">
        <v>1</v>
      </c>
      <c r="T95" s="8"/>
      <c r="U95" s="8" t="b">
        <v>0</v>
      </c>
      <c r="V95" s="8" t="b">
        <v>1</v>
      </c>
      <c r="W95" s="8" t="b">
        <v>1</v>
      </c>
      <c r="X95" s="8"/>
    </row>
    <row r="96" spans="1:24" x14ac:dyDescent="0.3">
      <c r="A96" s="8">
        <f t="shared" si="8"/>
        <v>95</v>
      </c>
      <c r="B96" s="8">
        <v>13</v>
      </c>
      <c r="C96" s="8" t="str">
        <f t="array" ref="C96">GetValue("Tables",B96,"Name")</f>
        <v>Columns</v>
      </c>
      <c r="D96" s="8">
        <f t="shared" si="9"/>
        <v>20</v>
      </c>
      <c r="E96" s="8">
        <v>1</v>
      </c>
      <c r="F96" s="8" t="str">
        <f t="array" ref="F96">GetValue("Domains",E96,"Name")</f>
        <v>BigInteger</v>
      </c>
      <c r="G96" s="8">
        <v>4</v>
      </c>
      <c r="H96" s="8" t="str">
        <f t="array" ref="H96">GetValue("Tables",G96,"Name")</f>
        <v>Domains</v>
      </c>
      <c r="I96" s="8" t="s">
        <v>232</v>
      </c>
      <c r="J96" s="8" t="s">
        <v>350</v>
      </c>
      <c r="K96" s="8" t="s">
        <v>351</v>
      </c>
      <c r="L96" s="8" t="s">
        <v>351</v>
      </c>
      <c r="M96" s="8"/>
      <c r="N96" s="8"/>
      <c r="O96" s="15">
        <v>1</v>
      </c>
      <c r="P96" s="15"/>
      <c r="Q96" s="8" t="b">
        <v>0</v>
      </c>
      <c r="R96" s="8" t="b">
        <v>0</v>
      </c>
      <c r="S96" s="8" t="b">
        <v>1</v>
      </c>
      <c r="T96" s="8"/>
      <c r="U96" s="8" t="b">
        <v>1</v>
      </c>
      <c r="V96" s="8" t="b">
        <v>1</v>
      </c>
      <c r="W96" s="8" t="b">
        <v>1</v>
      </c>
      <c r="X96" s="8"/>
    </row>
    <row r="97" spans="1:24" x14ac:dyDescent="0.3">
      <c r="A97" s="8">
        <f t="shared" si="8"/>
        <v>96</v>
      </c>
      <c r="B97" s="8">
        <v>13</v>
      </c>
      <c r="C97" s="8" t="str">
        <f t="array" ref="C97">GetValue("Tables",B97,"Name")</f>
        <v>Columns</v>
      </c>
      <c r="D97" s="8">
        <f t="shared" si="9"/>
        <v>25</v>
      </c>
      <c r="E97" s="8">
        <v>1</v>
      </c>
      <c r="F97" s="8" t="str">
        <f t="array" ref="F97">GetValue("Domains",E97,"Name")</f>
        <v>BigInteger</v>
      </c>
      <c r="G97" s="8">
        <v>11</v>
      </c>
      <c r="H97" s="8" t="str">
        <f t="array" ref="H97">GetValue("Tables",G97,"Name")</f>
        <v>Tables</v>
      </c>
      <c r="I97" s="8" t="s">
        <v>233</v>
      </c>
      <c r="J97" s="8" t="s">
        <v>352</v>
      </c>
      <c r="K97" s="8" t="s">
        <v>353</v>
      </c>
      <c r="L97" s="8" t="s">
        <v>353</v>
      </c>
      <c r="M97" s="8"/>
      <c r="N97" s="8"/>
      <c r="O97" s="15">
        <v>1</v>
      </c>
      <c r="P97" s="15"/>
      <c r="Q97" s="8" t="b">
        <v>0</v>
      </c>
      <c r="R97" s="8" t="b">
        <v>0</v>
      </c>
      <c r="S97" s="8" t="b">
        <v>0</v>
      </c>
      <c r="T97" s="8"/>
      <c r="U97" s="8" t="b">
        <v>1</v>
      </c>
      <c r="V97" s="8" t="b">
        <v>1</v>
      </c>
      <c r="W97" s="8" t="b">
        <v>1</v>
      </c>
      <c r="X97" s="8"/>
    </row>
    <row r="98" spans="1:24" x14ac:dyDescent="0.3">
      <c r="A98" s="8">
        <f t="shared" si="8"/>
        <v>97</v>
      </c>
      <c r="B98" s="8">
        <v>13</v>
      </c>
      <c r="C98" s="8" t="str">
        <f t="array" ref="C98">GetValue("Tables",B98,"Name")</f>
        <v>Columns</v>
      </c>
      <c r="D98" s="8">
        <f t="shared" si="9"/>
        <v>30</v>
      </c>
      <c r="E98" s="8">
        <v>9</v>
      </c>
      <c r="F98" s="8" t="str">
        <f t="array" ref="F98">GetValue("Domains",E98,"Name")</f>
        <v>Varchar(25)</v>
      </c>
      <c r="G98" s="8"/>
      <c r="H98" s="8" t="str">
        <f t="array" ref="H98">GetValue("Tables",G98,"Name")</f>
        <v/>
      </c>
      <c r="I98" s="8" t="s">
        <v>1</v>
      </c>
      <c r="J98" s="8" t="s">
        <v>354</v>
      </c>
      <c r="K98" s="8" t="s">
        <v>246</v>
      </c>
      <c r="L98" s="8" t="s">
        <v>246</v>
      </c>
      <c r="M98" s="8"/>
      <c r="N98" s="8"/>
      <c r="O98" s="15" t="s">
        <v>36</v>
      </c>
      <c r="P98" s="15"/>
      <c r="Q98" s="8" t="b">
        <v>0</v>
      </c>
      <c r="R98" s="8"/>
      <c r="S98" s="8" t="b">
        <v>1</v>
      </c>
      <c r="T98" s="8"/>
      <c r="U98" s="8" t="b">
        <v>1</v>
      </c>
      <c r="V98" s="8" t="b">
        <v>1</v>
      </c>
      <c r="W98" s="8" t="b">
        <v>1</v>
      </c>
      <c r="X98" s="8" t="b">
        <v>0</v>
      </c>
    </row>
    <row r="99" spans="1:24" x14ac:dyDescent="0.3">
      <c r="A99" s="8">
        <f t="shared" si="8"/>
        <v>98</v>
      </c>
      <c r="B99" s="8">
        <v>13</v>
      </c>
      <c r="C99" s="8" t="str">
        <f t="array" ref="C99">GetValue("Tables",B99,"Name")</f>
        <v>Columns</v>
      </c>
      <c r="D99" s="8">
        <f t="shared" si="9"/>
        <v>35</v>
      </c>
      <c r="E99" s="8">
        <v>10</v>
      </c>
      <c r="F99" s="8" t="str">
        <f t="array" ref="F99">GetValue("Domains",E99,"Name")</f>
        <v>Varchar(50)</v>
      </c>
      <c r="G99" s="8"/>
      <c r="H99" s="8" t="str">
        <f t="array" ref="H99">GetValue("Tables",G99,"Name")</f>
        <v/>
      </c>
      <c r="I99" s="8" t="s">
        <v>91</v>
      </c>
      <c r="J99" s="8" t="s">
        <v>355</v>
      </c>
      <c r="K99" s="8" t="s">
        <v>287</v>
      </c>
      <c r="L99" s="8" t="s">
        <v>287</v>
      </c>
      <c r="M99" s="8"/>
      <c r="N99" s="8"/>
      <c r="O99" s="15" t="s">
        <v>36</v>
      </c>
      <c r="P99" s="15"/>
      <c r="Q99" s="8" t="b">
        <v>0</v>
      </c>
      <c r="R99" s="8"/>
      <c r="S99" s="8" t="b">
        <v>1</v>
      </c>
      <c r="T99" s="8"/>
      <c r="U99" s="8" t="b">
        <v>0</v>
      </c>
      <c r="V99" s="8" t="b">
        <v>1</v>
      </c>
      <c r="W99" s="8" t="b">
        <v>1</v>
      </c>
      <c r="X99" s="8" t="b">
        <v>0</v>
      </c>
    </row>
    <row r="100" spans="1:24" x14ac:dyDescent="0.3">
      <c r="A100" s="8">
        <f t="shared" si="8"/>
        <v>99</v>
      </c>
      <c r="B100" s="8">
        <v>13</v>
      </c>
      <c r="C100" s="8" t="str">
        <f t="array" ref="C100">GetValue("Tables",B100,"Name")</f>
        <v>Columns</v>
      </c>
      <c r="D100" s="8">
        <f t="shared" si="9"/>
        <v>40</v>
      </c>
      <c r="E100" s="8">
        <v>9</v>
      </c>
      <c r="F100" s="8" t="str">
        <f t="array" ref="F100">GetValue("Domains",E100,"Name")</f>
        <v>Varchar(25)</v>
      </c>
      <c r="G100" s="8"/>
      <c r="H100" s="8" t="str">
        <f t="array" ref="H100">GetValue("Tables",G100,"Name")</f>
        <v/>
      </c>
      <c r="I100" s="8" t="s">
        <v>234</v>
      </c>
      <c r="J100" s="8" t="s">
        <v>356</v>
      </c>
      <c r="K100" s="8" t="s">
        <v>357</v>
      </c>
      <c r="L100" s="8" t="s">
        <v>357</v>
      </c>
      <c r="M100" s="8"/>
      <c r="N100" s="8"/>
      <c r="O100" s="15" t="s">
        <v>36</v>
      </c>
      <c r="P100" s="15"/>
      <c r="Q100" s="8" t="b">
        <v>0</v>
      </c>
      <c r="R100" s="8"/>
      <c r="S100" s="8" t="b">
        <v>1</v>
      </c>
      <c r="T100" s="8"/>
      <c r="U100" s="8" t="b">
        <v>0</v>
      </c>
      <c r="V100" s="8" t="b">
        <v>1</v>
      </c>
      <c r="W100" s="8" t="b">
        <v>1</v>
      </c>
      <c r="X100" s="8" t="b">
        <v>0</v>
      </c>
    </row>
    <row r="101" spans="1:24" x14ac:dyDescent="0.3">
      <c r="A101" s="8">
        <f t="shared" si="8"/>
        <v>100</v>
      </c>
      <c r="B101" s="8">
        <v>13</v>
      </c>
      <c r="C101" s="8" t="str">
        <f t="array" ref="C101">GetValue("Tables",B101,"Name")</f>
        <v>Columns</v>
      </c>
      <c r="D101" s="8">
        <f t="shared" si="9"/>
        <v>45</v>
      </c>
      <c r="E101" s="8">
        <v>9</v>
      </c>
      <c r="F101" s="8" t="str">
        <f t="array" ref="F101">GetValue("Domains",E101,"Name")</f>
        <v>Varchar(25)</v>
      </c>
      <c r="G101" s="8"/>
      <c r="H101" s="8" t="str">
        <f t="array" ref="H101">GetValue("Tables",G101,"Name")</f>
        <v/>
      </c>
      <c r="I101" s="8" t="s">
        <v>99</v>
      </c>
      <c r="J101" s="8" t="s">
        <v>358</v>
      </c>
      <c r="K101" s="8" t="s">
        <v>359</v>
      </c>
      <c r="L101" s="8" t="s">
        <v>359</v>
      </c>
      <c r="M101" s="8"/>
      <c r="N101" s="8"/>
      <c r="O101" s="15" t="s">
        <v>36</v>
      </c>
      <c r="P101" s="15"/>
      <c r="Q101" s="8" t="b">
        <v>0</v>
      </c>
      <c r="R101" s="8"/>
      <c r="S101" s="8" t="b">
        <v>1</v>
      </c>
      <c r="T101" s="8"/>
      <c r="U101" s="8" t="b">
        <v>0</v>
      </c>
      <c r="V101" s="8" t="b">
        <v>1</v>
      </c>
      <c r="W101" s="8" t="b">
        <v>1</v>
      </c>
      <c r="X101" s="8" t="b">
        <v>0</v>
      </c>
    </row>
    <row r="102" spans="1:24" x14ac:dyDescent="0.3">
      <c r="A102" s="8">
        <f t="shared" si="8"/>
        <v>101</v>
      </c>
      <c r="B102" s="8">
        <v>13</v>
      </c>
      <c r="C102" s="8" t="str">
        <f t="array" ref="C102">GetValue("Tables",B102,"Name")</f>
        <v>Columns</v>
      </c>
      <c r="D102" s="8">
        <f t="shared" si="9"/>
        <v>50</v>
      </c>
      <c r="E102" s="8">
        <v>12</v>
      </c>
      <c r="F102" s="8" t="str">
        <f t="array" ref="F102">GetValue("Domains",E102,"Name")</f>
        <v>Varchar(MAX)</v>
      </c>
      <c r="G102" s="8"/>
      <c r="H102" s="8" t="str">
        <f t="array" ref="H102">GetValue("Tables",G102,"Name")</f>
        <v/>
      </c>
      <c r="I102" s="8" t="s">
        <v>452</v>
      </c>
      <c r="J102" s="8" t="s">
        <v>448</v>
      </c>
      <c r="K102" s="8" t="s">
        <v>448</v>
      </c>
      <c r="L102" s="8" t="s">
        <v>448</v>
      </c>
      <c r="M102" s="8"/>
      <c r="N102" s="8"/>
      <c r="O102" s="15" t="s">
        <v>36</v>
      </c>
      <c r="P102" s="15"/>
      <c r="Q102" s="8" t="b">
        <v>0</v>
      </c>
      <c r="R102" s="8"/>
      <c r="S102" s="8" t="b">
        <v>0</v>
      </c>
      <c r="T102" s="8"/>
      <c r="U102" s="8" t="b">
        <v>0</v>
      </c>
      <c r="V102" s="8" t="b">
        <v>1</v>
      </c>
      <c r="W102" s="8" t="b">
        <v>0</v>
      </c>
      <c r="X102" s="8" t="b">
        <v>0</v>
      </c>
    </row>
    <row r="103" spans="1:24" x14ac:dyDescent="0.3">
      <c r="A103" s="8">
        <f t="shared" si="8"/>
        <v>102</v>
      </c>
      <c r="B103" s="8">
        <v>13</v>
      </c>
      <c r="C103" s="8" t="str">
        <f t="array" ref="C103">GetValue("Tables",B103,"Name")</f>
        <v>Columns</v>
      </c>
      <c r="D103" s="8">
        <f t="shared" si="9"/>
        <v>55</v>
      </c>
      <c r="E103" s="8">
        <v>17</v>
      </c>
      <c r="F103" s="8" t="str">
        <f t="array" ref="F103">GetValue("Domains",E103,"Name")</f>
        <v>Variant</v>
      </c>
      <c r="G103" s="8"/>
      <c r="H103" s="8" t="str">
        <f t="array" ref="H103">GetValue("Tables",G103,"Name")</f>
        <v/>
      </c>
      <c r="I103" s="8" t="s">
        <v>67</v>
      </c>
      <c r="J103" s="8" t="s">
        <v>360</v>
      </c>
      <c r="K103" s="8" t="s">
        <v>361</v>
      </c>
      <c r="L103" s="8" t="s">
        <v>361</v>
      </c>
      <c r="M103" s="8"/>
      <c r="N103" s="8"/>
      <c r="O103" s="15" t="s">
        <v>36</v>
      </c>
      <c r="P103" s="15"/>
      <c r="Q103" s="8"/>
      <c r="R103" s="8"/>
      <c r="S103" s="8" t="b">
        <v>0</v>
      </c>
      <c r="T103" s="8"/>
      <c r="U103" s="8"/>
      <c r="V103" s="8" t="b">
        <v>1</v>
      </c>
      <c r="W103" s="8" t="b">
        <v>1</v>
      </c>
      <c r="X103" s="8"/>
    </row>
    <row r="104" spans="1:24" x14ac:dyDescent="0.3">
      <c r="A104" s="8">
        <f t="shared" si="8"/>
        <v>103</v>
      </c>
      <c r="B104" s="8">
        <v>13</v>
      </c>
      <c r="C104" s="8" t="str">
        <f t="array" ref="C104">GetValue("Tables",B104,"Name")</f>
        <v>Columns</v>
      </c>
      <c r="D104" s="8">
        <f t="shared" si="9"/>
        <v>60</v>
      </c>
      <c r="E104" s="8">
        <v>17</v>
      </c>
      <c r="F104" s="8" t="str">
        <f t="array" ref="F104">GetValue("Domains",E104,"Name")</f>
        <v>Variant</v>
      </c>
      <c r="G104" s="8"/>
      <c r="H104" s="8" t="str">
        <f t="array" ref="H104">GetValue("Tables",G104,"Name")</f>
        <v/>
      </c>
      <c r="I104" s="8" t="s">
        <v>26</v>
      </c>
      <c r="J104" s="8" t="s">
        <v>362</v>
      </c>
      <c r="K104" s="8" t="s">
        <v>250</v>
      </c>
      <c r="L104" s="8" t="s">
        <v>250</v>
      </c>
      <c r="M104" s="8"/>
      <c r="N104" s="8"/>
      <c r="O104" s="15" t="s">
        <v>36</v>
      </c>
      <c r="P104" s="15"/>
      <c r="Q104" s="8"/>
      <c r="R104" s="8"/>
      <c r="S104" s="8" t="b">
        <v>0</v>
      </c>
      <c r="T104" s="8"/>
      <c r="U104" s="8"/>
      <c r="V104" s="8" t="b">
        <v>1</v>
      </c>
      <c r="W104" s="8" t="b">
        <v>1</v>
      </c>
      <c r="X104" s="8"/>
    </row>
    <row r="105" spans="1:24" x14ac:dyDescent="0.3">
      <c r="A105" s="8">
        <f t="shared" si="8"/>
        <v>104</v>
      </c>
      <c r="B105" s="8">
        <v>13</v>
      </c>
      <c r="C105" s="8" t="str">
        <f t="array" ref="C105">GetValue("Tables",B105,"Name")</f>
        <v>Columns</v>
      </c>
      <c r="D105" s="8">
        <f t="shared" si="9"/>
        <v>65</v>
      </c>
      <c r="E105" s="8">
        <v>17</v>
      </c>
      <c r="F105" s="8" t="str">
        <f t="array" ref="F105">GetValue("Domains",E105,"Name")</f>
        <v>Variant</v>
      </c>
      <c r="G105" s="8"/>
      <c r="H105" s="8" t="str">
        <f t="array" ref="H105">GetValue("Tables",G105,"Name")</f>
        <v/>
      </c>
      <c r="I105" s="8" t="s">
        <v>27</v>
      </c>
      <c r="J105" s="8" t="s">
        <v>363</v>
      </c>
      <c r="K105" s="8" t="s">
        <v>252</v>
      </c>
      <c r="L105" s="8" t="s">
        <v>252</v>
      </c>
      <c r="M105" s="8"/>
      <c r="N105" s="8"/>
      <c r="O105" s="15" t="s">
        <v>36</v>
      </c>
      <c r="P105" s="15"/>
      <c r="Q105" s="8"/>
      <c r="R105" s="8"/>
      <c r="S105" s="8" t="b">
        <v>0</v>
      </c>
      <c r="T105" s="8"/>
      <c r="U105" s="8"/>
      <c r="V105" s="8" t="b">
        <v>1</v>
      </c>
      <c r="W105" s="8" t="b">
        <v>1</v>
      </c>
      <c r="X105" s="8"/>
    </row>
    <row r="106" spans="1:24" x14ac:dyDescent="0.3">
      <c r="A106" s="8">
        <f t="shared" si="8"/>
        <v>105</v>
      </c>
      <c r="B106" s="8">
        <v>13</v>
      </c>
      <c r="C106" s="8" t="str">
        <f t="array" ref="C106">GetValue("Tables",B106,"Name")</f>
        <v>Columns</v>
      </c>
      <c r="D106" s="8">
        <f t="shared" si="9"/>
        <v>70</v>
      </c>
      <c r="E106" s="8">
        <v>6</v>
      </c>
      <c r="F106" s="8" t="str">
        <f t="array" ref="F106">GetValue("Domains",E106,"Name")</f>
        <v>Boolean</v>
      </c>
      <c r="G106" s="8"/>
      <c r="H106" s="8" t="str">
        <f t="array" ref="H106">GetValue("Tables",G106,"Name")</f>
        <v/>
      </c>
      <c r="I106" s="8" t="s">
        <v>235</v>
      </c>
      <c r="J106" s="8" t="s">
        <v>364</v>
      </c>
      <c r="K106" s="8" t="s">
        <v>365</v>
      </c>
      <c r="L106" s="8" t="s">
        <v>365</v>
      </c>
      <c r="M106" s="8"/>
      <c r="N106" s="8"/>
      <c r="O106" s="15" t="s">
        <v>36</v>
      </c>
      <c r="P106" s="15"/>
      <c r="Q106" s="8"/>
      <c r="R106" s="8"/>
      <c r="S106" s="8" t="b">
        <v>0</v>
      </c>
      <c r="T106" s="8"/>
      <c r="U106" s="8"/>
      <c r="V106" s="8" t="b">
        <v>1</v>
      </c>
      <c r="W106" s="8" t="b">
        <v>1</v>
      </c>
      <c r="X106" s="8"/>
    </row>
    <row r="107" spans="1:24" x14ac:dyDescent="0.3">
      <c r="A107" s="8">
        <f t="shared" si="8"/>
        <v>106</v>
      </c>
      <c r="B107" s="8">
        <v>13</v>
      </c>
      <c r="C107" s="8" t="str">
        <f t="array" ref="C107">GetValue("Tables",B107,"Name")</f>
        <v>Columns</v>
      </c>
      <c r="D107" s="8">
        <f t="shared" si="9"/>
        <v>75</v>
      </c>
      <c r="E107" s="8">
        <v>6</v>
      </c>
      <c r="F107" s="8" t="str">
        <f t="array" ref="F107">GetValue("Domains",E107,"Name")</f>
        <v>Boolean</v>
      </c>
      <c r="G107" s="8"/>
      <c r="H107" s="8" t="str">
        <f t="array" ref="H107">GetValue("Tables",G107,"Name")</f>
        <v/>
      </c>
      <c r="I107" s="8" t="s">
        <v>236</v>
      </c>
      <c r="J107" s="8" t="s">
        <v>366</v>
      </c>
      <c r="K107" s="8" t="s">
        <v>367</v>
      </c>
      <c r="L107" s="8" t="s">
        <v>367</v>
      </c>
      <c r="M107" s="8"/>
      <c r="N107" s="8"/>
      <c r="O107" s="15" t="s">
        <v>36</v>
      </c>
      <c r="P107" s="15"/>
      <c r="Q107" s="8"/>
      <c r="R107" s="8"/>
      <c r="S107" s="8" t="b">
        <v>0</v>
      </c>
      <c r="T107" s="8"/>
      <c r="U107" s="8" t="b">
        <v>1</v>
      </c>
      <c r="V107" s="8" t="b">
        <v>1</v>
      </c>
      <c r="W107" s="8" t="b">
        <v>1</v>
      </c>
      <c r="X107" s="8"/>
    </row>
    <row r="108" spans="1:24" x14ac:dyDescent="0.3">
      <c r="A108" s="8">
        <f t="shared" si="8"/>
        <v>107</v>
      </c>
      <c r="B108" s="8">
        <v>13</v>
      </c>
      <c r="C108" s="8" t="str">
        <f t="array" ref="C108">GetValue("Tables",B108,"Name")</f>
        <v>Columns</v>
      </c>
      <c r="D108" s="8">
        <f t="shared" si="9"/>
        <v>80</v>
      </c>
      <c r="E108" s="8">
        <v>6</v>
      </c>
      <c r="F108" s="8" t="str">
        <f t="array" ref="F108">GetValue("Domains",E108,"Name")</f>
        <v>Boolean</v>
      </c>
      <c r="G108" s="8"/>
      <c r="H108" s="8" t="str">
        <f t="array" ref="H108">GetValue("Tables",G108,"Name")</f>
        <v/>
      </c>
      <c r="I108" s="8" t="s">
        <v>237</v>
      </c>
      <c r="J108" s="8" t="s">
        <v>368</v>
      </c>
      <c r="K108" s="8" t="s">
        <v>369</v>
      </c>
      <c r="L108" s="8" t="s">
        <v>369</v>
      </c>
      <c r="M108" s="8"/>
      <c r="N108" s="8"/>
      <c r="O108" s="15" t="s">
        <v>36</v>
      </c>
      <c r="P108" s="15"/>
      <c r="Q108" s="8"/>
      <c r="R108" s="8"/>
      <c r="S108" s="8" t="b">
        <v>1</v>
      </c>
      <c r="T108" s="8"/>
      <c r="U108" s="8" t="b">
        <v>1</v>
      </c>
      <c r="V108" s="8" t="b">
        <v>1</v>
      </c>
      <c r="W108" s="8" t="b">
        <v>1</v>
      </c>
      <c r="X108" s="8"/>
    </row>
    <row r="109" spans="1:24" x14ac:dyDescent="0.3">
      <c r="A109" s="8">
        <f t="shared" si="8"/>
        <v>108</v>
      </c>
      <c r="B109" s="8">
        <v>13</v>
      </c>
      <c r="C109" s="8" t="str">
        <f t="array" ref="C109">GetValue("Tables",B109,"Name")</f>
        <v>Columns</v>
      </c>
      <c r="D109" s="8">
        <f t="shared" si="9"/>
        <v>85</v>
      </c>
      <c r="E109" s="8">
        <v>6</v>
      </c>
      <c r="F109" s="8" t="str">
        <f t="array" ref="F109">GetValue("Domains",E109,"Name")</f>
        <v>Boolean</v>
      </c>
      <c r="G109" s="8"/>
      <c r="H109" s="8" t="str">
        <f t="array" ref="H109">GetValue("Tables",G109,"Name")</f>
        <v/>
      </c>
      <c r="I109" s="8" t="s">
        <v>238</v>
      </c>
      <c r="J109" s="8" t="s">
        <v>370</v>
      </c>
      <c r="K109" s="8" t="s">
        <v>371</v>
      </c>
      <c r="L109" s="8" t="s">
        <v>371</v>
      </c>
      <c r="M109" s="8"/>
      <c r="N109" s="8"/>
      <c r="O109" s="15" t="s">
        <v>36</v>
      </c>
      <c r="P109" s="15"/>
      <c r="Q109" s="8"/>
      <c r="R109" s="8"/>
      <c r="S109" s="8" t="b">
        <v>0</v>
      </c>
      <c r="T109" s="8"/>
      <c r="U109" s="8" t="b">
        <v>1</v>
      </c>
      <c r="V109" s="8" t="b">
        <v>1</v>
      </c>
      <c r="W109" s="8" t="b">
        <v>1</v>
      </c>
      <c r="X109" s="8"/>
    </row>
    <row r="110" spans="1:24" x14ac:dyDescent="0.3">
      <c r="A110" s="8">
        <f t="shared" si="8"/>
        <v>109</v>
      </c>
      <c r="B110" s="8">
        <v>13</v>
      </c>
      <c r="C110" s="8" t="str">
        <f t="array" ref="C110">GetValue("Tables",B110,"Name")</f>
        <v>Columns</v>
      </c>
      <c r="D110" s="8">
        <f t="shared" si="9"/>
        <v>90</v>
      </c>
      <c r="E110" s="8">
        <v>6</v>
      </c>
      <c r="F110" s="8" t="str">
        <f t="array" ref="F110">GetValue("Domains",E110,"Name")</f>
        <v>Boolean</v>
      </c>
      <c r="G110" s="8"/>
      <c r="H110" s="8" t="str">
        <f t="array" ref="H110">GetValue("Tables",G110,"Name")</f>
        <v/>
      </c>
      <c r="I110" s="8" t="s">
        <v>239</v>
      </c>
      <c r="J110" s="8" t="s">
        <v>372</v>
      </c>
      <c r="K110" s="8" t="s">
        <v>373</v>
      </c>
      <c r="L110" s="8" t="s">
        <v>373</v>
      </c>
      <c r="M110" s="8"/>
      <c r="N110" s="8"/>
      <c r="O110" s="15" t="s">
        <v>36</v>
      </c>
      <c r="P110" s="15"/>
      <c r="Q110" s="8"/>
      <c r="R110" s="8"/>
      <c r="S110" s="8" t="b">
        <v>0</v>
      </c>
      <c r="T110" s="8"/>
      <c r="U110" s="8" t="b">
        <v>1</v>
      </c>
      <c r="V110" s="8" t="b">
        <v>1</v>
      </c>
      <c r="W110" s="8" t="b">
        <v>1</v>
      </c>
      <c r="X110" s="8"/>
    </row>
    <row r="111" spans="1:24" x14ac:dyDescent="0.3">
      <c r="A111" s="8">
        <f t="shared" si="8"/>
        <v>110</v>
      </c>
      <c r="B111" s="8">
        <v>13</v>
      </c>
      <c r="C111" s="8" t="str">
        <f t="array" ref="C111">GetValue("Tables",B111,"Name")</f>
        <v>Columns</v>
      </c>
      <c r="D111" s="8">
        <f t="shared" si="9"/>
        <v>95</v>
      </c>
      <c r="E111" s="8">
        <v>6</v>
      </c>
      <c r="F111" s="8" t="str">
        <f t="array" ref="F111">GetValue("Domains",E111,"Name")</f>
        <v>Boolean</v>
      </c>
      <c r="G111" s="8"/>
      <c r="H111" s="8" t="str">
        <f t="array" ref="H111">GetValue("Tables",G111,"Name")</f>
        <v/>
      </c>
      <c r="I111" s="8" t="s">
        <v>240</v>
      </c>
      <c r="J111" s="8" t="s">
        <v>374</v>
      </c>
      <c r="K111" s="8" t="s">
        <v>375</v>
      </c>
      <c r="L111" s="8" t="s">
        <v>375</v>
      </c>
      <c r="M111" s="8"/>
      <c r="N111" s="8"/>
      <c r="O111" s="15" t="s">
        <v>36</v>
      </c>
      <c r="P111" s="15"/>
      <c r="Q111" s="8"/>
      <c r="R111" s="8"/>
      <c r="S111" s="8" t="b">
        <v>0</v>
      </c>
      <c r="T111" s="8"/>
      <c r="U111" s="8" t="b">
        <v>1</v>
      </c>
      <c r="V111" s="8" t="b">
        <v>1</v>
      </c>
      <c r="W111" s="8" t="b">
        <v>1</v>
      </c>
      <c r="X111" s="8"/>
    </row>
    <row r="112" spans="1:24" x14ac:dyDescent="0.3">
      <c r="A112" s="8">
        <f t="shared" si="8"/>
        <v>111</v>
      </c>
      <c r="B112" s="8">
        <v>13</v>
      </c>
      <c r="C112" s="8" t="str">
        <f t="array" ref="C112">GetValue("Tables",B112,"Name")</f>
        <v>Columns</v>
      </c>
      <c r="D112" s="8">
        <f t="shared" si="9"/>
        <v>100</v>
      </c>
      <c r="E112" s="8">
        <v>6</v>
      </c>
      <c r="F112" s="8" t="str">
        <f t="array" ref="F112">GetValue("Domains",E112,"Name")</f>
        <v>Boolean</v>
      </c>
      <c r="G112" s="8"/>
      <c r="H112" s="8" t="str">
        <f t="array" ref="H112">GetValue("Tables",G112,"Name")</f>
        <v/>
      </c>
      <c r="I112" s="8" t="s">
        <v>241</v>
      </c>
      <c r="J112" s="8" t="s">
        <v>376</v>
      </c>
      <c r="K112" s="8" t="s">
        <v>377</v>
      </c>
      <c r="L112" s="8" t="s">
        <v>377</v>
      </c>
      <c r="M112" s="8"/>
      <c r="N112" s="8"/>
      <c r="O112" s="15" t="s">
        <v>36</v>
      </c>
      <c r="P112" s="15"/>
      <c r="Q112" s="8"/>
      <c r="R112" s="8"/>
      <c r="S112" s="8" t="b">
        <v>0</v>
      </c>
      <c r="T112" s="8"/>
      <c r="U112" s="8" t="b">
        <v>1</v>
      </c>
      <c r="V112" s="8" t="b">
        <v>1</v>
      </c>
      <c r="W112" s="8" t="b">
        <v>1</v>
      </c>
      <c r="X112" s="8"/>
    </row>
    <row r="113" spans="1:24" x14ac:dyDescent="0.3">
      <c r="A113" s="8">
        <f t="shared" si="8"/>
        <v>112</v>
      </c>
      <c r="B113" s="8">
        <v>13</v>
      </c>
      <c r="C113" s="8" t="str">
        <f t="array" ref="C113">GetValue("Tables",B113,"Name")</f>
        <v>Columns</v>
      </c>
      <c r="D113" s="8">
        <f t="shared" si="9"/>
        <v>105</v>
      </c>
      <c r="E113" s="8">
        <v>6</v>
      </c>
      <c r="F113" s="8" t="str">
        <f t="array" ref="F113">GetValue("Domains",E113,"Name")</f>
        <v>Boolean</v>
      </c>
      <c r="G113" s="8"/>
      <c r="H113" s="8" t="str">
        <f t="array" ref="H113">GetValue("Tables",G113,"Name")</f>
        <v/>
      </c>
      <c r="I113" s="8" t="s">
        <v>242</v>
      </c>
      <c r="J113" s="8" t="s">
        <v>378</v>
      </c>
      <c r="K113" s="8" t="s">
        <v>379</v>
      </c>
      <c r="L113" s="8" t="s">
        <v>379</v>
      </c>
      <c r="M113" s="8"/>
      <c r="N113" s="8"/>
      <c r="O113" s="15" t="s">
        <v>36</v>
      </c>
      <c r="P113" s="15"/>
      <c r="Q113" s="8"/>
      <c r="R113" s="8"/>
      <c r="S113" s="8" t="b">
        <v>0</v>
      </c>
      <c r="T113" s="8"/>
      <c r="U113" s="8" t="b">
        <v>1</v>
      </c>
      <c r="V113" s="8" t="b">
        <v>1</v>
      </c>
      <c r="W113" s="8" t="b">
        <v>1</v>
      </c>
      <c r="X113" s="8"/>
    </row>
    <row r="114" spans="1:24" x14ac:dyDescent="0.3">
      <c r="A114" s="10">
        <f t="shared" si="8"/>
        <v>113</v>
      </c>
      <c r="B114" s="10">
        <v>14</v>
      </c>
      <c r="C114" s="10" t="str">
        <f t="array" ref="C114">GetValue("Tables",B114,"Name")</f>
        <v>Indexes</v>
      </c>
      <c r="D114" s="10">
        <v>5</v>
      </c>
      <c r="E114" s="10">
        <v>1</v>
      </c>
      <c r="F114" s="10" t="str">
        <f t="array" ref="F114">GetValue("Domains",E114,"Name")</f>
        <v>BigInteger</v>
      </c>
      <c r="G114" s="10"/>
      <c r="H114" s="10" t="str">
        <f t="array" ref="H114">GetValue("Tables",G114,"Name")</f>
        <v/>
      </c>
      <c r="I114" s="10" t="s">
        <v>0</v>
      </c>
      <c r="J114" s="10" t="s">
        <v>380</v>
      </c>
      <c r="K114" s="10" t="s">
        <v>244</v>
      </c>
      <c r="L114" s="10" t="s">
        <v>244</v>
      </c>
      <c r="M114" s="10"/>
      <c r="N114" s="10"/>
      <c r="O114" s="17">
        <v>1</v>
      </c>
      <c r="P114" s="17"/>
      <c r="Q114" s="10" t="b">
        <v>1</v>
      </c>
      <c r="R114" s="10" t="b">
        <v>0</v>
      </c>
      <c r="S114" s="10" t="b">
        <v>1</v>
      </c>
      <c r="T114" s="10"/>
      <c r="U114" s="10" t="b">
        <v>1</v>
      </c>
      <c r="V114" s="10" t="b">
        <v>0</v>
      </c>
      <c r="W114" s="10" t="b">
        <v>0</v>
      </c>
      <c r="X114" s="10"/>
    </row>
    <row r="115" spans="1:24" x14ac:dyDescent="0.3">
      <c r="A115" s="10">
        <f t="shared" si="8"/>
        <v>114</v>
      </c>
      <c r="B115" s="10">
        <v>14</v>
      </c>
      <c r="C115" s="10" t="str">
        <f t="array" ref="C115">GetValue("Tables",B115,"Name")</f>
        <v>Indexes</v>
      </c>
      <c r="D115" s="10">
        <f>D114+5</f>
        <v>10</v>
      </c>
      <c r="E115" s="10">
        <v>1</v>
      </c>
      <c r="F115" s="10" t="str">
        <f t="array" ref="F115">GetValue("Domains",E115,"Name")</f>
        <v>BigInteger</v>
      </c>
      <c r="G115" s="10">
        <v>9</v>
      </c>
      <c r="H115" s="10" t="str">
        <f t="array" ref="H115">GetValue("Tables",G115,"Name")</f>
        <v>Databases</v>
      </c>
      <c r="I115" s="10" t="s">
        <v>141</v>
      </c>
      <c r="J115" s="10" t="s">
        <v>381</v>
      </c>
      <c r="K115" s="10" t="s">
        <v>330</v>
      </c>
      <c r="L115" s="10" t="s">
        <v>330</v>
      </c>
      <c r="M115" s="10"/>
      <c r="N115" s="10"/>
      <c r="O115" s="17">
        <v>1</v>
      </c>
      <c r="P115" s="16"/>
      <c r="Q115" s="10" t="b">
        <v>0</v>
      </c>
      <c r="R115" s="10" t="b">
        <v>0</v>
      </c>
      <c r="S115" s="10" t="b">
        <v>1</v>
      </c>
      <c r="T115" s="10"/>
      <c r="U115" s="10" t="b">
        <v>0</v>
      </c>
      <c r="V115" s="10" t="b">
        <v>0</v>
      </c>
      <c r="W115" s="10" t="b">
        <v>0</v>
      </c>
      <c r="X115" s="10"/>
    </row>
    <row r="116" spans="1:24" x14ac:dyDescent="0.3">
      <c r="A116" s="10">
        <f t="shared" si="8"/>
        <v>115</v>
      </c>
      <c r="B116" s="10">
        <v>14</v>
      </c>
      <c r="C116" s="10" t="str">
        <f t="array" ref="C116">GetValue("Tables",B116,"Name")</f>
        <v>Indexes</v>
      </c>
      <c r="D116" s="10">
        <f>D115+5</f>
        <v>15</v>
      </c>
      <c r="E116" s="10">
        <v>1</v>
      </c>
      <c r="F116" s="10" t="str">
        <f t="array" ref="F116">GetValue("Domains",E116,"Name")</f>
        <v>BigInteger</v>
      </c>
      <c r="G116" s="10">
        <v>11</v>
      </c>
      <c r="H116" s="10" t="str">
        <f t="array" ref="H116">GetValue("Tables",G116,"Name")</f>
        <v>Tables</v>
      </c>
      <c r="I116" s="10" t="s">
        <v>231</v>
      </c>
      <c r="J116" s="10" t="s">
        <v>382</v>
      </c>
      <c r="K116" s="10" t="s">
        <v>349</v>
      </c>
      <c r="L116" s="10" t="s">
        <v>349</v>
      </c>
      <c r="M116" s="10"/>
      <c r="N116" s="10"/>
      <c r="O116" s="17">
        <v>1</v>
      </c>
      <c r="P116" s="16"/>
      <c r="Q116" s="10" t="b">
        <v>0</v>
      </c>
      <c r="R116" s="10" t="b">
        <v>0</v>
      </c>
      <c r="S116" s="10" t="b">
        <v>1</v>
      </c>
      <c r="T116" s="10"/>
      <c r="U116" s="10" t="b">
        <v>1</v>
      </c>
      <c r="V116" s="10" t="b">
        <v>1</v>
      </c>
      <c r="W116" s="10" t="b">
        <v>1</v>
      </c>
      <c r="X116" s="10"/>
    </row>
    <row r="117" spans="1:24" x14ac:dyDescent="0.3">
      <c r="A117" s="10">
        <f t="shared" si="8"/>
        <v>116</v>
      </c>
      <c r="B117" s="10">
        <v>14</v>
      </c>
      <c r="C117" s="10" t="str">
        <f t="array" ref="C117">GetValue("Tables",B117,"Name")</f>
        <v>Indexes</v>
      </c>
      <c r="D117" s="10">
        <f>D116+5</f>
        <v>20</v>
      </c>
      <c r="E117" s="10">
        <v>10</v>
      </c>
      <c r="F117" s="10" t="str">
        <f t="array" ref="F117">GetValue("Domains",E117,"Name")</f>
        <v>Varchar(50)</v>
      </c>
      <c r="G117" s="10"/>
      <c r="H117" s="10" t="str">
        <f t="array" ref="H117">GetValue("Tables",G117,"Name")</f>
        <v/>
      </c>
      <c r="I117" s="10" t="s">
        <v>1</v>
      </c>
      <c r="J117" s="10" t="s">
        <v>383</v>
      </c>
      <c r="K117" s="10" t="s">
        <v>246</v>
      </c>
      <c r="L117" s="10" t="s">
        <v>246</v>
      </c>
      <c r="M117" s="10"/>
      <c r="N117" s="10"/>
      <c r="O117" s="17" t="s">
        <v>36</v>
      </c>
      <c r="P117" s="16"/>
      <c r="Q117" s="10" t="b">
        <v>0</v>
      </c>
      <c r="R117" s="10"/>
      <c r="S117" s="10" t="b">
        <v>1</v>
      </c>
      <c r="T117" s="10" t="b">
        <v>1</v>
      </c>
      <c r="U117" s="10" t="b">
        <v>1</v>
      </c>
      <c r="V117" s="10" t="b">
        <v>1</v>
      </c>
      <c r="W117" s="10" t="b">
        <v>1</v>
      </c>
      <c r="X117" s="10" t="b">
        <v>0</v>
      </c>
    </row>
    <row r="118" spans="1:24" x14ac:dyDescent="0.3">
      <c r="A118" s="10">
        <f t="shared" si="8"/>
        <v>117</v>
      </c>
      <c r="B118" s="10">
        <v>14</v>
      </c>
      <c r="C118" s="10" t="str">
        <f t="array" ref="C118">GetValue("Tables",B118,"Name")</f>
        <v>Indexes</v>
      </c>
      <c r="D118" s="10">
        <f>D117+5</f>
        <v>25</v>
      </c>
      <c r="E118" s="10">
        <v>6</v>
      </c>
      <c r="F118" s="10" t="str">
        <f t="array" ref="F118">GetValue("Domains",E118,"Name")</f>
        <v>Boolean</v>
      </c>
      <c r="G118" s="10"/>
      <c r="H118" s="10" t="str">
        <f t="array" ref="H118">GetValue("Tables",G118,"Name")</f>
        <v/>
      </c>
      <c r="I118" s="10" t="s">
        <v>384</v>
      </c>
      <c r="J118" s="10" t="s">
        <v>385</v>
      </c>
      <c r="K118" s="10" t="s">
        <v>386</v>
      </c>
      <c r="L118" s="10" t="s">
        <v>386</v>
      </c>
      <c r="M118" s="10"/>
      <c r="N118" s="10"/>
      <c r="O118" s="17" t="s">
        <v>36</v>
      </c>
      <c r="P118" s="16"/>
      <c r="Q118" s="10"/>
      <c r="R118" s="10"/>
      <c r="S118" s="10" t="b">
        <v>1</v>
      </c>
      <c r="T118" s="10"/>
      <c r="U118" s="10" t="b">
        <v>1</v>
      </c>
      <c r="V118" s="10" t="b">
        <v>1</v>
      </c>
      <c r="W118" s="10" t="b">
        <v>1</v>
      </c>
      <c r="X118" s="10"/>
    </row>
    <row r="119" spans="1:24" x14ac:dyDescent="0.3">
      <c r="A119" s="8">
        <f t="shared" si="8"/>
        <v>118</v>
      </c>
      <c r="B119" s="8">
        <v>15</v>
      </c>
      <c r="C119" s="8" t="str">
        <f t="array" ref="C119">GetValue("Tables",B119,"Name")</f>
        <v>Indexkeys</v>
      </c>
      <c r="D119" s="8">
        <v>5</v>
      </c>
      <c r="E119" s="8">
        <v>1</v>
      </c>
      <c r="F119" s="8" t="str">
        <f t="array" ref="F119">GetValue("Domains",E119,"Name")</f>
        <v>BigInteger</v>
      </c>
      <c r="G119" s="8"/>
      <c r="H119" s="8" t="str">
        <f t="array" ref="H119">GetValue("Tables",G119,"Name")</f>
        <v/>
      </c>
      <c r="I119" s="8" t="s">
        <v>0</v>
      </c>
      <c r="J119" s="8" t="s">
        <v>387</v>
      </c>
      <c r="K119" s="8" t="s">
        <v>244</v>
      </c>
      <c r="L119" s="8" t="s">
        <v>244</v>
      </c>
      <c r="M119" s="8"/>
      <c r="N119" s="8"/>
      <c r="O119" s="15">
        <v>1</v>
      </c>
      <c r="P119" s="15"/>
      <c r="Q119" s="8" t="b">
        <v>1</v>
      </c>
      <c r="R119" s="8" t="b">
        <v>0</v>
      </c>
      <c r="S119" s="8" t="b">
        <v>1</v>
      </c>
      <c r="T119" s="8"/>
      <c r="U119" s="8" t="b">
        <v>1</v>
      </c>
      <c r="V119" s="8" t="b">
        <v>0</v>
      </c>
      <c r="W119" s="8" t="b">
        <v>0</v>
      </c>
      <c r="X119" s="8"/>
    </row>
    <row r="120" spans="1:24" x14ac:dyDescent="0.3">
      <c r="A120" s="8">
        <f t="shared" si="8"/>
        <v>119</v>
      </c>
      <c r="B120" s="8">
        <v>15</v>
      </c>
      <c r="C120" s="8" t="str">
        <f t="array" ref="C120">GetValue("Tables",B120,"Name")</f>
        <v>Indexkeys</v>
      </c>
      <c r="D120" s="8">
        <f>D119+5</f>
        <v>10</v>
      </c>
      <c r="E120" s="8">
        <v>1</v>
      </c>
      <c r="F120" s="8" t="str">
        <f t="array" ref="F120">GetValue("Domains",E120,"Name")</f>
        <v>BigInteger</v>
      </c>
      <c r="G120" s="8">
        <v>14</v>
      </c>
      <c r="H120" s="8" t="str">
        <f t="array" ref="H120">GetValue("Tables",G120,"Name")</f>
        <v>Indexes</v>
      </c>
      <c r="I120" s="8" t="s">
        <v>388</v>
      </c>
      <c r="J120" s="8" t="s">
        <v>389</v>
      </c>
      <c r="K120" s="8" t="s">
        <v>390</v>
      </c>
      <c r="L120" s="8" t="s">
        <v>390</v>
      </c>
      <c r="M120" s="8"/>
      <c r="N120" s="8"/>
      <c r="O120" s="15">
        <v>1</v>
      </c>
      <c r="P120" s="15"/>
      <c r="Q120" s="8" t="b">
        <v>0</v>
      </c>
      <c r="R120" s="8" t="b">
        <v>0</v>
      </c>
      <c r="S120" s="8" t="b">
        <v>1</v>
      </c>
      <c r="T120" s="8"/>
      <c r="U120" s="8" t="b">
        <v>1</v>
      </c>
      <c r="V120" s="8" t="b">
        <v>1</v>
      </c>
      <c r="W120" s="8" t="b">
        <v>1</v>
      </c>
      <c r="X120" s="8"/>
    </row>
    <row r="121" spans="1:24" x14ac:dyDescent="0.3">
      <c r="A121" s="8">
        <f t="shared" si="8"/>
        <v>120</v>
      </c>
      <c r="B121" s="8">
        <v>15</v>
      </c>
      <c r="C121" s="8" t="str">
        <f t="array" ref="C121">GetValue("Tables",B121,"Name")</f>
        <v>Indexkeys</v>
      </c>
      <c r="D121" s="8">
        <f>D120+5</f>
        <v>15</v>
      </c>
      <c r="E121" s="8">
        <v>4</v>
      </c>
      <c r="F121" s="8" t="str">
        <f t="array" ref="F121">GetValue("Domains",E121,"Name")</f>
        <v>SmallInteger</v>
      </c>
      <c r="G121" s="8"/>
      <c r="H121" s="8" t="str">
        <f t="array" ref="H121">GetValue("Tables",G121,"Name")</f>
        <v/>
      </c>
      <c r="I121" s="8" t="s">
        <v>98</v>
      </c>
      <c r="J121" s="8" t="s">
        <v>391</v>
      </c>
      <c r="K121" s="8" t="s">
        <v>296</v>
      </c>
      <c r="L121" s="8" t="s">
        <v>296</v>
      </c>
      <c r="M121" s="8"/>
      <c r="N121" s="8"/>
      <c r="O121" s="15">
        <v>1</v>
      </c>
      <c r="P121" s="15"/>
      <c r="Q121" s="8" t="b">
        <v>0</v>
      </c>
      <c r="R121" s="8" t="b">
        <v>0</v>
      </c>
      <c r="S121" s="8" t="b">
        <v>1</v>
      </c>
      <c r="T121" s="8"/>
      <c r="U121" s="8" t="b">
        <v>0</v>
      </c>
      <c r="V121" s="8" t="b">
        <v>1</v>
      </c>
      <c r="W121" s="8" t="b">
        <v>1</v>
      </c>
      <c r="X121" s="8"/>
    </row>
    <row r="122" spans="1:24" x14ac:dyDescent="0.3">
      <c r="A122" s="8">
        <f t="shared" si="8"/>
        <v>121</v>
      </c>
      <c r="B122" s="8">
        <v>15</v>
      </c>
      <c r="C122" s="8" t="str">
        <f t="array" ref="C122">GetValue("Tables",B122,"Name")</f>
        <v>Indexkeys</v>
      </c>
      <c r="D122" s="8">
        <f>D121+5</f>
        <v>20</v>
      </c>
      <c r="E122" s="8">
        <v>1</v>
      </c>
      <c r="F122" s="8" t="str">
        <f t="array" ref="F122">GetValue("Domains",E122,"Name")</f>
        <v>BigInteger</v>
      </c>
      <c r="G122" s="8">
        <v>13</v>
      </c>
      <c r="H122" s="8" t="str">
        <f t="array" ref="H122">GetValue("Tables",G122,"Name")</f>
        <v>Columns</v>
      </c>
      <c r="I122" s="8" t="s">
        <v>392</v>
      </c>
      <c r="J122" s="8" t="s">
        <v>393</v>
      </c>
      <c r="K122" s="8" t="s">
        <v>394</v>
      </c>
      <c r="L122" s="8" t="s">
        <v>394</v>
      </c>
      <c r="M122" s="8"/>
      <c r="N122" s="8"/>
      <c r="O122" s="15">
        <v>1</v>
      </c>
      <c r="P122" s="15"/>
      <c r="Q122" s="8" t="b">
        <v>0</v>
      </c>
      <c r="R122" s="8" t="b">
        <v>0</v>
      </c>
      <c r="S122" s="8" t="b">
        <v>1</v>
      </c>
      <c r="T122" s="8"/>
      <c r="U122" s="8" t="b">
        <v>1</v>
      </c>
      <c r="V122" s="8" t="b">
        <v>1</v>
      </c>
      <c r="W122" s="8" t="b">
        <v>1</v>
      </c>
      <c r="X122" s="8"/>
    </row>
    <row r="123" spans="1:24" x14ac:dyDescent="0.3">
      <c r="A123" s="8">
        <f t="shared" si="8"/>
        <v>122</v>
      </c>
      <c r="B123" s="8">
        <v>15</v>
      </c>
      <c r="C123" s="8" t="str">
        <f t="array" ref="C123">GetValue("Tables",B123,"Name")</f>
        <v>Indexkeys</v>
      </c>
      <c r="D123" s="8">
        <f>D122+5</f>
        <v>25</v>
      </c>
      <c r="E123" s="8">
        <v>6</v>
      </c>
      <c r="F123" s="8" t="str">
        <f t="array" ref="F123">GetValue("Domains",E123,"Name")</f>
        <v>Boolean</v>
      </c>
      <c r="G123" s="8"/>
      <c r="H123" s="8" t="str">
        <f t="array" ref="H123">GetValue("Tables",G123,"Name")</f>
        <v/>
      </c>
      <c r="I123" s="8" t="s">
        <v>395</v>
      </c>
      <c r="J123" s="8" t="s">
        <v>396</v>
      </c>
      <c r="K123" s="8" t="s">
        <v>397</v>
      </c>
      <c r="L123" s="8" t="s">
        <v>397</v>
      </c>
      <c r="M123" s="8"/>
      <c r="N123" s="8"/>
      <c r="O123" s="15" t="s">
        <v>36</v>
      </c>
      <c r="P123" s="15"/>
      <c r="Q123" s="8"/>
      <c r="R123" s="8"/>
      <c r="S123" s="8" t="b">
        <v>1</v>
      </c>
      <c r="T123" s="8"/>
      <c r="U123" s="8" t="b">
        <v>1</v>
      </c>
      <c r="V123" s="8" t="b">
        <v>1</v>
      </c>
      <c r="W123" s="8" t="b">
        <v>1</v>
      </c>
      <c r="X123" s="8"/>
    </row>
    <row r="124" spans="1:24" x14ac:dyDescent="0.3">
      <c r="A124" s="10">
        <f t="shared" si="8"/>
        <v>123</v>
      </c>
      <c r="B124" s="10">
        <v>16</v>
      </c>
      <c r="C124" s="10" t="str">
        <f t="array" ref="C124">GetValue("Tables",B124,"Name")</f>
        <v>Logins</v>
      </c>
      <c r="D124" s="10">
        <v>5</v>
      </c>
      <c r="E124" s="10">
        <v>1</v>
      </c>
      <c r="F124" s="10" t="str">
        <f t="array" ref="F124">GetValue("Domains",E124,"Name")</f>
        <v>BigInteger</v>
      </c>
      <c r="G124" s="10"/>
      <c r="H124" s="10" t="str">
        <f t="array" ref="H124">GetValue("Tables",G124,"Name")</f>
        <v/>
      </c>
      <c r="I124" s="10" t="s">
        <v>0</v>
      </c>
      <c r="J124" s="10" t="s">
        <v>508</v>
      </c>
      <c r="K124" s="10" t="s">
        <v>244</v>
      </c>
      <c r="L124" s="10" t="s">
        <v>244</v>
      </c>
      <c r="M124" s="10"/>
      <c r="N124" s="10"/>
      <c r="O124" s="17">
        <v>1</v>
      </c>
      <c r="P124" s="17"/>
      <c r="Q124" s="10" t="b">
        <v>1</v>
      </c>
      <c r="R124" s="10" t="b">
        <v>0</v>
      </c>
      <c r="S124" s="10" t="b">
        <v>1</v>
      </c>
      <c r="T124" s="10"/>
      <c r="U124" s="10" t="b">
        <v>1</v>
      </c>
      <c r="V124" s="10" t="b">
        <v>0</v>
      </c>
      <c r="W124" s="10" t="b">
        <v>0</v>
      </c>
      <c r="X124" s="10"/>
    </row>
    <row r="125" spans="1:24" x14ac:dyDescent="0.3">
      <c r="A125" s="10">
        <f t="shared" si="8"/>
        <v>124</v>
      </c>
      <c r="B125" s="10">
        <v>16</v>
      </c>
      <c r="C125" s="10" t="str">
        <f t="array" ref="C125">GetValue("Tables",B125,"Name")</f>
        <v>Logins</v>
      </c>
      <c r="D125" s="10">
        <f>D124+5</f>
        <v>10</v>
      </c>
      <c r="E125" s="10">
        <v>1</v>
      </c>
      <c r="F125" s="10" t="str">
        <f t="array" ref="F125">GetValue("Domains",E125,"Name")</f>
        <v>BigInteger</v>
      </c>
      <c r="G125" s="10">
        <v>5</v>
      </c>
      <c r="H125" s="10" t="str">
        <f t="array" ref="H125">GetValue("Tables",G125,"Name")</f>
        <v>Systems</v>
      </c>
      <c r="I125" s="10" t="s">
        <v>97</v>
      </c>
      <c r="J125" s="10" t="s">
        <v>416</v>
      </c>
      <c r="K125" s="10" t="s">
        <v>294</v>
      </c>
      <c r="L125" s="10" t="s">
        <v>294</v>
      </c>
      <c r="M125" s="10"/>
      <c r="N125" s="10"/>
      <c r="O125" s="17">
        <v>1</v>
      </c>
      <c r="P125" s="16"/>
      <c r="Q125" s="10" t="b">
        <v>0</v>
      </c>
      <c r="R125" s="10" t="b">
        <v>0</v>
      </c>
      <c r="S125" s="10" t="b">
        <v>1</v>
      </c>
      <c r="T125" s="10"/>
      <c r="U125" s="10" t="b">
        <v>1</v>
      </c>
      <c r="V125" s="10" t="b">
        <v>0</v>
      </c>
      <c r="W125" s="10" t="b">
        <v>1</v>
      </c>
      <c r="X125" s="10"/>
    </row>
    <row r="126" spans="1:24" x14ac:dyDescent="0.3">
      <c r="A126" s="10">
        <f t="shared" si="8"/>
        <v>125</v>
      </c>
      <c r="B126" s="10">
        <v>16</v>
      </c>
      <c r="C126" s="10" t="str">
        <f t="array" ref="C126">GetValue("Tables",B126,"Name")</f>
        <v>Logins</v>
      </c>
      <c r="D126" s="10">
        <f>D125+5</f>
        <v>15</v>
      </c>
      <c r="E126" s="10">
        <v>1</v>
      </c>
      <c r="F126" s="10" t="str">
        <f t="array" ref="F126">GetValue("Domains",E126,"Name")</f>
        <v>BigInteger</v>
      </c>
      <c r="G126" s="10">
        <v>7</v>
      </c>
      <c r="H126" s="10" t="str">
        <f t="array" ref="H126">GetValue("Tables",G126,"Name")</f>
        <v>Users</v>
      </c>
      <c r="I126" s="10" t="s">
        <v>131</v>
      </c>
      <c r="J126" s="10" t="s">
        <v>305</v>
      </c>
      <c r="K126" s="10" t="s">
        <v>314</v>
      </c>
      <c r="L126" s="10" t="s">
        <v>314</v>
      </c>
      <c r="M126" s="10"/>
      <c r="N126" s="10"/>
      <c r="O126" s="17">
        <v>1</v>
      </c>
      <c r="P126" s="16"/>
      <c r="Q126" s="10"/>
      <c r="R126" s="10"/>
      <c r="S126" s="10" t="b">
        <v>1</v>
      </c>
      <c r="T126" s="10"/>
      <c r="U126" s="10" t="b">
        <v>1</v>
      </c>
      <c r="V126" s="10" t="b">
        <v>0</v>
      </c>
      <c r="W126" s="10" t="b">
        <v>1</v>
      </c>
      <c r="X126" s="10"/>
    </row>
    <row r="127" spans="1:24" x14ac:dyDescent="0.3">
      <c r="A127" s="10">
        <f t="shared" si="8"/>
        <v>126</v>
      </c>
      <c r="B127" s="10">
        <v>16</v>
      </c>
      <c r="C127" s="10" t="str">
        <f t="array" ref="C127">GetValue("Tables",B127,"Name")</f>
        <v>Logins</v>
      </c>
      <c r="D127" s="10">
        <f>D126+5</f>
        <v>20</v>
      </c>
      <c r="E127" s="10">
        <v>11</v>
      </c>
      <c r="F127" s="10" t="str">
        <f t="array" ref="F127">GetValue("Domains",E127,"Name")</f>
        <v>Varchar(256)</v>
      </c>
      <c r="G127" s="10"/>
      <c r="H127" s="10" t="str">
        <f t="array" ref="H127">GetValue("Tables",G127,"Name")</f>
        <v/>
      </c>
      <c r="I127" s="10" t="s">
        <v>509</v>
      </c>
      <c r="J127" s="10" t="s">
        <v>511</v>
      </c>
      <c r="K127" s="10" t="s">
        <v>510</v>
      </c>
      <c r="L127" s="10" t="s">
        <v>510</v>
      </c>
      <c r="M127" s="10"/>
      <c r="N127" s="10"/>
      <c r="O127" s="17">
        <v>1</v>
      </c>
      <c r="P127" s="16"/>
      <c r="Q127" s="10" t="b">
        <v>0</v>
      </c>
      <c r="R127" s="10" t="b">
        <v>0</v>
      </c>
      <c r="S127" s="10" t="b">
        <v>1</v>
      </c>
      <c r="T127" s="10" t="b">
        <v>0</v>
      </c>
      <c r="U127" s="10" t="b">
        <v>0</v>
      </c>
      <c r="V127" s="10" t="b">
        <v>0</v>
      </c>
      <c r="W127" s="10" t="b">
        <v>1</v>
      </c>
      <c r="X127" s="10" t="b">
        <v>1</v>
      </c>
    </row>
    <row r="128" spans="1:24" x14ac:dyDescent="0.3">
      <c r="A128" s="10">
        <f t="shared" si="8"/>
        <v>127</v>
      </c>
      <c r="B128" s="10">
        <v>16</v>
      </c>
      <c r="C128" s="10" t="str">
        <f t="array" ref="C128">GetValue("Tables",B128,"Name")</f>
        <v>Logins</v>
      </c>
      <c r="D128" s="10">
        <f>D127+5</f>
        <v>25</v>
      </c>
      <c r="E128" s="10">
        <v>6</v>
      </c>
      <c r="F128" s="10" t="str">
        <f t="array" ref="F128">GetValue("Domains",E128,"Name")</f>
        <v>Boolean</v>
      </c>
      <c r="G128" s="10"/>
      <c r="H128" s="10" t="str">
        <f t="array" ref="H128">GetValue("Tables",G128,"Name")</f>
        <v/>
      </c>
      <c r="I128" s="10" t="s">
        <v>530</v>
      </c>
      <c r="J128" s="10" t="s">
        <v>417</v>
      </c>
      <c r="K128" s="10" t="s">
        <v>417</v>
      </c>
      <c r="L128" s="10" t="s">
        <v>417</v>
      </c>
      <c r="M128" s="10"/>
      <c r="N128" s="10"/>
      <c r="O128" s="17" t="s">
        <v>36</v>
      </c>
      <c r="P128" s="16"/>
      <c r="Q128" s="10"/>
      <c r="R128" s="10"/>
      <c r="S128" s="10" t="b">
        <v>1</v>
      </c>
      <c r="T128" s="10"/>
      <c r="U128" s="10" t="b">
        <v>1</v>
      </c>
      <c r="V128" s="10" t="b">
        <v>1</v>
      </c>
      <c r="W128" s="10" t="b">
        <v>0</v>
      </c>
      <c r="X128" s="10"/>
    </row>
    <row r="129" spans="1:24" x14ac:dyDescent="0.3">
      <c r="A129" s="8">
        <f t="shared" si="8"/>
        <v>128</v>
      </c>
      <c r="B129" s="8">
        <v>17</v>
      </c>
      <c r="C129" s="8" t="str">
        <f t="array" ref="C129">GetValue("Tables",B129,"Name")</f>
        <v>Transactions</v>
      </c>
      <c r="D129" s="8">
        <v>5</v>
      </c>
      <c r="E129" s="8">
        <v>1</v>
      </c>
      <c r="F129" s="8" t="str">
        <f t="array" ref="F129">GetValue("Domains",E129,"Name")</f>
        <v>BigInteger</v>
      </c>
      <c r="G129" s="8"/>
      <c r="H129" s="8" t="str">
        <f t="array" ref="H129">GetValue("Tables",G129,"Name")</f>
        <v/>
      </c>
      <c r="I129" s="8" t="s">
        <v>0</v>
      </c>
      <c r="J129" s="8" t="s">
        <v>428</v>
      </c>
      <c r="K129" s="8" t="s">
        <v>244</v>
      </c>
      <c r="L129" s="8" t="s">
        <v>244</v>
      </c>
      <c r="M129" s="8"/>
      <c r="N129" s="8"/>
      <c r="O129" s="14">
        <v>1</v>
      </c>
      <c r="P129" s="14"/>
      <c r="Q129" s="8" t="b">
        <v>1</v>
      </c>
      <c r="R129" s="8" t="b">
        <v>0</v>
      </c>
      <c r="S129" s="8" t="b">
        <v>1</v>
      </c>
      <c r="T129" s="8"/>
      <c r="U129" s="8" t="b">
        <v>1</v>
      </c>
      <c r="V129" s="8" t="b">
        <v>0</v>
      </c>
      <c r="W129" s="8" t="b">
        <v>0</v>
      </c>
      <c r="X129" s="8"/>
    </row>
    <row r="130" spans="1:24" x14ac:dyDescent="0.3">
      <c r="A130" s="8">
        <f t="shared" si="8"/>
        <v>129</v>
      </c>
      <c r="B130" s="8">
        <v>17</v>
      </c>
      <c r="C130" s="8" t="str">
        <f t="array" ref="C130">GetValue("Tables",B130,"Name")</f>
        <v>Transactions</v>
      </c>
      <c r="D130" s="8">
        <f t="shared" ref="D130:D138" si="10">D129+5</f>
        <v>10</v>
      </c>
      <c r="E130" s="8">
        <v>1</v>
      </c>
      <c r="F130" s="8" t="str">
        <f t="array" ref="F130">GetValue("Domains",E130,"Name")</f>
        <v>BigInteger</v>
      </c>
      <c r="G130" s="8">
        <v>16</v>
      </c>
      <c r="H130" s="8" t="str">
        <f t="array" ref="H130">GetValue("Tables",G130,"Name")</f>
        <v>Logins</v>
      </c>
      <c r="I130" s="8" t="s">
        <v>504</v>
      </c>
      <c r="J130" s="8" t="s">
        <v>508</v>
      </c>
      <c r="K130" s="8" t="s">
        <v>429</v>
      </c>
      <c r="L130" s="8" t="s">
        <v>429</v>
      </c>
      <c r="M130" s="8"/>
      <c r="N130" s="8"/>
      <c r="O130" s="14">
        <v>1</v>
      </c>
      <c r="P130" s="15"/>
      <c r="Q130" s="8" t="b">
        <v>0</v>
      </c>
      <c r="R130" s="8" t="b">
        <v>0</v>
      </c>
      <c r="S130" s="8" t="b">
        <v>1</v>
      </c>
      <c r="T130" s="8"/>
      <c r="U130" s="8" t="b">
        <v>1</v>
      </c>
      <c r="V130" s="8" t="b">
        <v>0</v>
      </c>
      <c r="W130" s="8" t="b">
        <v>0</v>
      </c>
      <c r="X130" s="8"/>
    </row>
    <row r="131" spans="1:24" x14ac:dyDescent="0.3">
      <c r="A131" s="8">
        <f t="shared" ref="A131:A138" si="11">ROW(A131)-1</f>
        <v>130</v>
      </c>
      <c r="B131" s="8">
        <v>17</v>
      </c>
      <c r="C131" s="8" t="str">
        <f t="array" ref="C131">GetValue("Tables",B131,"Name")</f>
        <v>Transactions</v>
      </c>
      <c r="D131" s="8">
        <f t="shared" si="10"/>
        <v>15</v>
      </c>
      <c r="E131" s="8">
        <v>6</v>
      </c>
      <c r="F131" s="8" t="str">
        <f t="array" ref="F131">GetValue("Domains",E131,"Name")</f>
        <v>Boolean</v>
      </c>
      <c r="G131" s="8"/>
      <c r="H131" s="8" t="str">
        <f t="array" ref="H131">GetValue("Tables",G131,"Name")</f>
        <v/>
      </c>
      <c r="I131" s="8" t="s">
        <v>427</v>
      </c>
      <c r="J131" s="8" t="s">
        <v>431</v>
      </c>
      <c r="K131" s="8" t="s">
        <v>431</v>
      </c>
      <c r="L131" s="8" t="s">
        <v>431</v>
      </c>
      <c r="M131" s="8"/>
      <c r="N131" s="8"/>
      <c r="O131" s="14" t="s">
        <v>36</v>
      </c>
      <c r="P131" s="15"/>
      <c r="Q131" s="8"/>
      <c r="R131" s="8"/>
      <c r="S131" s="8" t="b">
        <v>0</v>
      </c>
      <c r="T131" s="8" t="b">
        <v>1</v>
      </c>
      <c r="U131" s="8" t="b">
        <v>1</v>
      </c>
      <c r="V131" s="8" t="b">
        <v>1</v>
      </c>
      <c r="W131" s="8" t="b">
        <v>1</v>
      </c>
      <c r="X131" s="8"/>
    </row>
    <row r="132" spans="1:24" x14ac:dyDescent="0.3">
      <c r="A132" s="10">
        <f t="shared" si="11"/>
        <v>131</v>
      </c>
      <c r="B132" s="10">
        <v>18</v>
      </c>
      <c r="C132" s="10" t="str">
        <f t="array" ref="C132">GetValue("Tables",B132,"Name")</f>
        <v>Operations</v>
      </c>
      <c r="D132" s="10">
        <v>5</v>
      </c>
      <c r="E132" s="10">
        <v>1</v>
      </c>
      <c r="F132" s="10" t="str">
        <f t="array" ref="F132">GetValue("Domains",E132,"Name")</f>
        <v>BigInteger</v>
      </c>
      <c r="G132" s="10"/>
      <c r="H132" s="10" t="str">
        <f t="array" ref="H132">GetValue("Tables",G132,"Name")</f>
        <v/>
      </c>
      <c r="I132" s="10" t="s">
        <v>0</v>
      </c>
      <c r="J132" s="10" t="s">
        <v>428</v>
      </c>
      <c r="K132" s="10" t="s">
        <v>244</v>
      </c>
      <c r="L132" s="10" t="s">
        <v>244</v>
      </c>
      <c r="M132" s="10"/>
      <c r="N132" s="10"/>
      <c r="O132" s="17">
        <v>1</v>
      </c>
      <c r="P132" s="17"/>
      <c r="Q132" s="10" t="b">
        <v>1</v>
      </c>
      <c r="R132" s="10" t="b">
        <v>0</v>
      </c>
      <c r="S132" s="10" t="b">
        <v>1</v>
      </c>
      <c r="T132" s="10"/>
      <c r="U132" s="10" t="b">
        <v>1</v>
      </c>
      <c r="V132" s="10" t="b">
        <v>0</v>
      </c>
      <c r="W132" s="10" t="b">
        <v>0</v>
      </c>
      <c r="X132" s="10"/>
    </row>
    <row r="133" spans="1:24" x14ac:dyDescent="0.3">
      <c r="A133" s="10">
        <f t="shared" si="11"/>
        <v>132</v>
      </c>
      <c r="B133" s="10">
        <v>18</v>
      </c>
      <c r="C133" s="10" t="str">
        <f t="array" ref="C133">GetValue("Tables",B133,"Name")</f>
        <v>Operations</v>
      </c>
      <c r="D133" s="10">
        <f t="shared" si="10"/>
        <v>10</v>
      </c>
      <c r="E133" s="10">
        <v>1</v>
      </c>
      <c r="F133" s="10" t="str">
        <f t="array" ref="F133">GetValue("Domains",E133,"Name")</f>
        <v>BigInteger</v>
      </c>
      <c r="G133" s="10">
        <v>17</v>
      </c>
      <c r="H133" s="10" t="str">
        <f t="array" ref="H133">GetValue("Tables",G133,"Name")</f>
        <v>Transactions</v>
      </c>
      <c r="I133" s="10" t="s">
        <v>512</v>
      </c>
      <c r="J133" s="10" t="s">
        <v>519</v>
      </c>
      <c r="K133" s="10" t="s">
        <v>525</v>
      </c>
      <c r="L133" s="10" t="s">
        <v>525</v>
      </c>
      <c r="M133" s="10"/>
      <c r="N133" s="10"/>
      <c r="O133" s="17">
        <v>1</v>
      </c>
      <c r="P133" s="16"/>
      <c r="Q133" s="10" t="b">
        <v>0</v>
      </c>
      <c r="R133" s="10" t="b">
        <v>0</v>
      </c>
      <c r="S133" s="10" t="b">
        <v>1</v>
      </c>
      <c r="T133" s="10"/>
      <c r="U133" s="10" t="b">
        <v>1</v>
      </c>
      <c r="V133" s="10" t="b">
        <v>0</v>
      </c>
      <c r="W133" s="10" t="b">
        <v>0</v>
      </c>
      <c r="X133" s="10"/>
    </row>
    <row r="134" spans="1:24" x14ac:dyDescent="0.3">
      <c r="A134" s="10">
        <f t="shared" si="11"/>
        <v>133</v>
      </c>
      <c r="B134" s="10">
        <v>18</v>
      </c>
      <c r="C134" s="10" t="str">
        <f t="array" ref="C134">GetValue("Tables",B134,"Name")</f>
        <v>Operations</v>
      </c>
      <c r="D134" s="10">
        <f t="shared" si="10"/>
        <v>15</v>
      </c>
      <c r="E134" s="10">
        <v>9</v>
      </c>
      <c r="F134" s="10" t="str">
        <f t="array" ref="F134">GetValue("Domains",E134,"Name")</f>
        <v>Varchar(25)</v>
      </c>
      <c r="G134" s="10"/>
      <c r="H134" s="10" t="str">
        <f t="array" ref="H134">GetValue("Tables",G134,"Name")</f>
        <v/>
      </c>
      <c r="I134" s="10" t="s">
        <v>579</v>
      </c>
      <c r="J134" s="10" t="s">
        <v>580</v>
      </c>
      <c r="K134" s="10" t="s">
        <v>349</v>
      </c>
      <c r="L134" s="10" t="s">
        <v>349</v>
      </c>
      <c r="M134" s="10"/>
      <c r="N134" s="10"/>
      <c r="O134" s="17">
        <v>1</v>
      </c>
      <c r="P134" s="16"/>
      <c r="Q134" s="10" t="b">
        <v>0</v>
      </c>
      <c r="R134" s="10" t="b">
        <v>0</v>
      </c>
      <c r="S134" s="10" t="b">
        <v>1</v>
      </c>
      <c r="T134" s="10"/>
      <c r="U134" s="10" t="b">
        <v>1</v>
      </c>
      <c r="V134" s="10" t="b">
        <v>0</v>
      </c>
      <c r="W134" s="10" t="b">
        <v>0</v>
      </c>
      <c r="X134" s="10"/>
    </row>
    <row r="135" spans="1:24" x14ac:dyDescent="0.3">
      <c r="A135" s="10">
        <f t="shared" si="11"/>
        <v>134</v>
      </c>
      <c r="B135" s="10">
        <v>18</v>
      </c>
      <c r="C135" s="10" t="str">
        <f t="array" ref="C135">GetValue("Tables",B135,"Name")</f>
        <v>Operations</v>
      </c>
      <c r="D135" s="10">
        <f>D134+5</f>
        <v>20</v>
      </c>
      <c r="E135" s="10">
        <v>21</v>
      </c>
      <c r="F135" s="10" t="str" cm="1">
        <f t="array" ref="F135">GetValue("Domains",E135,"Name")</f>
        <v>Action</v>
      </c>
      <c r="G135" s="10"/>
      <c r="H135" s="10" t="str">
        <f t="array" ref="H135">GetValue("Tables",G135,"Name")</f>
        <v/>
      </c>
      <c r="I135" s="10" t="s">
        <v>101</v>
      </c>
      <c r="J135" s="10" t="s">
        <v>430</v>
      </c>
      <c r="K135" s="10" t="s">
        <v>302</v>
      </c>
      <c r="L135" s="10" t="s">
        <v>302</v>
      </c>
      <c r="M135" s="10" t="s">
        <v>529</v>
      </c>
      <c r="N135" s="10"/>
      <c r="O135" s="17"/>
      <c r="P135" s="16"/>
      <c r="Q135" s="10" t="b">
        <v>0</v>
      </c>
      <c r="R135" s="10"/>
      <c r="S135" s="10" t="b">
        <v>1</v>
      </c>
      <c r="T135" s="10" t="b">
        <v>1</v>
      </c>
      <c r="U135" s="10" t="b">
        <v>1</v>
      </c>
      <c r="V135" s="10" t="b">
        <v>1</v>
      </c>
      <c r="W135" s="10" t="b">
        <v>1</v>
      </c>
      <c r="X135" s="10" t="b">
        <v>0</v>
      </c>
    </row>
    <row r="136" spans="1:24" x14ac:dyDescent="0.3">
      <c r="A136" s="10">
        <f t="shared" si="11"/>
        <v>135</v>
      </c>
      <c r="B136" s="10">
        <v>18</v>
      </c>
      <c r="C136" s="10" t="str">
        <f t="array" ref="C136">GetValue("Tables",B136,"Name")</f>
        <v>Operations</v>
      </c>
      <c r="D136" s="10">
        <f>D135+5</f>
        <v>25</v>
      </c>
      <c r="E136" s="10">
        <v>15</v>
      </c>
      <c r="F136" s="10" t="str">
        <f t="array" ref="F136">GetValue("Domains",E136,"Name")</f>
        <v>JSON</v>
      </c>
      <c r="G136" s="10"/>
      <c r="H136" s="10" t="str">
        <f t="array" ref="H136">GetValue("Tables",G136,"Name")</f>
        <v/>
      </c>
      <c r="I136" s="10" t="s">
        <v>517</v>
      </c>
      <c r="J136" s="10" t="s">
        <v>520</v>
      </c>
      <c r="K136" s="10" t="s">
        <v>520</v>
      </c>
      <c r="L136" s="10" t="s">
        <v>520</v>
      </c>
      <c r="M136" s="10"/>
      <c r="N136" s="10"/>
      <c r="O136" s="17"/>
      <c r="P136" s="16"/>
      <c r="Q136" s="10"/>
      <c r="R136" s="10"/>
      <c r="S136" s="10" t="b">
        <v>0</v>
      </c>
      <c r="T136" s="10"/>
      <c r="U136" s="10"/>
      <c r="V136" s="10" t="b">
        <v>0</v>
      </c>
      <c r="W136" s="10" t="b">
        <v>0</v>
      </c>
      <c r="X136" s="10"/>
    </row>
    <row r="137" spans="1:24" x14ac:dyDescent="0.3">
      <c r="A137" s="10">
        <f t="shared" si="11"/>
        <v>136</v>
      </c>
      <c r="B137" s="10">
        <v>18</v>
      </c>
      <c r="C137" s="10" t="str">
        <f t="array" ref="C137">GetValue("Tables",B137,"Name")</f>
        <v>Operations</v>
      </c>
      <c r="D137" s="10">
        <f>D136+5</f>
        <v>30</v>
      </c>
      <c r="E137" s="10">
        <v>15</v>
      </c>
      <c r="F137" s="10" t="str">
        <f t="array" ref="F137">GetValue("Domains",E137,"Name")</f>
        <v>JSON</v>
      </c>
      <c r="G137" s="10"/>
      <c r="H137" s="10" t="str">
        <f t="array" ref="H137">GetValue("Tables",G137,"Name")</f>
        <v/>
      </c>
      <c r="I137" s="10" t="s">
        <v>518</v>
      </c>
      <c r="J137" s="10" t="s">
        <v>521</v>
      </c>
      <c r="K137" s="10" t="s">
        <v>521</v>
      </c>
      <c r="L137" s="10" t="s">
        <v>521</v>
      </c>
      <c r="M137" s="10"/>
      <c r="N137" s="10"/>
      <c r="O137" s="17"/>
      <c r="P137" s="16"/>
      <c r="Q137" s="10"/>
      <c r="R137" s="10"/>
      <c r="S137" s="10" t="b">
        <v>1</v>
      </c>
      <c r="T137" s="10"/>
      <c r="U137" s="10"/>
      <c r="V137" s="10" t="b">
        <v>0</v>
      </c>
      <c r="W137" s="10" t="b">
        <v>0</v>
      </c>
      <c r="X137" s="10"/>
    </row>
    <row r="138" spans="1:24" x14ac:dyDescent="0.3">
      <c r="A138" s="10">
        <f t="shared" si="11"/>
        <v>137</v>
      </c>
      <c r="B138" s="10">
        <v>18</v>
      </c>
      <c r="C138" s="10" t="str">
        <f t="array" ref="C138">GetValue("Tables",B138,"Name")</f>
        <v>Operations</v>
      </c>
      <c r="D138" s="10">
        <f t="shared" si="10"/>
        <v>35</v>
      </c>
      <c r="E138" s="10">
        <v>6</v>
      </c>
      <c r="F138" s="10" t="str">
        <f t="array" ref="F138">GetValue("Domains",E138,"Name")</f>
        <v>Boolean</v>
      </c>
      <c r="G138" s="10"/>
      <c r="H138" s="10" t="str">
        <f t="array" ref="H138">GetValue("Tables",G138,"Name")</f>
        <v/>
      </c>
      <c r="I138" s="10" t="s">
        <v>427</v>
      </c>
      <c r="J138" s="10" t="s">
        <v>431</v>
      </c>
      <c r="K138" s="10" t="s">
        <v>431</v>
      </c>
      <c r="L138" s="10" t="s">
        <v>431</v>
      </c>
      <c r="M138" s="10"/>
      <c r="N138" s="10"/>
      <c r="O138" s="17" t="s">
        <v>36</v>
      </c>
      <c r="P138" s="16"/>
      <c r="Q138" s="10"/>
      <c r="R138" s="10"/>
      <c r="S138" s="10" t="b">
        <v>0</v>
      </c>
      <c r="T138" s="10" t="b">
        <v>1</v>
      </c>
      <c r="U138" s="10" t="b">
        <v>1</v>
      </c>
      <c r="V138" s="10" t="b">
        <v>1</v>
      </c>
      <c r="W138" s="10" t="b">
        <v>1</v>
      </c>
      <c r="X138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6"/>
  <sheetViews>
    <sheetView workbookViewId="0">
      <pane ySplit="1" topLeftCell="A2" activePane="bottomLeft" state="frozen"/>
      <selection pane="bottomLeft" activeCell="E26" sqref="E26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2.66406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537</v>
      </c>
      <c r="D1" s="1" t="s">
        <v>231</v>
      </c>
      <c r="E1" s="1" t="s">
        <v>538</v>
      </c>
      <c r="F1" s="1" t="s">
        <v>1</v>
      </c>
      <c r="G1" s="1" t="s">
        <v>384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426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418</v>
      </c>
      <c r="G3" t="b">
        <v>1</v>
      </c>
    </row>
    <row r="4" spans="1:7" x14ac:dyDescent="0.3">
      <c r="A4">
        <f t="shared" ref="A4:A26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420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419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421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543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422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553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485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423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424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544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486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461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425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545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487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546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547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548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549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550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554</v>
      </c>
      <c r="G24" t="b">
        <v>0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17</v>
      </c>
      <c r="E25" t="str">
        <f t="array" ref="E25">GetValue("Tables",D25,"Name")</f>
        <v>Transactions</v>
      </c>
      <c r="F25" t="s">
        <v>551</v>
      </c>
      <c r="G25" t="b">
        <v>0</v>
      </c>
    </row>
    <row r="26" spans="1:7" x14ac:dyDescent="0.3">
      <c r="A26">
        <f t="shared" si="0"/>
        <v>25</v>
      </c>
      <c r="B26" cm="1">
        <f t="array" ref="B26">DatabaseId(D26)</f>
        <v>1</v>
      </c>
      <c r="C26" t="str">
        <f t="array" ref="C26">GetValue("Databases",B26,"Name")</f>
        <v>cruda</v>
      </c>
      <c r="D26">
        <v>18</v>
      </c>
      <c r="E26" t="str">
        <f t="array" ref="E26">GetValue("Tables",D26,"Name")</f>
        <v>Operations</v>
      </c>
      <c r="F26" t="s">
        <v>552</v>
      </c>
      <c r="G26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1"/>
  <sheetViews>
    <sheetView workbookViewId="0">
      <pane ySplit="1" topLeftCell="A5" activePane="bottomLeft" state="frozen"/>
      <selection pane="bottomLeft" activeCell="E12" sqref="E12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388</v>
      </c>
      <c r="C1" s="1" t="s">
        <v>541</v>
      </c>
      <c r="D1" s="1" t="s">
        <v>98</v>
      </c>
      <c r="E1" s="1" t="s">
        <v>392</v>
      </c>
      <c r="F1" s="1" t="s">
        <v>542</v>
      </c>
      <c r="G1" s="1" t="s">
        <v>395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1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46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47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53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59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60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61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63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65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73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74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75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77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78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89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90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91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93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97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93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94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115</v>
      </c>
      <c r="F27" t="str">
        <f t="array" ref="F27">GetValue("Columns",E27,"Name")</f>
        <v>TableId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117</v>
      </c>
      <c r="F28" t="str">
        <f t="array" ref="F28">GetValue("Columns",E28,"Name")</f>
        <v>IsUnique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120</v>
      </c>
      <c r="F29" t="str">
        <f t="array" ref="F29">GetValue("Columns",E29,"Name")</f>
        <v>Sequence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121</v>
      </c>
      <c r="F30" t="str">
        <f t="array" ref="F30">GetValue("Columns",E30,"Name")</f>
        <v>ColumnId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</v>
      </c>
      <c r="D31">
        <v>5</v>
      </c>
      <c r="E31">
        <v>120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</v>
      </c>
      <c r="D32">
        <v>10</v>
      </c>
      <c r="E32">
        <v>122</v>
      </c>
      <c r="F32" t="str">
        <f t="array" ref="F32">GetValue("Columns",E32,"Name")</f>
        <v>IsDescending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UNQ_Logins_SystemId_UserId_IsLogged</v>
      </c>
      <c r="D33">
        <v>5</v>
      </c>
      <c r="E33">
        <v>125</v>
      </c>
      <c r="F33" t="str">
        <f t="array" ref="F33">GetValue("Columns",E33,"Name")</f>
        <v>UserId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UNQ_Logins_SystemId_UserId_IsLogged</v>
      </c>
      <c r="D34">
        <v>10</v>
      </c>
      <c r="E34">
        <v>126</v>
      </c>
      <c r="F34" t="str">
        <f t="array" ref="F34">GetValue("Columns",E34,"Name")</f>
        <v>PublicKey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UNQ_Logins_SystemId_UserId_IsLogged</v>
      </c>
      <c r="D35">
        <v>15</v>
      </c>
      <c r="E35">
        <v>128</v>
      </c>
      <c r="F35" t="str">
        <f t="array" ref="F35">GetValue("Columns",E35,"Name")</f>
        <v>Id (Transactions)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UNQ_Transactions_LoginId_SystemId_DatabaseId</v>
      </c>
      <c r="D36">
        <v>5</v>
      </c>
      <c r="E36">
        <v>130</v>
      </c>
      <c r="F36" t="str">
        <f t="array" ref="F36">GetValue("Columns",E36,"Name")</f>
        <v>SystemId (Transactions)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UNQ_Transactions_LoginId_SystemId_DatabaseId</v>
      </c>
      <c r="D37">
        <v>10</v>
      </c>
      <c r="E37">
        <v>131</v>
      </c>
      <c r="F37" t="str">
        <f t="array" ref="F37">GetValue("Columns",E37,"Name")</f>
        <v>DatabaseId (Transactions)</v>
      </c>
      <c r="G37" t="b">
        <v>0</v>
      </c>
    </row>
    <row r="38" spans="1:7" x14ac:dyDescent="0.3">
      <c r="A38">
        <f t="shared" si="0"/>
        <v>37</v>
      </c>
      <c r="B38">
        <v>24</v>
      </c>
      <c r="C38" t="str">
        <f t="array" ref="C38">GetValue("Indexes",B38,"Name")</f>
        <v>UNQ_Transactions_LoginId_SystemId_DatabaseId</v>
      </c>
      <c r="D38">
        <v>15</v>
      </c>
      <c r="E38">
        <v>132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25</v>
      </c>
      <c r="C39" t="str">
        <f t="array" ref="C39">GetValue("Indexes",B39,"Name")</f>
        <v>UNQ_Operations_TransactionId_TableId_Action</v>
      </c>
      <c r="D39">
        <v>5</v>
      </c>
      <c r="E39">
        <v>135</v>
      </c>
      <c r="F39" t="str">
        <f t="array" ref="F39">GetValue("Columns",E39,"Name")</f>
        <v>TableId (Operations)</v>
      </c>
      <c r="G39" t="b">
        <v>0</v>
      </c>
    </row>
    <row r="40" spans="1:7" x14ac:dyDescent="0.3">
      <c r="A40">
        <f t="shared" si="0"/>
        <v>39</v>
      </c>
      <c r="B40">
        <v>25</v>
      </c>
      <c r="C40" t="str">
        <f t="array" ref="C40">GetValue("Indexes",B40,"Name")</f>
        <v>UNQ_Operations_TransactionId_TableId_Action</v>
      </c>
      <c r="D40">
        <v>10</v>
      </c>
      <c r="E40">
        <v>136</v>
      </c>
      <c r="F40" t="str">
        <f t="array" ref="F40">GetValue("Columns",E40,"Name")</f>
        <v>Action (Operations)</v>
      </c>
      <c r="G40" t="b">
        <v>0</v>
      </c>
    </row>
    <row r="41" spans="1:7" x14ac:dyDescent="0.3">
      <c r="A41">
        <f t="shared" si="0"/>
        <v>40</v>
      </c>
      <c r="B41">
        <v>25</v>
      </c>
      <c r="C41" t="str">
        <f t="array" ref="C41">GetValue("Indexes",B41,"Name")</f>
        <v>UNQ_Operations_TransactionId_TableId_Action</v>
      </c>
      <c r="D41">
        <v>15</v>
      </c>
      <c r="E41">
        <v>137</v>
      </c>
      <c r="F41" t="str">
        <f t="array" ref="F41">GetValue("Columns",E41,"Name")</f>
        <v>LastRecord (Operations)</v>
      </c>
      <c r="G4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D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8.44140625" bestFit="1" customWidth="1"/>
  </cols>
  <sheetData>
    <row r="1" spans="1:4" s="1" customFormat="1" x14ac:dyDescent="0.3">
      <c r="A1" s="1" t="s">
        <v>0</v>
      </c>
      <c r="B1" s="1" t="s">
        <v>97</v>
      </c>
      <c r="C1" s="1" t="s">
        <v>131</v>
      </c>
      <c r="D1" s="1" t="s">
        <v>530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1FB23-CE76-4455-AE2D-169F494BEA06}">
  <sheetPr codeName="Planilha15"/>
  <dimension ref="A1:C1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504</v>
      </c>
      <c r="C1" s="1" t="s">
        <v>427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1536-EE1D-4C82-A4F2-2A65592EBDFD}">
  <sheetPr codeName="Planilha16"/>
  <dimension ref="A1:G1"/>
  <sheetViews>
    <sheetView workbookViewId="0">
      <selection sqref="A1:XFD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512</v>
      </c>
      <c r="C1" s="1" t="s">
        <v>579</v>
      </c>
      <c r="D1" s="1" t="s">
        <v>101</v>
      </c>
      <c r="E1" s="1" t="s">
        <v>517</v>
      </c>
      <c r="F1" s="1" t="s">
        <v>518</v>
      </c>
      <c r="G1" s="1" t="s">
        <v>427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2024-08-28T11:42:01Z</dcterms:modified>
</cp:coreProperties>
</file>