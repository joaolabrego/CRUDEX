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1F2A1E02-87E5-494C-AE19-25A560C3015A}" xr6:coauthVersionLast="47" xr6:coauthVersionMax="47" xr10:uidLastSave="{00000000-0000-0000-0000-000000000000}"/>
  <bookViews>
    <workbookView xWindow="-108" yWindow="-108" windowWidth="23256" windowHeight="13176" tabRatio="925" activeTab="12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</sheets>
  <functionGroups builtInGroupCount="19"/>
  <definedNames>
    <definedName name="_xlnm._FilterDatabase" localSheetId="12" hidden="1">Columns!$T$1:$T$124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" i="14" l="1"/>
  <c r="A9" i="14"/>
  <c r="A8" i="13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2" i="12"/>
  <c r="D79" i="12"/>
  <c r="I12" i="6" a="1"/>
  <c r="I11" i="6" a="1"/>
  <c r="I10" i="6" a="1"/>
  <c r="I7" i="6" a="1"/>
  <c r="I6" i="6" a="1"/>
  <c r="I5" i="6" a="1"/>
  <c r="I13" i="6" a="1"/>
  <c r="I3" i="6" a="1"/>
  <c r="I4" i="6" a="1"/>
  <c r="I2" i="6" a="1"/>
  <c r="C13" i="6" a="1"/>
  <c r="C3" i="6" a="1"/>
  <c r="C12" i="6" a="1"/>
  <c r="C11" i="6" a="1"/>
  <c r="C10" i="6" a="1"/>
  <c r="C9" i="6" a="1"/>
  <c r="C7" i="6" a="1"/>
  <c r="C6" i="6" a="1"/>
  <c r="C5" i="6" a="1"/>
  <c r="C4" i="6" a="1"/>
  <c r="C8" i="6" a="1"/>
  <c r="C2" i="6" a="1"/>
  <c r="H2" i="11" a="1"/>
  <c r="H8" i="11" a="1"/>
  <c r="H17" i="11" a="1"/>
  <c r="H7" i="11" a="1"/>
  <c r="H16" i="11" a="1"/>
  <c r="H6" i="11" a="1"/>
  <c r="H15" i="11" a="1"/>
  <c r="H5" i="11" a="1"/>
  <c r="H14" i="11" a="1"/>
  <c r="H4" i="11" a="1"/>
  <c r="H13" i="11" a="1"/>
  <c r="H3" i="11" a="1"/>
  <c r="H12" i="11" a="1"/>
  <c r="H11" i="11" a="1"/>
  <c r="H10" i="11" a="1"/>
  <c r="H9" i="11" a="1"/>
  <c r="F37" i="14" a="1"/>
  <c r="F27" i="14" a="1"/>
  <c r="F17" i="14" a="1"/>
  <c r="F7" i="14" a="1"/>
  <c r="F36" i="14" a="1"/>
  <c r="F26" i="14" a="1"/>
  <c r="F16" i="14" a="1"/>
  <c r="F6" i="14" a="1"/>
  <c r="F35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F31" i="14" a="1"/>
  <c r="F21" i="14" a="1"/>
  <c r="F11" i="14" a="1"/>
  <c r="F30" i="14" a="1"/>
  <c r="F20" i="14" a="1"/>
  <c r="F10" i="14" a="1"/>
  <c r="F29" i="14" a="1"/>
  <c r="F19" i="14" a="1"/>
  <c r="F9" i="14" a="1"/>
  <c r="F28" i="14" a="1"/>
  <c r="F18" i="14" a="1"/>
  <c r="F8" i="14" a="1"/>
  <c r="C2" i="14" a="1"/>
  <c r="C37" i="14" a="1"/>
  <c r="C27" i="14" a="1"/>
  <c r="C17" i="14" a="1"/>
  <c r="C7" i="14" a="1"/>
  <c r="C36" i="14" a="1"/>
  <c r="C26" i="14" a="1"/>
  <c r="C16" i="14" a="1"/>
  <c r="C6" i="14" a="1"/>
  <c r="C35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32" i="14" a="1"/>
  <c r="C22" i="14" a="1"/>
  <c r="C12" i="14" a="1"/>
  <c r="C31" i="14" a="1"/>
  <c r="C21" i="14" a="1"/>
  <c r="C11" i="14" a="1"/>
  <c r="C30" i="14" a="1"/>
  <c r="C20" i="14" a="1"/>
  <c r="C10" i="14" a="1"/>
  <c r="C29" i="14" a="1"/>
  <c r="C19" i="14" a="1"/>
  <c r="C9" i="14" a="1"/>
  <c r="C28" i="14" a="1"/>
  <c r="C18" i="14" a="1"/>
  <c r="C8" i="14" a="1"/>
  <c r="F2" i="14" a="1"/>
  <c r="E8" i="13" a="1"/>
  <c r="B8" i="13" a="1"/>
  <c r="G6" i="12" a="1"/>
  <c r="G10" i="12" a="1"/>
  <c r="G8" i="12" a="1"/>
  <c r="C82" i="12" a="1"/>
  <c r="G7" i="12" a="1"/>
  <c r="G2" i="12" a="1"/>
  <c r="G3" i="12" a="1"/>
  <c r="G4" i="12" a="1"/>
  <c r="G5" i="12" a="1"/>
  <c r="J82" i="12" a="1"/>
  <c r="G9" i="12" a="1"/>
  <c r="G11" i="12" a="1"/>
  <c r="D18" i="4" a="1"/>
  <c r="E2" i="4" a="1"/>
  <c r="E22" i="4" a="1"/>
  <c r="E12" i="4" a="1"/>
  <c r="E21" i="4" a="1"/>
  <c r="E11" i="4" a="1"/>
  <c r="E20" i="4" a="1"/>
  <c r="E10" i="4" a="1"/>
  <c r="E19" i="4" a="1"/>
  <c r="E9" i="4" a="1"/>
  <c r="E17" i="4" a="1"/>
  <c r="E7" i="4" a="1"/>
  <c r="E16" i="4" a="1"/>
  <c r="E6" i="4" a="1"/>
  <c r="E15" i="4" a="1"/>
  <c r="E5" i="4" a="1"/>
  <c r="E14" i="4" a="1"/>
  <c r="E4" i="4" a="1"/>
  <c r="E13" i="4" a="1"/>
  <c r="E18" i="4" a="1"/>
  <c r="E8" i="4" a="1"/>
  <c r="E3" i="4" a="1"/>
  <c r="C18" i="4" a="1"/>
  <c r="C10" i="4" a="1"/>
  <c r="C16" i="4" a="1"/>
  <c r="C15" i="4" a="1"/>
  <c r="C14" i="4" a="1"/>
  <c r="C13" i="4" a="1"/>
  <c r="C12" i="4" a="1"/>
  <c r="C11" i="4" a="1"/>
  <c r="F2" i="12" a="1"/>
  <c r="F124" i="12" a="1"/>
  <c r="F114" i="12" a="1"/>
  <c r="F104" i="12" a="1"/>
  <c r="F94" i="12" a="1"/>
  <c r="F84" i="12" a="1"/>
  <c r="F74" i="12" a="1"/>
  <c r="F64" i="12" a="1"/>
  <c r="F54" i="12" a="1"/>
  <c r="F44" i="12" a="1"/>
  <c r="F34" i="12" a="1"/>
  <c r="F24" i="12" a="1"/>
  <c r="F14" i="12" a="1"/>
  <c r="F4" i="12" a="1"/>
  <c r="F123" i="12" a="1"/>
  <c r="F113" i="12" a="1"/>
  <c r="F103" i="12" a="1"/>
  <c r="F93" i="12" a="1"/>
  <c r="F83" i="12" a="1"/>
  <c r="F73" i="12" a="1"/>
  <c r="F63" i="12" a="1"/>
  <c r="F53" i="12" a="1"/>
  <c r="F43" i="12" a="1"/>
  <c r="F33" i="12" a="1"/>
  <c r="F23" i="12" a="1"/>
  <c r="F13" i="12" a="1"/>
  <c r="F3" i="12" a="1"/>
  <c r="F122" i="12" a="1"/>
  <c r="F112" i="12" a="1"/>
  <c r="F102" i="12" a="1"/>
  <c r="F92" i="12" a="1"/>
  <c r="F82" i="12" a="1"/>
  <c r="F72" i="12" a="1"/>
  <c r="F62" i="12" a="1"/>
  <c r="F52" i="12" a="1"/>
  <c r="F42" i="12" a="1"/>
  <c r="F32" i="12" a="1"/>
  <c r="F22" i="12" a="1"/>
  <c r="F12" i="12" a="1"/>
  <c r="F117" i="12" a="1"/>
  <c r="F121" i="12" a="1"/>
  <c r="F111" i="12" a="1"/>
  <c r="F101" i="12" a="1"/>
  <c r="F91" i="12" a="1"/>
  <c r="F81" i="12" a="1"/>
  <c r="F71" i="12" a="1"/>
  <c r="F61" i="12" a="1"/>
  <c r="F51" i="12" a="1"/>
  <c r="F41" i="12" a="1"/>
  <c r="F31" i="12" a="1"/>
  <c r="F21" i="12" a="1"/>
  <c r="F11" i="12" a="1"/>
  <c r="F120" i="12" a="1"/>
  <c r="F110" i="12" a="1"/>
  <c r="F100" i="12" a="1"/>
  <c r="F90" i="12" a="1"/>
  <c r="F80" i="12" a="1"/>
  <c r="F70" i="12" a="1"/>
  <c r="F60" i="12" a="1"/>
  <c r="F50" i="12" a="1"/>
  <c r="F40" i="12" a="1"/>
  <c r="F30" i="12" a="1"/>
  <c r="F20" i="12" a="1"/>
  <c r="F10" i="12" a="1"/>
  <c r="F119" i="12" a="1"/>
  <c r="F109" i="12" a="1"/>
  <c r="F99" i="12" a="1"/>
  <c r="F89" i="12" a="1"/>
  <c r="F79" i="12" a="1"/>
  <c r="F69" i="12" a="1"/>
  <c r="F59" i="12" a="1"/>
  <c r="F49" i="12" a="1"/>
  <c r="F39" i="12" a="1"/>
  <c r="F29" i="12" a="1"/>
  <c r="F19" i="12" a="1"/>
  <c r="F9" i="12" a="1"/>
  <c r="F118" i="12" a="1"/>
  <c r="F108" i="12" a="1"/>
  <c r="F98" i="12" a="1"/>
  <c r="F88" i="12" a="1"/>
  <c r="F78" i="12" a="1"/>
  <c r="F68" i="12" a="1"/>
  <c r="F58" i="12" a="1"/>
  <c r="F48" i="12" a="1"/>
  <c r="F38" i="12" a="1"/>
  <c r="F28" i="12" a="1"/>
  <c r="F18" i="12" a="1"/>
  <c r="F8" i="12" a="1"/>
  <c r="F107" i="12" a="1"/>
  <c r="F97" i="12" a="1"/>
  <c r="F116" i="12" a="1"/>
  <c r="F75" i="12" a="1"/>
  <c r="F35" i="12" a="1"/>
  <c r="F67" i="12" a="1"/>
  <c r="F27" i="12" a="1"/>
  <c r="F115" i="12" a="1"/>
  <c r="F66" i="12" a="1"/>
  <c r="F26" i="12" a="1"/>
  <c r="F106" i="12" a="1"/>
  <c r="F65" i="12" a="1"/>
  <c r="F25" i="12" a="1"/>
  <c r="F76" i="12" a="1"/>
  <c r="F105" i="12" a="1"/>
  <c r="F57" i="12" a="1"/>
  <c r="F17" i="12" a="1"/>
  <c r="F96" i="12" a="1"/>
  <c r="F56" i="12" a="1"/>
  <c r="F16" i="12" a="1"/>
  <c r="F95" i="12" a="1"/>
  <c r="F55" i="12" a="1"/>
  <c r="F15" i="12" a="1"/>
  <c r="F87" i="12" a="1"/>
  <c r="F47" i="12" a="1"/>
  <c r="F7" i="12" a="1"/>
  <c r="F86" i="12" a="1"/>
  <c r="F46" i="12" a="1"/>
  <c r="F6" i="12" a="1"/>
  <c r="F85" i="12" a="1"/>
  <c r="F45" i="12" a="1"/>
  <c r="F5" i="12" a="1"/>
  <c r="F77" i="12" a="1"/>
  <c r="F37" i="12" a="1"/>
  <c r="F36" i="12" a="1"/>
  <c r="G98" i="12" a="1"/>
  <c r="G80" i="12" a="1"/>
  <c r="G66" i="12" a="1"/>
  <c r="G117" i="12" a="1"/>
  <c r="G96" i="12" a="1"/>
  <c r="G99" i="12" a="1"/>
  <c r="G27" i="12" a="1"/>
  <c r="G109" i="12" a="1"/>
  <c r="G72" i="12" a="1"/>
  <c r="G97" i="12" a="1"/>
  <c r="G124" i="12" a="1"/>
  <c r="G39" i="12" a="1"/>
  <c r="G52" i="12" a="1"/>
  <c r="G47" i="12" a="1"/>
  <c r="G85" i="12" a="1"/>
  <c r="G40" i="12" a="1"/>
  <c r="G38" i="12" a="1"/>
  <c r="G49" i="12" a="1"/>
  <c r="G113" i="12" a="1"/>
  <c r="G44" i="12" a="1"/>
  <c r="G92" i="12" a="1"/>
  <c r="G37" i="12" a="1"/>
  <c r="G120" i="12" a="1"/>
  <c r="G95" i="12" a="1"/>
  <c r="G84" i="12" a="1"/>
  <c r="G118" i="12" a="1"/>
  <c r="G46" i="12" a="1"/>
  <c r="G58" i="12" a="1"/>
  <c r="G74" i="12" a="1"/>
  <c r="G56" i="12" a="1"/>
  <c r="G32" i="12" a="1"/>
  <c r="G88" i="12" a="1"/>
  <c r="G53" i="12" a="1"/>
  <c r="G78" i="12" a="1"/>
  <c r="G110" i="12" a="1"/>
  <c r="G51" i="12" a="1"/>
  <c r="G73" i="12" a="1"/>
  <c r="G116" i="12" a="1"/>
  <c r="G63" i="12" a="1"/>
  <c r="G79" i="12" a="1"/>
  <c r="G107" i="12" a="1"/>
  <c r="G94" i="12" a="1"/>
  <c r="G93" i="12" a="1"/>
  <c r="G82" i="12" a="1"/>
  <c r="G54" i="12" a="1"/>
  <c r="G102" i="12" a="1"/>
  <c r="G28" i="12" a="1"/>
  <c r="G121" i="12" a="1"/>
  <c r="G59" i="12" a="1"/>
  <c r="G112" i="12" a="1"/>
  <c r="G75" i="12" a="1"/>
  <c r="G61" i="12" a="1"/>
  <c r="G50" i="12" a="1"/>
  <c r="G114" i="12" a="1"/>
  <c r="G31" i="12" a="1"/>
  <c r="G111" i="12" a="1"/>
  <c r="G76" i="12" a="1"/>
  <c r="G45" i="12" a="1"/>
  <c r="G43" i="12" a="1"/>
  <c r="G86" i="12" a="1"/>
  <c r="G71" i="12" a="1"/>
  <c r="G90" i="12" a="1"/>
  <c r="G69" i="12" a="1"/>
  <c r="G64" i="12" a="1"/>
  <c r="G106" i="12" a="1"/>
  <c r="G89" i="12" a="1"/>
  <c r="G29" i="12" a="1"/>
  <c r="G62" i="12" a="1"/>
  <c r="G105" i="12" a="1"/>
  <c r="G122" i="12" a="1"/>
  <c r="G42" i="12" a="1"/>
  <c r="G103" i="12" a="1"/>
  <c r="G67" i="12" a="1"/>
  <c r="G83" i="12" a="1"/>
  <c r="G35" i="12" a="1"/>
  <c r="G30" i="12" a="1"/>
  <c r="G91" i="12" a="1"/>
  <c r="G33" i="12" a="1"/>
  <c r="G108" i="12" a="1"/>
  <c r="G55" i="12" a="1"/>
  <c r="G34" i="12" a="1"/>
  <c r="G60" i="12" a="1"/>
  <c r="G68" i="12" a="1"/>
  <c r="G100" i="12" a="1"/>
  <c r="G57" i="12" a="1"/>
  <c r="G115" i="12" a="1"/>
  <c r="G104" i="12" a="1"/>
  <c r="G41" i="12" a="1"/>
  <c r="G87" i="12" a="1"/>
  <c r="G119" i="12" a="1"/>
  <c r="G65" i="12" a="1"/>
  <c r="G48" i="12" a="1"/>
  <c r="G123" i="12" a="1"/>
  <c r="G81" i="12" a="1"/>
  <c r="G77" i="12" a="1"/>
  <c r="G101" i="12" a="1"/>
  <c r="G36" i="12" a="1"/>
  <c r="G70" i="12" a="1"/>
  <c r="G17" i="12" a="1"/>
  <c r="G19" i="12" a="1"/>
  <c r="G25" i="12" a="1"/>
  <c r="G21" i="12" a="1"/>
  <c r="G12" i="12" a="1"/>
  <c r="G14" i="12" a="1"/>
  <c r="G26" i="12" a="1"/>
  <c r="G22" i="12" a="1"/>
  <c r="G13" i="12" a="1"/>
  <c r="G16" i="12" a="1"/>
  <c r="G23" i="12" a="1"/>
  <c r="G15" i="12" a="1"/>
  <c r="G18" i="12" a="1"/>
  <c r="G20" i="12" a="1"/>
  <c r="G24" i="12" a="1"/>
  <c r="H124" i="12" a="1"/>
  <c r="H114" i="12" a="1"/>
  <c r="H104" i="12" a="1"/>
  <c r="H94" i="12" a="1"/>
  <c r="H84" i="12" a="1"/>
  <c r="H74" i="12" a="1"/>
  <c r="H64" i="12" a="1"/>
  <c r="H54" i="12" a="1"/>
  <c r="H44" i="12" a="1"/>
  <c r="H34" i="12" a="1"/>
  <c r="H24" i="12" a="1"/>
  <c r="H14" i="12" a="1"/>
  <c r="H4" i="12" a="1"/>
  <c r="H123" i="12" a="1"/>
  <c r="H113" i="12" a="1"/>
  <c r="H103" i="12" a="1"/>
  <c r="H93" i="12" a="1"/>
  <c r="H83" i="12" a="1"/>
  <c r="H73" i="12" a="1"/>
  <c r="H63" i="12" a="1"/>
  <c r="H53" i="12" a="1"/>
  <c r="H43" i="12" a="1"/>
  <c r="H33" i="12" a="1"/>
  <c r="H23" i="12" a="1"/>
  <c r="H13" i="12" a="1"/>
  <c r="H3" i="12" a="1"/>
  <c r="H121" i="12" a="1"/>
  <c r="H111" i="12" a="1"/>
  <c r="H101" i="12" a="1"/>
  <c r="H91" i="12" a="1"/>
  <c r="H81" i="12" a="1"/>
  <c r="H71" i="12" a="1"/>
  <c r="H61" i="12" a="1"/>
  <c r="H51" i="12" a="1"/>
  <c r="H41" i="12" a="1"/>
  <c r="H31" i="12" a="1"/>
  <c r="H21" i="12" a="1"/>
  <c r="H11" i="12" a="1"/>
  <c r="H120" i="12" a="1"/>
  <c r="H110" i="12" a="1"/>
  <c r="H100" i="12" a="1"/>
  <c r="H90" i="12" a="1"/>
  <c r="H80" i="12" a="1"/>
  <c r="H70" i="12" a="1"/>
  <c r="H60" i="12" a="1"/>
  <c r="H50" i="12" a="1"/>
  <c r="H40" i="12" a="1"/>
  <c r="H30" i="12" a="1"/>
  <c r="H20" i="12" a="1"/>
  <c r="H10" i="12" a="1"/>
  <c r="H119" i="12" a="1"/>
  <c r="H109" i="12" a="1"/>
  <c r="H99" i="12" a="1"/>
  <c r="H89" i="12" a="1"/>
  <c r="H79" i="12" a="1"/>
  <c r="H69" i="12" a="1"/>
  <c r="H59" i="12" a="1"/>
  <c r="H49" i="12" a="1"/>
  <c r="H39" i="12" a="1"/>
  <c r="H29" i="12" a="1"/>
  <c r="H19" i="12" a="1"/>
  <c r="H9" i="12" a="1"/>
  <c r="H118" i="12" a="1"/>
  <c r="H108" i="12" a="1"/>
  <c r="H98" i="12" a="1"/>
  <c r="H88" i="12" a="1"/>
  <c r="H78" i="12" a="1"/>
  <c r="H68" i="12" a="1"/>
  <c r="H58" i="12" a="1"/>
  <c r="H48" i="12" a="1"/>
  <c r="H38" i="12" a="1"/>
  <c r="H28" i="12" a="1"/>
  <c r="H18" i="12" a="1"/>
  <c r="H8" i="12" a="1"/>
  <c r="H117" i="12" a="1"/>
  <c r="H107" i="12" a="1"/>
  <c r="H97" i="12" a="1"/>
  <c r="H87" i="12" a="1"/>
  <c r="H77" i="12" a="1"/>
  <c r="H67" i="12" a="1"/>
  <c r="H57" i="12" a="1"/>
  <c r="H76" i="12" a="1"/>
  <c r="H16" i="12" a="1"/>
  <c r="H45" i="12" a="1"/>
  <c r="H106" i="12" a="1"/>
  <c r="H75" i="12" a="1"/>
  <c r="H42" i="12" a="1"/>
  <c r="H15" i="12" a="1"/>
  <c r="H72" i="12" a="1"/>
  <c r="H12" i="12" a="1"/>
  <c r="H105" i="12" a="1"/>
  <c r="H37" i="12" a="1"/>
  <c r="H102" i="12" a="1"/>
  <c r="H7" i="12" a="1"/>
  <c r="H66" i="12" a="1"/>
  <c r="H36" i="12" a="1"/>
  <c r="H6" i="12" a="1"/>
  <c r="H96" i="12" a="1"/>
  <c r="H65" i="12" a="1"/>
  <c r="H35" i="12" a="1"/>
  <c r="H62" i="12" a="1"/>
  <c r="H32" i="12" a="1"/>
  <c r="H5" i="12" a="1"/>
  <c r="H95" i="12" a="1"/>
  <c r="H92" i="12" a="1"/>
  <c r="H27" i="12" a="1"/>
  <c r="H56" i="12" a="1"/>
  <c r="H122" i="12" a="1"/>
  <c r="H26" i="12" a="1"/>
  <c r="H86" i="12" a="1"/>
  <c r="H55" i="12" a="1"/>
  <c r="H52" i="12" a="1"/>
  <c r="H25" i="12" a="1"/>
  <c r="H116" i="12" a="1"/>
  <c r="H85" i="12" a="1"/>
  <c r="H22" i="12" a="1"/>
  <c r="H82" i="12" a="1"/>
  <c r="H47" i="12" a="1"/>
  <c r="H115" i="12" a="1"/>
  <c r="H17" i="12" a="1"/>
  <c r="H112" i="12" a="1"/>
  <c r="H46" i="12" a="1"/>
  <c r="I9" i="6" a="1"/>
  <c r="I8" i="6" a="1"/>
  <c r="F2" i="12" l="1"/>
  <c r="F36" i="12"/>
  <c r="F37" i="12"/>
  <c r="F77" i="12"/>
  <c r="F5" i="12"/>
  <c r="F45" i="12"/>
  <c r="F85" i="12"/>
  <c r="F6" i="12"/>
  <c r="F46" i="12"/>
  <c r="F86" i="12"/>
  <c r="F7" i="12"/>
  <c r="F47" i="12"/>
  <c r="F87" i="12"/>
  <c r="F15" i="12"/>
  <c r="F55" i="12"/>
  <c r="F95" i="12"/>
  <c r="F16" i="12"/>
  <c r="F56" i="12"/>
  <c r="F96" i="12"/>
  <c r="F17" i="12"/>
  <c r="F57" i="12"/>
  <c r="F105" i="12"/>
  <c r="F76" i="12"/>
  <c r="F25" i="12"/>
  <c r="F65" i="12"/>
  <c r="F106" i="12"/>
  <c r="F26" i="12"/>
  <c r="F66" i="12"/>
  <c r="F115" i="12"/>
  <c r="F27" i="12"/>
  <c r="F67" i="12"/>
  <c r="F35" i="12"/>
  <c r="F75" i="12"/>
  <c r="F116" i="12"/>
  <c r="F97" i="12"/>
  <c r="F107" i="12"/>
  <c r="F8" i="12"/>
  <c r="F18" i="12"/>
  <c r="F28" i="12"/>
  <c r="F38" i="12"/>
  <c r="F48" i="12"/>
  <c r="F58" i="12"/>
  <c r="F68" i="12"/>
  <c r="F78" i="12"/>
  <c r="F88" i="12"/>
  <c r="F98" i="12"/>
  <c r="F108" i="12"/>
  <c r="F118" i="12"/>
  <c r="F9" i="12"/>
  <c r="F19" i="12"/>
  <c r="F29" i="12"/>
  <c r="F39" i="12"/>
  <c r="F49" i="12"/>
  <c r="F59" i="12"/>
  <c r="F69" i="12"/>
  <c r="F79" i="12"/>
  <c r="F89" i="12"/>
  <c r="F99" i="12"/>
  <c r="F109" i="12"/>
  <c r="F119" i="12"/>
  <c r="F10" i="12"/>
  <c r="F20" i="12"/>
  <c r="F30" i="12"/>
  <c r="F40" i="12"/>
  <c r="F50" i="12"/>
  <c r="F60" i="12"/>
  <c r="F70" i="12"/>
  <c r="F80" i="12"/>
  <c r="F90" i="12"/>
  <c r="F100" i="12"/>
  <c r="F110" i="12"/>
  <c r="F120" i="12"/>
  <c r="F11" i="12"/>
  <c r="F21" i="12"/>
  <c r="F31" i="12"/>
  <c r="F41" i="12"/>
  <c r="F51" i="12"/>
  <c r="F61" i="12"/>
  <c r="F71" i="12"/>
  <c r="F81" i="12"/>
  <c r="F91" i="12"/>
  <c r="F101" i="12"/>
  <c r="F111" i="12"/>
  <c r="F121" i="12"/>
  <c r="F117" i="12"/>
  <c r="F12" i="12"/>
  <c r="F22" i="12"/>
  <c r="F32" i="12"/>
  <c r="F42" i="12"/>
  <c r="F52" i="12"/>
  <c r="F62" i="12"/>
  <c r="F72" i="12"/>
  <c r="F82" i="12"/>
  <c r="F92" i="12"/>
  <c r="F102" i="12"/>
  <c r="F112" i="12"/>
  <c r="F122" i="12"/>
  <c r="F3" i="12"/>
  <c r="F13" i="12"/>
  <c r="F23" i="12"/>
  <c r="F33" i="12"/>
  <c r="F43" i="12"/>
  <c r="F53" i="12"/>
  <c r="F63" i="12"/>
  <c r="F73" i="12"/>
  <c r="F83" i="12"/>
  <c r="F93" i="12"/>
  <c r="F103" i="12"/>
  <c r="F113" i="12"/>
  <c r="F123" i="12"/>
  <c r="F4" i="12"/>
  <c r="F14" i="12"/>
  <c r="F24" i="12"/>
  <c r="F34" i="12"/>
  <c r="F44" i="12"/>
  <c r="F54" i="12"/>
  <c r="F64" i="12"/>
  <c r="F74" i="12"/>
  <c r="F84" i="12"/>
  <c r="F94" i="12"/>
  <c r="F104" i="12"/>
  <c r="F114" i="12"/>
  <c r="F124" i="12"/>
  <c r="H46" i="12"/>
  <c r="H112" i="12"/>
  <c r="H17" i="12"/>
  <c r="H115" i="12"/>
  <c r="H47" i="12"/>
  <c r="H82" i="12"/>
  <c r="H22" i="12"/>
  <c r="H85" i="12"/>
  <c r="H116" i="12"/>
  <c r="H25" i="12"/>
  <c r="H52" i="12"/>
  <c r="H55" i="12"/>
  <c r="H86" i="12"/>
  <c r="H26" i="12"/>
  <c r="H122" i="12"/>
  <c r="H56" i="12"/>
  <c r="H27" i="12"/>
  <c r="H92" i="12"/>
  <c r="H95" i="12"/>
  <c r="H5" i="12"/>
  <c r="H32" i="12"/>
  <c r="H62" i="12"/>
  <c r="H35" i="12"/>
  <c r="H65" i="12"/>
  <c r="H96" i="12"/>
  <c r="H6" i="12"/>
  <c r="H36" i="12"/>
  <c r="H66" i="12"/>
  <c r="H7" i="12"/>
  <c r="H102" i="12"/>
  <c r="H37" i="12"/>
  <c r="H105" i="12"/>
  <c r="H12" i="12"/>
  <c r="H72" i="12"/>
  <c r="H15" i="12"/>
  <c r="H42" i="12"/>
  <c r="H75" i="12"/>
  <c r="H106" i="12"/>
  <c r="H45" i="12"/>
  <c r="H16" i="12"/>
  <c r="H76" i="12"/>
  <c r="H57" i="12"/>
  <c r="H67" i="12"/>
  <c r="H77" i="12"/>
  <c r="H87" i="12"/>
  <c r="H97" i="12"/>
  <c r="H107" i="12"/>
  <c r="H117" i="12"/>
  <c r="H8" i="12"/>
  <c r="H18" i="12"/>
  <c r="H28" i="12"/>
  <c r="H38" i="12"/>
  <c r="H48" i="12"/>
  <c r="H58" i="12"/>
  <c r="H68" i="12"/>
  <c r="H78" i="12"/>
  <c r="H88" i="12"/>
  <c r="H98" i="12"/>
  <c r="H108" i="12"/>
  <c r="H118" i="12"/>
  <c r="H9" i="12"/>
  <c r="H19" i="12"/>
  <c r="H29" i="12"/>
  <c r="H39" i="12"/>
  <c r="H49" i="12"/>
  <c r="H59" i="12"/>
  <c r="H69" i="12"/>
  <c r="H79" i="12"/>
  <c r="H89" i="12"/>
  <c r="H99" i="12"/>
  <c r="H109" i="12"/>
  <c r="H119" i="12"/>
  <c r="H10" i="12"/>
  <c r="H20" i="12"/>
  <c r="H30" i="12"/>
  <c r="H40" i="12"/>
  <c r="H50" i="12"/>
  <c r="H60" i="12"/>
  <c r="H70" i="12"/>
  <c r="H80" i="12"/>
  <c r="H90" i="12"/>
  <c r="H100" i="12"/>
  <c r="H110" i="12"/>
  <c r="H120" i="12"/>
  <c r="H11" i="12"/>
  <c r="H21" i="12"/>
  <c r="H31" i="12"/>
  <c r="H41" i="12"/>
  <c r="H51" i="12"/>
  <c r="H61" i="12"/>
  <c r="H71" i="12"/>
  <c r="H81" i="12"/>
  <c r="H91" i="12"/>
  <c r="H101" i="12"/>
  <c r="H111" i="12"/>
  <c r="H121" i="12"/>
  <c r="H3" i="12"/>
  <c r="H13" i="12"/>
  <c r="H23" i="12"/>
  <c r="H33" i="12"/>
  <c r="H43" i="12"/>
  <c r="H53" i="12"/>
  <c r="H63" i="12"/>
  <c r="H73" i="12"/>
  <c r="H83" i="12"/>
  <c r="H93" i="12"/>
  <c r="H103" i="12"/>
  <c r="H113" i="12"/>
  <c r="H123" i="12"/>
  <c r="H4" i="12"/>
  <c r="H14" i="12"/>
  <c r="H24" i="12"/>
  <c r="H34" i="12"/>
  <c r="H44" i="12"/>
  <c r="H54" i="12"/>
  <c r="H64" i="12"/>
  <c r="H74" i="12"/>
  <c r="H84" i="12"/>
  <c r="H94" i="12"/>
  <c r="H104" i="12"/>
  <c r="H114" i="12"/>
  <c r="H124" i="12"/>
  <c r="E2" i="4"/>
  <c r="E3" i="4"/>
  <c r="E8" i="4"/>
  <c r="E18" i="4"/>
  <c r="E13" i="4"/>
  <c r="E4" i="4"/>
  <c r="E14" i="4"/>
  <c r="E5" i="4"/>
  <c r="E15" i="4"/>
  <c r="E6" i="4"/>
  <c r="E16" i="4"/>
  <c r="E7" i="4"/>
  <c r="E17" i="4"/>
  <c r="E9" i="4"/>
  <c r="E19" i="4"/>
  <c r="E10" i="4"/>
  <c r="E20" i="4"/>
  <c r="E11" i="4"/>
  <c r="E21" i="4"/>
  <c r="E12" i="4"/>
  <c r="E22" i="4"/>
  <c r="C18" i="4"/>
  <c r="C10" i="4"/>
  <c r="C11" i="4"/>
  <c r="C12" i="4"/>
  <c r="C13" i="4"/>
  <c r="C14" i="4"/>
  <c r="C15" i="4"/>
  <c r="C16" i="4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F7" i="14"/>
  <c r="F17" i="14"/>
  <c r="F27" i="14"/>
  <c r="F37" i="14"/>
  <c r="C2" i="14"/>
  <c r="C8" i="14"/>
  <c r="C18" i="14"/>
  <c r="C28" i="14"/>
  <c r="C9" i="14"/>
  <c r="C19" i="14"/>
  <c r="C29" i="14"/>
  <c r="C10" i="14"/>
  <c r="C20" i="14"/>
  <c r="C30" i="14"/>
  <c r="C11" i="14"/>
  <c r="C21" i="14"/>
  <c r="C31" i="14"/>
  <c r="C12" i="14"/>
  <c r="C22" i="14"/>
  <c r="C32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6" i="14"/>
  <c r="C16" i="14"/>
  <c r="C26" i="14"/>
  <c r="C36" i="14"/>
  <c r="C7" i="14"/>
  <c r="C17" i="14"/>
  <c r="C27" i="14"/>
  <c r="C37" i="14"/>
  <c r="B8" i="13"/>
  <c r="E8" i="13"/>
  <c r="I4" i="6"/>
  <c r="I9" i="6"/>
  <c r="I3" i="6"/>
  <c r="I13" i="6"/>
  <c r="I5" i="6"/>
  <c r="I6" i="6"/>
  <c r="I7" i="6"/>
  <c r="I8" i="6"/>
  <c r="I10" i="6"/>
  <c r="I11" i="6"/>
  <c r="I12" i="6"/>
  <c r="I2" i="6"/>
  <c r="C8" i="6"/>
  <c r="C4" i="6"/>
  <c r="C5" i="6"/>
  <c r="C6" i="6"/>
  <c r="C7" i="6"/>
  <c r="C9" i="6"/>
  <c r="C10" i="6"/>
  <c r="C11" i="6"/>
  <c r="C12" i="6"/>
  <c r="C3" i="6"/>
  <c r="C13" i="6"/>
  <c r="C2" i="6"/>
  <c r="H2" i="11"/>
  <c r="H9" i="11"/>
  <c r="H10" i="11"/>
  <c r="H11" i="11"/>
  <c r="H12" i="11"/>
  <c r="H3" i="11"/>
  <c r="H13" i="11"/>
  <c r="H4" i="11"/>
  <c r="H14" i="11"/>
  <c r="H5" i="11"/>
  <c r="H15" i="11"/>
  <c r="H6" i="11"/>
  <c r="H16" i="11"/>
  <c r="H7" i="11"/>
  <c r="H17" i="11"/>
  <c r="H8" i="11"/>
  <c r="G58" i="12"/>
  <c r="G8" i="12"/>
  <c r="G39" i="12"/>
  <c r="G57" i="12"/>
  <c r="G7" i="12"/>
  <c r="G59" i="12"/>
  <c r="G9" i="12"/>
  <c r="G75" i="12"/>
  <c r="G25" i="12"/>
  <c r="G76" i="12"/>
  <c r="G26" i="12"/>
  <c r="G89" i="12"/>
  <c r="G27" i="12"/>
  <c r="G90" i="12"/>
  <c r="G40" i="12"/>
  <c r="G107" i="12"/>
  <c r="G45" i="12"/>
  <c r="G108" i="12"/>
  <c r="G77" i="12"/>
  <c r="G95" i="12"/>
  <c r="G109" i="12"/>
  <c r="G10" i="12"/>
  <c r="G28" i="12"/>
  <c r="G46" i="12"/>
  <c r="G60" i="12"/>
  <c r="G78" i="12"/>
  <c r="G96" i="12"/>
  <c r="G110" i="12"/>
  <c r="G115" i="12"/>
  <c r="G15" i="12"/>
  <c r="G29" i="12"/>
  <c r="G47" i="12"/>
  <c r="G65" i="12"/>
  <c r="G79" i="12"/>
  <c r="G97" i="12"/>
  <c r="G116" i="12"/>
  <c r="G16" i="12"/>
  <c r="G30" i="12"/>
  <c r="G48" i="12"/>
  <c r="G66" i="12"/>
  <c r="G80" i="12"/>
  <c r="G98" i="12"/>
  <c r="G117" i="12"/>
  <c r="G17" i="12"/>
  <c r="G35" i="12"/>
  <c r="G49" i="12"/>
  <c r="G67" i="12"/>
  <c r="G85" i="12"/>
  <c r="G99" i="12"/>
  <c r="G118" i="12"/>
  <c r="G18" i="12"/>
  <c r="G36" i="12"/>
  <c r="G50" i="12"/>
  <c r="G68" i="12"/>
  <c r="G86" i="12"/>
  <c r="G100" i="12"/>
  <c r="G119" i="12"/>
  <c r="G5" i="12"/>
  <c r="G19" i="12"/>
  <c r="G37" i="12"/>
  <c r="G55" i="12"/>
  <c r="G69" i="12"/>
  <c r="G87" i="12"/>
  <c r="G105" i="12"/>
  <c r="G120" i="12"/>
  <c r="G6" i="12"/>
  <c r="G20" i="12"/>
  <c r="G38" i="12"/>
  <c r="G56" i="12"/>
  <c r="G70" i="12"/>
  <c r="G88" i="12"/>
  <c r="G106" i="12"/>
  <c r="G11" i="12"/>
  <c r="G21" i="12"/>
  <c r="G31" i="12"/>
  <c r="G41" i="12"/>
  <c r="G51" i="12"/>
  <c r="G61" i="12"/>
  <c r="G71" i="12"/>
  <c r="G81" i="12"/>
  <c r="G91" i="12"/>
  <c r="G101" i="12"/>
  <c r="G111" i="12"/>
  <c r="G121" i="12"/>
  <c r="G12" i="12"/>
  <c r="G22" i="12"/>
  <c r="G32" i="12"/>
  <c r="G42" i="12"/>
  <c r="G52" i="12"/>
  <c r="G62" i="12"/>
  <c r="G72" i="12"/>
  <c r="G82" i="12"/>
  <c r="G92" i="12"/>
  <c r="G102" i="12"/>
  <c r="G112" i="12"/>
  <c r="G122" i="12"/>
  <c r="G3" i="12"/>
  <c r="G13" i="12"/>
  <c r="G23" i="12"/>
  <c r="G33" i="12"/>
  <c r="G43" i="12"/>
  <c r="G53" i="12"/>
  <c r="G63" i="12"/>
  <c r="G73" i="12"/>
  <c r="G83" i="12"/>
  <c r="G93" i="12"/>
  <c r="G103" i="12"/>
  <c r="G113" i="12"/>
  <c r="G123" i="12"/>
  <c r="G4" i="12"/>
  <c r="G14" i="12"/>
  <c r="G24" i="12"/>
  <c r="G34" i="12"/>
  <c r="G44" i="12"/>
  <c r="G54" i="12"/>
  <c r="G64" i="12"/>
  <c r="G74" i="12"/>
  <c r="G84" i="12"/>
  <c r="G94" i="12"/>
  <c r="G104" i="12"/>
  <c r="G114" i="12"/>
  <c r="G124" i="12"/>
  <c r="G2" i="12"/>
  <c r="D18" i="4"/>
  <c r="F2" i="14"/>
  <c r="C82" i="12"/>
  <c r="J82" i="12"/>
  <c r="A46" i="12"/>
  <c r="D80" i="12"/>
  <c r="D81" i="12" s="1"/>
  <c r="D82" i="12" s="1"/>
  <c r="D83" i="12" s="1"/>
  <c r="D84" i="12" s="1"/>
  <c r="C5" i="4" a="1"/>
  <c r="G20" i="4" a="1"/>
  <c r="G18" i="4" a="1"/>
  <c r="G5" i="4" a="1"/>
  <c r="G3" i="4" a="1"/>
  <c r="G10" i="4" a="1"/>
  <c r="G21" i="4" a="1"/>
  <c r="G17" i="4" a="1"/>
  <c r="G6" i="4" a="1"/>
  <c r="C4" i="4" a="1"/>
  <c r="G15" i="4" a="1"/>
  <c r="G14" i="4" a="1"/>
  <c r="G12" i="4" a="1"/>
  <c r="C6" i="4" a="1"/>
  <c r="C17" i="4" a="1"/>
  <c r="G11" i="4" a="1"/>
  <c r="C7" i="4" a="1"/>
  <c r="G9" i="4" a="1"/>
  <c r="G16" i="4" a="1"/>
  <c r="C3" i="4" a="1"/>
  <c r="G4" i="4" a="1"/>
  <c r="G19" i="4" a="1"/>
  <c r="G8" i="4" a="1"/>
  <c r="G13" i="4" a="1"/>
  <c r="G7" i="4" a="1"/>
  <c r="C8" i="13" a="1"/>
  <c r="B21" i="13" a="1"/>
  <c r="B15" i="13" a="1"/>
  <c r="B20" i="13" a="1"/>
  <c r="B12" i="13" a="1"/>
  <c r="B14" i="13" a="1"/>
  <c r="B7" i="13" a="1"/>
  <c r="B17" i="13" a="1"/>
  <c r="B23" i="13" a="1"/>
  <c r="B11" i="13" a="1"/>
  <c r="B24" i="13" a="1"/>
  <c r="B3" i="13" a="1"/>
  <c r="B25" i="13" a="1"/>
  <c r="B6" i="13" a="1"/>
  <c r="B19" i="13" a="1"/>
  <c r="B5" i="13" a="1"/>
  <c r="B18" i="13" a="1"/>
  <c r="B16" i="13" a="1"/>
  <c r="B4" i="13" a="1"/>
  <c r="B13" i="13" a="1"/>
  <c r="B22" i="13" a="1"/>
  <c r="B9" i="13" a="1"/>
  <c r="B10" i="13" a="1"/>
  <c r="C2" i="12" a="1"/>
  <c r="J46" i="12" a="1"/>
  <c r="C46" i="12" a="1"/>
  <c r="C9" i="4" a="1"/>
  <c r="C8" i="4" a="1"/>
  <c r="C22" i="4" a="1"/>
  <c r="C21" i="4" a="1"/>
  <c r="C20" i="4" a="1"/>
  <c r="C19" i="4" a="1"/>
  <c r="G2" i="4" a="1"/>
  <c r="C8" i="13" l="1"/>
  <c r="B16" i="13"/>
  <c r="B6" i="13"/>
  <c r="B17" i="13"/>
  <c r="B7" i="13"/>
  <c r="B18" i="13"/>
  <c r="B9" i="13"/>
  <c r="B19" i="13"/>
  <c r="G21" i="4"/>
  <c r="B25" i="13"/>
  <c r="G15" i="4"/>
  <c r="G5" i="4"/>
  <c r="G3" i="4"/>
  <c r="G20" i="4"/>
  <c r="G10" i="4"/>
  <c r="G18" i="4"/>
  <c r="G4" i="4"/>
  <c r="G13" i="4"/>
  <c r="B10" i="13"/>
  <c r="B20" i="13"/>
  <c r="G2" i="4"/>
  <c r="G14" i="4"/>
  <c r="B11" i="13"/>
  <c r="B21" i="13"/>
  <c r="G12" i="4"/>
  <c r="B12" i="13"/>
  <c r="G11" i="4"/>
  <c r="B22" i="13"/>
  <c r="G17" i="4"/>
  <c r="B13" i="13"/>
  <c r="B23" i="13"/>
  <c r="G7" i="4"/>
  <c r="G19" i="4"/>
  <c r="B3" i="13"/>
  <c r="B14" i="13"/>
  <c r="B24" i="13"/>
  <c r="G16" i="4"/>
  <c r="G9" i="4"/>
  <c r="B4" i="13"/>
  <c r="B5" i="13"/>
  <c r="B15" i="13"/>
  <c r="G6" i="4"/>
  <c r="C2" i="12"/>
  <c r="G8" i="4"/>
  <c r="C22" i="4"/>
  <c r="C21" i="4"/>
  <c r="C20" i="4"/>
  <c r="C19" i="4"/>
  <c r="C9" i="4"/>
  <c r="C8" i="4"/>
  <c r="C17" i="4"/>
  <c r="C7" i="4"/>
  <c r="C6" i="4"/>
  <c r="C5" i="4"/>
  <c r="C4" i="4"/>
  <c r="C3" i="4"/>
  <c r="C46" i="12"/>
  <c r="J46" i="12"/>
  <c r="A98" i="12"/>
  <c r="A22" i="4"/>
  <c r="B2" i="13" a="1"/>
  <c r="J109" i="12" a="1"/>
  <c r="J103" i="12" a="1"/>
  <c r="J101" i="12" a="1"/>
  <c r="J99" i="12" a="1"/>
  <c r="J97" i="12" a="1"/>
  <c r="J95" i="12" a="1"/>
  <c r="J91" i="12" a="1"/>
  <c r="J106" i="12" a="1"/>
  <c r="J98" i="12" a="1"/>
  <c r="C98" i="12" a="1"/>
  <c r="J105" i="12" a="1"/>
  <c r="J108" i="12" a="1"/>
  <c r="J90" i="12" a="1"/>
  <c r="J96" i="12" a="1"/>
  <c r="J107" i="12" a="1"/>
  <c r="J100" i="12" a="1"/>
  <c r="J93" i="12" a="1"/>
  <c r="J102" i="12" a="1"/>
  <c r="J94" i="12" a="1"/>
  <c r="J92" i="12" a="1"/>
  <c r="J104" i="12" a="1"/>
  <c r="J101" i="12" l="1"/>
  <c r="J91" i="12"/>
  <c r="J102" i="12"/>
  <c r="J92" i="12"/>
  <c r="J103" i="12"/>
  <c r="J93" i="12"/>
  <c r="J104" i="12"/>
  <c r="J94" i="12"/>
  <c r="J105" i="12"/>
  <c r="J95" i="12"/>
  <c r="J106" i="12"/>
  <c r="J96" i="12"/>
  <c r="J107" i="12"/>
  <c r="J97" i="12"/>
  <c r="J108" i="12"/>
  <c r="J98" i="12"/>
  <c r="J109" i="12"/>
  <c r="J99" i="12"/>
  <c r="J90" i="12"/>
  <c r="J100" i="12"/>
  <c r="B2" i="13"/>
  <c r="C98" i="12"/>
  <c r="A3" i="7"/>
  <c r="A3" i="8"/>
  <c r="A123" i="12"/>
  <c r="A37" i="14"/>
  <c r="A36" i="14"/>
  <c r="A35" i="14"/>
  <c r="A19" i="13"/>
  <c r="A15" i="13"/>
  <c r="A11" i="13"/>
  <c r="A88" i="12"/>
  <c r="A77" i="12"/>
  <c r="A63" i="12"/>
  <c r="D13" i="12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A34" i="14"/>
  <c r="A33" i="14"/>
  <c r="A32" i="14"/>
  <c r="A25" i="13"/>
  <c r="A21" i="14"/>
  <c r="A20" i="14"/>
  <c r="A18" i="13"/>
  <c r="A87" i="12"/>
  <c r="D86" i="12"/>
  <c r="D87" i="12" s="1"/>
  <c r="D88" i="12" s="1"/>
  <c r="A86" i="12"/>
  <c r="A85" i="12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3" i="12"/>
  <c r="A15" i="14"/>
  <c r="A14" i="14"/>
  <c r="A31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4" i="12"/>
  <c r="A122" i="12"/>
  <c r="D121" i="12"/>
  <c r="D122" i="12" s="1"/>
  <c r="D123" i="12" s="1"/>
  <c r="D124" i="12" s="1"/>
  <c r="A121" i="12"/>
  <c r="A120" i="12"/>
  <c r="A11" i="12"/>
  <c r="A10" i="12"/>
  <c r="A9" i="12"/>
  <c r="A8" i="12"/>
  <c r="A7" i="12"/>
  <c r="A6" i="12"/>
  <c r="A5" i="12"/>
  <c r="A4" i="12"/>
  <c r="D3" i="12"/>
  <c r="D4" i="12" s="1"/>
  <c r="D5" i="12" s="1"/>
  <c r="D6" i="12" s="1"/>
  <c r="D7" i="12" s="1"/>
  <c r="D8" i="12" s="1"/>
  <c r="D9" i="12" s="1"/>
  <c r="D10" i="12" s="1"/>
  <c r="D11" i="12" s="1"/>
  <c r="A3" i="12"/>
  <c r="A2" i="12"/>
  <c r="A119" i="12"/>
  <c r="A118" i="12"/>
  <c r="A117" i="12"/>
  <c r="D116" i="12"/>
  <c r="D117" i="12" s="1"/>
  <c r="D118" i="12" s="1"/>
  <c r="D119" i="12" s="1"/>
  <c r="A116" i="12"/>
  <c r="A115" i="12"/>
  <c r="A114" i="12"/>
  <c r="A113" i="12"/>
  <c r="A112" i="12"/>
  <c r="D111" i="12"/>
  <c r="D112" i="12" s="1"/>
  <c r="D113" i="12" s="1"/>
  <c r="D114" i="12" s="1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7" i="12"/>
  <c r="A96" i="12"/>
  <c r="A95" i="12"/>
  <c r="A94" i="12"/>
  <c r="A93" i="12"/>
  <c r="A92" i="12"/>
  <c r="A91" i="12"/>
  <c r="D90" i="12"/>
  <c r="D91" i="12" s="1"/>
  <c r="D92" i="12" s="1"/>
  <c r="D93" i="12" s="1"/>
  <c r="A90" i="12"/>
  <c r="A89" i="12"/>
  <c r="A84" i="12"/>
  <c r="A81" i="12"/>
  <c r="A80" i="12"/>
  <c r="A79" i="12"/>
  <c r="A78" i="12"/>
  <c r="A76" i="12"/>
  <c r="D75" i="12"/>
  <c r="D76" i="12" s="1"/>
  <c r="D77" i="12" s="1"/>
  <c r="A75" i="12"/>
  <c r="A74" i="12"/>
  <c r="A73" i="12"/>
  <c r="A72" i="12"/>
  <c r="A71" i="12"/>
  <c r="A70" i="12"/>
  <c r="A69" i="12"/>
  <c r="A68" i="12"/>
  <c r="A67" i="12"/>
  <c r="A66" i="12"/>
  <c r="D65" i="12"/>
  <c r="D66" i="12" s="1"/>
  <c r="D67" i="12" s="1"/>
  <c r="D68" i="12" s="1"/>
  <c r="D69" i="12" s="1"/>
  <c r="D70" i="12" s="1"/>
  <c r="D71" i="12" s="1"/>
  <c r="D72" i="12" s="1"/>
  <c r="D73" i="12" s="1"/>
  <c r="A65" i="12"/>
  <c r="A64" i="12"/>
  <c r="A62" i="12"/>
  <c r="D61" i="12"/>
  <c r="D62" i="12" s="1"/>
  <c r="D63" i="12" s="1"/>
  <c r="A61" i="12"/>
  <c r="A60" i="12"/>
  <c r="A59" i="12"/>
  <c r="A58" i="12"/>
  <c r="A57" i="12"/>
  <c r="A56" i="12"/>
  <c r="D55" i="12"/>
  <c r="D56" i="12" s="1"/>
  <c r="D57" i="12" s="1"/>
  <c r="D58" i="12" s="1"/>
  <c r="D59" i="12" s="1"/>
  <c r="A55" i="12"/>
  <c r="A54" i="12"/>
  <c r="A53" i="12"/>
  <c r="A52" i="12"/>
  <c r="A51" i="12"/>
  <c r="A50" i="12"/>
  <c r="A49" i="12"/>
  <c r="D48" i="12"/>
  <c r="D49" i="12" s="1"/>
  <c r="D50" i="12" s="1"/>
  <c r="D51" i="12" s="1"/>
  <c r="D52" i="12" s="1"/>
  <c r="D53" i="12" s="1"/>
  <c r="A48" i="12"/>
  <c r="A47" i="12"/>
  <c r="A45" i="12"/>
  <c r="A44" i="12"/>
  <c r="A43" i="12"/>
  <c r="D42" i="12"/>
  <c r="D43" i="12" s="1"/>
  <c r="D44" i="12" s="1"/>
  <c r="D45" i="12" s="1"/>
  <c r="D46" i="12" s="1"/>
  <c r="A42" i="12"/>
  <c r="A41" i="12"/>
  <c r="A29" i="12"/>
  <c r="D28" i="12"/>
  <c r="D29" i="12" s="1"/>
  <c r="A28" i="12"/>
  <c r="A27" i="12"/>
  <c r="A36" i="12"/>
  <c r="A40" i="12"/>
  <c r="A39" i="12"/>
  <c r="A38" i="12"/>
  <c r="A37" i="12"/>
  <c r="A35" i="12"/>
  <c r="A34" i="12"/>
  <c r="A33" i="12"/>
  <c r="A32" i="12"/>
  <c r="D31" i="12"/>
  <c r="D32" i="12" s="1"/>
  <c r="D33" i="12" s="1"/>
  <c r="D34" i="12" s="1"/>
  <c r="D35" i="12" s="1"/>
  <c r="D36" i="12" s="1"/>
  <c r="D37" i="12" s="1"/>
  <c r="D38" i="12" s="1"/>
  <c r="D39" i="12" s="1"/>
  <c r="D40" i="12" s="1"/>
  <c r="A31" i="12"/>
  <c r="A30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E6" i="17" a="1"/>
  <c r="C7" i="17" a="1"/>
  <c r="E2" i="17" a="1"/>
  <c r="C3" i="17" a="1"/>
  <c r="F3" i="11" a="1"/>
  <c r="F17" i="11" a="1"/>
  <c r="E9" i="17" a="1"/>
  <c r="C3" i="8" a="1"/>
  <c r="E11" i="17" a="1"/>
  <c r="E8" i="17" a="1"/>
  <c r="C6" i="17" a="1"/>
  <c r="C16" i="17" a="1"/>
  <c r="E2" i="8" a="1"/>
  <c r="C8" i="17" a="1"/>
  <c r="E7" i="17" a="1"/>
  <c r="C17" i="17" a="1"/>
  <c r="F14" i="11" a="1"/>
  <c r="F6" i="11" a="1"/>
  <c r="C9" i="17" a="1"/>
  <c r="C14" i="17" a="1"/>
  <c r="E4" i="17" a="1"/>
  <c r="E15" i="17" a="1"/>
  <c r="F11" i="11" a="1"/>
  <c r="F5" i="11" a="1"/>
  <c r="F4" i="11" a="1"/>
  <c r="C2" i="8" a="1"/>
  <c r="C12" i="17" a="1"/>
  <c r="E16" i="17" a="1"/>
  <c r="C10" i="17" a="1"/>
  <c r="F12" i="11" a="1"/>
  <c r="E3" i="8" a="1"/>
  <c r="C15" i="17" a="1"/>
  <c r="C13" i="17" a="1"/>
  <c r="E17" i="17" a="1"/>
  <c r="E10" i="17" a="1"/>
  <c r="E3" i="17" a="1"/>
  <c r="F10" i="11" a="1"/>
  <c r="F7" i="11" a="1"/>
  <c r="F15" i="11" a="1"/>
  <c r="F8" i="11" a="1"/>
  <c r="F16" i="11" a="1"/>
  <c r="C5" i="17" a="1"/>
  <c r="F2" i="11" a="1"/>
  <c r="C2" i="10" a="1"/>
  <c r="E2" i="10" a="1"/>
  <c r="E5" i="17" a="1"/>
  <c r="F9" i="11" a="1"/>
  <c r="E13" i="17" a="1"/>
  <c r="E14" i="17" a="1"/>
  <c r="C4" i="17" a="1"/>
  <c r="F13" i="11" a="1"/>
  <c r="C2" i="17" a="1"/>
  <c r="C11" i="17" a="1"/>
  <c r="E12" i="17" a="1"/>
  <c r="C2" i="4" a="1"/>
  <c r="C18" i="2" a="1"/>
  <c r="C22" i="2" a="1"/>
  <c r="C32" i="2" a="1"/>
  <c r="C30" i="2" a="1"/>
  <c r="C2" i="2" a="1"/>
  <c r="C26" i="2" a="1"/>
  <c r="C6" i="2" a="1"/>
  <c r="C28" i="2" a="1"/>
  <c r="C10" i="2" a="1"/>
  <c r="C34" i="2" a="1"/>
  <c r="C3" i="2" a="1"/>
  <c r="C8" i="2" a="1"/>
  <c r="C19" i="2" a="1"/>
  <c r="C11" i="2" a="1"/>
  <c r="C31" i="2" a="1"/>
  <c r="C33" i="2" a="1"/>
  <c r="C29" i="2" a="1"/>
  <c r="C20" i="2" a="1"/>
  <c r="C16" i="2" a="1"/>
  <c r="C4" i="2" a="1"/>
  <c r="C27" i="2" a="1"/>
  <c r="C12" i="2" a="1"/>
  <c r="C24" i="2" a="1"/>
  <c r="C9" i="2" a="1"/>
  <c r="C17" i="2" a="1"/>
  <c r="C14" i="2" a="1"/>
  <c r="C5" i="2" a="1"/>
  <c r="C21" i="2" a="1"/>
  <c r="C35" i="2" a="1"/>
  <c r="C13" i="2" a="1"/>
  <c r="C23" i="2" a="1"/>
  <c r="C25" i="2" a="1"/>
  <c r="C7" i="2" a="1"/>
  <c r="C15" i="2" a="1"/>
  <c r="E12" i="13" a="1"/>
  <c r="C10" i="13" a="1"/>
  <c r="E4" i="13" a="1"/>
  <c r="E16" i="13" a="1"/>
  <c r="E24" i="13" a="1"/>
  <c r="E3" i="13" a="1"/>
  <c r="C15" i="13" a="1"/>
  <c r="C9" i="13" a="1"/>
  <c r="E22" i="13" a="1"/>
  <c r="E19" i="13" a="1"/>
  <c r="E11" i="13" a="1"/>
  <c r="C16" i="13" a="1"/>
  <c r="C7" i="13" a="1"/>
  <c r="C4" i="13" a="1"/>
  <c r="C6" i="13" a="1"/>
  <c r="C24" i="13" a="1"/>
  <c r="C20" i="13" a="1"/>
  <c r="E7" i="13" a="1"/>
  <c r="C2" i="13" a="1"/>
  <c r="E18" i="13" a="1"/>
  <c r="C18" i="13" a="1"/>
  <c r="C23" i="13" a="1"/>
  <c r="C3" i="13" a="1"/>
  <c r="C12" i="13" a="1"/>
  <c r="E20" i="13" a="1"/>
  <c r="E6" i="13" a="1"/>
  <c r="E23" i="13" a="1"/>
  <c r="E21" i="13" a="1"/>
  <c r="C25" i="13" a="1"/>
  <c r="C13" i="13" a="1"/>
  <c r="E13" i="13" a="1"/>
  <c r="C17" i="13" a="1"/>
  <c r="C22" i="13" a="1"/>
  <c r="E10" i="13" a="1"/>
  <c r="E17" i="13" a="1"/>
  <c r="E2" i="13" a="1"/>
  <c r="E5" i="13" a="1"/>
  <c r="E9" i="13" a="1"/>
  <c r="C5" i="13" a="1"/>
  <c r="E15" i="13" a="1"/>
  <c r="C14" i="13" a="1"/>
  <c r="E25" i="13" a="1"/>
  <c r="C11" i="13" a="1"/>
  <c r="E14" i="13" a="1"/>
  <c r="C21" i="13" a="1"/>
  <c r="C19" i="13" a="1"/>
  <c r="C16" i="12" a="1"/>
  <c r="C108" i="12" a="1"/>
  <c r="J84" i="12" a="1"/>
  <c r="J52" i="12" a="1"/>
  <c r="J50" i="12" a="1"/>
  <c r="J21" i="12" a="1"/>
  <c r="J81" i="12" a="1"/>
  <c r="C14" i="12" a="1"/>
  <c r="J14" i="12" a="1"/>
  <c r="C7" i="12" a="1"/>
  <c r="C37" i="12" a="1"/>
  <c r="C28" i="12" a="1"/>
  <c r="C11" i="12" a="1"/>
  <c r="C29" i="12" a="1"/>
  <c r="J111" i="12" a="1"/>
  <c r="C103" i="12" a="1"/>
  <c r="J116" i="12" a="1"/>
  <c r="C88" i="12" a="1"/>
  <c r="C44" i="12" a="1"/>
  <c r="C6" i="12" a="1"/>
  <c r="C74" i="12" a="1"/>
  <c r="C40" i="12" a="1"/>
  <c r="C12" i="12" a="1"/>
  <c r="C53" i="12" a="1"/>
  <c r="C25" i="12" a="1"/>
  <c r="J115" i="12" a="1"/>
  <c r="C31" i="12" a="1"/>
  <c r="C124" i="12" a="1"/>
  <c r="J23" i="12" a="1"/>
  <c r="J69" i="12" a="1"/>
  <c r="J59" i="12" a="1"/>
  <c r="C41" i="12" a="1"/>
  <c r="C106" i="12" a="1"/>
  <c r="J77" i="12" a="1"/>
  <c r="J70" i="12" a="1"/>
  <c r="C8" i="12" a="1"/>
  <c r="J117" i="12" a="1"/>
  <c r="C60" i="12" a="1"/>
  <c r="C27" i="12" a="1"/>
  <c r="J45" i="12" a="1"/>
  <c r="C64" i="12" a="1"/>
  <c r="C4" i="12" a="1"/>
  <c r="J27" i="12" a="1"/>
  <c r="J12" i="12" a="1"/>
  <c r="J88" i="12" a="1"/>
  <c r="J80" i="12" a="1"/>
  <c r="J38" i="12" a="1"/>
  <c r="C66" i="12" a="1"/>
  <c r="J73" i="12" a="1"/>
  <c r="C71" i="12" a="1"/>
  <c r="J63" i="12" a="1"/>
  <c r="C122" i="12" a="1"/>
  <c r="C105" i="12" a="1"/>
  <c r="C67" i="12" a="1"/>
  <c r="J54" i="12" a="1"/>
  <c r="J85" i="12" a="1"/>
  <c r="C19" i="12" a="1"/>
  <c r="J44" i="12" a="1"/>
  <c r="J3" i="12" a="1"/>
  <c r="J83" i="12" a="1"/>
  <c r="J47" i="12" a="1"/>
  <c r="C113" i="12" a="1"/>
  <c r="J25" i="12" a="1"/>
  <c r="C99" i="12" a="1"/>
  <c r="C91" i="12" a="1"/>
  <c r="C87" i="12" a="1"/>
  <c r="J65" i="12" a="1"/>
  <c r="J34" i="12" a="1"/>
  <c r="C17" i="12" a="1"/>
  <c r="C69" i="12" a="1"/>
  <c r="J66" i="12" a="1"/>
  <c r="J26" i="12" a="1"/>
  <c r="C5" i="12" a="1"/>
  <c r="C62" i="12" a="1"/>
  <c r="C21" i="12" a="1"/>
  <c r="C52" i="12" a="1"/>
  <c r="C68" i="12" a="1"/>
  <c r="J49" i="12" a="1"/>
  <c r="J56" i="12" a="1"/>
  <c r="C95" i="12" a="1"/>
  <c r="C96" i="12" a="1"/>
  <c r="C3" i="12" a="1"/>
  <c r="J58" i="12" a="1"/>
  <c r="J8" i="12" a="1"/>
  <c r="C38" i="12" a="1"/>
  <c r="J118" i="12" a="1"/>
  <c r="J62" i="12" a="1"/>
  <c r="C100" i="12" a="1"/>
  <c r="J43" i="12" a="1"/>
  <c r="C102" i="12" a="1"/>
  <c r="C47" i="12" a="1"/>
  <c r="C80" i="12" a="1"/>
  <c r="C22" i="12" a="1"/>
  <c r="J75" i="12" a="1"/>
  <c r="J15" i="12" a="1"/>
  <c r="C15" i="12" a="1"/>
  <c r="J4" i="12" a="1"/>
  <c r="C76" i="12" a="1"/>
  <c r="J112" i="12" a="1"/>
  <c r="C34" i="12" a="1"/>
  <c r="J9" i="12" a="1"/>
  <c r="C101" i="12" a="1"/>
  <c r="J53" i="12" a="1"/>
  <c r="C57" i="12" a="1"/>
  <c r="C92" i="12" a="1"/>
  <c r="C89" i="12" a="1"/>
  <c r="J31" i="12" a="1"/>
  <c r="J40" i="12" a="1"/>
  <c r="C13" i="12" a="1"/>
  <c r="C115" i="12" a="1"/>
  <c r="J17" i="12" a="1"/>
  <c r="C110" i="12" a="1"/>
  <c r="J16" i="12" a="1"/>
  <c r="C73" i="12" a="1"/>
  <c r="J42" i="12" a="1"/>
  <c r="J110" i="12" a="1"/>
  <c r="J6" i="12" a="1"/>
  <c r="J30" i="12" a="1"/>
  <c r="C81" i="12" a="1"/>
  <c r="C93" i="12" a="1"/>
  <c r="J41" i="12" a="1"/>
  <c r="C35" i="12" a="1"/>
  <c r="C51" i="12" a="1"/>
  <c r="C59" i="12" a="1"/>
  <c r="C116" i="12" a="1"/>
  <c r="J22" i="12" a="1"/>
  <c r="C75" i="12" a="1"/>
  <c r="J2" i="12" a="1"/>
  <c r="J120" i="12" a="1"/>
  <c r="C83" i="12" a="1"/>
  <c r="J32" i="12" a="1"/>
  <c r="J5" i="12" a="1"/>
  <c r="C56" i="12" a="1"/>
  <c r="J13" i="12" a="1"/>
  <c r="C50" i="12" a="1"/>
  <c r="J39" i="12" a="1"/>
  <c r="J122" i="12" a="1"/>
  <c r="J124" i="12" a="1"/>
  <c r="C104" i="12" a="1"/>
  <c r="C48" i="12" a="1"/>
  <c r="J24" i="12" a="1"/>
  <c r="J51" i="12" a="1"/>
  <c r="J71" i="12" a="1"/>
  <c r="J19" i="12" a="1"/>
  <c r="J48" i="12" a="1"/>
  <c r="C70" i="12" a="1"/>
  <c r="J10" i="12" a="1"/>
  <c r="C86" i="12" a="1"/>
  <c r="C30" i="12" a="1"/>
  <c r="C45" i="12" a="1"/>
  <c r="C109" i="12" a="1"/>
  <c r="C36" i="12" a="1"/>
  <c r="C118" i="12" a="1"/>
  <c r="J57" i="12" a="1"/>
  <c r="C55" i="12" a="1"/>
  <c r="C24" i="12" a="1"/>
  <c r="C61" i="12" a="1"/>
  <c r="J11" i="12" a="1"/>
  <c r="J74" i="12" a="1"/>
  <c r="H2" i="12" a="1"/>
  <c r="J64" i="12" a="1"/>
  <c r="J121" i="12" a="1"/>
  <c r="C18" i="12" a="1"/>
  <c r="C54" i="12" a="1"/>
  <c r="C10" i="12" a="1"/>
  <c r="J114" i="12" a="1"/>
  <c r="C42" i="12" a="1"/>
  <c r="J113" i="12" a="1"/>
  <c r="J89" i="12" a="1"/>
  <c r="J36" i="12" a="1"/>
  <c r="C39" i="12" a="1"/>
  <c r="J20" i="12" a="1"/>
  <c r="C63" i="12" a="1"/>
  <c r="J7" i="12" a="1"/>
  <c r="C107" i="12" a="1"/>
  <c r="J86" i="12" a="1"/>
  <c r="C33" i="12" a="1"/>
  <c r="C26" i="12" a="1"/>
  <c r="J60" i="12" a="1"/>
  <c r="J67" i="12" a="1"/>
  <c r="C79" i="12" a="1"/>
  <c r="C58" i="12" a="1"/>
  <c r="C97" i="12" a="1"/>
  <c r="J28" i="12" a="1"/>
  <c r="C117" i="12" a="1"/>
  <c r="J87" i="12" a="1"/>
  <c r="C65" i="12" a="1"/>
  <c r="C77" i="12" a="1"/>
  <c r="C112" i="12" a="1"/>
  <c r="C32" i="12" a="1"/>
  <c r="C123" i="12" a="1"/>
  <c r="C20" i="12" a="1"/>
  <c r="J33" i="12" a="1"/>
  <c r="C9" i="12" a="1"/>
  <c r="C114" i="12" a="1"/>
  <c r="C94" i="12" a="1"/>
  <c r="C90" i="12" a="1"/>
  <c r="J76" i="12" a="1"/>
  <c r="C72" i="12" a="1"/>
  <c r="C111" i="12" a="1"/>
  <c r="C85" i="12" a="1"/>
  <c r="C78" i="12" a="1"/>
  <c r="J35" i="12" a="1"/>
  <c r="J68" i="12" a="1"/>
  <c r="C43" i="12" a="1"/>
  <c r="C23" i="12" a="1"/>
  <c r="J78" i="12" a="1"/>
  <c r="J37" i="12" a="1"/>
  <c r="J55" i="12" a="1"/>
  <c r="C120" i="12" a="1"/>
  <c r="J18" i="12" a="1"/>
  <c r="C49" i="12" a="1"/>
  <c r="J79" i="12" a="1"/>
  <c r="C84" i="12" a="1"/>
  <c r="J72" i="12" a="1"/>
  <c r="J29" i="12" a="1"/>
  <c r="J61" i="12" a="1"/>
  <c r="C119" i="12" a="1"/>
  <c r="J119" i="12" a="1"/>
  <c r="C121" i="12" a="1"/>
  <c r="J123" i="12" a="1"/>
  <c r="H2" i="12" l="1"/>
  <c r="D94" i="12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C16" i="17"/>
  <c r="C10" i="17"/>
  <c r="C19" i="2"/>
  <c r="E12" i="17"/>
  <c r="C2" i="10"/>
  <c r="E17" i="17"/>
  <c r="C20" i="2"/>
  <c r="C29" i="2"/>
  <c r="C10" i="2"/>
  <c r="C18" i="2"/>
  <c r="C8" i="17"/>
  <c r="E11" i="17"/>
  <c r="C6" i="2"/>
  <c r="C2" i="2"/>
  <c r="C4" i="17"/>
  <c r="C26" i="2"/>
  <c r="C11" i="2"/>
  <c r="C3" i="17"/>
  <c r="E10" i="17"/>
  <c r="C13" i="2"/>
  <c r="E14" i="17"/>
  <c r="E6" i="17"/>
  <c r="C16" i="2"/>
  <c r="C7" i="2"/>
  <c r="C27" i="2"/>
  <c r="E3" i="8"/>
  <c r="C33" i="2"/>
  <c r="C30" i="2"/>
  <c r="E2" i="8"/>
  <c r="C35" i="2"/>
  <c r="C3" i="8"/>
  <c r="C17" i="17"/>
  <c r="C5" i="2"/>
  <c r="C34" i="2"/>
  <c r="C25" i="2"/>
  <c r="E2" i="10"/>
  <c r="E3" i="17"/>
  <c r="E9" i="17"/>
  <c r="C2" i="8"/>
  <c r="C7" i="17"/>
  <c r="C15" i="17"/>
  <c r="C24" i="2"/>
  <c r="C22" i="2"/>
  <c r="C14" i="17"/>
  <c r="C9" i="17"/>
  <c r="C17" i="2"/>
  <c r="C5" i="17"/>
  <c r="C31" i="2"/>
  <c r="C12" i="17"/>
  <c r="C2" i="17"/>
  <c r="C12" i="2"/>
  <c r="E4" i="17"/>
  <c r="C13" i="17"/>
  <c r="C23" i="2"/>
  <c r="C9" i="2"/>
  <c r="C21" i="2"/>
  <c r="C32" i="2"/>
  <c r="C4" i="2"/>
  <c r="E2" i="17"/>
  <c r="C28" i="2"/>
  <c r="E8" i="17"/>
  <c r="C14" i="2"/>
  <c r="E16" i="17"/>
  <c r="C15" i="2"/>
  <c r="C8" i="2"/>
  <c r="C6" i="17"/>
  <c r="C3" i="2"/>
  <c r="C11" i="17"/>
  <c r="E13" i="17"/>
  <c r="E15" i="17"/>
  <c r="E7" i="17"/>
  <c r="E5" i="17"/>
  <c r="E6" i="13"/>
  <c r="E12" i="13"/>
  <c r="E14" i="13"/>
  <c r="E2" i="13"/>
  <c r="E19" i="13"/>
  <c r="E9" i="13"/>
  <c r="E11" i="13"/>
  <c r="E13" i="13"/>
  <c r="E4" i="13"/>
  <c r="E17" i="13"/>
  <c r="E16" i="13"/>
  <c r="E22" i="13"/>
  <c r="E24" i="13"/>
  <c r="E3" i="13"/>
  <c r="E5" i="13"/>
  <c r="E20" i="13"/>
  <c r="E18" i="13"/>
  <c r="E25" i="13"/>
  <c r="E21" i="13"/>
  <c r="E23" i="13"/>
  <c r="E15" i="13"/>
  <c r="E7" i="13"/>
  <c r="E10" i="13"/>
  <c r="C2" i="13"/>
  <c r="C9" i="13"/>
  <c r="C17" i="13"/>
  <c r="C20" i="13"/>
  <c r="C6" i="13"/>
  <c r="C19" i="13"/>
  <c r="C11" i="13"/>
  <c r="C16" i="13"/>
  <c r="C13" i="13"/>
  <c r="C22" i="13"/>
  <c r="C4" i="13"/>
  <c r="C3" i="13"/>
  <c r="C15" i="13"/>
  <c r="C12" i="13"/>
  <c r="C5" i="13"/>
  <c r="C23" i="13"/>
  <c r="C14" i="13"/>
  <c r="C21" i="13"/>
  <c r="C25" i="13"/>
  <c r="C7" i="13"/>
  <c r="C18" i="13"/>
  <c r="C10" i="13"/>
  <c r="C24" i="13"/>
  <c r="C2" i="4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5" i="11"/>
  <c r="F15" i="11"/>
  <c r="J21" i="12"/>
  <c r="C41" i="12"/>
  <c r="J20" i="12"/>
  <c r="C62" i="12"/>
  <c r="J29" i="12"/>
  <c r="J41" i="12"/>
  <c r="J78" i="12"/>
  <c r="J34" i="12"/>
  <c r="J6" i="12"/>
  <c r="J40" i="12"/>
  <c r="J44" i="12"/>
  <c r="J85" i="12"/>
  <c r="C56" i="12"/>
  <c r="J35" i="12"/>
  <c r="C10" i="12"/>
  <c r="C36" i="12"/>
  <c r="C119" i="12"/>
  <c r="C107" i="12"/>
  <c r="J31" i="12"/>
  <c r="C32" i="12"/>
  <c r="C77" i="12"/>
  <c r="J5" i="12"/>
  <c r="J58" i="12"/>
  <c r="C71" i="12"/>
  <c r="C42" i="12"/>
  <c r="J57" i="12"/>
  <c r="J69" i="12"/>
  <c r="J116" i="12"/>
  <c r="C50" i="12"/>
  <c r="C7" i="12"/>
  <c r="J45" i="12"/>
  <c r="J43" i="12"/>
  <c r="C123" i="12"/>
  <c r="C53" i="12"/>
  <c r="C37" i="12"/>
  <c r="J36" i="12"/>
  <c r="J17" i="12"/>
  <c r="J2" i="12"/>
  <c r="J84" i="12"/>
  <c r="J37" i="12"/>
  <c r="C44" i="12"/>
  <c r="C91" i="12"/>
  <c r="J24" i="12"/>
  <c r="J110" i="12"/>
  <c r="C20" i="12"/>
  <c r="C14" i="12"/>
  <c r="C117" i="12"/>
  <c r="C18" i="12"/>
  <c r="J63" i="12"/>
  <c r="J9" i="12"/>
  <c r="C28" i="12"/>
  <c r="C69" i="12"/>
  <c r="C3" i="12"/>
  <c r="C60" i="12"/>
  <c r="J70" i="12"/>
  <c r="C88" i="12"/>
  <c r="C96" i="12"/>
  <c r="C112" i="12"/>
  <c r="C11" i="12"/>
  <c r="C114" i="12"/>
  <c r="J77" i="12"/>
  <c r="J122" i="12"/>
  <c r="C110" i="12"/>
  <c r="J114" i="12"/>
  <c r="J32" i="12"/>
  <c r="J51" i="12"/>
  <c r="C86" i="12"/>
  <c r="J13" i="12"/>
  <c r="C30" i="12"/>
  <c r="J83" i="12"/>
  <c r="J60" i="12"/>
  <c r="C101" i="12"/>
  <c r="C115" i="12"/>
  <c r="C63" i="12"/>
  <c r="C54" i="12"/>
  <c r="C87" i="12"/>
  <c r="C95" i="12"/>
  <c r="C23" i="12"/>
  <c r="J123" i="12"/>
  <c r="C116" i="12"/>
  <c r="C68" i="12"/>
  <c r="C94" i="12"/>
  <c r="J66" i="12"/>
  <c r="C5" i="12"/>
  <c r="C33" i="12"/>
  <c r="C108" i="12"/>
  <c r="C85" i="12"/>
  <c r="J87" i="12"/>
  <c r="C58" i="12"/>
  <c r="J50" i="12"/>
  <c r="J14" i="12"/>
  <c r="C8" i="12"/>
  <c r="J4" i="12"/>
  <c r="J25" i="12"/>
  <c r="C120" i="12"/>
  <c r="J68" i="12"/>
  <c r="C38" i="12"/>
  <c r="J52" i="12"/>
  <c r="J49" i="12"/>
  <c r="J65" i="12"/>
  <c r="C52" i="12"/>
  <c r="J111" i="12"/>
  <c r="C35" i="12"/>
  <c r="J27" i="12"/>
  <c r="J113" i="12"/>
  <c r="C4" i="12"/>
  <c r="C12" i="12"/>
  <c r="C109" i="12"/>
  <c r="C75" i="12"/>
  <c r="C57" i="12"/>
  <c r="C34" i="12"/>
  <c r="C121" i="12"/>
  <c r="J22" i="12"/>
  <c r="C39" i="12"/>
  <c r="J30" i="12"/>
  <c r="J124" i="12"/>
  <c r="C16" i="12"/>
  <c r="J117" i="12"/>
  <c r="J80" i="12"/>
  <c r="C43" i="12"/>
  <c r="J48" i="12"/>
  <c r="J11" i="12"/>
  <c r="C111" i="12"/>
  <c r="J3" i="12"/>
  <c r="C76" i="12"/>
  <c r="C84" i="12"/>
  <c r="J61" i="12"/>
  <c r="C97" i="12"/>
  <c r="C102" i="12"/>
  <c r="J10" i="12"/>
  <c r="J38" i="12"/>
  <c r="J112" i="12"/>
  <c r="J120" i="12"/>
  <c r="C25" i="12"/>
  <c r="C17" i="12"/>
  <c r="J42" i="12"/>
  <c r="J54" i="12"/>
  <c r="C66" i="12"/>
  <c r="C24" i="12"/>
  <c r="C122" i="12"/>
  <c r="C100" i="12"/>
  <c r="J55" i="12"/>
  <c r="C80" i="12"/>
  <c r="J81" i="12"/>
  <c r="J115" i="12"/>
  <c r="J23" i="12"/>
  <c r="C15" i="12"/>
  <c r="C40" i="12"/>
  <c r="C104" i="12"/>
  <c r="C93" i="12"/>
  <c r="C67" i="12"/>
  <c r="C48" i="12"/>
  <c r="J12" i="12"/>
  <c r="J47" i="12"/>
  <c r="C22" i="12"/>
  <c r="J75" i="12"/>
  <c r="C19" i="12"/>
  <c r="C29" i="12"/>
  <c r="C45" i="12"/>
  <c r="C21" i="12"/>
  <c r="J62" i="12"/>
  <c r="J64" i="12"/>
  <c r="C13" i="12"/>
  <c r="C65" i="12"/>
  <c r="J121" i="12"/>
  <c r="J79" i="12"/>
  <c r="J59" i="12"/>
  <c r="C51" i="12"/>
  <c r="C6" i="12"/>
  <c r="J76" i="12"/>
  <c r="J119" i="12"/>
  <c r="C47" i="12"/>
  <c r="C55" i="12"/>
  <c r="C74" i="12"/>
  <c r="C27" i="12"/>
  <c r="J53" i="12"/>
  <c r="J118" i="12"/>
  <c r="C118" i="12"/>
  <c r="J72" i="12"/>
  <c r="J89" i="12"/>
  <c r="C92" i="12"/>
  <c r="J15" i="12"/>
  <c r="C113" i="12"/>
  <c r="J8" i="12"/>
  <c r="C99" i="12"/>
  <c r="C26" i="12"/>
  <c r="C103" i="12"/>
  <c r="C79" i="12"/>
  <c r="J86" i="12"/>
  <c r="C89" i="12"/>
  <c r="J73" i="12"/>
  <c r="C124" i="12"/>
  <c r="J16" i="12"/>
  <c r="C31" i="12"/>
  <c r="C59" i="12"/>
  <c r="C105" i="12"/>
  <c r="C90" i="12"/>
  <c r="C78" i="12"/>
  <c r="C61" i="12"/>
  <c r="J7" i="12"/>
  <c r="J67" i="12"/>
  <c r="J88" i="12"/>
  <c r="C49" i="12"/>
  <c r="C81" i="12"/>
  <c r="J71" i="12"/>
  <c r="C106" i="12"/>
  <c r="J19" i="12"/>
  <c r="C64" i="12"/>
  <c r="C9" i="12"/>
  <c r="J33" i="12"/>
  <c r="J28" i="12"/>
  <c r="C73" i="12"/>
  <c r="J39" i="12"/>
  <c r="C70" i="12"/>
  <c r="J18" i="12"/>
  <c r="C83" i="12"/>
  <c r="J74" i="12"/>
  <c r="C72" i="12"/>
  <c r="J26" i="12"/>
  <c r="J56" i="12"/>
  <c r="D7" i="4" a="1"/>
  <c r="D2" i="4" a="1"/>
  <c r="D3" i="4" a="1"/>
  <c r="D4" i="4" a="1"/>
  <c r="D17" i="4" a="1"/>
  <c r="D6" i="4" a="1"/>
  <c r="D5" i="4" a="1"/>
  <c r="D8" i="4" a="1"/>
  <c r="D9" i="4" a="1"/>
  <c r="D16" i="4" a="1"/>
  <c r="D15" i="4" a="1"/>
  <c r="D14" i="4" a="1"/>
  <c r="D13" i="4" a="1"/>
  <c r="D12" i="4" a="1"/>
  <c r="D11" i="4" a="1"/>
  <c r="D10" i="4" a="1"/>
  <c r="D22" i="4" a="1"/>
  <c r="D21" i="4" a="1"/>
  <c r="D20" i="4" a="1"/>
  <c r="D19" i="4" a="1"/>
  <c r="D5" i="4" l="1"/>
  <c r="D6" i="4"/>
  <c r="D17" i="4"/>
  <c r="D4" i="4"/>
  <c r="D3" i="4"/>
  <c r="D2" i="4"/>
  <c r="D7" i="4"/>
  <c r="D22" i="4"/>
  <c r="D12" i="4"/>
  <c r="D21" i="4"/>
  <c r="D11" i="4"/>
  <c r="D20" i="4"/>
  <c r="D10" i="4"/>
  <c r="D19" i="4"/>
  <c r="D9" i="4"/>
  <c r="D8" i="4"/>
  <c r="D16" i="4"/>
  <c r="D15" i="4"/>
  <c r="D14" i="4"/>
  <c r="D1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<sst xmlns="http://schemas.openxmlformats.org/spreadsheetml/2006/main" count="1007" uniqueCount="477">
  <si>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</si>
  <si>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</si>
  <si>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</si>
  <si>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</si>
  <si>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</si>
  <si>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</si>
  <si>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</si>
  <si>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</si>
  <si>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</si>
  <si>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</si>
  <si>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</si>
  <si>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</si>
  <si>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</si>
  <si>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</si>
  <si>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</si>
  <si>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</si>
  <si>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</si>
  <si>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</si>
  <si>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</si>
  <si>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</si>
  <si>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</si>
  <si>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</si>
  <si>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</si>
  <si>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</si>
  <si>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</si>
  <si>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</si>
  <si>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</si>
  <si>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</si>
  <si>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</si>
  <si>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</si>
  <si>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</si>
  <si>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</si>
  <si>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</si>
  <si>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</si>
  <si>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</si>
  <si>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</si>
  <si>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</si>
  <si>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</si>
  <si>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</si>
  <si>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</si>
  <si>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</si>
  <si>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</si>
  <si>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</si>
  <si>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</si>
  <si>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</si>
  <si>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</si>
  <si>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</si>
  <si>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</si>
  <si>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</si>
  <si>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</si>
  <si>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</si>
  <si>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</si>
  <si>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</si>
  <si>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</si>
  <si>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</si>
  <si>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</si>
  <si>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</si>
  <si>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</si>
  <si>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</si>
  <si>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</si>
  <si>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</si>
  <si>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</si>
  <si>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</si>
  <si>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</si>
  <si>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</si>
  <si>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</si>
  <si>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</si>
  <si>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</si>
  <si>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</si>
  <si>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</si>
  <si>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</si>
  <si>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</si>
  <si>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</si>
  <si>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</si>
  <si>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</si>
  <si>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</si>
  <si>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</si>
  <si>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</si>
  <si>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</si>
  <si>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</si>
  <si>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</si>
  <si>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</si>
  <si>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</si>
  <si>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</si>
  <si>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</si>
  <si>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</si>
  <si>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</si>
  <si>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</si>
  <si>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</si>
  <si>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</si>
  <si>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</si>
  <si>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</si>
  <si>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</si>
  <si>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cruda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</si>
  <si>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</si>
  <si>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</si>
  <si>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</si>
  <si>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</si>
  <si>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</si>
  <si>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</si>
  <si>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</si>
  <si>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</si>
  <si>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</si>
  <si>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</si>
  <si>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</si>
  <si>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</si>
  <si>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</si>
  <si>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</si>
  <si>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</si>
  <si>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</si>
  <si>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</si>
  <si>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</si>
  <si>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</si>
  <si>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</si>
  <si>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</si>
  <si>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</si>
  <si>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</si>
  <si>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</si>
  <si>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</si>
  <si>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</si>
  <si>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</si>
  <si>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</si>
  <si>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</si>
  <si>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</si>
  <si>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</si>
  <si>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</si>
  <si>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</si>
  <si>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</si>
  <si>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</si>
  <si>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</si>
  <si>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</si>
  <si>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</si>
  <si>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</si>
  <si>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</si>
  <si>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</si>
  <si>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</si>
  <si>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</si>
  <si>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</si>
  <si>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</si>
  <si>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</si>
  <si>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</si>
  <si>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</si>
  <si>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Types</t>
  </si>
  <si>
    <t>Domains</t>
  </si>
  <si>
    <t>Domínios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</si>
  <si>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</si>
  <si>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</si>
  <si>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</si>
  <si>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</si>
  <si>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</si>
  <si>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</si>
  <si>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</si>
  <si>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</si>
  <si>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</si>
  <si>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</si>
  <si>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</si>
  <si>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</si>
  <si>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</si>
  <si>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Índices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</si>
  <si>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</si>
  <si>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</si>
  <si>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</si>
  <si>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</si>
  <si>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</si>
  <si>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</si>
  <si>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</si>
  <si>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</si>
  <si>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</si>
  <si>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</si>
  <si>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</si>
  <si>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</si>
  <si>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</si>
  <si>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</si>
  <si>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</si>
  <si>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</si>
  <si>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</si>
  <si>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</si>
  <si>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</si>
  <si>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</si>
  <si>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</si>
  <si>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</si>
  <si>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</si>
  <si>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</si>
  <si>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</si>
  <si>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</si>
  <si>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</si>
  <si>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</si>
  <si>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</si>
  <si>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</si>
  <si>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</si>
  <si>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</si>
  <si>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</si>
  <si>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</si>
  <si>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</si>
  <si>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</si>
  <si>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</si>
  <si>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</si>
  <si>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</si>
  <si>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</si>
  <si>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</si>
  <si>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</si>
  <si>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</si>
  <si>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</si>
  <si>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</si>
  <si>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</si>
  <si>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</si>
  <si>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</si>
  <si>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</si>
  <si>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</si>
  <si>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</si>
  <si>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</si>
  <si>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</si>
  <si>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</si>
  <si>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</si>
  <si>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</si>
  <si>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</si>
  <si>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</si>
  <si>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</si>
  <si>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</si>
  <si>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</si>
  <si>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</si>
  <si>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</si>
  <si>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</si>
  <si>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</si>
  <si>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</si>
  <si>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</si>
  <si>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</si>
  <si>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</si>
  <si>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</si>
  <si>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</si>
  <si>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</si>
  <si>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</si>
  <si>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</si>
  <si>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</si>
  <si>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</si>
  <si>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</si>
  <si>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</si>
  <si>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</si>
  <si>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</si>
  <si>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</si>
  <si>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</si>
  <si>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</si>
  <si>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</si>
  <si>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</si>
  <si>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</si>
  <si>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</si>
  <si>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</si>
  <si>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</si>
  <si>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</si>
  <si>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</si>
  <si>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</si>
  <si>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</si>
  <si>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</si>
  <si>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</si>
  <si>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</si>
  <si>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</si>
  <si>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</si>
  <si>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</si>
  <si>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</si>
  <si>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</si>
  <si>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</si>
  <si>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</si>
  <si>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</si>
  <si>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</si>
  <si>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</si>
  <si>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</si>
  <si>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</si>
  <si>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</si>
  <si>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</si>
  <si>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</si>
  <si>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</si>
  <si>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</si>
  <si>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</si>
  <si>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</si>
  <si>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</si>
  <si>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</si>
  <si>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</si>
  <si>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</si>
  <si>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</si>
  <si>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</si>
  <si>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</si>
  <si>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</si>
  <si>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</si>
  <si>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</si>
  <si>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</si>
  <si>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</si>
  <si>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</si>
  <si>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</si>
  <si>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</si>
  <si>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</si>
  <si>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</si>
  <si>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</si>
  <si>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</si>
  <si>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</si>
  <si>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</si>
  <si>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</si>
  <si>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</si>
  <si>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</si>
  <si>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</si>
  <si>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</si>
  <si>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</si>
  <si>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</si>
  <si>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</si>
  <si>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</si>
  <si>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</si>
  <si>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</si>
  <si>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</si>
  <si>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</si>
  <si>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</si>
  <si>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</si>
  <si>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</si>
  <si>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</si>
  <si>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</si>
  <si>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</si>
  <si>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</si>
  <si>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</si>
  <si>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</si>
  <si>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</si>
  <si>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</si>
  <si>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</si>
  <si>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</si>
  <si>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</si>
  <si>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</si>
  <si>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</si>
  <si>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</si>
  <si>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</si>
  <si>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</si>
  <si>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</si>
  <si>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</si>
  <si>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</si>
  <si>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</si>
  <si>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</si>
  <si>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</si>
  <si>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</si>
  <si>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</si>
  <si>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</si>
  <si>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</si>
  <si>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</si>
  <si>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</si>
  <si>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</si>
  <si>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</si>
  <si>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</si>
  <si>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</si>
  <si>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</si>
  <si>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</si>
  <si>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</si>
  <si>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</t>
  </si>
  <si>
    <t>Valores válidos</t>
  </si>
  <si>
    <t>IsPaged</t>
  </si>
  <si>
    <t>Consulta é paginada?</t>
  </si>
  <si>
    <t>Paginado?</t>
  </si>
  <si>
    <t>ValidValues</t>
  </si>
  <si>
    <t>adm</t>
  </si>
  <si>
    <t>Administrador</t>
  </si>
  <si>
    <t>DatabasesTables</t>
  </si>
  <si>
    <t>Bancos-de-Dados x Tabelas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</si>
  <si>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</si>
  <si>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</si>
  <si>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</si>
  <si>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</si>
  <si>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</si>
  <si>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</si>
  <si>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</si>
  <si>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</si>
  <si>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</si>
  <si>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</si>
  <si>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</si>
  <si>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</si>
  <si>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</si>
  <si>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</si>
  <si>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</si>
  <si>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</si>
  <si>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</si>
  <si>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</si>
  <si>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</si>
  <si>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</si>
  <si>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</si>
  <si>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</si>
  <si>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</si>
  <si>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</si>
  <si>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</si>
  <si>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</si>
  <si>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</si>
  <si>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</si>
  <si>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</si>
  <si>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</si>
  <si>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</si>
  <si>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</si>
  <si>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</si>
  <si>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</si>
  <si>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</si>
  <si>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</si>
  <si>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</si>
  <si>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</si>
  <si>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</si>
  <si>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NOTEBOOK-DELL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</si>
  <si>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</si>
  <si>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</si>
  <si>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</si>
  <si>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</si>
  <si>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</si>
  <si>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</si>
  <si>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</si>
  <si>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</si>
  <si>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</si>
  <si>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</si>
  <si>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</si>
  <si>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</si>
  <si>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create;read;update;delete;commit;rollback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</si>
  <si>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</si>
  <si>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</si>
  <si>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</si>
  <si>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</si>
  <si>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</si>
  <si>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</si>
  <si>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</si>
  <si>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</si>
  <si>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</si>
  <si>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</si>
  <si>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</si>
  <si>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</si>
  <si>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</si>
  <si>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</si>
  <si>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</si>
  <si>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</si>
  <si>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</si>
  <si>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</si>
  <si>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</si>
  <si>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</si>
  <si>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</si>
  <si>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</si>
  <si>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</si>
  <si>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</si>
  <si>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</si>
  <si>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</si>
  <si>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</si>
  <si>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</si>
  <si>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</si>
  <si>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</si>
  <si>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</si>
  <si>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</si>
  <si>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</si>
  <si>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</si>
  <si>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</si>
  <si>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</si>
  <si>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cruda x Logins</t>
  </si>
  <si>
    <t>UNQ_Indexkeys_IndexId_ColumnId</t>
  </si>
  <si>
    <t>#DataType</t>
  </si>
  <si>
    <t>IDX_Logins_SystemId_UserId_IsLogged</t>
  </si>
  <si>
    <t>Codificação do domínio</t>
  </si>
  <si>
    <t>Tabela-pai</t>
  </si>
  <si>
    <t>Id da tabela-pai</t>
  </si>
  <si>
    <t>AskInWord</t>
  </si>
  <si>
    <t>#ParentMenuCaption</t>
  </si>
  <si>
    <t>UNQ_Menus_SystemId_Caption</t>
  </si>
  <si>
    <t>grid/cruda/Users</t>
  </si>
  <si>
    <t>grid/cruda/Tables</t>
  </si>
  <si>
    <t>grid/cruda/Menus</t>
  </si>
  <si>
    <t>grid/cruda/Systems</t>
  </si>
  <si>
    <t>grid/cruda/Databases</t>
  </si>
  <si>
    <t>grid/cruda/Columns</t>
  </si>
  <si>
    <t>grid/cruda/Types</t>
  </si>
  <si>
    <t>grid/cruda/SystemsDatabases</t>
  </si>
  <si>
    <t>grid/cruda/SystemsUsers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</si>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</sst>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2" borderId="1" xfId="0" quotePrefix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D11" sqref="D1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452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11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11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1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1</v>
      </c>
    </row>
    <row r="7" spans="1:11" x14ac:dyDescent="0.3">
      <c r="A7">
        <f t="shared" si="0"/>
        <v>6</v>
      </c>
      <c r="B7" t="s">
        <v>20</v>
      </c>
      <c r="C7" t="s">
        <v>11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1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336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5"/>
  <sheetViews>
    <sheetView topLeftCell="F1" workbookViewId="0">
      <pane ySplit="1" topLeftCell="A2" activePane="bottomLeft" state="frozen"/>
      <selection pane="bottomLeft" activeCell="M2" sqref="M2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7" width="26.109375" style="3" bestFit="1" customWidth="1"/>
    <col min="8" max="9" width="11.77734375" bestFit="1" customWidth="1"/>
    <col min="10" max="10" width="13.6640625" bestFit="1" customWidth="1"/>
    <col min="11" max="11" width="16.77734375" bestFit="1" customWidth="1"/>
    <col min="12" max="13" width="11.77734375" bestFit="1" customWidth="1"/>
    <col min="14" max="14" width="14.21875" bestFit="1" customWidth="1"/>
    <col min="15" max="15" width="11.77734375" bestFit="1" customWidth="1"/>
    <col min="16" max="16" width="15.21875" bestFit="1" customWidth="1"/>
    <col min="17" max="17" width="11.77734375" style="5" bestFit="1" customWidth="1"/>
  </cols>
  <sheetData>
    <row r="1" spans="1:17" s="1" customFormat="1" x14ac:dyDescent="0.3">
      <c r="A1" s="1" t="s">
        <v>0</v>
      </c>
      <c r="B1" s="1" t="s">
        <v>25</v>
      </c>
      <c r="C1" s="1" t="s">
        <v>410</v>
      </c>
      <c r="D1" s="1" t="s">
        <v>1</v>
      </c>
      <c r="E1" s="1" t="s">
        <v>447</v>
      </c>
      <c r="F1" s="1" t="s">
        <v>26</v>
      </c>
      <c r="G1" s="1" t="s">
        <v>27</v>
      </c>
      <c r="H1" s="1" t="s">
        <v>28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464</v>
      </c>
      <c r="N1" s="1" t="s">
        <v>333</v>
      </c>
      <c r="O1" s="1" t="s">
        <v>332</v>
      </c>
      <c r="P1" s="1" t="s">
        <v>335</v>
      </c>
      <c r="Q1" s="2" t="s">
        <v>33</v>
      </c>
    </row>
    <row r="2" spans="1:17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 s="12">
        <v>-9007199254740990</v>
      </c>
      <c r="G2" s="12">
        <v>9007199254740990</v>
      </c>
      <c r="H2" t="b">
        <v>0</v>
      </c>
      <c r="I2" t="b">
        <v>0</v>
      </c>
      <c r="J2" t="b">
        <v>1</v>
      </c>
      <c r="K2" t="b">
        <v>1</v>
      </c>
      <c r="L2" t="b">
        <v>1</v>
      </c>
      <c r="M2" t="b">
        <v>1</v>
      </c>
      <c r="N2" t="b">
        <v>0</v>
      </c>
      <c r="O2" t="b">
        <v>1</v>
      </c>
      <c r="P2" t="b">
        <v>0</v>
      </c>
      <c r="Q2" s="5" t="b">
        <v>1</v>
      </c>
    </row>
    <row r="3" spans="1:17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5" si="1">D3</f>
        <v>binary</v>
      </c>
      <c r="F3" s="3" t="s">
        <v>35</v>
      </c>
      <c r="G3" s="3" t="s">
        <v>35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7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F4" s="3" t="s">
        <v>35</v>
      </c>
      <c r="G4" s="3" t="s">
        <v>35</v>
      </c>
      <c r="H4" t="b">
        <v>0</v>
      </c>
      <c r="I4" t="b">
        <v>0</v>
      </c>
      <c r="J4" t="b">
        <v>0</v>
      </c>
      <c r="K4" t="b">
        <v>0</v>
      </c>
      <c r="L4" t="b">
        <v>1</v>
      </c>
      <c r="M4" t="b">
        <v>1</v>
      </c>
      <c r="N4" t="b">
        <v>0</v>
      </c>
      <c r="O4" t="b">
        <v>1</v>
      </c>
      <c r="P4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F5" s="3" t="s">
        <v>35</v>
      </c>
      <c r="G5" s="3" t="s">
        <v>35</v>
      </c>
      <c r="H5" t="b">
        <v>1</v>
      </c>
      <c r="I5" t="b">
        <v>0</v>
      </c>
      <c r="J5" t="b">
        <v>1</v>
      </c>
      <c r="K5" t="b">
        <v>0</v>
      </c>
      <c r="L5" t="b">
        <v>1</v>
      </c>
      <c r="M5" t="b">
        <v>1</v>
      </c>
      <c r="N5" t="b">
        <v>0</v>
      </c>
      <c r="O5" t="b">
        <v>1</v>
      </c>
      <c r="P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 s="6" t="s">
        <v>429</v>
      </c>
      <c r="G6" s="6" t="s">
        <v>434</v>
      </c>
      <c r="H6" t="b">
        <v>0</v>
      </c>
      <c r="I6" t="b">
        <v>0</v>
      </c>
      <c r="J6" t="b">
        <v>1</v>
      </c>
      <c r="K6" t="b">
        <v>0</v>
      </c>
      <c r="L6" t="b">
        <v>1</v>
      </c>
      <c r="M6" t="b">
        <v>1</v>
      </c>
      <c r="N6" t="b">
        <v>0</v>
      </c>
      <c r="O6" t="b">
        <v>1</v>
      </c>
      <c r="P6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 s="6" t="s">
        <v>430</v>
      </c>
      <c r="G7" s="6" t="s">
        <v>435</v>
      </c>
      <c r="H7" t="b">
        <v>0</v>
      </c>
      <c r="I7" t="b">
        <v>0</v>
      </c>
      <c r="J7" t="b">
        <v>1</v>
      </c>
      <c r="K7" t="b">
        <v>0</v>
      </c>
      <c r="L7" t="b">
        <v>1</v>
      </c>
      <c r="M7" t="b">
        <v>1</v>
      </c>
      <c r="N7" t="b">
        <v>0</v>
      </c>
      <c r="O7" t="b">
        <v>1</v>
      </c>
      <c r="P7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 s="6" t="s">
        <v>431</v>
      </c>
      <c r="G8" s="6" t="s">
        <v>436</v>
      </c>
      <c r="H8" t="b">
        <v>0</v>
      </c>
      <c r="I8" t="b">
        <v>0</v>
      </c>
      <c r="J8" t="b">
        <v>1</v>
      </c>
      <c r="K8" t="b">
        <v>0</v>
      </c>
      <c r="L8" t="b">
        <v>1</v>
      </c>
      <c r="M8" t="b">
        <v>1</v>
      </c>
      <c r="N8" t="b">
        <v>0</v>
      </c>
      <c r="O8" t="b">
        <v>1</v>
      </c>
      <c r="P8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 s="6" t="s">
        <v>431</v>
      </c>
      <c r="G9" s="6" t="s">
        <v>436</v>
      </c>
      <c r="H9" t="b">
        <v>0</v>
      </c>
      <c r="I9" t="b">
        <v>0</v>
      </c>
      <c r="J9" t="b">
        <v>1</v>
      </c>
      <c r="K9" t="b">
        <v>0</v>
      </c>
      <c r="L9" t="b">
        <v>1</v>
      </c>
      <c r="M9" t="b">
        <v>1</v>
      </c>
      <c r="N9" t="b">
        <v>0</v>
      </c>
      <c r="O9" t="b">
        <v>1</v>
      </c>
      <c r="P9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 s="12">
        <v>-9007199254740990</v>
      </c>
      <c r="G10" s="12">
        <v>9007199254740990</v>
      </c>
      <c r="H10" t="b">
        <v>1</v>
      </c>
      <c r="I10" t="b">
        <v>1</v>
      </c>
      <c r="J10" t="b">
        <v>0</v>
      </c>
      <c r="K10" t="b">
        <v>0</v>
      </c>
      <c r="L10" t="b">
        <v>0</v>
      </c>
      <c r="M10" t="b">
        <v>1</v>
      </c>
      <c r="N10" t="b">
        <v>0</v>
      </c>
      <c r="O10" t="b">
        <v>1</v>
      </c>
      <c r="P10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 s="12">
        <v>-9007199254740990</v>
      </c>
      <c r="G11" s="12">
        <v>9007199254740990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1</v>
      </c>
      <c r="N11" t="b">
        <v>0</v>
      </c>
      <c r="O11" t="b">
        <v>1</v>
      </c>
      <c r="P11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F12" s="3" t="s">
        <v>35</v>
      </c>
      <c r="G12" s="3" t="s">
        <v>35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F13" s="3" t="s">
        <v>35</v>
      </c>
      <c r="G13" s="3" t="s">
        <v>35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F14" s="3" t="s">
        <v>35</v>
      </c>
      <c r="G14" s="3" t="s">
        <v>35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F15" s="3" t="s">
        <v>35</v>
      </c>
      <c r="G15" s="3" t="s">
        <v>35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 s="3">
        <v>-2147483648</v>
      </c>
      <c r="G16" s="3">
        <v>2147483647</v>
      </c>
      <c r="H16" t="b">
        <v>0</v>
      </c>
      <c r="I16" t="b">
        <v>0</v>
      </c>
      <c r="J16" t="b">
        <v>1</v>
      </c>
      <c r="K16" t="b">
        <v>1</v>
      </c>
      <c r="L16" t="b">
        <v>1</v>
      </c>
      <c r="M16" t="b">
        <v>1</v>
      </c>
      <c r="N16" t="b">
        <v>0</v>
      </c>
      <c r="O16" t="b">
        <v>1</v>
      </c>
      <c r="P16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 s="12">
        <v>-922337203685477</v>
      </c>
      <c r="G17" s="12">
        <v>922337203685477</v>
      </c>
      <c r="H17" t="b">
        <v>0</v>
      </c>
      <c r="I17" t="b">
        <v>0</v>
      </c>
      <c r="J17" t="b">
        <v>0</v>
      </c>
      <c r="K17" t="b">
        <v>0</v>
      </c>
      <c r="L17" t="b">
        <v>0</v>
      </c>
      <c r="M17" t="b">
        <v>1</v>
      </c>
      <c r="N17" t="b">
        <v>0</v>
      </c>
      <c r="O17" t="b">
        <v>1</v>
      </c>
      <c r="P17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F18" s="3" t="s">
        <v>35</v>
      </c>
      <c r="G18" s="3" t="s">
        <v>35</v>
      </c>
      <c r="H18" t="b">
        <v>1</v>
      </c>
      <c r="I18" t="b">
        <v>0</v>
      </c>
      <c r="J18" t="b">
        <v>1</v>
      </c>
      <c r="K18" t="b">
        <v>0</v>
      </c>
      <c r="L18" t="b">
        <v>1</v>
      </c>
      <c r="M18" t="b">
        <v>1</v>
      </c>
      <c r="N18" t="b">
        <v>0</v>
      </c>
      <c r="O18" t="b">
        <v>1</v>
      </c>
      <c r="P18" t="b">
        <v>0</v>
      </c>
      <c r="Q18" s="5" t="b">
        <v>0</v>
      </c>
    </row>
    <row r="19" spans="1:17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F19" s="3" t="s">
        <v>35</v>
      </c>
      <c r="G19" s="3" t="s">
        <v>35</v>
      </c>
      <c r="H19" t="b">
        <v>0</v>
      </c>
      <c r="I19" t="b">
        <v>0</v>
      </c>
      <c r="J19" t="b">
        <v>0</v>
      </c>
      <c r="K19" t="b">
        <v>0</v>
      </c>
      <c r="L19" t="b">
        <v>0</v>
      </c>
      <c r="M19" t="b">
        <v>1</v>
      </c>
      <c r="N19" t="b">
        <v>0</v>
      </c>
      <c r="O19" t="b">
        <v>0</v>
      </c>
      <c r="P19" t="b">
        <v>0</v>
      </c>
      <c r="Q19" s="5" t="b">
        <v>0</v>
      </c>
    </row>
    <row r="20" spans="1:17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 s="12">
        <v>-9007199254740990</v>
      </c>
      <c r="G20" s="12">
        <v>9007199254740990</v>
      </c>
      <c r="H20" t="b">
        <v>1</v>
      </c>
      <c r="I20" t="b">
        <v>1</v>
      </c>
      <c r="J20" t="b">
        <v>0</v>
      </c>
      <c r="K20" t="b">
        <v>0</v>
      </c>
      <c r="L20" t="b">
        <v>0</v>
      </c>
      <c r="M20" t="b">
        <v>1</v>
      </c>
      <c r="N20" t="b">
        <v>0</v>
      </c>
      <c r="O20" t="b">
        <v>1</v>
      </c>
      <c r="P20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F21" s="3" t="s">
        <v>35</v>
      </c>
      <c r="G21" s="3" t="s">
        <v>35</v>
      </c>
      <c r="H21" t="b">
        <v>1</v>
      </c>
      <c r="I21" t="b">
        <v>0</v>
      </c>
      <c r="J21" t="b">
        <v>1</v>
      </c>
      <c r="K21" t="b">
        <v>0</v>
      </c>
      <c r="L21" t="b">
        <v>1</v>
      </c>
      <c r="M21" t="b">
        <v>1</v>
      </c>
      <c r="N21" t="b">
        <v>1</v>
      </c>
      <c r="O21" t="b">
        <v>1</v>
      </c>
      <c r="P21" t="b">
        <v>1</v>
      </c>
      <c r="Q21" s="5" t="b">
        <v>1</v>
      </c>
    </row>
    <row r="22" spans="1:17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50</v>
      </c>
      <c r="E22" t="str">
        <f t="shared" si="1"/>
        <v>real</v>
      </c>
      <c r="F22" s="12">
        <v>-9007199254740990</v>
      </c>
      <c r="G22" s="12">
        <v>9007199254740990</v>
      </c>
      <c r="H22" t="b">
        <v>0</v>
      </c>
      <c r="I22" t="b">
        <v>0</v>
      </c>
      <c r="J22" t="b">
        <v>0</v>
      </c>
      <c r="K22" t="b">
        <v>0</v>
      </c>
      <c r="L22" t="b">
        <v>0</v>
      </c>
      <c r="M22" t="b">
        <v>1</v>
      </c>
      <c r="N22" t="b">
        <v>0</v>
      </c>
      <c r="O22" t="b">
        <v>1</v>
      </c>
      <c r="P22" t="b">
        <v>0</v>
      </c>
      <c r="Q22" s="5" t="b">
        <v>0</v>
      </c>
    </row>
    <row r="23" spans="1:17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51</v>
      </c>
      <c r="E23" t="str">
        <f t="shared" si="1"/>
        <v>smalldatetime</v>
      </c>
      <c r="F23" s="6" t="s">
        <v>432</v>
      </c>
      <c r="G23" s="6" t="s">
        <v>437</v>
      </c>
      <c r="H23" t="b">
        <v>0</v>
      </c>
      <c r="I23" t="b">
        <v>0</v>
      </c>
      <c r="J23" t="b">
        <v>1</v>
      </c>
      <c r="K23" t="b">
        <v>0</v>
      </c>
      <c r="L23" t="b">
        <v>1</v>
      </c>
      <c r="M23" t="b">
        <v>1</v>
      </c>
      <c r="N23" t="b">
        <v>0</v>
      </c>
      <c r="O23" t="b">
        <v>1</v>
      </c>
      <c r="P23" t="b">
        <v>0</v>
      </c>
      <c r="Q23" s="5" t="b">
        <v>0</v>
      </c>
    </row>
    <row r="24" spans="1:17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52</v>
      </c>
      <c r="E24" t="str">
        <f t="shared" si="1"/>
        <v>smallint</v>
      </c>
      <c r="F24" s="3">
        <v>-32768</v>
      </c>
      <c r="G24" s="3">
        <v>32767</v>
      </c>
      <c r="H24" t="b">
        <v>0</v>
      </c>
      <c r="I24" t="b">
        <v>0</v>
      </c>
      <c r="J24" t="b">
        <v>1</v>
      </c>
      <c r="K24" t="b">
        <v>1</v>
      </c>
      <c r="L24" t="b">
        <v>1</v>
      </c>
      <c r="M24" t="b">
        <v>1</v>
      </c>
      <c r="N24" t="b">
        <v>0</v>
      </c>
      <c r="O24" t="b">
        <v>1</v>
      </c>
      <c r="P24" t="b">
        <v>0</v>
      </c>
      <c r="Q24" s="5" t="b">
        <v>1</v>
      </c>
    </row>
    <row r="25" spans="1:17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53</v>
      </c>
      <c r="E25" t="str">
        <f t="shared" si="1"/>
        <v>smallmoney</v>
      </c>
      <c r="F25" s="3">
        <v>214748</v>
      </c>
      <c r="G25" s="3">
        <v>214748</v>
      </c>
      <c r="H25" t="b">
        <v>0</v>
      </c>
      <c r="I25" t="b">
        <v>0</v>
      </c>
      <c r="J25" t="b">
        <v>0</v>
      </c>
      <c r="K25" t="b">
        <v>0</v>
      </c>
      <c r="L25" t="b">
        <v>0</v>
      </c>
      <c r="M25" t="b">
        <v>1</v>
      </c>
      <c r="N25" t="b">
        <v>0</v>
      </c>
      <c r="O25" t="b">
        <v>1</v>
      </c>
      <c r="P25" t="b">
        <v>0</v>
      </c>
      <c r="Q25" s="5" t="b">
        <v>1</v>
      </c>
    </row>
    <row r="26" spans="1:17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54</v>
      </c>
      <c r="E26" t="str">
        <f t="shared" si="1"/>
        <v>sql_variant</v>
      </c>
      <c r="F26" s="3" t="s">
        <v>35</v>
      </c>
      <c r="G26" s="3" t="s">
        <v>35</v>
      </c>
      <c r="H26" t="b">
        <v>0</v>
      </c>
      <c r="I26" t="b">
        <v>0</v>
      </c>
      <c r="J26" t="b">
        <v>0</v>
      </c>
      <c r="K26" t="b">
        <v>0</v>
      </c>
      <c r="L26" t="b">
        <v>0</v>
      </c>
      <c r="M26" t="b">
        <v>1</v>
      </c>
      <c r="N26" t="b">
        <v>0</v>
      </c>
      <c r="O26" t="b">
        <v>0</v>
      </c>
      <c r="P26" t="b">
        <v>0</v>
      </c>
      <c r="Q26" s="5" t="b">
        <v>0</v>
      </c>
    </row>
    <row r="27" spans="1:17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55</v>
      </c>
      <c r="E27" t="str">
        <f t="shared" si="1"/>
        <v>sysname</v>
      </c>
      <c r="F27" s="3" t="s">
        <v>35</v>
      </c>
      <c r="G27" s="3" t="s">
        <v>35</v>
      </c>
      <c r="H27" t="b">
        <v>0</v>
      </c>
      <c r="I27" t="b">
        <v>0</v>
      </c>
      <c r="J27" t="b">
        <v>1</v>
      </c>
      <c r="K27" t="b">
        <v>0</v>
      </c>
      <c r="L27" t="b">
        <v>1</v>
      </c>
      <c r="M27" t="b">
        <v>0</v>
      </c>
      <c r="N27" t="b">
        <v>0</v>
      </c>
      <c r="O27" t="b">
        <v>0</v>
      </c>
      <c r="P27" t="b">
        <v>0</v>
      </c>
      <c r="Q27" s="5" t="b">
        <v>0</v>
      </c>
    </row>
    <row r="28" spans="1:17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t="str">
        <f t="shared" si="1"/>
        <v>text</v>
      </c>
      <c r="F28" s="3" t="s">
        <v>35</v>
      </c>
      <c r="G28" s="3" t="s">
        <v>35</v>
      </c>
      <c r="H28" t="b">
        <v>0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t="b">
        <v>0</v>
      </c>
      <c r="Q28" s="5" t="b">
        <v>1</v>
      </c>
    </row>
    <row r="29" spans="1:17" x14ac:dyDescent="0.3">
      <c r="A29">
        <f t="shared" ref="A29:A35" si="2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t="str">
        <f t="shared" si="1"/>
        <v>time</v>
      </c>
      <c r="F29" s="6" t="s">
        <v>433</v>
      </c>
      <c r="G29" s="6" t="s">
        <v>438</v>
      </c>
      <c r="H29" t="b">
        <v>0</v>
      </c>
      <c r="I29" t="b">
        <v>0</v>
      </c>
      <c r="J29" t="b">
        <v>1</v>
      </c>
      <c r="K29" t="b">
        <v>0</v>
      </c>
      <c r="L29" t="b">
        <v>1</v>
      </c>
      <c r="M29" t="b">
        <v>0</v>
      </c>
      <c r="N29" t="b">
        <v>0</v>
      </c>
      <c r="O29" t="b">
        <v>1</v>
      </c>
      <c r="P29" t="b">
        <v>0</v>
      </c>
      <c r="Q29" s="5" t="b">
        <v>1</v>
      </c>
    </row>
    <row r="30" spans="1:17" x14ac:dyDescent="0.3">
      <c r="A30">
        <f t="shared" si="2"/>
        <v>29</v>
      </c>
      <c r="B30">
        <v>4</v>
      </c>
      <c r="C30" t="str">
        <f t="array" ref="C30">GetValue("Categories",B30,"Name")</f>
        <v>datetime</v>
      </c>
      <c r="D30" t="s">
        <v>56</v>
      </c>
      <c r="E30" t="str">
        <f t="shared" si="1"/>
        <v>timestamp</v>
      </c>
      <c r="F30" s="6" t="s">
        <v>35</v>
      </c>
      <c r="G30" s="6"/>
      <c r="H30" t="b">
        <v>0</v>
      </c>
      <c r="I30" t="b">
        <v>0</v>
      </c>
      <c r="J30" t="b">
        <v>1</v>
      </c>
      <c r="K30" t="b">
        <v>0</v>
      </c>
      <c r="L30" t="b">
        <v>1</v>
      </c>
      <c r="M30" t="b">
        <v>1</v>
      </c>
      <c r="N30" t="b">
        <v>0</v>
      </c>
      <c r="O30" t="b">
        <v>1</v>
      </c>
      <c r="P30" t="b">
        <v>0</v>
      </c>
      <c r="Q30" s="5" t="b">
        <v>0</v>
      </c>
    </row>
    <row r="31" spans="1:17" x14ac:dyDescent="0.3">
      <c r="A31">
        <f t="shared" si="2"/>
        <v>30</v>
      </c>
      <c r="B31">
        <v>2</v>
      </c>
      <c r="C31" t="str">
        <f t="array" ref="C31">GetValue("Categories",B31,"Name")</f>
        <v>numeric</v>
      </c>
      <c r="D31" t="s">
        <v>57</v>
      </c>
      <c r="E31" t="str">
        <f t="shared" si="1"/>
        <v>tinyint</v>
      </c>
      <c r="F31" s="3">
        <v>0</v>
      </c>
      <c r="G31" s="3">
        <v>255</v>
      </c>
      <c r="H31" t="b">
        <v>0</v>
      </c>
      <c r="I31" t="b">
        <v>0</v>
      </c>
      <c r="J31" t="b">
        <v>1</v>
      </c>
      <c r="K31" t="b">
        <v>1</v>
      </c>
      <c r="L31" t="b">
        <v>1</v>
      </c>
      <c r="M31" t="b">
        <v>1</v>
      </c>
      <c r="N31" t="b">
        <v>0</v>
      </c>
      <c r="O31" t="b">
        <v>1</v>
      </c>
      <c r="P31" t="b">
        <v>0</v>
      </c>
      <c r="Q31" s="5" t="b">
        <v>1</v>
      </c>
    </row>
    <row r="32" spans="1:17" x14ac:dyDescent="0.3">
      <c r="A32">
        <f t="shared" si="2"/>
        <v>31</v>
      </c>
      <c r="B32">
        <v>1</v>
      </c>
      <c r="C32" t="str">
        <f t="array" ref="C32">GetValue("Categories",B32,"Name")</f>
        <v>string</v>
      </c>
      <c r="D32" t="s">
        <v>58</v>
      </c>
      <c r="E32" t="str">
        <f t="shared" si="1"/>
        <v>uniqueidentifier</v>
      </c>
      <c r="F32" s="3" t="s">
        <v>35</v>
      </c>
      <c r="G32" s="3" t="s">
        <v>35</v>
      </c>
      <c r="H32" t="b">
        <v>0</v>
      </c>
      <c r="I32" t="b">
        <v>0</v>
      </c>
      <c r="J32" t="b">
        <v>1</v>
      </c>
      <c r="K32" t="b">
        <v>0</v>
      </c>
      <c r="L32" t="b">
        <v>0</v>
      </c>
      <c r="M32" t="b">
        <v>1</v>
      </c>
      <c r="N32" t="b">
        <v>0</v>
      </c>
      <c r="O32" t="b">
        <v>0</v>
      </c>
      <c r="P32" t="b">
        <v>0</v>
      </c>
      <c r="Q32" s="5" t="b">
        <v>1</v>
      </c>
    </row>
    <row r="33" spans="1:17" x14ac:dyDescent="0.3">
      <c r="A33">
        <f t="shared" si="2"/>
        <v>32</v>
      </c>
      <c r="B33">
        <v>9</v>
      </c>
      <c r="C33" t="str">
        <f t="array" ref="C33">GetValue("Categories",B33,"Name")</f>
        <v>binary</v>
      </c>
      <c r="D33" t="s">
        <v>59</v>
      </c>
      <c r="E33" t="str">
        <f t="shared" si="1"/>
        <v>varbinary</v>
      </c>
      <c r="F33" s="3" t="s">
        <v>35</v>
      </c>
      <c r="G33" s="3" t="s">
        <v>35</v>
      </c>
      <c r="H33" t="b">
        <v>1</v>
      </c>
      <c r="I33" t="b">
        <v>0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0</v>
      </c>
      <c r="P33" t="b">
        <v>1</v>
      </c>
      <c r="Q33" s="5" t="b">
        <v>0</v>
      </c>
    </row>
    <row r="34" spans="1:17" x14ac:dyDescent="0.3">
      <c r="A34">
        <f t="shared" si="2"/>
        <v>33</v>
      </c>
      <c r="B34">
        <v>1</v>
      </c>
      <c r="C34" t="str">
        <f t="array" ref="C34">GetValue("Categories",B34,"Name")</f>
        <v>string</v>
      </c>
      <c r="D34" t="s">
        <v>60</v>
      </c>
      <c r="E34" t="str">
        <f t="shared" si="1"/>
        <v>varchar</v>
      </c>
      <c r="F34" s="3" t="s">
        <v>35</v>
      </c>
      <c r="G34" s="3" t="s">
        <v>35</v>
      </c>
      <c r="H34" t="b">
        <v>1</v>
      </c>
      <c r="I34" t="b">
        <v>0</v>
      </c>
      <c r="J34" t="b">
        <v>1</v>
      </c>
      <c r="K34" t="b">
        <v>0</v>
      </c>
      <c r="L34" t="b">
        <v>1</v>
      </c>
      <c r="M34" t="b">
        <v>1</v>
      </c>
      <c r="N34" t="b">
        <v>1</v>
      </c>
      <c r="O34" t="b">
        <v>1</v>
      </c>
      <c r="P34" t="b">
        <v>1</v>
      </c>
      <c r="Q34" s="5" t="b">
        <v>1</v>
      </c>
    </row>
    <row r="35" spans="1:17" x14ac:dyDescent="0.3">
      <c r="A35">
        <f t="shared" si="2"/>
        <v>34</v>
      </c>
      <c r="B35">
        <v>7</v>
      </c>
      <c r="C35" t="str">
        <f t="array" ref="C35">GetValue("Categories",B35,"Name")</f>
        <v>text</v>
      </c>
      <c r="D35" t="s">
        <v>61</v>
      </c>
      <c r="E35" t="str">
        <f t="shared" si="1"/>
        <v>xml</v>
      </c>
      <c r="F35" s="3" t="s">
        <v>35</v>
      </c>
      <c r="G35" s="3" t="s">
        <v>35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t="b">
        <v>0</v>
      </c>
      <c r="Q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83</v>
      </c>
    </row>
    <row r="2" spans="1:3" x14ac:dyDescent="0.3">
      <c r="A2">
        <f t="shared" ref="A2:A7" si="0">ROW(A2)-1</f>
        <v>1</v>
      </c>
      <c r="B2" t="s">
        <v>67</v>
      </c>
      <c r="C2" t="s">
        <v>84</v>
      </c>
    </row>
    <row r="3" spans="1:3" x14ac:dyDescent="0.3">
      <c r="A3">
        <f t="shared" si="0"/>
        <v>2</v>
      </c>
      <c r="B3" t="s">
        <v>68</v>
      </c>
      <c r="C3" t="s">
        <v>85</v>
      </c>
    </row>
    <row r="4" spans="1:3" x14ac:dyDescent="0.3">
      <c r="A4">
        <f t="shared" si="0"/>
        <v>3</v>
      </c>
      <c r="B4" t="s">
        <v>70</v>
      </c>
      <c r="C4" t="s">
        <v>86</v>
      </c>
    </row>
    <row r="5" spans="1:3" x14ac:dyDescent="0.3">
      <c r="A5">
        <f t="shared" si="0"/>
        <v>4</v>
      </c>
      <c r="B5" t="s">
        <v>71</v>
      </c>
      <c r="C5" t="s">
        <v>87</v>
      </c>
    </row>
    <row r="6" spans="1:3" x14ac:dyDescent="0.3">
      <c r="A6">
        <f t="shared" si="0"/>
        <v>5</v>
      </c>
      <c r="B6" t="s">
        <v>69</v>
      </c>
      <c r="C6" t="s">
        <v>86</v>
      </c>
    </row>
    <row r="7" spans="1:3" x14ac:dyDescent="0.3">
      <c r="A7">
        <f t="shared" si="0"/>
        <v>6</v>
      </c>
      <c r="B7" t="s">
        <v>81</v>
      </c>
      <c r="C7" t="s">
        <v>88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1.109375" bestFit="1" customWidth="1"/>
    <col min="4" max="4" width="14.6640625" bestFit="1" customWidth="1"/>
    <col min="5" max="5" width="13.109375" bestFit="1" customWidth="1"/>
    <col min="6" max="6" width="7.33203125" bestFit="1" customWidth="1"/>
    <col min="7" max="7" width="11.5546875" bestFit="1" customWidth="1"/>
    <col min="8" max="8" width="13.109375" bestFit="1" customWidth="1"/>
    <col min="9" max="9" width="7" bestFit="1" customWidth="1"/>
    <col min="10" max="10" width="8.77734375" bestFit="1" customWidth="1"/>
    <col min="11" max="11" width="36.77734375" bestFit="1" customWidth="1"/>
    <col min="12" max="12" width="7.4414062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411</v>
      </c>
      <c r="D1" s="1" t="s">
        <v>410</v>
      </c>
      <c r="E1" s="1" t="s">
        <v>447</v>
      </c>
      <c r="F1" s="1" t="s">
        <v>63</v>
      </c>
      <c r="G1" s="1" t="s">
        <v>412</v>
      </c>
      <c r="H1" s="1" t="s">
        <v>1</v>
      </c>
      <c r="I1" s="1" t="s">
        <v>64</v>
      </c>
      <c r="J1" s="1" t="s">
        <v>65</v>
      </c>
      <c r="K1" s="1" t="s">
        <v>351</v>
      </c>
      <c r="L1" s="1" t="s">
        <v>66</v>
      </c>
      <c r="M1" s="1" t="s">
        <v>26</v>
      </c>
      <c r="N1" s="1" t="s">
        <v>27</v>
      </c>
      <c r="O1" s="1" t="s">
        <v>334</v>
      </c>
    </row>
    <row r="2" spans="1:15" x14ac:dyDescent="0.3">
      <c r="A2">
        <f t="shared" ref="A2:A13" si="0">ROW(A2)-1</f>
        <v>1</v>
      </c>
      <c r="B2">
        <v>15</v>
      </c>
      <c r="C2" t="str">
        <f t="array" ref="C2">GetValue("Types",B2,"Name")</f>
        <v>int</v>
      </c>
      <c r="D2" t="str" cm="1">
        <f t="array" ref="D2">GetValue("Types",B2,"#CategoryName")</f>
        <v>numeric</v>
      </c>
      <c r="E2" t="str" cm="1">
        <f t="array" ref="E2">GetDataType(A2)</f>
        <v>int</v>
      </c>
      <c r="F2">
        <v>2</v>
      </c>
      <c r="G2" t="str">
        <f t="array" ref="G2">GetValue("Masks",F2,"Name")</f>
        <v>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73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74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75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76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77</v>
      </c>
      <c r="I12">
        <v>256</v>
      </c>
    </row>
    <row r="13" spans="1:15" x14ac:dyDescent="0.3">
      <c r="A13">
        <f t="shared" si="0"/>
        <v>12</v>
      </c>
      <c r="B13">
        <v>20</v>
      </c>
      <c r="C13" t="str">
        <f t="array" ref="C13">GetValue("Types",B13,"Name")</f>
        <v>nvarchar</v>
      </c>
      <c r="D13" t="str" cm="1">
        <f t="array" ref="D13">GetValue("Types",B13,"#CategoryName")</f>
        <v>string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78</v>
      </c>
    </row>
    <row r="14" spans="1:15" x14ac:dyDescent="0.3">
      <c r="A14">
        <f t="shared" ref="A14:A22" si="1">ROW(A14)-1</f>
        <v>13</v>
      </c>
      <c r="B14">
        <v>20</v>
      </c>
      <c r="C14" t="str">
        <f t="array" ref="C14">GetValue("Types",B14,"Name")</f>
        <v>nvarchar</v>
      </c>
      <c r="D14" t="str" cm="1">
        <f t="array" ref="D14">GetValue("Types",B14,"#CategoryName")</f>
        <v>string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79</v>
      </c>
      <c r="O14" t="s">
        <v>345</v>
      </c>
    </row>
    <row r="15" spans="1:15" x14ac:dyDescent="0.3">
      <c r="A15">
        <f t="shared" si="1"/>
        <v>14</v>
      </c>
      <c r="B15">
        <v>20</v>
      </c>
      <c r="C15" t="str">
        <f t="array" ref="C15">GetValue("Types",B15,"Name")</f>
        <v>nvarchar</v>
      </c>
      <c r="D15" t="str" cm="1">
        <f t="array" ref="D15">GetValue("Types",B15,"#CategoryName")</f>
        <v>string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80</v>
      </c>
      <c r="O15" t="s">
        <v>80</v>
      </c>
    </row>
    <row r="16" spans="1:15" x14ac:dyDescent="0.3">
      <c r="A16">
        <f>ROW(A16)-1</f>
        <v>15</v>
      </c>
      <c r="B16">
        <v>20</v>
      </c>
      <c r="C16" t="str">
        <f t="array" ref="C16">GetValue("Types",B16,"Name")</f>
        <v>nvarchar</v>
      </c>
      <c r="D16" t="str" cm="1">
        <f t="array" ref="D16">GetValue("Types",B16,"#CategoryName")</f>
        <v>string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89</v>
      </c>
      <c r="O16" t="s">
        <v>89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81</v>
      </c>
    </row>
    <row r="18" spans="1:11" x14ac:dyDescent="0.3">
      <c r="A18">
        <f t="shared" si="1"/>
        <v>17</v>
      </c>
      <c r="B18">
        <v>20</v>
      </c>
      <c r="C18" t="str">
        <f t="array" ref="C18">GetValue("Types",B18,"Name")</f>
        <v>nvarchar</v>
      </c>
      <c r="D18" t="str" cm="1">
        <f t="array" ref="D18">GetValue("Types",B18,"#CategoryName")</f>
        <v>string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82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varchar(5)</v>
      </c>
      <c r="G19" t="str">
        <f t="array" ref="G19">GetValue("Masks",F19,"Name")</f>
        <v/>
      </c>
      <c r="H19" t="s">
        <v>334</v>
      </c>
      <c r="I19">
        <v>5</v>
      </c>
      <c r="K19" t="s">
        <v>406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varchar(10)</v>
      </c>
      <c r="G20" t="str">
        <f t="array" ref="G20">GetValue("Masks",F20,"Name")</f>
        <v/>
      </c>
      <c r="H20" t="s">
        <v>2</v>
      </c>
      <c r="I20">
        <v>10</v>
      </c>
      <c r="K20" t="s">
        <v>337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varchar(6)</v>
      </c>
      <c r="G21" t="str">
        <f t="array" ref="G21">GetValue("Masks",F21,"Name")</f>
        <v/>
      </c>
      <c r="H21" t="s">
        <v>3</v>
      </c>
      <c r="I21">
        <v>6</v>
      </c>
      <c r="K21" t="s">
        <v>407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varchar(15)</v>
      </c>
      <c r="H22" t="s">
        <v>100</v>
      </c>
      <c r="I22">
        <v>15</v>
      </c>
      <c r="K22" t="s">
        <v>408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G17" sqref="G17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90</v>
      </c>
      <c r="D1" s="1" t="s">
        <v>91</v>
      </c>
      <c r="E1" s="1" t="s">
        <v>92</v>
      </c>
      <c r="F1" s="1" t="s">
        <v>442</v>
      </c>
    </row>
    <row r="2" spans="1:6" x14ac:dyDescent="0.3">
      <c r="A2">
        <f>ROW(A2)-1</f>
        <v>1</v>
      </c>
      <c r="B2" t="s">
        <v>93</v>
      </c>
      <c r="C2" t="s">
        <v>94</v>
      </c>
      <c r="D2" t="s">
        <v>95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G13" sqref="G13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96</v>
      </c>
      <c r="C1" s="1" t="s">
        <v>414</v>
      </c>
      <c r="D1" s="1" t="s">
        <v>97</v>
      </c>
      <c r="E1" s="1" t="s">
        <v>98</v>
      </c>
      <c r="F1" s="1" t="s">
        <v>99</v>
      </c>
      <c r="G1" s="1" t="s">
        <v>100</v>
      </c>
      <c r="H1" s="1" t="s">
        <v>101</v>
      </c>
      <c r="I1" s="1" t="s">
        <v>453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cruda</v>
      </c>
      <c r="D2">
        <v>5</v>
      </c>
      <c r="E2" t="s">
        <v>102</v>
      </c>
      <c r="F2" t="s">
        <v>102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cruda</v>
      </c>
      <c r="D3">
        <v>10</v>
      </c>
      <c r="E3" t="s">
        <v>105</v>
      </c>
      <c r="F3" t="s">
        <v>106</v>
      </c>
      <c r="G3" t="s">
        <v>455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cruda</v>
      </c>
      <c r="D4">
        <v>15</v>
      </c>
      <c r="E4" t="s">
        <v>107</v>
      </c>
      <c r="F4" t="s">
        <v>108</v>
      </c>
      <c r="G4" t="s">
        <v>456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cruda</v>
      </c>
      <c r="D5">
        <v>20</v>
      </c>
      <c r="E5" t="s">
        <v>109</v>
      </c>
      <c r="F5" t="s">
        <v>110</v>
      </c>
      <c r="G5" t="s">
        <v>457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cruda</v>
      </c>
      <c r="D6">
        <v>25</v>
      </c>
      <c r="E6" t="s">
        <v>111</v>
      </c>
      <c r="F6" t="s">
        <v>112</v>
      </c>
      <c r="G6" t="s">
        <v>458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cruda</v>
      </c>
      <c r="D7">
        <v>30</v>
      </c>
      <c r="E7" t="s">
        <v>113</v>
      </c>
      <c r="F7" t="s">
        <v>114</v>
      </c>
      <c r="G7" t="s">
        <v>459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cruda</v>
      </c>
      <c r="D8">
        <v>35</v>
      </c>
      <c r="E8" t="s">
        <v>115</v>
      </c>
      <c r="F8" t="s">
        <v>116</v>
      </c>
      <c r="G8" t="s">
        <v>460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cruda</v>
      </c>
      <c r="D9">
        <v>40</v>
      </c>
      <c r="E9" t="s">
        <v>103</v>
      </c>
      <c r="F9" t="s">
        <v>104</v>
      </c>
      <c r="G9" t="s">
        <v>461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cruda</v>
      </c>
      <c r="D10">
        <v>45</v>
      </c>
      <c r="E10" t="s">
        <v>117</v>
      </c>
      <c r="F10" t="s">
        <v>118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cruda</v>
      </c>
      <c r="D11">
        <v>50</v>
      </c>
      <c r="E11" t="s">
        <v>119</v>
      </c>
      <c r="F11" t="s">
        <v>120</v>
      </c>
      <c r="G11" t="s">
        <v>462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cruda</v>
      </c>
      <c r="D12">
        <v>55</v>
      </c>
      <c r="E12" t="s">
        <v>121</v>
      </c>
      <c r="F12" t="s">
        <v>122</v>
      </c>
      <c r="G12" t="s">
        <v>463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cruda</v>
      </c>
      <c r="D13">
        <v>60</v>
      </c>
      <c r="E13" t="s">
        <v>123</v>
      </c>
      <c r="F13" t="s">
        <v>124</v>
      </c>
      <c r="G13" t="s">
        <v>125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126</v>
      </c>
      <c r="D1" s="1" t="s">
        <v>127</v>
      </c>
      <c r="E1" s="1" t="s">
        <v>128</v>
      </c>
      <c r="F1" s="1" t="s">
        <v>33</v>
      </c>
    </row>
    <row r="2" spans="1:6" x14ac:dyDescent="0.3">
      <c r="A2">
        <f>ROW(A2)-1</f>
        <v>1</v>
      </c>
      <c r="B2" t="s">
        <v>352</v>
      </c>
      <c r="C2" t="s">
        <v>352</v>
      </c>
      <c r="D2" t="s">
        <v>353</v>
      </c>
      <c r="E2">
        <v>0</v>
      </c>
      <c r="F2" t="b">
        <v>1</v>
      </c>
    </row>
    <row r="3" spans="1:6" x14ac:dyDescent="0.3">
      <c r="A3">
        <f>ROW(A3)-1</f>
        <v>2</v>
      </c>
      <c r="B3" t="s">
        <v>403</v>
      </c>
      <c r="C3" t="s">
        <v>129</v>
      </c>
      <c r="D3" t="s">
        <v>404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1" sqref="F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96</v>
      </c>
      <c r="C1" s="1" t="s">
        <v>414</v>
      </c>
      <c r="D1" s="1" t="s">
        <v>130</v>
      </c>
      <c r="E1" s="1" t="s">
        <v>413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GetValue("Users",D2,"Name")</f>
        <v>adm</v>
      </c>
      <c r="F2" t="s">
        <v>358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</v>
      </c>
      <c r="D3">
        <v>2</v>
      </c>
      <c r="E3" t="str">
        <f t="array" ref="E3">GetValue("Users",D3,"Name")</f>
        <v>labrego</v>
      </c>
      <c r="F3" t="s">
        <v>405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J2" sqref="J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5.5546875" bestFit="1" customWidth="1"/>
    <col min="5" max="5" width="19.777343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126</v>
      </c>
      <c r="J1" s="1" t="s">
        <v>136</v>
      </c>
    </row>
    <row r="2" spans="1:10" x14ac:dyDescent="0.3">
      <c r="A2">
        <f>ROW(A2)-1</f>
        <v>1</v>
      </c>
      <c r="B2" t="s">
        <v>93</v>
      </c>
      <c r="C2" t="s">
        <v>94</v>
      </c>
      <c r="D2" t="s">
        <v>93</v>
      </c>
      <c r="E2" t="s">
        <v>395</v>
      </c>
      <c r="F2" t="s">
        <v>137</v>
      </c>
      <c r="G2">
        <v>1433</v>
      </c>
      <c r="H2" t="s">
        <v>138</v>
      </c>
      <c r="I2" t="s">
        <v>129</v>
      </c>
      <c r="J2" t="s">
        <v>139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96</v>
      </c>
      <c r="C1" s="1" t="s">
        <v>414</v>
      </c>
      <c r="D1" s="1" t="s">
        <v>140</v>
      </c>
      <c r="E1" s="1" t="s">
        <v>415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GetValue("Databases",D2,"Name")</f>
        <v>cruda</v>
      </c>
      <c r="F2" t="s">
        <v>357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17"/>
  <sheetViews>
    <sheetView workbookViewId="0">
      <pane ySplit="1" topLeftCell="A2" activePane="bottomLeft" state="frozen"/>
      <selection pane="bottomLeft" activeCell="H4" sqref="H4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11.77734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131</v>
      </c>
      <c r="D1" s="1" t="s">
        <v>90</v>
      </c>
      <c r="E1" s="1" t="s">
        <v>141</v>
      </c>
      <c r="F1" s="1" t="s">
        <v>439</v>
      </c>
      <c r="G1" s="1" t="s">
        <v>348</v>
      </c>
      <c r="H1" s="1" t="s">
        <v>440</v>
      </c>
    </row>
    <row r="2" spans="1:8" x14ac:dyDescent="0.3">
      <c r="A2">
        <f>ROW(A2)-1</f>
        <v>1</v>
      </c>
      <c r="B2" t="s">
        <v>160</v>
      </c>
      <c r="C2" t="s">
        <v>381</v>
      </c>
      <c r="D2" t="s">
        <v>161</v>
      </c>
      <c r="F2" t="str">
        <f t="array" ref="F2">GetValue("Tables",E2,"Name")</f>
        <v/>
      </c>
      <c r="G2" t="b">
        <v>1</v>
      </c>
      <c r="H2" cm="1">
        <f t="array" ref="H2">GetLastId(A2)</f>
        <v>10</v>
      </c>
    </row>
    <row r="3" spans="1:8" x14ac:dyDescent="0.3">
      <c r="A3">
        <f>ROW(A3)-1</f>
        <v>2</v>
      </c>
      <c r="B3" t="s">
        <v>142</v>
      </c>
      <c r="C3" t="s">
        <v>382</v>
      </c>
      <c r="D3" t="s">
        <v>103</v>
      </c>
      <c r="F3" t="str">
        <f t="array" ref="F3">GetValue("Tables",E3,"Name")</f>
        <v/>
      </c>
      <c r="G3" t="b">
        <v>1</v>
      </c>
      <c r="H3" cm="1">
        <f t="array" ref="H3">GetLastId(A3)</f>
        <v>34</v>
      </c>
    </row>
    <row r="4" spans="1:8" x14ac:dyDescent="0.3">
      <c r="A4">
        <f>ROW(A4)-1</f>
        <v>3</v>
      </c>
      <c r="B4" t="s">
        <v>145</v>
      </c>
      <c r="C4" t="s">
        <v>83</v>
      </c>
      <c r="D4" t="s">
        <v>146</v>
      </c>
      <c r="F4" t="str">
        <f t="array" ref="F4">GetValue("Tables",E4,"Name")</f>
        <v/>
      </c>
      <c r="G4" t="b">
        <v>1</v>
      </c>
      <c r="H4" cm="1">
        <f t="array" ref="H4">GetLastId(A4)</f>
        <v>6</v>
      </c>
    </row>
    <row r="5" spans="1:8" x14ac:dyDescent="0.3">
      <c r="A5">
        <f t="shared" ref="A5:A17" si="0">ROW(A5)-1</f>
        <v>4</v>
      </c>
      <c r="B5" t="s">
        <v>143</v>
      </c>
      <c r="C5" t="s">
        <v>383</v>
      </c>
      <c r="D5" t="s">
        <v>144</v>
      </c>
      <c r="F5" t="str">
        <f t="array" ref="F5">GetValue("Tables",E5,"Name")</f>
        <v/>
      </c>
      <c r="G5" t="b">
        <v>1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147</v>
      </c>
      <c r="C6" t="s">
        <v>384</v>
      </c>
      <c r="D6" t="s">
        <v>111</v>
      </c>
      <c r="F6" t="str">
        <f t="array" ref="F6">GetValue("Tables",E6,"Name")</f>
        <v/>
      </c>
      <c r="G6" t="b">
        <v>1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109</v>
      </c>
      <c r="C7" t="s">
        <v>385</v>
      </c>
      <c r="D7" t="s">
        <v>109</v>
      </c>
      <c r="E7">
        <v>5</v>
      </c>
      <c r="F7" t="str">
        <f t="array" ref="F7">GetValue("Tables",E7,"Name")</f>
        <v>Systems</v>
      </c>
      <c r="G7" t="b">
        <v>1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148</v>
      </c>
      <c r="C8" t="s">
        <v>386</v>
      </c>
      <c r="D8" t="s">
        <v>105</v>
      </c>
      <c r="F8" t="str">
        <f t="array" ref="F8">GetValue("Tables",E8,"Name")</f>
        <v/>
      </c>
      <c r="G8" t="b">
        <v>1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149</v>
      </c>
      <c r="C9" t="s">
        <v>387</v>
      </c>
      <c r="D9" t="s">
        <v>150</v>
      </c>
      <c r="E9">
        <v>5</v>
      </c>
      <c r="F9" t="str">
        <f t="array" ref="F9">GetValue("Tables",E9,"Name")</f>
        <v>Systems</v>
      </c>
      <c r="G9" t="b">
        <v>1</v>
      </c>
      <c r="H9" cm="1">
        <f t="array" ref="H9">GetLastId(A9)</f>
        <v>2</v>
      </c>
    </row>
    <row r="10" spans="1:8" x14ac:dyDescent="0.3">
      <c r="A10">
        <f t="shared" si="0"/>
        <v>9</v>
      </c>
      <c r="B10" t="s">
        <v>151</v>
      </c>
      <c r="C10" t="s">
        <v>388</v>
      </c>
      <c r="D10" t="s">
        <v>152</v>
      </c>
      <c r="F10" t="str">
        <f t="array" ref="F10">GetValue("Tables",E10,"Name")</f>
        <v/>
      </c>
      <c r="G10" t="b">
        <v>1</v>
      </c>
      <c r="H10" cm="1">
        <f t="array" ref="H10">GetLastId(A10)</f>
        <v>1</v>
      </c>
    </row>
    <row r="11" spans="1:8" x14ac:dyDescent="0.3">
      <c r="A11">
        <f t="shared" si="0"/>
        <v>10</v>
      </c>
      <c r="B11" t="s">
        <v>153</v>
      </c>
      <c r="C11" t="s">
        <v>389</v>
      </c>
      <c r="D11" t="s">
        <v>154</v>
      </c>
      <c r="E11">
        <v>5</v>
      </c>
      <c r="F11" t="str">
        <f t="array" ref="F11">GetValue("Tables",E11,"Name")</f>
        <v>Systems</v>
      </c>
      <c r="G11" t="b">
        <v>1</v>
      </c>
      <c r="H11" cm="1">
        <f t="array" ref="H11">GetLastId(A11)</f>
        <v>1</v>
      </c>
    </row>
    <row r="12" spans="1:8" x14ac:dyDescent="0.3">
      <c r="A12">
        <f t="shared" si="0"/>
        <v>11</v>
      </c>
      <c r="B12" t="s">
        <v>155</v>
      </c>
      <c r="C12" t="s">
        <v>390</v>
      </c>
      <c r="D12" t="s">
        <v>107</v>
      </c>
      <c r="E12">
        <v>9</v>
      </c>
      <c r="F12" t="str">
        <f t="array" ref="F12">GetValue("Tables",E12,"Name")</f>
        <v>Databases</v>
      </c>
      <c r="G12" t="b">
        <v>1</v>
      </c>
      <c r="H12" cm="1">
        <f t="array" ref="H12">GetLastId(A12)</f>
        <v>16</v>
      </c>
    </row>
    <row r="13" spans="1:8" x14ac:dyDescent="0.3">
      <c r="A13">
        <f t="shared" si="0"/>
        <v>12</v>
      </c>
      <c r="B13" t="s">
        <v>354</v>
      </c>
      <c r="C13" t="s">
        <v>391</v>
      </c>
      <c r="D13" t="s">
        <v>355</v>
      </c>
      <c r="E13">
        <v>9</v>
      </c>
      <c r="F13" t="str">
        <f t="array" ref="F13">GetValue("Tables",E13,"Name")</f>
        <v>Databases</v>
      </c>
      <c r="G13" t="b">
        <v>1</v>
      </c>
      <c r="H13" cm="1">
        <f t="array" ref="H13">GetLastId(A13)</f>
        <v>16</v>
      </c>
    </row>
    <row r="14" spans="1:8" x14ac:dyDescent="0.3">
      <c r="A14">
        <f t="shared" si="0"/>
        <v>13</v>
      </c>
      <c r="B14" t="s">
        <v>156</v>
      </c>
      <c r="C14" t="s">
        <v>392</v>
      </c>
      <c r="D14" t="s">
        <v>115</v>
      </c>
      <c r="E14">
        <v>11</v>
      </c>
      <c r="F14" t="str">
        <f t="array" ref="F14">GetValue("Tables",E14,"Name")</f>
        <v>Tables</v>
      </c>
      <c r="G14" t="b">
        <v>1</v>
      </c>
      <c r="H14" cm="1">
        <f t="array" ref="H14">GetLastId(A14)</f>
        <v>123</v>
      </c>
    </row>
    <row r="15" spans="1:8" x14ac:dyDescent="0.3">
      <c r="A15">
        <f t="shared" si="0"/>
        <v>14</v>
      </c>
      <c r="B15" t="s">
        <v>157</v>
      </c>
      <c r="C15" t="s">
        <v>393</v>
      </c>
      <c r="D15" t="s">
        <v>158</v>
      </c>
      <c r="E15">
        <v>11</v>
      </c>
      <c r="F15" t="str">
        <f t="array" ref="F15">GetValue("Tables",E15,"Name")</f>
        <v>Tables</v>
      </c>
      <c r="G15" t="b">
        <v>1</v>
      </c>
      <c r="H15" cm="1">
        <f t="array" ref="H15">GetLastId(A15)</f>
        <v>23</v>
      </c>
    </row>
    <row r="16" spans="1:8" x14ac:dyDescent="0.3">
      <c r="A16">
        <f t="shared" si="0"/>
        <v>15</v>
      </c>
      <c r="B16" t="s">
        <v>338</v>
      </c>
      <c r="C16" t="s">
        <v>394</v>
      </c>
      <c r="D16" t="s">
        <v>159</v>
      </c>
      <c r="E16">
        <v>14</v>
      </c>
      <c r="F16" t="str">
        <f t="array" ref="F16">GetValue("Tables",E16,"Name")</f>
        <v>Indexes</v>
      </c>
      <c r="G16" t="b">
        <v>1</v>
      </c>
      <c r="H16" cm="1">
        <f t="array" ref="H16">GetLastId(A16)</f>
        <v>34</v>
      </c>
    </row>
    <row r="17" spans="1:8" x14ac:dyDescent="0.3">
      <c r="A17">
        <f t="shared" si="0"/>
        <v>16</v>
      </c>
      <c r="B17" t="s">
        <v>396</v>
      </c>
      <c r="C17" t="s">
        <v>397</v>
      </c>
      <c r="D17" t="s">
        <v>398</v>
      </c>
      <c r="F17" t="str">
        <f t="array" ref="F17">GetValue("Tables",E17,"Name")</f>
        <v/>
      </c>
      <c r="G17" t="b">
        <v>0</v>
      </c>
      <c r="H17" cm="1">
        <f t="array" ref="H17">GetLastId(A17)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7"/>
  <sheetViews>
    <sheetView workbookViewId="0">
      <selection activeCell="F18" sqref="F18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140</v>
      </c>
      <c r="C1" s="1" t="s">
        <v>415</v>
      </c>
      <c r="D1" s="1" t="s">
        <v>162</v>
      </c>
      <c r="E1" s="1" t="s">
        <v>416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359</v>
      </c>
    </row>
    <row r="3" spans="1:6" x14ac:dyDescent="0.3">
      <c r="A3">
        <f t="shared" ref="A3:A17" si="0">ROW(A3)-1</f>
        <v>2</v>
      </c>
      <c r="B3"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360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361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362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363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364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365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366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</v>
      </c>
      <c r="D10">
        <v>9</v>
      </c>
      <c r="E10" t="str">
        <f t="array" ref="E10">GetValue("Tables",D10,"Name")</f>
        <v>Databases</v>
      </c>
      <c r="F10" t="s">
        <v>367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</v>
      </c>
      <c r="D11">
        <v>10</v>
      </c>
      <c r="E11" t="str">
        <f t="array" ref="E11">GetValue("Tables",D11,"Name")</f>
        <v>SystemsDatabases</v>
      </c>
      <c r="F11" t="s">
        <v>368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</v>
      </c>
      <c r="D12">
        <v>11</v>
      </c>
      <c r="E12" t="str">
        <f t="array" ref="E12">GetValue("Tables",D12,"Name")</f>
        <v>Tables</v>
      </c>
      <c r="F12" t="s">
        <v>369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</v>
      </c>
      <c r="D13">
        <v>12</v>
      </c>
      <c r="E13" t="str">
        <f t="array" ref="E13">GetValue("Tables",D13,"Name")</f>
        <v>DatabasesTables</v>
      </c>
      <c r="F13" t="s">
        <v>370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</v>
      </c>
      <c r="D14">
        <v>13</v>
      </c>
      <c r="E14" t="str">
        <f t="array" ref="E14">GetValue("Tables",D14,"Name")</f>
        <v>Columns</v>
      </c>
      <c r="F14" t="s">
        <v>371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</v>
      </c>
      <c r="D15">
        <v>14</v>
      </c>
      <c r="E15" t="str">
        <f t="array" ref="E15">GetValue("Tables",D15,"Name")</f>
        <v>Indexes</v>
      </c>
      <c r="F15" t="s">
        <v>372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</v>
      </c>
      <c r="D16">
        <v>15</v>
      </c>
      <c r="E16" t="str">
        <f t="array" ref="E16">GetValue("Tables",D16,"Name")</f>
        <v>Indexkeys</v>
      </c>
      <c r="F16" t="s">
        <v>373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</v>
      </c>
      <c r="D17">
        <v>16</v>
      </c>
      <c r="E17" t="str">
        <f t="array" ref="E17">GetValue("Tables",D17,"Name")</f>
        <v>Logins</v>
      </c>
      <c r="F17" t="s">
        <v>445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Z124"/>
  <sheetViews>
    <sheetView tabSelected="1" topLeftCell="E1" zoomScaleNormal="100" workbookViewId="0">
      <pane ySplit="1" topLeftCell="A2" activePane="bottomLeft" state="frozen"/>
      <selection pane="bottomLeft" activeCell="F27" sqref="F27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4.6640625" bestFit="1" customWidth="1"/>
    <col min="8" max="8" width="13.109375" bestFit="1" customWidth="1"/>
    <col min="9" max="9" width="15.77734375" bestFit="1" customWidth="1"/>
    <col min="10" max="10" width="20.21875" bestFit="1" customWidth="1"/>
    <col min="11" max="11" width="16" bestFit="1" customWidth="1"/>
    <col min="12" max="12" width="33.88671875" bestFit="1" customWidth="1"/>
    <col min="13" max="14" width="21.44140625" bestFit="1" customWidth="1"/>
    <col min="15" max="15" width="22.6640625" bestFit="1" customWidth="1"/>
    <col min="16" max="16" width="15.5546875" style="3" bestFit="1" customWidth="1"/>
    <col min="17" max="17" width="9.21875" style="4" bestFit="1" customWidth="1"/>
    <col min="18" max="18" width="9.5546875" style="3" bestFit="1" customWidth="1"/>
    <col min="19" max="19" width="11.88671875" bestFit="1" customWidth="1"/>
    <col min="20" max="20" width="15.21875" bestFit="1" customWidth="1"/>
    <col min="21" max="26" width="11.77734375" bestFit="1" customWidth="1"/>
  </cols>
  <sheetData>
    <row r="1" spans="1:26" s="1" customFormat="1" x14ac:dyDescent="0.3">
      <c r="A1" s="11" t="s">
        <v>0</v>
      </c>
      <c r="B1" s="11" t="s">
        <v>162</v>
      </c>
      <c r="C1" s="11" t="s">
        <v>416</v>
      </c>
      <c r="D1" s="11" t="s">
        <v>97</v>
      </c>
      <c r="E1" s="11" t="s">
        <v>163</v>
      </c>
      <c r="F1" s="11" t="s">
        <v>417</v>
      </c>
      <c r="G1" s="11" t="s">
        <v>410</v>
      </c>
      <c r="H1" s="11" t="s">
        <v>447</v>
      </c>
      <c r="I1" s="11" t="s">
        <v>164</v>
      </c>
      <c r="J1" s="11" t="s">
        <v>418</v>
      </c>
      <c r="K1" s="11" t="s">
        <v>1</v>
      </c>
      <c r="L1" s="11" t="s">
        <v>90</v>
      </c>
      <c r="M1" s="11" t="s">
        <v>165</v>
      </c>
      <c r="N1" s="11" t="s">
        <v>98</v>
      </c>
      <c r="O1" s="11" t="s">
        <v>351</v>
      </c>
      <c r="P1" s="18" t="s">
        <v>66</v>
      </c>
      <c r="Q1" s="13" t="s">
        <v>26</v>
      </c>
      <c r="R1" s="18" t="s">
        <v>27</v>
      </c>
      <c r="S1" s="11" t="s">
        <v>166</v>
      </c>
      <c r="T1" s="11" t="s">
        <v>167</v>
      </c>
      <c r="U1" s="11" t="s">
        <v>168</v>
      </c>
      <c r="V1" s="11" t="s">
        <v>169</v>
      </c>
      <c r="W1" s="11" t="s">
        <v>170</v>
      </c>
      <c r="X1" s="11" t="s">
        <v>171</v>
      </c>
      <c r="Y1" s="11" t="s">
        <v>465</v>
      </c>
      <c r="Z1" s="11" t="s">
        <v>172</v>
      </c>
    </row>
    <row r="2" spans="1:26" x14ac:dyDescent="0.3">
      <c r="A2" s="8">
        <f t="shared" ref="A2:A12" si="0">ROW(A2)-1</f>
        <v>1</v>
      </c>
      <c r="B2" s="9">
        <v>1</v>
      </c>
      <c r="C2" s="9" t="str" cm="1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 t="str" cm="1">
        <f t="array" ref="G2">GetValue("Domains",E2,"#CategoryName")</f>
        <v>numeric</v>
      </c>
      <c r="H2" s="8" t="str" cm="1">
        <f t="array" ref="H2">GetDataType(E2)</f>
        <v>tinyint</v>
      </c>
      <c r="I2" s="8"/>
      <c r="J2" s="8" t="str">
        <f t="array" ref="J2">GetValue("Tables",I2,"Name")</f>
        <v/>
      </c>
      <c r="K2" s="8" t="s">
        <v>0</v>
      </c>
      <c r="L2" s="8" t="s">
        <v>303</v>
      </c>
      <c r="M2" s="8" t="s">
        <v>178</v>
      </c>
      <c r="N2" s="8" t="s">
        <v>178</v>
      </c>
      <c r="O2" s="8"/>
      <c r="P2" s="15"/>
      <c r="Q2" s="14">
        <v>1</v>
      </c>
      <c r="R2" s="15"/>
      <c r="S2" s="8" t="b">
        <v>1</v>
      </c>
      <c r="T2" s="8" t="b">
        <v>0</v>
      </c>
      <c r="U2" s="8" t="b">
        <v>1</v>
      </c>
      <c r="V2" s="8"/>
      <c r="W2" s="8" t="b">
        <v>1</v>
      </c>
      <c r="X2" s="8" t="b">
        <v>0</v>
      </c>
      <c r="Y2" s="8" t="b">
        <v>0</v>
      </c>
      <c r="Z2" s="8"/>
    </row>
    <row r="3" spans="1:26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 t="str" cm="1">
        <f t="array" ref="G3">GetValue("Domains",E3,"#CategoryName")</f>
        <v>string</v>
      </c>
      <c r="H3" s="8" t="str" cm="1">
        <f t="array" ref="H3">GetDataType(E3)</f>
        <v>nvarchar(25)</v>
      </c>
      <c r="I3" s="8"/>
      <c r="J3" s="8" t="str">
        <f t="array" ref="J3">GetValue("Tables",I3,"Name")</f>
        <v/>
      </c>
      <c r="K3" s="8" t="s">
        <v>1</v>
      </c>
      <c r="L3" s="8" t="s">
        <v>304</v>
      </c>
      <c r="M3" s="8" t="s">
        <v>176</v>
      </c>
      <c r="N3" s="8" t="s">
        <v>176</v>
      </c>
      <c r="O3" s="8"/>
      <c r="P3" s="15"/>
      <c r="Q3" s="14" t="s">
        <v>35</v>
      </c>
      <c r="R3" s="15"/>
      <c r="S3" s="8" t="b">
        <v>0</v>
      </c>
      <c r="T3" s="8"/>
      <c r="U3" s="8" t="b">
        <v>1</v>
      </c>
      <c r="V3" s="8" t="b">
        <v>1</v>
      </c>
      <c r="W3" s="8" t="b">
        <v>1</v>
      </c>
      <c r="X3" s="8" t="b">
        <v>1</v>
      </c>
      <c r="Y3" s="8" t="b">
        <v>1</v>
      </c>
      <c r="Z3" s="8" t="b">
        <v>0</v>
      </c>
    </row>
    <row r="4" spans="1:26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>D3+5</f>
        <v>15</v>
      </c>
      <c r="E4" s="8">
        <v>19</v>
      </c>
      <c r="F4" s="8" t="str">
        <f t="array" ref="F4">GetValue("Domains",E4,"Name")</f>
        <v>HtmlInputType</v>
      </c>
      <c r="G4" s="8" t="str" cm="1">
        <f t="array" ref="G4">GetValue("Domains",E4,"#CategoryName")</f>
        <v>string</v>
      </c>
      <c r="H4" s="8" t="str" cm="1">
        <f t="array" ref="H4">GetDataType(E4)</f>
        <v>nvarchar(10)</v>
      </c>
      <c r="I4" s="8"/>
      <c r="J4" s="8" t="str">
        <f t="array" ref="J4">GetValue("Tables",I4,"Name")</f>
        <v/>
      </c>
      <c r="K4" s="8" t="s">
        <v>2</v>
      </c>
      <c r="L4" s="8" t="s">
        <v>305</v>
      </c>
      <c r="M4" s="8" t="s">
        <v>306</v>
      </c>
      <c r="N4" s="8" t="s">
        <v>306</v>
      </c>
      <c r="O4" s="8"/>
      <c r="P4" s="15"/>
      <c r="Q4" s="15" t="s">
        <v>35</v>
      </c>
      <c r="R4" s="15"/>
      <c r="S4" s="8" t="b">
        <v>0</v>
      </c>
      <c r="T4" s="8"/>
      <c r="U4" s="8" t="b">
        <v>0</v>
      </c>
      <c r="V4" s="8" t="b">
        <v>0</v>
      </c>
      <c r="W4" s="8" t="b">
        <v>0</v>
      </c>
      <c r="X4" s="8" t="b">
        <v>1</v>
      </c>
      <c r="Y4" s="8" t="b">
        <v>1</v>
      </c>
      <c r="Z4" s="8" t="b">
        <v>0</v>
      </c>
    </row>
    <row r="5" spans="1:26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>D4+5</f>
        <v>20</v>
      </c>
      <c r="E5" s="8">
        <v>20</v>
      </c>
      <c r="F5" s="8" t="str">
        <f t="array" ref="F5">GetValue("Domains",E5,"Name")</f>
        <v>HtmlInputAlign</v>
      </c>
      <c r="G5" s="8" t="str" cm="1">
        <f t="array" ref="G5">GetValue("Domains",E5,"#CategoryName")</f>
        <v>string</v>
      </c>
      <c r="H5" s="8" t="str" cm="1">
        <f t="array" ref="H5">GetDataType(E5)</f>
        <v>nvarchar(6)</v>
      </c>
      <c r="I5" s="8"/>
      <c r="J5" s="8" t="str">
        <f t="array" ref="J5">GetValue("Tables",I5,"Name")</f>
        <v/>
      </c>
      <c r="K5" s="8" t="s">
        <v>3</v>
      </c>
      <c r="L5" s="8" t="s">
        <v>307</v>
      </c>
      <c r="M5" s="8" t="s">
        <v>308</v>
      </c>
      <c r="N5" s="8" t="s">
        <v>308</v>
      </c>
      <c r="O5" s="8"/>
      <c r="P5" s="15"/>
      <c r="Q5" s="15" t="s">
        <v>35</v>
      </c>
      <c r="R5" s="15"/>
      <c r="S5" s="8" t="b">
        <v>0</v>
      </c>
      <c r="T5" s="8"/>
      <c r="U5" s="8" t="b">
        <v>0</v>
      </c>
      <c r="V5" s="8" t="b">
        <v>0</v>
      </c>
      <c r="W5" s="8" t="b">
        <v>0</v>
      </c>
      <c r="X5" s="8" t="b">
        <v>1</v>
      </c>
      <c r="Y5" s="8" t="b">
        <v>1</v>
      </c>
      <c r="Z5" s="8" t="b">
        <v>0</v>
      </c>
    </row>
    <row r="6" spans="1:26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ref="D6:D11" si="1">D5+5</f>
        <v>25</v>
      </c>
      <c r="E6" s="8">
        <v>6</v>
      </c>
      <c r="F6" s="8" t="str">
        <f t="array" ref="F6">GetValue("Domains",E6,"Name")</f>
        <v>Boolean</v>
      </c>
      <c r="G6" s="8" t="str" cm="1">
        <f t="array" ref="G6">GetValue("Domains",E6,"#CategoryName")</f>
        <v>boolean</v>
      </c>
      <c r="H6" s="8" t="str" cm="1">
        <f t="array" ref="H6">GetDataType(E6)</f>
        <v>bit</v>
      </c>
      <c r="I6" s="8"/>
      <c r="J6" s="8" t="str">
        <f t="array" ref="J6">GetValue("Tables",I6,"Name")</f>
        <v/>
      </c>
      <c r="K6" s="8" t="s">
        <v>4</v>
      </c>
      <c r="L6" s="8" t="s">
        <v>309</v>
      </c>
      <c r="M6" s="8" t="s">
        <v>310</v>
      </c>
      <c r="N6" s="8" t="s">
        <v>310</v>
      </c>
      <c r="O6" s="8"/>
      <c r="P6" s="15"/>
      <c r="Q6" s="15" t="s">
        <v>35</v>
      </c>
      <c r="R6" s="15"/>
      <c r="S6" s="8"/>
      <c r="T6" s="8"/>
      <c r="U6" s="8" t="b">
        <v>1</v>
      </c>
      <c r="V6" s="8"/>
      <c r="W6" s="8" t="b">
        <v>1</v>
      </c>
      <c r="X6" s="8" t="b">
        <v>1</v>
      </c>
      <c r="Y6" s="8" t="b">
        <v>1</v>
      </c>
      <c r="Z6" s="8"/>
    </row>
    <row r="7" spans="1:26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 t="str" cm="1">
        <f t="array" ref="G7">GetValue("Domains",E7,"#CategoryName")</f>
        <v>boolean</v>
      </c>
      <c r="H7" s="8" t="str" cm="1">
        <f t="array" ref="H7">GetDataType(E7)</f>
        <v>bit</v>
      </c>
      <c r="I7" s="8"/>
      <c r="J7" s="8" t="str">
        <f t="array" ref="J7">GetValue("Tables",I7,"Name")</f>
        <v/>
      </c>
      <c r="K7" s="8" t="s">
        <v>5</v>
      </c>
      <c r="L7" s="8" t="s">
        <v>311</v>
      </c>
      <c r="M7" s="8" t="s">
        <v>312</v>
      </c>
      <c r="N7" s="8" t="s">
        <v>312</v>
      </c>
      <c r="O7" s="8"/>
      <c r="P7" s="15"/>
      <c r="Q7" s="15" t="s">
        <v>35</v>
      </c>
      <c r="R7" s="15"/>
      <c r="S7" s="8"/>
      <c r="T7" s="8"/>
      <c r="U7" s="8" t="b">
        <v>1</v>
      </c>
      <c r="V7" s="8"/>
      <c r="W7" s="8" t="b">
        <v>1</v>
      </c>
      <c r="X7" s="8" t="b">
        <v>1</v>
      </c>
      <c r="Y7" s="8" t="b">
        <v>1</v>
      </c>
      <c r="Z7" s="8"/>
    </row>
    <row r="8" spans="1:26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 t="str" cm="1">
        <f t="array" ref="G8">GetValue("Domains",E8,"#CategoryName")</f>
        <v>boolean</v>
      </c>
      <c r="H8" s="8" t="str" cm="1">
        <f t="array" ref="H8">GetDataType(E8)</f>
        <v>bit</v>
      </c>
      <c r="I8" s="8"/>
      <c r="J8" s="8" t="str">
        <f t="array" ref="J8">GetValue("Tables",I8,"Name")</f>
        <v/>
      </c>
      <c r="K8" s="8" t="s">
        <v>6</v>
      </c>
      <c r="L8" s="8" t="s">
        <v>313</v>
      </c>
      <c r="M8" s="8" t="s">
        <v>314</v>
      </c>
      <c r="N8" s="8" t="s">
        <v>314</v>
      </c>
      <c r="O8" s="8"/>
      <c r="P8" s="15"/>
      <c r="Q8" s="15" t="s">
        <v>35</v>
      </c>
      <c r="R8" s="15"/>
      <c r="S8" s="8"/>
      <c r="T8" s="8"/>
      <c r="U8" s="8" t="b">
        <v>1</v>
      </c>
      <c r="V8" s="8"/>
      <c r="W8" s="8" t="b">
        <v>1</v>
      </c>
      <c r="X8" s="8" t="b">
        <v>1</v>
      </c>
      <c r="Y8" s="8" t="b">
        <v>1</v>
      </c>
      <c r="Z8" s="8"/>
    </row>
    <row r="9" spans="1:26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 t="str" cm="1">
        <f t="array" ref="G9">GetValue("Domains",E9,"#CategoryName")</f>
        <v>boolean</v>
      </c>
      <c r="H9" s="8" t="str" cm="1">
        <f t="array" ref="H9">GetDataType(E9)</f>
        <v>bit</v>
      </c>
      <c r="I9" s="8"/>
      <c r="J9" s="8" t="str">
        <f t="array" ref="J9">GetValue("Tables",I9,"Name")</f>
        <v/>
      </c>
      <c r="K9" s="8" t="s">
        <v>7</v>
      </c>
      <c r="L9" s="8" t="s">
        <v>315</v>
      </c>
      <c r="M9" s="8" t="s">
        <v>316</v>
      </c>
      <c r="N9" s="8" t="s">
        <v>316</v>
      </c>
      <c r="O9" s="8"/>
      <c r="P9" s="15"/>
      <c r="Q9" s="15" t="s">
        <v>35</v>
      </c>
      <c r="R9" s="15"/>
      <c r="S9" s="8"/>
      <c r="T9" s="8"/>
      <c r="U9" s="8" t="b">
        <v>1</v>
      </c>
      <c r="V9" s="8"/>
      <c r="W9" s="8" t="b">
        <v>1</v>
      </c>
      <c r="X9" s="8" t="b">
        <v>1</v>
      </c>
      <c r="Y9" s="8" t="b">
        <v>1</v>
      </c>
      <c r="Z9" s="8"/>
    </row>
    <row r="10" spans="1:26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 t="str" cm="1">
        <f t="array" ref="G10">GetValue("Domains",E10,"#CategoryName")</f>
        <v>boolean</v>
      </c>
      <c r="H10" s="8" t="str" cm="1">
        <f t="array" ref="H10">GetDataType(E10)</f>
        <v>bit</v>
      </c>
      <c r="I10" s="8"/>
      <c r="J10" s="8" t="str">
        <f t="array" ref="J10">GetValue("Tables",I10,"Name")</f>
        <v/>
      </c>
      <c r="K10" s="8" t="s">
        <v>8</v>
      </c>
      <c r="L10" s="8" t="s">
        <v>317</v>
      </c>
      <c r="M10" s="8" t="s">
        <v>318</v>
      </c>
      <c r="N10" s="8" t="s">
        <v>318</v>
      </c>
      <c r="O10" s="8"/>
      <c r="P10" s="15"/>
      <c r="Q10" s="15" t="s">
        <v>35</v>
      </c>
      <c r="R10" s="15"/>
      <c r="S10" s="8"/>
      <c r="T10" s="8"/>
      <c r="U10" s="8" t="b">
        <v>1</v>
      </c>
      <c r="V10" s="8"/>
      <c r="W10" s="8" t="b">
        <v>1</v>
      </c>
      <c r="X10" s="8" t="b">
        <v>1</v>
      </c>
      <c r="Y10" s="8" t="b">
        <v>1</v>
      </c>
      <c r="Z10" s="8"/>
    </row>
    <row r="11" spans="1:26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 t="str" cm="1">
        <f t="array" ref="G11">GetValue("Domains",E11,"#CategoryName")</f>
        <v>boolean</v>
      </c>
      <c r="H11" s="8" t="str" cm="1">
        <f t="array" ref="H11">GetDataType(E11)</f>
        <v>bit</v>
      </c>
      <c r="I11" s="8"/>
      <c r="J11" s="8" t="str">
        <f t="array" ref="J11">GetValue("Tables",I11,"Name")</f>
        <v/>
      </c>
      <c r="K11" s="8" t="s">
        <v>9</v>
      </c>
      <c r="L11" s="8" t="s">
        <v>319</v>
      </c>
      <c r="M11" s="8" t="s">
        <v>320</v>
      </c>
      <c r="N11" s="8" t="s">
        <v>320</v>
      </c>
      <c r="O11" s="8"/>
      <c r="P11" s="15"/>
      <c r="Q11" s="15" t="s">
        <v>35</v>
      </c>
      <c r="R11" s="15"/>
      <c r="S11" s="8"/>
      <c r="T11" s="8"/>
      <c r="U11" s="8" t="b">
        <v>1</v>
      </c>
      <c r="V11" s="8"/>
      <c r="W11" s="8" t="b">
        <v>1</v>
      </c>
      <c r="X11" s="8" t="b">
        <v>1</v>
      </c>
      <c r="Y11" s="8" t="b">
        <v>1</v>
      </c>
      <c r="Z11" s="8"/>
    </row>
    <row r="12" spans="1:26" x14ac:dyDescent="0.3">
      <c r="A12" s="10">
        <f t="shared" si="0"/>
        <v>11</v>
      </c>
      <c r="B12" s="10">
        <v>2</v>
      </c>
      <c r="C12" s="10" t="str">
        <f t="array" ref="C12">GetValue("Tables",B12,"Name")</f>
        <v>Types</v>
      </c>
      <c r="D12" s="10">
        <v>5</v>
      </c>
      <c r="E12" s="10">
        <v>5</v>
      </c>
      <c r="F12" s="10" t="str">
        <f t="array" ref="F12">GetValue("Domains",E12,"Name")</f>
        <v>TinyInteger</v>
      </c>
      <c r="G12" s="10" t="str" cm="1">
        <f t="array" ref="G12">GetValue("Domains",E12,"#CategoryName")</f>
        <v>numeric</v>
      </c>
      <c r="H12" s="10" t="str" cm="1">
        <f t="array" ref="H12">GetDataType(E12)</f>
        <v>tinyint</v>
      </c>
      <c r="I12" s="10"/>
      <c r="J12" s="10" t="str">
        <f t="array" ref="J12">GetValue("Tables",I12,"Name")</f>
        <v/>
      </c>
      <c r="K12" s="10" t="s">
        <v>0</v>
      </c>
      <c r="L12" s="10" t="s">
        <v>173</v>
      </c>
      <c r="M12" s="10" t="s">
        <v>174</v>
      </c>
      <c r="N12" s="10" t="s">
        <v>174</v>
      </c>
      <c r="O12" s="10"/>
      <c r="P12" s="16"/>
      <c r="Q12" s="16">
        <v>1</v>
      </c>
      <c r="R12" s="16"/>
      <c r="S12" s="10" t="b">
        <v>1</v>
      </c>
      <c r="T12" s="10" t="b">
        <v>0</v>
      </c>
      <c r="U12" s="10" t="b">
        <v>1</v>
      </c>
      <c r="V12" s="10"/>
      <c r="W12" s="10" t="b">
        <v>1</v>
      </c>
      <c r="X12" s="10" t="b">
        <v>0</v>
      </c>
      <c r="Y12" s="10" t="b">
        <v>0</v>
      </c>
      <c r="Z12" s="10"/>
    </row>
    <row r="13" spans="1:26" x14ac:dyDescent="0.3">
      <c r="A13" s="10">
        <f>ROW(A13)-1</f>
        <v>12</v>
      </c>
      <c r="B13" s="10">
        <v>2</v>
      </c>
      <c r="C13" s="10" t="str">
        <f t="array" ref="C13">GetValue("Tables",B13,"Name")</f>
        <v>Types</v>
      </c>
      <c r="D13" s="10">
        <f>D12+5</f>
        <v>10</v>
      </c>
      <c r="E13" s="10">
        <v>5</v>
      </c>
      <c r="F13" s="10" t="str">
        <f t="array" ref="F13">GetValue("Domains",E13,"Name")</f>
        <v>TinyInteger</v>
      </c>
      <c r="G13" s="10" t="str" cm="1">
        <f t="array" ref="G13">GetValue("Domains",E13,"#CategoryName")</f>
        <v>numeric</v>
      </c>
      <c r="H13" s="10" t="str" cm="1">
        <f t="array" ref="H13">GetDataType(E13)</f>
        <v>tinyint</v>
      </c>
      <c r="I13" s="10">
        <v>1</v>
      </c>
      <c r="J13" s="10" t="str">
        <f t="array" ref="J13">GetValue("Tables",I13,"Name")</f>
        <v>Categories</v>
      </c>
      <c r="K13" s="10" t="s">
        <v>25</v>
      </c>
      <c r="L13" s="10" t="s">
        <v>177</v>
      </c>
      <c r="M13" s="10" t="s">
        <v>178</v>
      </c>
      <c r="N13" s="10" t="s">
        <v>178</v>
      </c>
      <c r="O13" s="10"/>
      <c r="P13" s="16"/>
      <c r="Q13" s="16" t="s">
        <v>35</v>
      </c>
      <c r="R13" s="16"/>
      <c r="S13" s="10" t="b">
        <v>0</v>
      </c>
      <c r="T13" s="10"/>
      <c r="U13" s="10" t="b">
        <v>1</v>
      </c>
      <c r="V13" s="10" t="b">
        <v>0</v>
      </c>
      <c r="W13" s="10" t="b">
        <v>0</v>
      </c>
      <c r="X13" s="10" t="b">
        <v>1</v>
      </c>
      <c r="Y13" s="10" t="b">
        <v>1</v>
      </c>
      <c r="Z13" s="10" t="b">
        <v>0</v>
      </c>
    </row>
    <row r="14" spans="1:26" x14ac:dyDescent="0.3">
      <c r="A14" s="10">
        <f t="shared" ref="A14:A80" si="2">ROW(A14)-1</f>
        <v>13</v>
      </c>
      <c r="B14" s="10">
        <v>2</v>
      </c>
      <c r="C14" s="10" t="str">
        <f t="array" ref="C14">GetValue("Tables",B14,"Name")</f>
        <v>Types</v>
      </c>
      <c r="D14" s="10">
        <f t="shared" ref="D14:D26" si="3">D13+5</f>
        <v>15</v>
      </c>
      <c r="E14" s="10">
        <v>9</v>
      </c>
      <c r="F14" s="10" t="str">
        <f t="array" ref="F14">GetValue("Domains",E14,"Name")</f>
        <v>Varchar(25)</v>
      </c>
      <c r="G14" s="10" t="str" cm="1">
        <f t="array" ref="G14">GetValue("Domains",E14,"#CategoryName")</f>
        <v>string</v>
      </c>
      <c r="H14" s="10" t="str" cm="1">
        <f t="array" ref="H14">GetDataType(E14)</f>
        <v>nvarchar(25)</v>
      </c>
      <c r="I14" s="10"/>
      <c r="J14" s="10" t="str">
        <f t="array" ref="J14">GetValue("Tables",I14,"Name")</f>
        <v/>
      </c>
      <c r="K14" s="10" t="s">
        <v>1</v>
      </c>
      <c r="L14" s="10" t="s">
        <v>175</v>
      </c>
      <c r="M14" s="10" t="s">
        <v>176</v>
      </c>
      <c r="N14" s="10" t="s">
        <v>176</v>
      </c>
      <c r="O14" s="10"/>
      <c r="P14" s="16"/>
      <c r="Q14" s="16" t="s">
        <v>35</v>
      </c>
      <c r="R14" s="16"/>
      <c r="S14" s="10" t="b">
        <v>0</v>
      </c>
      <c r="T14" s="10"/>
      <c r="U14" s="10" t="b">
        <v>1</v>
      </c>
      <c r="V14" s="10" t="b">
        <v>1</v>
      </c>
      <c r="W14" s="10" t="b">
        <v>1</v>
      </c>
      <c r="X14" s="10" t="b">
        <v>1</v>
      </c>
      <c r="Y14" s="10" t="b">
        <v>1</v>
      </c>
      <c r="Z14" s="10" t="b">
        <v>0</v>
      </c>
    </row>
    <row r="15" spans="1:26" x14ac:dyDescent="0.3">
      <c r="A15" s="10">
        <f t="shared" si="2"/>
        <v>14</v>
      </c>
      <c r="B15" s="10">
        <v>2</v>
      </c>
      <c r="C15" s="10" t="str">
        <f t="array" ref="C15">GetValue("Tables",B15,"Name")</f>
        <v>Types</v>
      </c>
      <c r="D15" s="10">
        <f t="shared" si="3"/>
        <v>20</v>
      </c>
      <c r="E15" s="10">
        <v>17</v>
      </c>
      <c r="F15" s="10" t="str">
        <f t="array" ref="F15">GetValue("Domains",E15,"Name")</f>
        <v>Variant</v>
      </c>
      <c r="G15" s="10" t="str" cm="1">
        <f t="array" ref="G15">GetValue("Domains",E15,"#CategoryName")</f>
        <v>string</v>
      </c>
      <c r="H15" s="10" t="str" cm="1">
        <f t="array" ref="H15">GetDataType(E15)</f>
        <v>nvarchar(MAX)</v>
      </c>
      <c r="I15" s="10"/>
      <c r="J15" s="10" t="str">
        <f t="array" ref="J15">GetValue("Tables",I15,"Name")</f>
        <v/>
      </c>
      <c r="K15" s="10" t="s">
        <v>26</v>
      </c>
      <c r="L15" s="10" t="s">
        <v>179</v>
      </c>
      <c r="M15" s="10" t="s">
        <v>180</v>
      </c>
      <c r="N15" s="10" t="s">
        <v>180</v>
      </c>
      <c r="O15" s="10"/>
      <c r="P15" s="16"/>
      <c r="Q15" s="16" t="s">
        <v>35</v>
      </c>
      <c r="R15" s="16"/>
      <c r="S15" s="10"/>
      <c r="T15" s="10"/>
      <c r="U15" s="10" t="b">
        <v>0</v>
      </c>
      <c r="V15" s="10"/>
      <c r="W15" s="10" t="b">
        <v>0</v>
      </c>
      <c r="X15" s="10" t="b">
        <v>1</v>
      </c>
      <c r="Y15" s="10" t="b">
        <v>1</v>
      </c>
      <c r="Z15" s="10"/>
    </row>
    <row r="16" spans="1:26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25</v>
      </c>
      <c r="E16" s="10">
        <v>17</v>
      </c>
      <c r="F16" s="10" t="str">
        <f t="array" ref="F16">GetValue("Domains",E16,"Name")</f>
        <v>Variant</v>
      </c>
      <c r="G16" s="10" t="str" cm="1">
        <f t="array" ref="G16">GetValue("Domains",E16,"#CategoryName")</f>
        <v>string</v>
      </c>
      <c r="H16" s="10" t="str" cm="1">
        <f t="array" ref="H16">GetDataType(E16)</f>
        <v>nvarchar(MAX)</v>
      </c>
      <c r="I16" s="10"/>
      <c r="J16" s="10" t="str">
        <f t="array" ref="J16">GetValue("Tables",I16,"Name")</f>
        <v/>
      </c>
      <c r="K16" s="10" t="s">
        <v>27</v>
      </c>
      <c r="L16" s="10" t="s">
        <v>181</v>
      </c>
      <c r="M16" s="10" t="s">
        <v>182</v>
      </c>
      <c r="N16" s="10" t="s">
        <v>182</v>
      </c>
      <c r="O16" s="10"/>
      <c r="P16" s="16"/>
      <c r="Q16" s="16" t="s">
        <v>35</v>
      </c>
      <c r="R16" s="16"/>
      <c r="S16" s="10"/>
      <c r="T16" s="10"/>
      <c r="U16" s="10" t="b">
        <v>0</v>
      </c>
      <c r="V16" s="10"/>
      <c r="W16" s="10" t="b">
        <v>0</v>
      </c>
      <c r="X16" s="10" t="b">
        <v>1</v>
      </c>
      <c r="Y16" s="10" t="b">
        <v>1</v>
      </c>
      <c r="Z16" s="10"/>
    </row>
    <row r="17" spans="1:26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30</v>
      </c>
      <c r="E17" s="10">
        <v>6</v>
      </c>
      <c r="F17" s="10" t="str">
        <f t="array" ref="F17">GetValue("Domains",E17,"Name")</f>
        <v>Boolean</v>
      </c>
      <c r="G17" s="10" t="str" cm="1">
        <f t="array" ref="G17">GetValue("Domains",E17,"#CategoryName")</f>
        <v>boolean</v>
      </c>
      <c r="H17" s="10" t="str" cm="1">
        <f t="array" ref="H17">GetDataType(E17)</f>
        <v>bit</v>
      </c>
      <c r="I17" s="10"/>
      <c r="J17" s="10" t="str">
        <f t="array" ref="J17">GetValue("Tables",I17,"Name")</f>
        <v/>
      </c>
      <c r="K17" s="10" t="s">
        <v>28</v>
      </c>
      <c r="L17" s="10" t="s">
        <v>183</v>
      </c>
      <c r="M17" s="10" t="s">
        <v>184</v>
      </c>
      <c r="N17" s="10" t="s">
        <v>184</v>
      </c>
      <c r="O17" s="10"/>
      <c r="P17" s="16"/>
      <c r="Q17" s="16" t="s">
        <v>35</v>
      </c>
      <c r="R17" s="16"/>
      <c r="S17" s="10"/>
      <c r="T17" s="10"/>
      <c r="U17" s="10" t="b">
        <v>1</v>
      </c>
      <c r="V17" s="10"/>
      <c r="W17" s="10" t="b">
        <v>1</v>
      </c>
      <c r="X17" s="10" t="b">
        <v>1</v>
      </c>
      <c r="Y17" s="10" t="b">
        <v>1</v>
      </c>
      <c r="Z17" s="10"/>
    </row>
    <row r="18" spans="1:26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35</v>
      </c>
      <c r="E18" s="10">
        <v>6</v>
      </c>
      <c r="F18" s="10" t="str">
        <f t="array" ref="F18">GetValue("Domains",E18,"Name")</f>
        <v>Boolean</v>
      </c>
      <c r="G18" s="10" t="str" cm="1">
        <f t="array" ref="G18">GetValue("Domains",E18,"#CategoryName")</f>
        <v>boolean</v>
      </c>
      <c r="H18" s="10" t="str" cm="1">
        <f t="array" ref="H18">GetDataType(E18)</f>
        <v>bit</v>
      </c>
      <c r="I18" s="10"/>
      <c r="J18" s="10" t="str">
        <f t="array" ref="J18">GetValue("Tables",I18,"Name")</f>
        <v/>
      </c>
      <c r="K18" s="10" t="s">
        <v>29</v>
      </c>
      <c r="L18" s="10" t="s">
        <v>185</v>
      </c>
      <c r="M18" s="10" t="s">
        <v>186</v>
      </c>
      <c r="N18" s="10" t="s">
        <v>186</v>
      </c>
      <c r="O18" s="10"/>
      <c r="P18" s="16"/>
      <c r="Q18" s="16" t="s">
        <v>35</v>
      </c>
      <c r="R18" s="16"/>
      <c r="S18" s="10"/>
      <c r="T18" s="10"/>
      <c r="U18" s="10" t="b">
        <v>1</v>
      </c>
      <c r="V18" s="10"/>
      <c r="W18" s="10" t="b">
        <v>1</v>
      </c>
      <c r="X18" s="10" t="b">
        <v>1</v>
      </c>
      <c r="Y18" s="10" t="b">
        <v>1</v>
      </c>
      <c r="Z18" s="10"/>
    </row>
    <row r="19" spans="1:26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40</v>
      </c>
      <c r="E19" s="10">
        <v>6</v>
      </c>
      <c r="F19" s="10" t="str">
        <f t="array" ref="F19">GetValue("Domains",E19,"Name")</f>
        <v>Boolean</v>
      </c>
      <c r="G19" s="10" t="str" cm="1">
        <f t="array" ref="G19">GetValue("Domains",E19,"#CategoryName")</f>
        <v>boolean</v>
      </c>
      <c r="H19" s="10" t="str" cm="1">
        <f t="array" ref="H19">GetDataType(E19)</f>
        <v>bit</v>
      </c>
      <c r="I19" s="10"/>
      <c r="J19" s="10" t="str">
        <f t="array" ref="J19">GetValue("Tables",I19,"Name")</f>
        <v/>
      </c>
      <c r="K19" s="10" t="s">
        <v>30</v>
      </c>
      <c r="L19" s="10" t="s">
        <v>187</v>
      </c>
      <c r="M19" s="10" t="s">
        <v>188</v>
      </c>
      <c r="N19" s="10" t="s">
        <v>188</v>
      </c>
      <c r="O19" s="10"/>
      <c r="P19" s="16"/>
      <c r="Q19" s="16" t="s">
        <v>35</v>
      </c>
      <c r="R19" s="16"/>
      <c r="S19" s="10"/>
      <c r="T19" s="10"/>
      <c r="U19" s="10" t="b">
        <v>1</v>
      </c>
      <c r="V19" s="10"/>
      <c r="W19" s="10" t="b">
        <v>1</v>
      </c>
      <c r="X19" s="10" t="b">
        <v>1</v>
      </c>
      <c r="Y19" s="10" t="b">
        <v>1</v>
      </c>
      <c r="Z19" s="10"/>
    </row>
    <row r="20" spans="1:26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45</v>
      </c>
      <c r="E20" s="10">
        <v>6</v>
      </c>
      <c r="F20" s="10" t="str">
        <f t="array" ref="F20">GetValue("Domains",E20,"Name")</f>
        <v>Boolean</v>
      </c>
      <c r="G20" s="10" t="str" cm="1">
        <f t="array" ref="G20">GetValue("Domains",E20,"#CategoryName")</f>
        <v>boolean</v>
      </c>
      <c r="H20" s="10" t="str" cm="1">
        <f t="array" ref="H20">GetDataType(E20)</f>
        <v>bit</v>
      </c>
      <c r="I20" s="10"/>
      <c r="J20" s="10" t="str">
        <f t="array" ref="J20">GetValue("Tables",I20,"Name")</f>
        <v/>
      </c>
      <c r="K20" s="10" t="s">
        <v>31</v>
      </c>
      <c r="L20" s="10" t="s">
        <v>189</v>
      </c>
      <c r="M20" s="10" t="s">
        <v>190</v>
      </c>
      <c r="N20" s="10" t="s">
        <v>190</v>
      </c>
      <c r="O20" s="10"/>
      <c r="P20" s="16"/>
      <c r="Q20" s="16" t="s">
        <v>35</v>
      </c>
      <c r="R20" s="16"/>
      <c r="S20" s="10"/>
      <c r="T20" s="10"/>
      <c r="U20" s="10" t="b">
        <v>1</v>
      </c>
      <c r="V20" s="10"/>
      <c r="W20" s="10" t="b">
        <v>1</v>
      </c>
      <c r="X20" s="10" t="b">
        <v>1</v>
      </c>
      <c r="Y20" s="10" t="b">
        <v>1</v>
      </c>
      <c r="Z20" s="10"/>
    </row>
    <row r="21" spans="1:26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50</v>
      </c>
      <c r="E21" s="10">
        <v>6</v>
      </c>
      <c r="F21" s="10" t="str">
        <f t="array" ref="F21">GetValue("Domains",E21,"Name")</f>
        <v>Boolean</v>
      </c>
      <c r="G21" s="10" t="str" cm="1">
        <f t="array" ref="G21">GetValue("Domains",E21,"#CategoryName")</f>
        <v>boolean</v>
      </c>
      <c r="H21" s="10" t="str" cm="1">
        <f t="array" ref="H21">GetDataType(E21)</f>
        <v>bit</v>
      </c>
      <c r="I21" s="10"/>
      <c r="J21" s="10" t="str">
        <f t="array" ref="J21">GetValue("Tables",I21,"Name")</f>
        <v/>
      </c>
      <c r="K21" s="10" t="s">
        <v>32</v>
      </c>
      <c r="L21" s="10" t="s">
        <v>191</v>
      </c>
      <c r="M21" s="10" t="s">
        <v>192</v>
      </c>
      <c r="N21" s="10" t="s">
        <v>192</v>
      </c>
      <c r="O21" s="10"/>
      <c r="P21" s="16"/>
      <c r="Q21" s="16" t="s">
        <v>35</v>
      </c>
      <c r="R21" s="16"/>
      <c r="S21" s="10"/>
      <c r="T21" s="10"/>
      <c r="U21" s="10" t="b">
        <v>1</v>
      </c>
      <c r="V21" s="10"/>
      <c r="W21" s="10" t="b">
        <v>1</v>
      </c>
      <c r="X21" s="10" t="b">
        <v>1</v>
      </c>
      <c r="Y21" s="10" t="b">
        <v>1</v>
      </c>
      <c r="Z21" s="10"/>
    </row>
    <row r="22" spans="1:26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55</v>
      </c>
      <c r="E22" s="10">
        <v>6</v>
      </c>
      <c r="F22" s="10" t="str">
        <f t="array" ref="F22">GetValue("Domains",E22,"Name")</f>
        <v>Boolean</v>
      </c>
      <c r="G22" s="10" t="str" cm="1">
        <f t="array" ref="G22">GetValue("Domains",E22,"#CategoryName")</f>
        <v>boolean</v>
      </c>
      <c r="H22" s="10" t="str" cm="1">
        <f t="array" ref="H22">GetDataType(E22)</f>
        <v>bit</v>
      </c>
      <c r="I22" s="10"/>
      <c r="J22" s="10" t="str">
        <f t="array" ref="J22">GetValue("Tables",I22,"Name")</f>
        <v/>
      </c>
      <c r="K22" s="10" t="s">
        <v>464</v>
      </c>
      <c r="L22" s="10" t="s">
        <v>466</v>
      </c>
      <c r="M22" s="10" t="s">
        <v>467</v>
      </c>
      <c r="N22" s="10" t="s">
        <v>467</v>
      </c>
      <c r="O22" s="10"/>
      <c r="P22" s="16"/>
      <c r="Q22" s="16" t="s">
        <v>35</v>
      </c>
      <c r="R22" s="16"/>
      <c r="S22" s="10"/>
      <c r="T22" s="10"/>
      <c r="U22" s="10" t="b">
        <v>1</v>
      </c>
      <c r="V22" s="10"/>
      <c r="W22" s="10" t="b">
        <v>1</v>
      </c>
      <c r="X22" s="10" t="b">
        <v>1</v>
      </c>
      <c r="Y22" s="10" t="b">
        <v>1</v>
      </c>
      <c r="Z22" s="10"/>
    </row>
    <row r="23" spans="1:26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60</v>
      </c>
      <c r="E23" s="10">
        <v>6</v>
      </c>
      <c r="F23" s="10" t="str">
        <f t="array" ref="F23">GetValue("Domains",E23,"Name")</f>
        <v>Boolean</v>
      </c>
      <c r="G23" s="10" t="str" cm="1">
        <f t="array" ref="G23">GetValue("Domains",E23,"#CategoryName")</f>
        <v>boolean</v>
      </c>
      <c r="H23" s="10" t="str" cm="1">
        <f t="array" ref="H23">GetDataType(E23)</f>
        <v>bit</v>
      </c>
      <c r="I23" s="10"/>
      <c r="J23" s="10" t="str">
        <f t="array" ref="J23">GetValue("Tables",I23,"Name")</f>
        <v/>
      </c>
      <c r="K23" s="10" t="s">
        <v>333</v>
      </c>
      <c r="L23" s="10" t="s">
        <v>339</v>
      </c>
      <c r="M23" s="10" t="s">
        <v>340</v>
      </c>
      <c r="N23" s="10" t="s">
        <v>340</v>
      </c>
      <c r="O23" s="10"/>
      <c r="P23" s="16"/>
      <c r="Q23" s="16" t="s">
        <v>35</v>
      </c>
      <c r="R23" s="16"/>
      <c r="S23" s="10"/>
      <c r="T23" s="10"/>
      <c r="U23" s="10" t="b">
        <v>1</v>
      </c>
      <c r="V23" s="10"/>
      <c r="W23" s="10" t="b">
        <v>1</v>
      </c>
      <c r="X23" s="10" t="b">
        <v>1</v>
      </c>
      <c r="Y23" s="10" t="b">
        <v>1</v>
      </c>
      <c r="Z23" s="10"/>
    </row>
    <row r="24" spans="1:26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65</v>
      </c>
      <c r="E24" s="10">
        <v>6</v>
      </c>
      <c r="F24" s="10" t="str">
        <f t="array" ref="F24">GetValue("Domains",E24,"Name")</f>
        <v>Boolean</v>
      </c>
      <c r="G24" s="10" t="str" cm="1">
        <f t="array" ref="G24">GetValue("Domains",E24,"#CategoryName")</f>
        <v>boolean</v>
      </c>
      <c r="H24" s="10" t="str" cm="1">
        <f t="array" ref="H24">GetDataType(E24)</f>
        <v>bit</v>
      </c>
      <c r="I24" s="10"/>
      <c r="J24" s="10" t="str">
        <f t="array" ref="J24">GetValue("Tables",I24,"Name")</f>
        <v/>
      </c>
      <c r="K24" s="10" t="s">
        <v>332</v>
      </c>
      <c r="L24" s="10" t="s">
        <v>341</v>
      </c>
      <c r="M24" s="10" t="s">
        <v>342</v>
      </c>
      <c r="N24" s="10" t="s">
        <v>342</v>
      </c>
      <c r="O24" s="10"/>
      <c r="P24" s="16"/>
      <c r="Q24" s="16" t="s">
        <v>35</v>
      </c>
      <c r="R24" s="16"/>
      <c r="S24" s="10"/>
      <c r="T24" s="10"/>
      <c r="U24" s="10" t="b">
        <v>1</v>
      </c>
      <c r="V24" s="10"/>
      <c r="W24" s="10" t="b">
        <v>1</v>
      </c>
      <c r="X24" s="10" t="b">
        <v>1</v>
      </c>
      <c r="Y24" s="10" t="b">
        <v>1</v>
      </c>
      <c r="Z24" s="10"/>
    </row>
    <row r="25" spans="1:26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70</v>
      </c>
      <c r="E25" s="10">
        <v>6</v>
      </c>
      <c r="F25" s="10" t="str">
        <f t="array" ref="F25">GetValue("Domains",E25,"Name")</f>
        <v>Boolean</v>
      </c>
      <c r="G25" s="10" t="str" cm="1">
        <f t="array" ref="G25">GetValue("Domains",E25,"#CategoryName")</f>
        <v>boolean</v>
      </c>
      <c r="H25" s="10" t="str" cm="1">
        <f t="array" ref="H25">GetDataType(E25)</f>
        <v>bit</v>
      </c>
      <c r="I25" s="10"/>
      <c r="J25" s="10" t="str">
        <f t="array" ref="J25">GetValue("Tables",I25,"Name")</f>
        <v/>
      </c>
      <c r="K25" s="10" t="s">
        <v>335</v>
      </c>
      <c r="L25" s="10" t="s">
        <v>343</v>
      </c>
      <c r="M25" s="10" t="s">
        <v>344</v>
      </c>
      <c r="N25" s="10" t="s">
        <v>344</v>
      </c>
      <c r="O25" s="10"/>
      <c r="P25" s="16"/>
      <c r="Q25" s="16" t="s">
        <v>35</v>
      </c>
      <c r="R25" s="16"/>
      <c r="S25" s="10"/>
      <c r="T25" s="10"/>
      <c r="U25" s="10" t="b">
        <v>1</v>
      </c>
      <c r="V25" s="10"/>
      <c r="W25" s="10" t="b">
        <v>1</v>
      </c>
      <c r="X25" s="10" t="b">
        <v>1</v>
      </c>
      <c r="Y25" s="10" t="b">
        <v>1</v>
      </c>
      <c r="Z25" s="10"/>
    </row>
    <row r="26" spans="1:26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75</v>
      </c>
      <c r="E26" s="10">
        <v>6</v>
      </c>
      <c r="F26" s="10" t="str">
        <f t="array" ref="F26">GetValue("Domains",E26,"Name")</f>
        <v>Boolean</v>
      </c>
      <c r="G26" s="10" t="str" cm="1">
        <f t="array" ref="G26">GetValue("Domains",E26,"#CategoryName")</f>
        <v>boolean</v>
      </c>
      <c r="H26" s="10" t="str" cm="1">
        <f t="array" ref="H26">GetDataType(E26)</f>
        <v>bit</v>
      </c>
      <c r="I26" s="10"/>
      <c r="J26" s="10" t="str">
        <f t="array" ref="J26">GetValue("Tables",I26,"Name")</f>
        <v/>
      </c>
      <c r="K26" s="10" t="s">
        <v>33</v>
      </c>
      <c r="L26" s="10" t="s">
        <v>193</v>
      </c>
      <c r="M26" s="10" t="s">
        <v>194</v>
      </c>
      <c r="N26" s="10" t="s">
        <v>194</v>
      </c>
      <c r="O26" s="10"/>
      <c r="P26" s="16"/>
      <c r="Q26" s="16" t="s">
        <v>35</v>
      </c>
      <c r="R26" s="16"/>
      <c r="S26" s="10"/>
      <c r="T26" s="10"/>
      <c r="U26" s="10" t="b">
        <v>1</v>
      </c>
      <c r="V26" s="10"/>
      <c r="W26" s="10" t="b">
        <v>1</v>
      </c>
      <c r="X26" s="10" t="b">
        <v>1</v>
      </c>
      <c r="Y26" s="10" t="b">
        <v>1</v>
      </c>
      <c r="Z26" s="10"/>
    </row>
    <row r="27" spans="1:26" x14ac:dyDescent="0.3">
      <c r="A27" s="8">
        <f>ROW(A27)-1</f>
        <v>26</v>
      </c>
      <c r="B27" s="8">
        <v>3</v>
      </c>
      <c r="C27" s="8" t="str">
        <f t="array" ref="C27">GetValue("Tables",B27,"Name")</f>
        <v>Masks</v>
      </c>
      <c r="D27" s="8">
        <v>5</v>
      </c>
      <c r="E27" s="8">
        <v>1</v>
      </c>
      <c r="F27" s="8" t="str">
        <f t="array" ref="F27">GetValue("Domains",E27,"Name")</f>
        <v>BigInteger</v>
      </c>
      <c r="G27" s="8" t="str" cm="1">
        <f t="array" ref="G27">GetValue("Domains",E27,"#CategoryName")</f>
        <v>numeric</v>
      </c>
      <c r="H27" s="8" t="str" cm="1">
        <f t="array" ref="H27">GetDataType(E27)</f>
        <v>int</v>
      </c>
      <c r="I27" s="8"/>
      <c r="J27" s="8" t="str">
        <f t="array" ref="J27">GetValue("Tables",I27,"Name")</f>
        <v/>
      </c>
      <c r="K27" s="8" t="s">
        <v>0</v>
      </c>
      <c r="L27" s="8" t="s">
        <v>208</v>
      </c>
      <c r="M27" s="8" t="s">
        <v>174</v>
      </c>
      <c r="N27" s="8" t="s">
        <v>174</v>
      </c>
      <c r="O27" s="8"/>
      <c r="P27" s="15"/>
      <c r="Q27" s="15" t="s">
        <v>35</v>
      </c>
      <c r="R27" s="15"/>
      <c r="S27" s="8" t="b">
        <v>1</v>
      </c>
      <c r="T27" s="8" t="b">
        <v>0</v>
      </c>
      <c r="U27" s="8" t="b">
        <v>1</v>
      </c>
      <c r="V27" s="8"/>
      <c r="W27" s="8" t="b">
        <v>1</v>
      </c>
      <c r="X27" s="8" t="b">
        <v>0</v>
      </c>
      <c r="Y27" s="8" t="b">
        <v>0</v>
      </c>
      <c r="Z27" s="8"/>
    </row>
    <row r="28" spans="1:26" x14ac:dyDescent="0.3">
      <c r="A28" s="8">
        <f>ROW(A28)-1</f>
        <v>27</v>
      </c>
      <c r="B28" s="8">
        <v>3</v>
      </c>
      <c r="C28" s="8" t="str">
        <f t="array" ref="C28">GetValue("Tables",B28,"Name")</f>
        <v>Masks</v>
      </c>
      <c r="D28" s="8">
        <f>D27+5</f>
        <v>10</v>
      </c>
      <c r="E28" s="8">
        <v>9</v>
      </c>
      <c r="F28" s="8" t="str">
        <f t="array" ref="F28">GetValue("Domains",E28,"Name")</f>
        <v>Varchar(25)</v>
      </c>
      <c r="G28" s="8" t="str" cm="1">
        <f t="array" ref="G28">GetValue("Domains",E28,"#CategoryName")</f>
        <v>string</v>
      </c>
      <c r="H28" s="8" t="str" cm="1">
        <f t="array" ref="H28">GetDataType(E28)</f>
        <v>nvarchar(25)</v>
      </c>
      <c r="I28" s="8"/>
      <c r="J28" s="8" t="str">
        <f t="array" ref="J28">GetValue("Tables",I28,"Name")</f>
        <v/>
      </c>
      <c r="K28" s="8" t="s">
        <v>1</v>
      </c>
      <c r="L28" s="8" t="s">
        <v>209</v>
      </c>
      <c r="M28" s="8" t="s">
        <v>176</v>
      </c>
      <c r="N28" s="8" t="s">
        <v>176</v>
      </c>
      <c r="O28" s="8"/>
      <c r="P28" s="15"/>
      <c r="Q28" s="15" t="s">
        <v>35</v>
      </c>
      <c r="R28" s="15"/>
      <c r="S28" s="8" t="b">
        <v>0</v>
      </c>
      <c r="T28" s="8"/>
      <c r="U28" s="8" t="b">
        <v>1</v>
      </c>
      <c r="V28" s="8"/>
      <c r="W28" s="8" t="b">
        <v>1</v>
      </c>
      <c r="X28" s="8" t="b">
        <v>1</v>
      </c>
      <c r="Y28" s="8" t="b">
        <v>1</v>
      </c>
      <c r="Z28" s="8"/>
    </row>
    <row r="29" spans="1:26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f>D28+5</f>
        <v>15</v>
      </c>
      <c r="E29" s="8">
        <v>12</v>
      </c>
      <c r="F29" s="8" t="str">
        <f t="array" ref="F29">GetValue("Domains",E29,"Name")</f>
        <v>Varchar(MAX)</v>
      </c>
      <c r="G29" s="8" t="str" cm="1">
        <f t="array" ref="G29">GetValue("Domains",E29,"#CategoryName")</f>
        <v>string</v>
      </c>
      <c r="H29" s="8" t="str" cm="1">
        <f t="array" ref="H29">GetDataType(E29)</f>
        <v>nvarchar(MAX)</v>
      </c>
      <c r="I29" s="8"/>
      <c r="J29" s="8" t="str">
        <f t="array" ref="J29">GetValue("Tables",I29,"Name")</f>
        <v/>
      </c>
      <c r="K29" s="8" t="s">
        <v>83</v>
      </c>
      <c r="L29" s="8" t="s">
        <v>210</v>
      </c>
      <c r="M29" s="8" t="s">
        <v>199</v>
      </c>
      <c r="N29" s="8" t="s">
        <v>199</v>
      </c>
      <c r="O29" s="8"/>
      <c r="P29" s="15"/>
      <c r="Q29" s="15" t="s">
        <v>35</v>
      </c>
      <c r="R29" s="15"/>
      <c r="S29" s="8" t="b">
        <v>0</v>
      </c>
      <c r="T29" s="8"/>
      <c r="U29" s="8" t="b">
        <v>1</v>
      </c>
      <c r="V29" s="8"/>
      <c r="W29" s="8"/>
      <c r="X29" s="8" t="b">
        <v>1</v>
      </c>
      <c r="Y29" s="8" t="b">
        <v>0</v>
      </c>
      <c r="Z29" s="8"/>
    </row>
    <row r="30" spans="1:26" x14ac:dyDescent="0.3">
      <c r="A30" s="10">
        <f t="shared" si="2"/>
        <v>29</v>
      </c>
      <c r="B30" s="10">
        <v>4</v>
      </c>
      <c r="C30" s="10" t="str">
        <f t="array" ref="C30">GetValue("Tables",B30,"Name")</f>
        <v>Domains</v>
      </c>
      <c r="D30" s="10">
        <v>5</v>
      </c>
      <c r="E30" s="10">
        <v>1</v>
      </c>
      <c r="F30" s="10" t="str">
        <f t="array" ref="F30">GetValue("Domains",E30,"Name")</f>
        <v>BigInteger</v>
      </c>
      <c r="G30" s="10" t="str" cm="1">
        <f t="array" ref="G30">GetValue("Domains",E30,"#CategoryName")</f>
        <v>numeric</v>
      </c>
      <c r="H30" s="10" t="str" cm="1">
        <f t="array" ref="H30">GetDataType(E30)</f>
        <v>int</v>
      </c>
      <c r="I30" s="10"/>
      <c r="J30" s="10" t="str">
        <f t="array" ref="J30">GetValue("Tables",I30,"Name")</f>
        <v/>
      </c>
      <c r="K30" s="10" t="s">
        <v>0</v>
      </c>
      <c r="L30" s="10" t="s">
        <v>195</v>
      </c>
      <c r="M30" s="10" t="s">
        <v>174</v>
      </c>
      <c r="N30" s="10" t="s">
        <v>174</v>
      </c>
      <c r="O30" s="10"/>
      <c r="P30" s="16"/>
      <c r="Q30" s="17">
        <v>1</v>
      </c>
      <c r="R30" s="17"/>
      <c r="S30" s="10" t="b">
        <v>1</v>
      </c>
      <c r="T30" s="10" t="b">
        <v>0</v>
      </c>
      <c r="U30" s="10" t="b">
        <v>1</v>
      </c>
      <c r="V30" s="10"/>
      <c r="W30" s="10" t="b">
        <v>1</v>
      </c>
      <c r="X30" s="10" t="b">
        <v>0</v>
      </c>
      <c r="Y30" s="10" t="b">
        <v>0</v>
      </c>
      <c r="Z30" s="10"/>
    </row>
    <row r="31" spans="1:26" x14ac:dyDescent="0.3">
      <c r="A31" s="10">
        <f t="shared" si="2"/>
        <v>30</v>
      </c>
      <c r="B31" s="10">
        <v>4</v>
      </c>
      <c r="C31" s="10" t="str">
        <f t="array" ref="C31">GetValue("Tables",B31,"Name")</f>
        <v>Domains</v>
      </c>
      <c r="D31" s="10">
        <f t="shared" ref="D31:D40" si="4">D30+5</f>
        <v>10</v>
      </c>
      <c r="E31" s="10">
        <v>5</v>
      </c>
      <c r="F31" s="10" t="str">
        <f t="array" ref="F31">GetValue("Domains",E31,"Name")</f>
        <v>TinyInteger</v>
      </c>
      <c r="G31" s="10" t="str" cm="1">
        <f t="array" ref="G31">GetValue("Domains",E31,"#CategoryName")</f>
        <v>numeric</v>
      </c>
      <c r="H31" s="10" t="str" cm="1">
        <f t="array" ref="H31">GetDataType(E31)</f>
        <v>tinyint</v>
      </c>
      <c r="I31" s="10">
        <v>2</v>
      </c>
      <c r="J31" s="10" t="str">
        <f t="array" ref="J31">GetValue("Tables",I31,"Name")</f>
        <v>Types</v>
      </c>
      <c r="K31" s="10" t="s">
        <v>62</v>
      </c>
      <c r="L31" s="10" t="s">
        <v>196</v>
      </c>
      <c r="M31" s="10" t="s">
        <v>197</v>
      </c>
      <c r="N31" s="10" t="s">
        <v>197</v>
      </c>
      <c r="O31" s="10"/>
      <c r="P31" s="16"/>
      <c r="Q31" s="17">
        <v>1</v>
      </c>
      <c r="R31" s="16"/>
      <c r="S31" s="10" t="b">
        <v>0</v>
      </c>
      <c r="T31" s="10" t="b">
        <v>0</v>
      </c>
      <c r="U31" s="10" t="b">
        <v>1</v>
      </c>
      <c r="V31" s="10"/>
      <c r="W31" s="10" t="b">
        <v>1</v>
      </c>
      <c r="X31" s="10" t="b">
        <v>1</v>
      </c>
      <c r="Y31" s="10" t="b">
        <v>1</v>
      </c>
      <c r="Z31" s="10"/>
    </row>
    <row r="32" spans="1:26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f t="shared" si="4"/>
        <v>15</v>
      </c>
      <c r="E32" s="10">
        <v>1</v>
      </c>
      <c r="F32" s="10" t="str">
        <f t="array" ref="F32">GetValue("Domains",E32,"Name")</f>
        <v>BigInteger</v>
      </c>
      <c r="G32" s="10" t="str" cm="1">
        <f t="array" ref="G32">GetValue("Domains",E32,"#CategoryName")</f>
        <v>numeric</v>
      </c>
      <c r="H32" s="10" t="str" cm="1">
        <f t="array" ref="H32">GetDataType(E32)</f>
        <v>int</v>
      </c>
      <c r="I32" s="10">
        <v>3</v>
      </c>
      <c r="J32" s="10" t="str">
        <f t="array" ref="J32">GetValue("Tables",I32,"Name")</f>
        <v>Masks</v>
      </c>
      <c r="K32" s="10" t="s">
        <v>63</v>
      </c>
      <c r="L32" s="10" t="s">
        <v>198</v>
      </c>
      <c r="M32" s="10" t="s">
        <v>199</v>
      </c>
      <c r="N32" s="10" t="s">
        <v>199</v>
      </c>
      <c r="O32" s="10"/>
      <c r="P32" s="16"/>
      <c r="Q32" s="17" t="s">
        <v>35</v>
      </c>
      <c r="R32" s="16"/>
      <c r="S32" s="10" t="b">
        <v>0</v>
      </c>
      <c r="T32" s="10"/>
      <c r="U32" s="10" t="b">
        <v>0</v>
      </c>
      <c r="V32" s="10"/>
      <c r="W32" s="10" t="b">
        <v>1</v>
      </c>
      <c r="X32" s="10" t="b">
        <v>1</v>
      </c>
      <c r="Y32" s="10" t="b">
        <v>1</v>
      </c>
      <c r="Z32" s="10"/>
    </row>
    <row r="33" spans="1:26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si="4"/>
        <v>20</v>
      </c>
      <c r="E33" s="10">
        <v>9</v>
      </c>
      <c r="F33" s="10" t="str">
        <f t="array" ref="F33">GetValue("Domains",E33,"Name")</f>
        <v>Varchar(25)</v>
      </c>
      <c r="G33" s="10" t="str" cm="1">
        <f t="array" ref="G33">GetValue("Domains",E33,"#CategoryName")</f>
        <v>string</v>
      </c>
      <c r="H33" s="10" t="str" cm="1">
        <f t="array" ref="H33">GetDataType(E33)</f>
        <v>nvarchar(25)</v>
      </c>
      <c r="I33" s="10"/>
      <c r="J33" s="10" t="str">
        <f t="array" ref="J33">GetValue("Tables",I33,"Name")</f>
        <v/>
      </c>
      <c r="K33" s="10" t="s">
        <v>1</v>
      </c>
      <c r="L33" s="10" t="s">
        <v>200</v>
      </c>
      <c r="M33" s="10" t="s">
        <v>176</v>
      </c>
      <c r="N33" s="10" t="s">
        <v>176</v>
      </c>
      <c r="O33" s="10"/>
      <c r="P33" s="16"/>
      <c r="Q33" s="17" t="s">
        <v>35</v>
      </c>
      <c r="R33" s="16"/>
      <c r="S33" s="10" t="b">
        <v>0</v>
      </c>
      <c r="T33" s="10"/>
      <c r="U33" s="10" t="b">
        <v>1</v>
      </c>
      <c r="V33" s="10" t="b">
        <v>1</v>
      </c>
      <c r="W33" s="10" t="b">
        <v>1</v>
      </c>
      <c r="X33" s="10" t="b">
        <v>1</v>
      </c>
      <c r="Y33" s="10" t="b">
        <v>1</v>
      </c>
      <c r="Z33" s="10"/>
    </row>
    <row r="34" spans="1:26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25</v>
      </c>
      <c r="E34" s="10">
        <v>4</v>
      </c>
      <c r="F34" s="10" t="str">
        <f t="array" ref="F34">GetValue("Domains",E34,"Name")</f>
        <v>SmallInteger</v>
      </c>
      <c r="G34" s="10" t="str" cm="1">
        <f t="array" ref="G34">GetValue("Domains",E34,"#CategoryName")</f>
        <v>numeric</v>
      </c>
      <c r="H34" s="10" t="str" cm="1">
        <f t="array" ref="H34">GetDataType(E34)</f>
        <v>smallint</v>
      </c>
      <c r="I34" s="10"/>
      <c r="J34" s="10" t="str">
        <f t="array" ref="J34">GetValue("Tables",I34,"Name")</f>
        <v/>
      </c>
      <c r="K34" s="10" t="s">
        <v>64</v>
      </c>
      <c r="L34" s="10" t="s">
        <v>201</v>
      </c>
      <c r="M34" s="10" t="s">
        <v>202</v>
      </c>
      <c r="N34" s="10" t="s">
        <v>202</v>
      </c>
      <c r="O34" s="10"/>
      <c r="P34" s="16"/>
      <c r="Q34" s="17">
        <v>0</v>
      </c>
      <c r="R34" s="16"/>
      <c r="S34" s="10" t="b">
        <v>0</v>
      </c>
      <c r="T34" s="10" t="b">
        <v>0</v>
      </c>
      <c r="U34" s="10" t="b">
        <v>0</v>
      </c>
      <c r="V34" s="10"/>
      <c r="W34" s="10" t="b">
        <v>0</v>
      </c>
      <c r="X34" s="10" t="b">
        <v>1</v>
      </c>
      <c r="Y34" s="10" t="b">
        <v>1</v>
      </c>
      <c r="Z34" s="10"/>
    </row>
    <row r="35" spans="1:26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30</v>
      </c>
      <c r="E35" s="10">
        <v>5</v>
      </c>
      <c r="F35" s="10" t="str">
        <f t="array" ref="F35">GetValue("Domains",E35,"Name")</f>
        <v>TinyInteger</v>
      </c>
      <c r="G35" s="10" t="str" cm="1">
        <f t="array" ref="G35">GetValue("Domains",E35,"#CategoryName")</f>
        <v>numeric</v>
      </c>
      <c r="H35" s="10" t="str" cm="1">
        <f t="array" ref="H35">GetDataType(E35)</f>
        <v>tinyint</v>
      </c>
      <c r="I35" s="10"/>
      <c r="J35" s="10" t="str">
        <f t="array" ref="J35">GetValue("Tables",I35,"Name")</f>
        <v/>
      </c>
      <c r="K35" s="10" t="s">
        <v>65</v>
      </c>
      <c r="L35" s="10" t="s">
        <v>203</v>
      </c>
      <c r="M35" s="10" t="s">
        <v>204</v>
      </c>
      <c r="N35" s="10" t="s">
        <v>204</v>
      </c>
      <c r="O35" s="10"/>
      <c r="P35" s="16"/>
      <c r="Q35" s="17">
        <v>0</v>
      </c>
      <c r="R35" s="16"/>
      <c r="S35" s="10" t="b">
        <v>0</v>
      </c>
      <c r="T35" s="10" t="b">
        <v>0</v>
      </c>
      <c r="U35" s="10" t="b">
        <v>0</v>
      </c>
      <c r="V35" s="10"/>
      <c r="W35" s="10" t="b">
        <v>0</v>
      </c>
      <c r="X35" s="10" t="b">
        <v>1</v>
      </c>
      <c r="Y35" s="10" t="b">
        <v>1</v>
      </c>
      <c r="Z35" s="10"/>
    </row>
    <row r="36" spans="1:26" x14ac:dyDescent="0.3">
      <c r="A36" s="10">
        <f>ROW(A36)-1</f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35</v>
      </c>
      <c r="E36" s="10">
        <v>12</v>
      </c>
      <c r="F36" s="10" t="str">
        <f t="array" ref="F36">GetValue("Domains",E36,"Name")</f>
        <v>Varchar(MAX)</v>
      </c>
      <c r="G36" s="10" t="str" cm="1">
        <f t="array" ref="G36">GetValue("Domains",E36,"#CategoryName")</f>
        <v>string</v>
      </c>
      <c r="H36" s="10" t="str" cm="1">
        <f t="array" ref="H36">GetDataType(E36)</f>
        <v>nvarchar(MAX)</v>
      </c>
      <c r="I36" s="10"/>
      <c r="J36" s="10" t="str">
        <f t="array" ref="J36">GetValue("Tables",I36,"Name")</f>
        <v/>
      </c>
      <c r="K36" s="10" t="s">
        <v>351</v>
      </c>
      <c r="L36" s="10" t="s">
        <v>347</v>
      </c>
      <c r="M36" s="10" t="s">
        <v>347</v>
      </c>
      <c r="N36" s="10" t="s">
        <v>347</v>
      </c>
      <c r="O36" s="10"/>
      <c r="P36" s="16"/>
      <c r="Q36" s="17" t="s">
        <v>35</v>
      </c>
      <c r="R36" s="16"/>
      <c r="S36" s="10"/>
      <c r="T36" s="10"/>
      <c r="U36" s="10" t="b">
        <v>0</v>
      </c>
      <c r="V36" s="10"/>
      <c r="W36" s="10" t="b">
        <v>1</v>
      </c>
      <c r="X36" s="10" t="b">
        <v>1</v>
      </c>
      <c r="Y36" s="10" t="b">
        <v>1</v>
      </c>
      <c r="Z36" s="10"/>
    </row>
    <row r="37" spans="1:26" x14ac:dyDescent="0.3">
      <c r="A37" s="10">
        <f t="shared" si="2"/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40</v>
      </c>
      <c r="E37" s="10">
        <v>17</v>
      </c>
      <c r="F37" s="10" t="str">
        <f t="array" ref="F37">GetValue("Domains",E37,"Name")</f>
        <v>Variant</v>
      </c>
      <c r="G37" s="10" t="str" cm="1">
        <f t="array" ref="G37">GetValue("Domains",E37,"#CategoryName")</f>
        <v>string</v>
      </c>
      <c r="H37" s="10" t="str" cm="1">
        <f t="array" ref="H37">GetDataType(E37)</f>
        <v>nvarchar(MAX)</v>
      </c>
      <c r="I37" s="10"/>
      <c r="J37" s="10" t="str">
        <f t="array" ref="J37">GetValue("Tables",I37,"Name")</f>
        <v/>
      </c>
      <c r="K37" s="10" t="s">
        <v>66</v>
      </c>
      <c r="L37" s="10" t="s">
        <v>207</v>
      </c>
      <c r="M37" s="10" t="s">
        <v>275</v>
      </c>
      <c r="N37" s="10" t="s">
        <v>275</v>
      </c>
      <c r="O37" s="10"/>
      <c r="P37" s="16"/>
      <c r="Q37" s="17" t="s">
        <v>35</v>
      </c>
      <c r="R37" s="16"/>
      <c r="S37" s="10"/>
      <c r="T37" s="10"/>
      <c r="U37" s="10" t="b">
        <v>0</v>
      </c>
      <c r="V37" s="10"/>
      <c r="W37" s="10"/>
      <c r="X37" s="10" t="b">
        <v>1</v>
      </c>
      <c r="Y37" s="10" t="b">
        <v>0</v>
      </c>
      <c r="Z37" s="10"/>
    </row>
    <row r="38" spans="1:26" x14ac:dyDescent="0.3">
      <c r="A38" s="10">
        <f t="shared" si="2"/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45</v>
      </c>
      <c r="E38" s="10">
        <v>17</v>
      </c>
      <c r="F38" s="10" t="str">
        <f t="array" ref="F38">GetValue("Domains",E38,"Name")</f>
        <v>Variant</v>
      </c>
      <c r="G38" s="10" t="str" cm="1">
        <f t="array" ref="G38">GetValue("Domains",E38,"#CategoryName")</f>
        <v>string</v>
      </c>
      <c r="H38" s="10" t="str" cm="1">
        <f t="array" ref="H38">GetDataType(E38)</f>
        <v>nvarchar(MAX)</v>
      </c>
      <c r="I38" s="10"/>
      <c r="J38" s="10" t="str">
        <f t="array" ref="J38">GetValue("Tables",I38,"Name")</f>
        <v/>
      </c>
      <c r="K38" s="10" t="s">
        <v>26</v>
      </c>
      <c r="L38" s="10" t="s">
        <v>205</v>
      </c>
      <c r="M38" s="10" t="s">
        <v>180</v>
      </c>
      <c r="N38" s="10" t="s">
        <v>180</v>
      </c>
      <c r="O38" s="10"/>
      <c r="P38" s="16"/>
      <c r="Q38" s="17" t="s">
        <v>35</v>
      </c>
      <c r="R38" s="16"/>
      <c r="S38" s="10"/>
      <c r="T38" s="10"/>
      <c r="U38" s="10" t="b">
        <v>0</v>
      </c>
      <c r="V38" s="10"/>
      <c r="W38" s="10"/>
      <c r="X38" s="10" t="b">
        <v>1</v>
      </c>
      <c r="Y38" s="10" t="b">
        <v>0</v>
      </c>
      <c r="Z38" s="10"/>
    </row>
    <row r="39" spans="1:26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50</v>
      </c>
      <c r="E39" s="10">
        <v>17</v>
      </c>
      <c r="F39" s="10" t="str">
        <f t="array" ref="F39">GetValue("Domains",E39,"Name")</f>
        <v>Variant</v>
      </c>
      <c r="G39" s="10" t="str" cm="1">
        <f t="array" ref="G39">GetValue("Domains",E39,"#CategoryName")</f>
        <v>string</v>
      </c>
      <c r="H39" s="10" t="str" cm="1">
        <f t="array" ref="H39">GetDataType(E39)</f>
        <v>nvarchar(MAX)</v>
      </c>
      <c r="I39" s="10"/>
      <c r="J39" s="10" t="str">
        <f t="array" ref="J39">GetValue("Tables",I39,"Name")</f>
        <v/>
      </c>
      <c r="K39" s="10" t="s">
        <v>27</v>
      </c>
      <c r="L39" s="10" t="s">
        <v>206</v>
      </c>
      <c r="M39" s="10" t="s">
        <v>182</v>
      </c>
      <c r="N39" s="10" t="s">
        <v>182</v>
      </c>
      <c r="O39" s="10"/>
      <c r="P39" s="16"/>
      <c r="Q39" s="17" t="s">
        <v>35</v>
      </c>
      <c r="R39" s="16"/>
      <c r="S39" s="10"/>
      <c r="T39" s="10"/>
      <c r="U39" s="10" t="b">
        <v>0</v>
      </c>
      <c r="V39" s="10"/>
      <c r="W39" s="10"/>
      <c r="X39" s="10" t="b">
        <v>1</v>
      </c>
      <c r="Y39" s="10" t="b">
        <v>0</v>
      </c>
      <c r="Z39" s="10"/>
    </row>
    <row r="40" spans="1:26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55</v>
      </c>
      <c r="E40" s="10">
        <v>18</v>
      </c>
      <c r="F40" s="10" t="str">
        <f t="array" ref="F40">GetValue("Domains",E40,"Name")</f>
        <v>Codification</v>
      </c>
      <c r="G40" s="10" t="str" cm="1">
        <f t="array" ref="G40">GetValue("Domains",E40,"#CategoryName")</f>
        <v>string</v>
      </c>
      <c r="H40" s="10" t="str" cm="1">
        <f t="array" ref="H40">GetDataType(E40)</f>
        <v>nvarchar(5)</v>
      </c>
      <c r="I40" s="10"/>
      <c r="J40" s="10" t="str">
        <f t="array" ref="J40">GetValue("Tables",I40,"Name")</f>
        <v/>
      </c>
      <c r="K40" s="10" t="s">
        <v>334</v>
      </c>
      <c r="L40" s="10" t="s">
        <v>449</v>
      </c>
      <c r="M40" s="10" t="s">
        <v>346</v>
      </c>
      <c r="N40" s="10" t="s">
        <v>346</v>
      </c>
      <c r="O40" s="10"/>
      <c r="P40" s="16"/>
      <c r="Q40" s="17" t="s">
        <v>35</v>
      </c>
      <c r="R40" s="16"/>
      <c r="S40" s="10"/>
      <c r="T40" s="10"/>
      <c r="U40" s="10" t="b">
        <v>0</v>
      </c>
      <c r="V40" s="10"/>
      <c r="W40" s="10" t="b">
        <v>1</v>
      </c>
      <c r="X40" s="10" t="b">
        <v>1</v>
      </c>
      <c r="Y40" s="10" t="b">
        <v>1</v>
      </c>
      <c r="Z40" s="10"/>
    </row>
    <row r="41" spans="1:26" x14ac:dyDescent="0.3">
      <c r="A41" s="8">
        <f t="shared" si="2"/>
        <v>40</v>
      </c>
      <c r="B41" s="8">
        <v>5</v>
      </c>
      <c r="C41" s="8" t="str">
        <f t="array" ref="C41">GetValue("Tables",B41,"Name")</f>
        <v>Systems</v>
      </c>
      <c r="D41" s="8">
        <v>5</v>
      </c>
      <c r="E41" s="8">
        <v>1</v>
      </c>
      <c r="F41" s="8" t="str">
        <f t="array" ref="F41">GetValue("Domains",E41,"Name")</f>
        <v>BigInteger</v>
      </c>
      <c r="G41" s="8" t="str" cm="1">
        <f t="array" ref="G41">GetValue("Domains",E41,"#CategoryName")</f>
        <v>numeric</v>
      </c>
      <c r="H41" s="8" t="str" cm="1">
        <f t="array" ref="H41">GetDataType(E41)</f>
        <v>int</v>
      </c>
      <c r="I41" s="8"/>
      <c r="J41" s="8" t="str">
        <f t="array" ref="J41">GetValue("Tables",I41,"Name")</f>
        <v/>
      </c>
      <c r="K41" s="8" t="s">
        <v>0</v>
      </c>
      <c r="L41" s="8" t="s">
        <v>211</v>
      </c>
      <c r="M41" s="8" t="s">
        <v>174</v>
      </c>
      <c r="N41" s="8" t="s">
        <v>174</v>
      </c>
      <c r="O41" s="8"/>
      <c r="P41" s="15"/>
      <c r="Q41" s="15">
        <v>1</v>
      </c>
      <c r="R41" s="15"/>
      <c r="S41" s="8" t="b">
        <v>1</v>
      </c>
      <c r="T41" s="8" t="b">
        <v>0</v>
      </c>
      <c r="U41" s="8" t="b">
        <v>1</v>
      </c>
      <c r="V41" s="8"/>
      <c r="W41" s="8" t="b">
        <v>1</v>
      </c>
      <c r="X41" s="8" t="b">
        <v>0</v>
      </c>
      <c r="Y41" s="8" t="b">
        <v>0</v>
      </c>
      <c r="Z41" s="8"/>
    </row>
    <row r="42" spans="1:26" x14ac:dyDescent="0.3">
      <c r="A42" s="8">
        <f t="shared" si="2"/>
        <v>41</v>
      </c>
      <c r="B42" s="8">
        <v>5</v>
      </c>
      <c r="C42" s="8" t="str">
        <f t="array" ref="C42">GetValue("Tables",B42,"Name")</f>
        <v>Systems</v>
      </c>
      <c r="D42" s="8">
        <f>D41+5</f>
        <v>10</v>
      </c>
      <c r="E42" s="8">
        <v>9</v>
      </c>
      <c r="F42" s="8" t="str">
        <f t="array" ref="F42">GetValue("Domains",E42,"Name")</f>
        <v>Varchar(25)</v>
      </c>
      <c r="G42" s="8" t="str" cm="1">
        <f t="array" ref="G42">GetValue("Domains",E42,"#CategoryName")</f>
        <v>string</v>
      </c>
      <c r="H42" s="8" t="str" cm="1">
        <f t="array" ref="H42">GetDataType(E42)</f>
        <v>nvarchar(25)</v>
      </c>
      <c r="I42" s="8"/>
      <c r="J42" s="8" t="str">
        <f t="array" ref="J42">GetValue("Tables",I42,"Name")</f>
        <v/>
      </c>
      <c r="K42" s="8" t="s">
        <v>1</v>
      </c>
      <c r="L42" s="8" t="s">
        <v>212</v>
      </c>
      <c r="M42" s="8" t="s">
        <v>176</v>
      </c>
      <c r="N42" s="8" t="s">
        <v>176</v>
      </c>
      <c r="O42" s="8"/>
      <c r="P42" s="15"/>
      <c r="Q42" s="15" t="s">
        <v>35</v>
      </c>
      <c r="R42" s="15"/>
      <c r="S42" s="8" t="b">
        <v>0</v>
      </c>
      <c r="T42" s="8"/>
      <c r="U42" s="8" t="b">
        <v>1</v>
      </c>
      <c r="V42" s="8" t="b">
        <v>1</v>
      </c>
      <c r="W42" s="8" t="b">
        <v>1</v>
      </c>
      <c r="X42" s="8" t="b">
        <v>1</v>
      </c>
      <c r="Y42" s="8" t="b">
        <v>1</v>
      </c>
      <c r="Z42" s="8" t="b">
        <v>0</v>
      </c>
    </row>
    <row r="43" spans="1:26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f>D42+5</f>
        <v>15</v>
      </c>
      <c r="E43" s="8">
        <v>10</v>
      </c>
      <c r="F43" s="8" t="str">
        <f t="array" ref="F43">GetValue("Domains",E43,"Name")</f>
        <v>Varchar(50)</v>
      </c>
      <c r="G43" s="8" t="str" cm="1">
        <f t="array" ref="G43">GetValue("Domains",E43,"#CategoryName")</f>
        <v>string</v>
      </c>
      <c r="H43" s="8" t="str" cm="1">
        <f t="array" ref="H43">GetDataType(E43)</f>
        <v>nvarchar(50)</v>
      </c>
      <c r="I43" s="8"/>
      <c r="J43" s="8" t="str">
        <f t="array" ref="J43">GetValue("Tables",I43,"Name")</f>
        <v/>
      </c>
      <c r="K43" s="8" t="s">
        <v>90</v>
      </c>
      <c r="L43" s="8" t="s">
        <v>213</v>
      </c>
      <c r="M43" s="8" t="s">
        <v>214</v>
      </c>
      <c r="N43" s="8" t="s">
        <v>214</v>
      </c>
      <c r="O43" s="8"/>
      <c r="P43" s="15"/>
      <c r="Q43" s="15" t="s">
        <v>35</v>
      </c>
      <c r="R43" s="15"/>
      <c r="S43" s="8" t="b">
        <v>0</v>
      </c>
      <c r="T43" s="8"/>
      <c r="U43" s="8" t="b">
        <v>1</v>
      </c>
      <c r="V43" s="8" t="b">
        <v>0</v>
      </c>
      <c r="W43" s="8" t="b">
        <v>0</v>
      </c>
      <c r="X43" s="8" t="b">
        <v>1</v>
      </c>
      <c r="Y43" s="8" t="b">
        <v>1</v>
      </c>
      <c r="Z43" s="8" t="b">
        <v>0</v>
      </c>
    </row>
    <row r="44" spans="1:26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20</v>
      </c>
      <c r="E44" s="8">
        <v>7</v>
      </c>
      <c r="F44" s="8" t="str">
        <f t="array" ref="F44">GetValue("Domains",E44,"Name")</f>
        <v>Varchar(15)</v>
      </c>
      <c r="G44" s="8" t="str" cm="1">
        <f t="array" ref="G44">GetValue("Domains",E44,"#CategoryName")</f>
        <v>string</v>
      </c>
      <c r="H44" s="8" t="str" cm="1">
        <f t="array" ref="H44">GetDataType(E44)</f>
        <v>nvarchar(15)</v>
      </c>
      <c r="I44" s="8"/>
      <c r="J44" s="8" t="str">
        <f t="array" ref="J44">GetValue("Tables",I44,"Name")</f>
        <v/>
      </c>
      <c r="K44" s="8" t="s">
        <v>91</v>
      </c>
      <c r="L44" s="8" t="s">
        <v>215</v>
      </c>
      <c r="M44" s="8" t="s">
        <v>216</v>
      </c>
      <c r="N44" s="8" t="s">
        <v>216</v>
      </c>
      <c r="O44" s="8"/>
      <c r="P44" s="15"/>
      <c r="Q44" s="15" t="s">
        <v>35</v>
      </c>
      <c r="R44" s="15"/>
      <c r="S44" s="8" t="b">
        <v>0</v>
      </c>
      <c r="T44" s="8"/>
      <c r="U44" s="8" t="b">
        <v>1</v>
      </c>
      <c r="V44" s="8" t="b">
        <v>0</v>
      </c>
      <c r="W44" s="8" t="b">
        <v>1</v>
      </c>
      <c r="X44" s="8" t="b">
        <v>1</v>
      </c>
      <c r="Y44" s="8" t="b">
        <v>1</v>
      </c>
      <c r="Z44" s="8" t="b">
        <v>0</v>
      </c>
    </row>
    <row r="45" spans="1:26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25</v>
      </c>
      <c r="E45" s="8">
        <v>5</v>
      </c>
      <c r="F45" s="8" t="str">
        <f t="array" ref="F45">GetValue("Domains",E45,"Name")</f>
        <v>TinyInteger</v>
      </c>
      <c r="G45" s="8" t="str" cm="1">
        <f t="array" ref="G45">GetValue("Domains",E45,"#CategoryName")</f>
        <v>numeric</v>
      </c>
      <c r="H45" s="8" t="str" cm="1">
        <f t="array" ref="H45">GetDataType(E45)</f>
        <v>tinyint</v>
      </c>
      <c r="I45" s="8"/>
      <c r="J45" s="8" t="str">
        <f t="array" ref="J45">GetValue("Tables",I45,"Name")</f>
        <v/>
      </c>
      <c r="K45" s="8" t="s">
        <v>92</v>
      </c>
      <c r="L45" s="8" t="s">
        <v>217</v>
      </c>
      <c r="M45" s="8" t="s">
        <v>218</v>
      </c>
      <c r="N45" s="8" t="s">
        <v>218</v>
      </c>
      <c r="O45" s="8"/>
      <c r="P45" s="15">
        <v>5</v>
      </c>
      <c r="Q45" s="15">
        <v>1</v>
      </c>
      <c r="R45" s="15"/>
      <c r="S45" s="8" t="b">
        <v>0</v>
      </c>
      <c r="T45" s="8" t="b">
        <v>0</v>
      </c>
      <c r="U45" s="8" t="b">
        <v>1</v>
      </c>
      <c r="V45" s="8"/>
      <c r="W45" s="8" t="b">
        <v>0</v>
      </c>
      <c r="X45" s="8" t="b">
        <v>1</v>
      </c>
      <c r="Y45" s="8" t="b">
        <v>1</v>
      </c>
      <c r="Z45" s="8"/>
    </row>
    <row r="46" spans="1:26" x14ac:dyDescent="0.3">
      <c r="A46" s="8">
        <f t="shared" si="2"/>
        <v>45</v>
      </c>
      <c r="B46" s="8">
        <v>5</v>
      </c>
      <c r="C46" s="8" t="str">
        <f t="array" ref="C46">GetValue("Tables",B46,"Name")</f>
        <v>Systems</v>
      </c>
      <c r="D46" s="8">
        <f>D45+5</f>
        <v>30</v>
      </c>
      <c r="E46" s="8">
        <v>6</v>
      </c>
      <c r="F46" s="8" t="str">
        <f t="array" ref="F46">GetValue("Domains",E46,"Name")</f>
        <v>Boolean</v>
      </c>
      <c r="G46" s="8" t="str" cm="1">
        <f t="array" ref="G46">GetValue("Domains",E46,"#CategoryName")</f>
        <v>boolean</v>
      </c>
      <c r="H46" s="8" t="str" cm="1">
        <f t="array" ref="H46">GetDataType(E46)</f>
        <v>bit</v>
      </c>
      <c r="I46" s="8"/>
      <c r="J46" s="8" t="str">
        <f t="array" ref="J46">GetValue("Tables",I46,"Name")</f>
        <v/>
      </c>
      <c r="K46" s="8" t="s">
        <v>442</v>
      </c>
      <c r="L46" s="8" t="s">
        <v>443</v>
      </c>
      <c r="M46" s="8" t="s">
        <v>444</v>
      </c>
      <c r="N46" s="8" t="s">
        <v>444</v>
      </c>
      <c r="O46" s="8"/>
      <c r="P46" s="15"/>
      <c r="Q46" s="15"/>
      <c r="R46" s="15"/>
      <c r="S46" s="8"/>
      <c r="T46" s="8"/>
      <c r="U46" s="8" t="b">
        <v>1</v>
      </c>
      <c r="V46" s="8"/>
      <c r="W46" s="8" t="b">
        <v>0</v>
      </c>
      <c r="X46" s="8" t="b">
        <v>1</v>
      </c>
      <c r="Y46" s="8" t="b">
        <v>0</v>
      </c>
      <c r="Z46" s="8"/>
    </row>
    <row r="47" spans="1:26" x14ac:dyDescent="0.3">
      <c r="A47" s="10">
        <f t="shared" si="2"/>
        <v>46</v>
      </c>
      <c r="B47" s="10">
        <v>6</v>
      </c>
      <c r="C47" s="10" t="str">
        <f t="array" ref="C47">GetValue("Tables",B47,"Name")</f>
        <v>Menus</v>
      </c>
      <c r="D47" s="10">
        <v>5</v>
      </c>
      <c r="E47" s="10">
        <v>1</v>
      </c>
      <c r="F47" s="10" t="str">
        <f t="array" ref="F47">GetValue("Domains",E47,"Name")</f>
        <v>BigInteger</v>
      </c>
      <c r="G47" s="10" t="str" cm="1">
        <f t="array" ref="G47">GetValue("Domains",E47,"#CategoryName")</f>
        <v>numeric</v>
      </c>
      <c r="H47" s="10" t="str" cm="1">
        <f t="array" ref="H47">GetDataType(E47)</f>
        <v>int</v>
      </c>
      <c r="I47" s="10"/>
      <c r="J47" s="10" t="str">
        <f t="array" ref="J47">GetValue("Tables",I47,"Name")</f>
        <v/>
      </c>
      <c r="K47" s="10" t="s">
        <v>0</v>
      </c>
      <c r="L47" s="10" t="s">
        <v>219</v>
      </c>
      <c r="M47" s="10" t="s">
        <v>174</v>
      </c>
      <c r="N47" s="10" t="s">
        <v>174</v>
      </c>
      <c r="O47" s="10"/>
      <c r="P47" s="16"/>
      <c r="Q47" s="17">
        <v>1</v>
      </c>
      <c r="R47" s="17"/>
      <c r="S47" s="10" t="b">
        <v>1</v>
      </c>
      <c r="T47" s="10" t="b">
        <v>0</v>
      </c>
      <c r="U47" s="10" t="b">
        <v>1</v>
      </c>
      <c r="V47" s="10"/>
      <c r="W47" s="10" t="b">
        <v>1</v>
      </c>
      <c r="X47" s="10" t="b">
        <v>0</v>
      </c>
      <c r="Y47" s="10" t="b">
        <v>0</v>
      </c>
      <c r="Z47" s="10"/>
    </row>
    <row r="48" spans="1:26" x14ac:dyDescent="0.3">
      <c r="A48" s="10">
        <f t="shared" si="2"/>
        <v>47</v>
      </c>
      <c r="B48" s="10">
        <v>6</v>
      </c>
      <c r="C48" s="10" t="str">
        <f t="array" ref="C48">GetValue("Tables",B48,"Name")</f>
        <v>Menus</v>
      </c>
      <c r="D48" s="10">
        <f t="shared" ref="D48:D53" si="5">D47+5</f>
        <v>10</v>
      </c>
      <c r="E48" s="10">
        <v>1</v>
      </c>
      <c r="F48" s="10" t="str">
        <f t="array" ref="F48">GetValue("Domains",E48,"Name")</f>
        <v>BigInteger</v>
      </c>
      <c r="G48" s="10" t="str" cm="1">
        <f t="array" ref="G48">GetValue("Domains",E48,"#CategoryName")</f>
        <v>numeric</v>
      </c>
      <c r="H48" s="10" t="str" cm="1">
        <f t="array" ref="H48">GetDataType(E48)</f>
        <v>int</v>
      </c>
      <c r="I48" s="10">
        <v>5</v>
      </c>
      <c r="J48" s="10" t="str">
        <f t="array" ref="J48">GetValue("Tables",I48,"Name")</f>
        <v>Systems</v>
      </c>
      <c r="K48" s="10" t="s">
        <v>96</v>
      </c>
      <c r="L48" s="10" t="s">
        <v>220</v>
      </c>
      <c r="M48" s="10" t="s">
        <v>221</v>
      </c>
      <c r="N48" s="10" t="s">
        <v>221</v>
      </c>
      <c r="O48" s="10"/>
      <c r="P48" s="16"/>
      <c r="Q48" s="17">
        <v>1</v>
      </c>
      <c r="R48" s="16"/>
      <c r="S48" s="10" t="b">
        <v>0</v>
      </c>
      <c r="T48" s="10" t="b">
        <v>0</v>
      </c>
      <c r="U48" s="10" t="b">
        <v>1</v>
      </c>
      <c r="V48" s="10"/>
      <c r="W48" s="10" t="b">
        <v>1</v>
      </c>
      <c r="X48" s="10" t="b">
        <v>1</v>
      </c>
      <c r="Y48" s="10" t="b">
        <v>1</v>
      </c>
      <c r="Z48" s="10"/>
    </row>
    <row r="49" spans="1:26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f t="shared" si="5"/>
        <v>15</v>
      </c>
      <c r="E49" s="10">
        <v>4</v>
      </c>
      <c r="F49" s="10" t="str">
        <f t="array" ref="F49">GetValue("Domains",E49,"Name")</f>
        <v>SmallInteger</v>
      </c>
      <c r="G49" s="10" t="str" cm="1">
        <f t="array" ref="G49">GetValue("Domains",E49,"#CategoryName")</f>
        <v>numeric</v>
      </c>
      <c r="H49" s="10" t="str" cm="1">
        <f t="array" ref="H49">GetDataType(E49)</f>
        <v>smallint</v>
      </c>
      <c r="I49" s="10"/>
      <c r="J49" s="10" t="str">
        <f t="array" ref="J49">GetValue("Tables",I49,"Name")</f>
        <v/>
      </c>
      <c r="K49" s="10" t="s">
        <v>97</v>
      </c>
      <c r="L49" s="10" t="s">
        <v>222</v>
      </c>
      <c r="M49" s="10" t="s">
        <v>223</v>
      </c>
      <c r="N49" s="10" t="s">
        <v>223</v>
      </c>
      <c r="O49" s="10"/>
      <c r="P49" s="16"/>
      <c r="Q49" s="17">
        <v>1</v>
      </c>
      <c r="R49" s="16"/>
      <c r="S49" s="10" t="b">
        <v>0</v>
      </c>
      <c r="T49" s="10" t="b">
        <v>0</v>
      </c>
      <c r="U49" s="10" t="b">
        <v>1</v>
      </c>
      <c r="V49" s="10"/>
      <c r="W49" s="10" t="b">
        <v>0</v>
      </c>
      <c r="X49" s="10" t="b">
        <v>1</v>
      </c>
      <c r="Y49" s="10" t="b">
        <v>1</v>
      </c>
      <c r="Z49" s="10"/>
    </row>
    <row r="50" spans="1:26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si="5"/>
        <v>20</v>
      </c>
      <c r="E50" s="10">
        <v>8</v>
      </c>
      <c r="F50" s="10" t="str">
        <f t="array" ref="F50">GetValue("Domains",E50,"Name")</f>
        <v>Varchar(20)</v>
      </c>
      <c r="G50" s="10" t="str" cm="1">
        <f t="array" ref="G50">GetValue("Domains",E50,"#CategoryName")</f>
        <v>string</v>
      </c>
      <c r="H50" s="10" t="str" cm="1">
        <f t="array" ref="H50">GetDataType(E50)</f>
        <v>nvarchar(20)</v>
      </c>
      <c r="I50" s="10"/>
      <c r="J50" s="10" t="str">
        <f t="array" ref="J50">GetValue("Tables",I50,"Name")</f>
        <v/>
      </c>
      <c r="K50" s="10" t="s">
        <v>98</v>
      </c>
      <c r="L50" s="10" t="s">
        <v>224</v>
      </c>
      <c r="M50" s="10" t="s">
        <v>225</v>
      </c>
      <c r="N50" s="10" t="s">
        <v>225</v>
      </c>
      <c r="O50" s="10"/>
      <c r="P50" s="16"/>
      <c r="Q50" s="17" t="s">
        <v>35</v>
      </c>
      <c r="R50" s="16"/>
      <c r="S50" s="10" t="b">
        <v>0</v>
      </c>
      <c r="T50" s="10"/>
      <c r="U50" s="10" t="b">
        <v>1</v>
      </c>
      <c r="V50" s="10"/>
      <c r="W50" s="10" t="b">
        <v>1</v>
      </c>
      <c r="X50" s="10" t="b">
        <v>1</v>
      </c>
      <c r="Y50" s="10" t="b">
        <v>1</v>
      </c>
      <c r="Z50" s="10" t="b">
        <v>0</v>
      </c>
    </row>
    <row r="51" spans="1:26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25</v>
      </c>
      <c r="E51" s="10">
        <v>10</v>
      </c>
      <c r="F51" s="10" t="str">
        <f t="array" ref="F51">GetValue("Domains",E51,"Name")</f>
        <v>Varchar(50)</v>
      </c>
      <c r="G51" s="10" t="str" cm="1">
        <f t="array" ref="G51">GetValue("Domains",E51,"#CategoryName")</f>
        <v>string</v>
      </c>
      <c r="H51" s="10" t="str" cm="1">
        <f t="array" ref="H51">GetDataType(E51)</f>
        <v>nvarchar(50)</v>
      </c>
      <c r="I51" s="10"/>
      <c r="J51" s="10" t="str">
        <f t="array" ref="J51">GetValue("Tables",I51,"Name")</f>
        <v/>
      </c>
      <c r="K51" s="10" t="s">
        <v>99</v>
      </c>
      <c r="L51" s="10" t="s">
        <v>226</v>
      </c>
      <c r="M51" s="10" t="s">
        <v>227</v>
      </c>
      <c r="N51" s="10" t="s">
        <v>227</v>
      </c>
      <c r="O51" s="10"/>
      <c r="P51" s="16"/>
      <c r="Q51" s="17" t="s">
        <v>35</v>
      </c>
      <c r="R51" s="16"/>
      <c r="S51" s="10" t="b">
        <v>0</v>
      </c>
      <c r="T51" s="10"/>
      <c r="U51" s="10" t="b">
        <v>1</v>
      </c>
      <c r="V51" s="10"/>
      <c r="W51" s="10" t="b">
        <v>0</v>
      </c>
      <c r="X51" s="10" t="b">
        <v>1</v>
      </c>
      <c r="Y51" s="10" t="b">
        <v>1</v>
      </c>
      <c r="Z51" s="10" t="b">
        <v>0</v>
      </c>
    </row>
    <row r="52" spans="1:26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30</v>
      </c>
      <c r="E52" s="10">
        <v>10</v>
      </c>
      <c r="F52" s="10" t="str">
        <f t="array" ref="F52">GetValue("Domains",E52,"Name")</f>
        <v>Varchar(50)</v>
      </c>
      <c r="G52" s="10" t="str" cm="1">
        <f t="array" ref="G52">GetValue("Domains",E52,"#CategoryName")</f>
        <v>string</v>
      </c>
      <c r="H52" s="10" t="str" cm="1">
        <f t="array" ref="H52">GetDataType(E52)</f>
        <v>nvarchar(50)</v>
      </c>
      <c r="I52" s="10"/>
      <c r="J52" s="10" t="str">
        <f t="array" ref="J52">GetValue("Tables",I52,"Name")</f>
        <v/>
      </c>
      <c r="K52" s="10" t="s">
        <v>100</v>
      </c>
      <c r="L52" s="10" t="s">
        <v>228</v>
      </c>
      <c r="M52" s="10" t="s">
        <v>229</v>
      </c>
      <c r="N52" s="10" t="s">
        <v>229</v>
      </c>
      <c r="O52" s="10"/>
      <c r="P52" s="16"/>
      <c r="Q52" s="17" t="s">
        <v>35</v>
      </c>
      <c r="R52" s="16"/>
      <c r="S52" s="10" t="b">
        <v>0</v>
      </c>
      <c r="T52" s="10"/>
      <c r="U52" s="10" t="b">
        <v>0</v>
      </c>
      <c r="V52" s="10"/>
      <c r="W52" s="10" t="b">
        <v>0</v>
      </c>
      <c r="X52" s="10" t="b">
        <v>1</v>
      </c>
      <c r="Y52" s="10" t="b">
        <v>1</v>
      </c>
      <c r="Z52" s="10" t="b">
        <v>0</v>
      </c>
    </row>
    <row r="53" spans="1:26" x14ac:dyDescent="0.3">
      <c r="A53" s="10">
        <f t="shared" si="2"/>
        <v>52</v>
      </c>
      <c r="B53" s="10">
        <v>6</v>
      </c>
      <c r="C53" s="10" t="str">
        <f t="array" ref="C53">GetValue("Tables",B53,"Name")</f>
        <v>Menus</v>
      </c>
      <c r="D53" s="10">
        <f t="shared" si="5"/>
        <v>35</v>
      </c>
      <c r="E53" s="10">
        <v>1</v>
      </c>
      <c r="F53" s="10" t="str">
        <f t="array" ref="F53">GetValue("Domains",E53,"Name")</f>
        <v>BigInteger</v>
      </c>
      <c r="G53" s="10" t="str" cm="1">
        <f t="array" ref="G53">GetValue("Domains",E53,"#CategoryName")</f>
        <v>numeric</v>
      </c>
      <c r="H53" s="10" t="str" cm="1">
        <f t="array" ref="H53">GetDataType(E53)</f>
        <v>int</v>
      </c>
      <c r="I53" s="10">
        <v>6</v>
      </c>
      <c r="J53" s="10" t="str">
        <f t="array" ref="J53">GetValue("Tables",I53,"Name")</f>
        <v>Menus</v>
      </c>
      <c r="K53" s="10" t="s">
        <v>101</v>
      </c>
      <c r="L53" s="10" t="s">
        <v>230</v>
      </c>
      <c r="M53" s="10" t="s">
        <v>231</v>
      </c>
      <c r="N53" s="10" t="s">
        <v>231</v>
      </c>
      <c r="O53" s="10"/>
      <c r="P53" s="16"/>
      <c r="Q53" s="17">
        <v>1</v>
      </c>
      <c r="R53" s="16"/>
      <c r="S53" s="10" t="b">
        <v>0</v>
      </c>
      <c r="T53" s="10" t="b">
        <v>0</v>
      </c>
      <c r="U53" s="10" t="b">
        <v>0</v>
      </c>
      <c r="V53" s="10"/>
      <c r="W53" s="10" t="b">
        <v>0</v>
      </c>
      <c r="X53" s="10" t="b">
        <v>1</v>
      </c>
      <c r="Y53" s="10" t="b">
        <v>0</v>
      </c>
      <c r="Z53" s="10"/>
    </row>
    <row r="54" spans="1:26" x14ac:dyDescent="0.3">
      <c r="A54" s="8">
        <f t="shared" si="2"/>
        <v>53</v>
      </c>
      <c r="B54" s="8">
        <v>7</v>
      </c>
      <c r="C54" s="8" t="str">
        <f t="array" ref="C54">GetValue("Tables",B54,"Name")</f>
        <v>Users</v>
      </c>
      <c r="D54" s="8">
        <v>5</v>
      </c>
      <c r="E54" s="8">
        <v>1</v>
      </c>
      <c r="F54" s="8" t="str">
        <f t="array" ref="F54">GetValue("Domains",E54,"Name")</f>
        <v>BigInteger</v>
      </c>
      <c r="G54" s="8" t="str" cm="1">
        <f t="array" ref="G54">GetValue("Domains",E54,"#CategoryName")</f>
        <v>numeric</v>
      </c>
      <c r="H54" s="8" t="str" cm="1">
        <f t="array" ref="H54">GetDataType(E54)</f>
        <v>int</v>
      </c>
      <c r="I54" s="8"/>
      <c r="J54" s="8" t="str">
        <f t="array" ref="J54">GetValue("Tables",I54,"Name")</f>
        <v/>
      </c>
      <c r="K54" s="8" t="s">
        <v>0</v>
      </c>
      <c r="L54" s="8" t="s">
        <v>232</v>
      </c>
      <c r="M54" s="8" t="s">
        <v>174</v>
      </c>
      <c r="N54" s="8" t="s">
        <v>174</v>
      </c>
      <c r="O54" s="8"/>
      <c r="P54" s="15"/>
      <c r="Q54" s="15">
        <v>1</v>
      </c>
      <c r="R54" s="15"/>
      <c r="S54" s="8" t="b">
        <v>1</v>
      </c>
      <c r="T54" s="8" t="b">
        <v>0</v>
      </c>
      <c r="U54" s="8" t="b">
        <v>1</v>
      </c>
      <c r="V54" s="8"/>
      <c r="W54" s="8" t="b">
        <v>1</v>
      </c>
      <c r="X54" s="8" t="b">
        <v>0</v>
      </c>
      <c r="Y54" s="8" t="b">
        <v>0</v>
      </c>
      <c r="Z54" s="8"/>
    </row>
    <row r="55" spans="1:26" x14ac:dyDescent="0.3">
      <c r="A55" s="8">
        <f t="shared" si="2"/>
        <v>54</v>
      </c>
      <c r="B55" s="8">
        <v>7</v>
      </c>
      <c r="C55" s="8" t="str">
        <f t="array" ref="C55">GetValue("Tables",B55,"Name")</f>
        <v>Users</v>
      </c>
      <c r="D55" s="8">
        <f>D54+5</f>
        <v>10</v>
      </c>
      <c r="E55" s="8">
        <v>9</v>
      </c>
      <c r="F55" s="8" t="str">
        <f t="array" ref="F55">GetValue("Domains",E55,"Name")</f>
        <v>Varchar(25)</v>
      </c>
      <c r="G55" s="8" t="str" cm="1">
        <f t="array" ref="G55">GetValue("Domains",E55,"#CategoryName")</f>
        <v>string</v>
      </c>
      <c r="H55" s="8" t="str" cm="1">
        <f t="array" ref="H55">GetDataType(E55)</f>
        <v>nvarchar(25)</v>
      </c>
      <c r="I55" s="8"/>
      <c r="J55" s="8" t="str">
        <f t="array" ref="J55">GetValue("Tables",I55,"Name")</f>
        <v/>
      </c>
      <c r="K55" s="8" t="s">
        <v>1</v>
      </c>
      <c r="L55" s="8" t="s">
        <v>233</v>
      </c>
      <c r="M55" s="8" t="s">
        <v>176</v>
      </c>
      <c r="N55" s="8" t="s">
        <v>176</v>
      </c>
      <c r="O55" s="8"/>
      <c r="P55" s="15"/>
      <c r="Q55" s="15" t="s">
        <v>35</v>
      </c>
      <c r="R55" s="15"/>
      <c r="S55" s="8" t="b">
        <v>0</v>
      </c>
      <c r="T55" s="8"/>
      <c r="U55" s="8" t="b">
        <v>1</v>
      </c>
      <c r="V55" s="8" t="b">
        <v>1</v>
      </c>
      <c r="W55" s="8" t="b">
        <v>1</v>
      </c>
      <c r="X55" s="8" t="b">
        <v>1</v>
      </c>
      <c r="Y55" s="8" t="b">
        <v>1</v>
      </c>
      <c r="Z55" s="8" t="b">
        <v>0</v>
      </c>
    </row>
    <row r="56" spans="1:26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f>D55+5</f>
        <v>15</v>
      </c>
      <c r="E56" s="8">
        <v>11</v>
      </c>
      <c r="F56" s="8" t="str">
        <f t="array" ref="F56">GetValue("Domains",E56,"Name")</f>
        <v>Varchar(256)</v>
      </c>
      <c r="G56" s="8" t="str" cm="1">
        <f t="array" ref="G56">GetValue("Domains",E56,"#CategoryName")</f>
        <v>string</v>
      </c>
      <c r="H56" s="8" t="str" cm="1">
        <f t="array" ref="H56">GetDataType(E56)</f>
        <v>nvarchar(256)</v>
      </c>
      <c r="I56" s="8"/>
      <c r="J56" s="8" t="str">
        <f t="array" ref="J56">GetValue("Tables",I56,"Name")</f>
        <v/>
      </c>
      <c r="K56" s="8" t="s">
        <v>126</v>
      </c>
      <c r="L56" s="8" t="s">
        <v>234</v>
      </c>
      <c r="M56" s="8" t="s">
        <v>235</v>
      </c>
      <c r="N56" s="8" t="s">
        <v>235</v>
      </c>
      <c r="O56" s="8"/>
      <c r="P56" s="15"/>
      <c r="Q56" s="15" t="s">
        <v>35</v>
      </c>
      <c r="R56" s="15"/>
      <c r="S56" s="8" t="b">
        <v>0</v>
      </c>
      <c r="T56" s="8"/>
      <c r="U56" s="8" t="b">
        <v>1</v>
      </c>
      <c r="V56" s="8" t="b">
        <v>0</v>
      </c>
      <c r="W56" s="8" t="b">
        <v>0</v>
      </c>
      <c r="X56" s="8" t="b">
        <v>1</v>
      </c>
      <c r="Y56" s="8" t="b">
        <v>0</v>
      </c>
      <c r="Z56" s="8" t="b">
        <v>1</v>
      </c>
    </row>
    <row r="57" spans="1:26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20</v>
      </c>
      <c r="E57" s="8">
        <v>10</v>
      </c>
      <c r="F57" s="8" t="str">
        <f t="array" ref="F57">GetValue("Domains",E57,"Name")</f>
        <v>Varchar(50)</v>
      </c>
      <c r="G57" s="8" t="str" cm="1">
        <f t="array" ref="G57">GetValue("Domains",E57,"#CategoryName")</f>
        <v>string</v>
      </c>
      <c r="H57" s="8" t="str" cm="1">
        <f t="array" ref="H57">GetDataType(E57)</f>
        <v>nvarchar(50)</v>
      </c>
      <c r="I57" s="8"/>
      <c r="J57" s="8" t="str">
        <f t="array" ref="J57">GetValue("Tables",I57,"Name")</f>
        <v/>
      </c>
      <c r="K57" s="8" t="s">
        <v>127</v>
      </c>
      <c r="L57" s="8" t="s">
        <v>236</v>
      </c>
      <c r="M57" s="8" t="s">
        <v>237</v>
      </c>
      <c r="N57" s="8" t="s">
        <v>237</v>
      </c>
      <c r="O57" s="8"/>
      <c r="P57" s="15"/>
      <c r="Q57" s="15" t="s">
        <v>35</v>
      </c>
      <c r="R57" s="15"/>
      <c r="S57" s="8" t="b">
        <v>0</v>
      </c>
      <c r="T57" s="8"/>
      <c r="U57" s="8" t="b">
        <v>1</v>
      </c>
      <c r="V57" s="8" t="b">
        <v>0</v>
      </c>
      <c r="W57" s="8" t="b">
        <v>1</v>
      </c>
      <c r="X57" s="8" t="b">
        <v>1</v>
      </c>
      <c r="Y57" s="8" t="b">
        <v>1</v>
      </c>
      <c r="Z57" s="8" t="b">
        <v>0</v>
      </c>
    </row>
    <row r="58" spans="1:26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25</v>
      </c>
      <c r="E58" s="8">
        <v>5</v>
      </c>
      <c r="F58" s="8" t="str">
        <f t="array" ref="F58">GetValue("Domains",E58,"Name")</f>
        <v>TinyInteger</v>
      </c>
      <c r="G58" s="8" t="str" cm="1">
        <f t="array" ref="G58">GetValue("Domains",E58,"#CategoryName")</f>
        <v>numeric</v>
      </c>
      <c r="H58" s="8" t="str" cm="1">
        <f t="array" ref="H58">GetDataType(E58)</f>
        <v>tinyint</v>
      </c>
      <c r="I58" s="8"/>
      <c r="J58" s="8" t="str">
        <f t="array" ref="J58">GetValue("Tables",I58,"Name")</f>
        <v/>
      </c>
      <c r="K58" s="8" t="s">
        <v>128</v>
      </c>
      <c r="L58" s="8" t="s">
        <v>238</v>
      </c>
      <c r="M58" s="8" t="s">
        <v>238</v>
      </c>
      <c r="N58" s="8" t="s">
        <v>238</v>
      </c>
      <c r="O58" s="8"/>
      <c r="P58" s="15">
        <v>0</v>
      </c>
      <c r="Q58" s="15">
        <v>0</v>
      </c>
      <c r="R58" s="15"/>
      <c r="S58" s="8" t="b">
        <v>0</v>
      </c>
      <c r="T58" s="8" t="b">
        <v>0</v>
      </c>
      <c r="U58" s="8" t="b">
        <v>1</v>
      </c>
      <c r="V58" s="8"/>
      <c r="W58" s="8" t="b">
        <v>0</v>
      </c>
      <c r="X58" s="8" t="b">
        <v>1</v>
      </c>
      <c r="Y58" s="8" t="b">
        <v>1</v>
      </c>
      <c r="Z58" s="8"/>
    </row>
    <row r="59" spans="1:26" x14ac:dyDescent="0.3">
      <c r="A59" s="8">
        <f t="shared" si="2"/>
        <v>58</v>
      </c>
      <c r="B59" s="8">
        <v>7</v>
      </c>
      <c r="C59" s="8" t="str">
        <f t="array" ref="C59">GetValue("Tables",B59,"Name")</f>
        <v>Users</v>
      </c>
      <c r="D59" s="8">
        <f>D58+5</f>
        <v>30</v>
      </c>
      <c r="E59" s="8">
        <v>6</v>
      </c>
      <c r="F59" s="8" t="str">
        <f t="array" ref="F59">GetValue("Domains",E59,"Name")</f>
        <v>Boolean</v>
      </c>
      <c r="G59" s="8" t="str" cm="1">
        <f t="array" ref="G59">GetValue("Domains",E59,"#CategoryName")</f>
        <v>boolean</v>
      </c>
      <c r="H59" s="8" t="str" cm="1">
        <f t="array" ref="H59">GetDataType(E59)</f>
        <v>bit</v>
      </c>
      <c r="I59" s="8"/>
      <c r="J59" s="8" t="str">
        <f t="array" ref="J59">GetValue("Tables",I59,"Name")</f>
        <v/>
      </c>
      <c r="K59" s="8" t="s">
        <v>33</v>
      </c>
      <c r="L59" s="8" t="s">
        <v>239</v>
      </c>
      <c r="M59" s="8" t="s">
        <v>239</v>
      </c>
      <c r="N59" s="8" t="s">
        <v>239</v>
      </c>
      <c r="O59" s="8"/>
      <c r="P59" s="15"/>
      <c r="Q59" s="15" t="s">
        <v>35</v>
      </c>
      <c r="R59" s="15"/>
      <c r="S59" s="8" t="b">
        <v>0</v>
      </c>
      <c r="T59" s="8"/>
      <c r="U59" s="8" t="b">
        <v>1</v>
      </c>
      <c r="V59" s="8"/>
      <c r="W59" s="8" t="b">
        <v>1</v>
      </c>
      <c r="X59" s="8" t="b">
        <v>1</v>
      </c>
      <c r="Y59" s="8" t="b">
        <v>1</v>
      </c>
      <c r="Z59" s="8"/>
    </row>
    <row r="60" spans="1:26" x14ac:dyDescent="0.3">
      <c r="A60" s="10">
        <f t="shared" si="2"/>
        <v>59</v>
      </c>
      <c r="B60" s="10">
        <v>8</v>
      </c>
      <c r="C60" s="10" t="str">
        <f t="array" ref="C60">GetValue("Tables",B60,"Name")</f>
        <v>SystemsUsers</v>
      </c>
      <c r="D60" s="10">
        <v>5</v>
      </c>
      <c r="E60" s="10">
        <v>1</v>
      </c>
      <c r="F60" s="10" t="str">
        <f t="array" ref="F60">GetValue("Domains",E60,"Name")</f>
        <v>BigInteger</v>
      </c>
      <c r="G60" s="10" t="str" cm="1">
        <f t="array" ref="G60">GetValue("Domains",E60,"#CategoryName")</f>
        <v>numeric</v>
      </c>
      <c r="H60" s="10" t="str" cm="1">
        <f t="array" ref="H60">GetDataType(E60)</f>
        <v>int</v>
      </c>
      <c r="I60" s="10"/>
      <c r="J60" s="10" t="str">
        <f t="array" ref="J60">GetValue("Tables",I60,"Name")</f>
        <v/>
      </c>
      <c r="K60" s="10" t="s">
        <v>0</v>
      </c>
      <c r="L60" s="10" t="s">
        <v>240</v>
      </c>
      <c r="M60" s="10" t="s">
        <v>221</v>
      </c>
      <c r="N60" s="10" t="s">
        <v>221</v>
      </c>
      <c r="O60" s="10"/>
      <c r="P60" s="16"/>
      <c r="Q60" s="17">
        <v>1</v>
      </c>
      <c r="R60" s="17"/>
      <c r="S60" s="10" t="b">
        <v>1</v>
      </c>
      <c r="T60" s="10" t="b">
        <v>0</v>
      </c>
      <c r="U60" s="10" t="b">
        <v>1</v>
      </c>
      <c r="V60" s="10"/>
      <c r="W60" s="10" t="b">
        <v>1</v>
      </c>
      <c r="X60" s="10" t="b">
        <v>0</v>
      </c>
      <c r="Y60" s="10" t="b">
        <v>0</v>
      </c>
      <c r="Z60" s="10"/>
    </row>
    <row r="61" spans="1:26" x14ac:dyDescent="0.3">
      <c r="A61" s="10">
        <f t="shared" si="2"/>
        <v>60</v>
      </c>
      <c r="B61" s="10">
        <v>8</v>
      </c>
      <c r="C61" s="10" t="str">
        <f t="array" ref="C61">GetValue("Tables",B61,"Name")</f>
        <v>SystemsUsers</v>
      </c>
      <c r="D61" s="10">
        <f>D60+5</f>
        <v>10</v>
      </c>
      <c r="E61" s="10">
        <v>1</v>
      </c>
      <c r="F61" s="10" t="str">
        <f t="array" ref="F61">GetValue("Domains",E61,"Name")</f>
        <v>BigInteger</v>
      </c>
      <c r="G61" s="10" t="str" cm="1">
        <f t="array" ref="G61">GetValue("Domains",E61,"#CategoryName")</f>
        <v>numeric</v>
      </c>
      <c r="H61" s="10" t="str" cm="1">
        <f t="array" ref="H61">GetDataType(E61)</f>
        <v>int</v>
      </c>
      <c r="I61" s="10">
        <v>5</v>
      </c>
      <c r="J61" s="10" t="str">
        <f t="array" ref="J61">GetValue("Tables",I61,"Name")</f>
        <v>Systems</v>
      </c>
      <c r="K61" s="10" t="s">
        <v>96</v>
      </c>
      <c r="L61" s="10" t="s">
        <v>211</v>
      </c>
      <c r="M61" s="10" t="s">
        <v>174</v>
      </c>
      <c r="N61" s="10" t="s">
        <v>174</v>
      </c>
      <c r="O61" s="10"/>
      <c r="P61" s="16"/>
      <c r="Q61" s="17">
        <v>1</v>
      </c>
      <c r="R61" s="17"/>
      <c r="S61" s="10" t="b">
        <v>0</v>
      </c>
      <c r="T61" s="10" t="b">
        <v>0</v>
      </c>
      <c r="U61" s="10" t="b">
        <v>1</v>
      </c>
      <c r="V61" s="10"/>
      <c r="W61" s="10" t="b">
        <v>1</v>
      </c>
      <c r="X61" s="10" t="b">
        <v>1</v>
      </c>
      <c r="Y61" s="10" t="b">
        <v>1</v>
      </c>
      <c r="Z61" s="10"/>
    </row>
    <row r="62" spans="1:26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f>D61+5</f>
        <v>15</v>
      </c>
      <c r="E62" s="10">
        <v>1</v>
      </c>
      <c r="F62" s="10" t="str">
        <f t="array" ref="F62">GetValue("Domains",E62,"Name")</f>
        <v>BigInteger</v>
      </c>
      <c r="G62" s="10" t="str" cm="1">
        <f t="array" ref="G62">GetValue("Domains",E62,"#CategoryName")</f>
        <v>numeric</v>
      </c>
      <c r="H62" s="10" t="str" cm="1">
        <f t="array" ref="H62">GetDataType(E62)</f>
        <v>int</v>
      </c>
      <c r="I62" s="10">
        <v>7</v>
      </c>
      <c r="J62" s="10" t="str">
        <f t="array" ref="J62">GetValue("Tables",I62,"Name")</f>
        <v>Users</v>
      </c>
      <c r="K62" s="10" t="s">
        <v>130</v>
      </c>
      <c r="L62" s="10" t="s">
        <v>232</v>
      </c>
      <c r="M62" s="10" t="s">
        <v>241</v>
      </c>
      <c r="N62" s="10" t="s">
        <v>241</v>
      </c>
      <c r="O62" s="10"/>
      <c r="P62" s="16"/>
      <c r="Q62" s="17">
        <v>1</v>
      </c>
      <c r="R62" s="17"/>
      <c r="S62" s="10" t="b">
        <v>0</v>
      </c>
      <c r="T62" s="10" t="b">
        <v>0</v>
      </c>
      <c r="U62" s="10" t="b">
        <v>1</v>
      </c>
      <c r="V62" s="10"/>
      <c r="W62" s="10" t="b">
        <v>1</v>
      </c>
      <c r="X62" s="10" t="b">
        <v>1</v>
      </c>
      <c r="Y62" s="10" t="b">
        <v>1</v>
      </c>
      <c r="Z62" s="10"/>
    </row>
    <row r="63" spans="1:26" x14ac:dyDescent="0.3">
      <c r="A63" s="10">
        <f t="shared" si="2"/>
        <v>62</v>
      </c>
      <c r="B63" s="10">
        <v>8</v>
      </c>
      <c r="C63" s="10" t="str">
        <f t="array" ref="C63">GetValue("Tables",B63,"Name")</f>
        <v>SystemsUsers</v>
      </c>
      <c r="D63" s="10">
        <f>D62+5</f>
        <v>20</v>
      </c>
      <c r="E63" s="10">
        <v>10</v>
      </c>
      <c r="F63" s="10" t="str">
        <f t="array" ref="F63">GetValue("Domains",E63,"Name")</f>
        <v>Varchar(50)</v>
      </c>
      <c r="G63" s="10" t="str" cm="1">
        <f t="array" ref="G63">GetValue("Domains",E63,"#CategoryName")</f>
        <v>string</v>
      </c>
      <c r="H63" s="10" t="str" cm="1">
        <f t="array" ref="H63">GetDataType(E63)</f>
        <v>nvarchar(50)</v>
      </c>
      <c r="I63" s="10"/>
      <c r="J63" s="10" t="str">
        <f t="array" ref="J63">GetValue("Tables",I63,"Name")</f>
        <v/>
      </c>
      <c r="K63" s="10" t="s">
        <v>90</v>
      </c>
      <c r="L63" s="10" t="s">
        <v>374</v>
      </c>
      <c r="M63" s="10" t="s">
        <v>214</v>
      </c>
      <c r="N63" s="10" t="s">
        <v>214</v>
      </c>
      <c r="O63" s="10"/>
      <c r="P63" s="16"/>
      <c r="Q63" s="17"/>
      <c r="R63" s="17"/>
      <c r="S63" s="10" t="b">
        <v>0</v>
      </c>
      <c r="T63" s="10"/>
      <c r="U63" s="10" t="b">
        <v>1</v>
      </c>
      <c r="V63" s="10" t="b">
        <v>1</v>
      </c>
      <c r="W63" s="10" t="b">
        <v>1</v>
      </c>
      <c r="X63" s="10" t="b">
        <v>1</v>
      </c>
      <c r="Y63" s="10" t="b">
        <v>1</v>
      </c>
      <c r="Z63" s="10" t="b">
        <v>0</v>
      </c>
    </row>
    <row r="64" spans="1:26" x14ac:dyDescent="0.3">
      <c r="A64" s="8">
        <f t="shared" si="2"/>
        <v>63</v>
      </c>
      <c r="B64" s="8">
        <v>9</v>
      </c>
      <c r="C64" s="8" t="str">
        <f t="array" ref="C64">GetValue("Tables",B64,"Name")</f>
        <v>Databases</v>
      </c>
      <c r="D64" s="8">
        <v>5</v>
      </c>
      <c r="E64" s="8">
        <v>1</v>
      </c>
      <c r="F64" s="8" t="str">
        <f t="array" ref="F64">GetValue("Domains",E64,"Name")</f>
        <v>BigInteger</v>
      </c>
      <c r="G64" s="8" t="str" cm="1">
        <f t="array" ref="G64">GetValue("Domains",E64,"#CategoryName")</f>
        <v>numeric</v>
      </c>
      <c r="H64" s="8" t="str" cm="1">
        <f t="array" ref="H64">GetDataType(E64)</f>
        <v>int</v>
      </c>
      <c r="I64" s="8"/>
      <c r="J64" s="8" t="str">
        <f t="array" ref="J64">GetValue("Tables",I64,"Name")</f>
        <v/>
      </c>
      <c r="K64" s="8" t="s">
        <v>0</v>
      </c>
      <c r="L64" s="8" t="s">
        <v>242</v>
      </c>
      <c r="M64" s="8" t="s">
        <v>174</v>
      </c>
      <c r="N64" s="8" t="s">
        <v>174</v>
      </c>
      <c r="O64" s="8"/>
      <c r="P64" s="15"/>
      <c r="Q64" s="15">
        <v>1</v>
      </c>
      <c r="R64" s="15"/>
      <c r="S64" s="8" t="b">
        <v>1</v>
      </c>
      <c r="T64" s="8" t="b">
        <v>0</v>
      </c>
      <c r="U64" s="8" t="b">
        <v>1</v>
      </c>
      <c r="V64" s="8"/>
      <c r="W64" s="8" t="b">
        <v>1</v>
      </c>
      <c r="X64" s="8" t="b">
        <v>0</v>
      </c>
      <c r="Y64" s="8" t="b">
        <v>0</v>
      </c>
      <c r="Z64" s="8"/>
    </row>
    <row r="65" spans="1:26" x14ac:dyDescent="0.3">
      <c r="A65" s="8">
        <f t="shared" si="2"/>
        <v>64</v>
      </c>
      <c r="B65" s="8">
        <v>9</v>
      </c>
      <c r="C65" s="8" t="str">
        <f t="array" ref="C65">GetValue("Tables",B65,"Name")</f>
        <v>Databases</v>
      </c>
      <c r="D65" s="8">
        <f t="shared" ref="D65:D73" si="6">D64+5</f>
        <v>10</v>
      </c>
      <c r="E65" s="8">
        <v>9</v>
      </c>
      <c r="F65" s="8" t="str">
        <f t="array" ref="F65">GetValue("Domains",E65,"Name")</f>
        <v>Varchar(25)</v>
      </c>
      <c r="G65" s="8" t="str" cm="1">
        <f t="array" ref="G65">GetValue("Domains",E65,"#CategoryName")</f>
        <v>string</v>
      </c>
      <c r="H65" s="8" t="str" cm="1">
        <f t="array" ref="H65">GetDataType(E65)</f>
        <v>nvarchar(25)</v>
      </c>
      <c r="I65" s="8"/>
      <c r="J65" s="8" t="str">
        <f t="array" ref="J65">GetValue("Tables",I65,"Name")</f>
        <v/>
      </c>
      <c r="K65" s="8" t="s">
        <v>1</v>
      </c>
      <c r="L65" s="8" t="s">
        <v>243</v>
      </c>
      <c r="M65" s="8" t="s">
        <v>176</v>
      </c>
      <c r="N65" s="8" t="s">
        <v>176</v>
      </c>
      <c r="O65" s="8"/>
      <c r="P65" s="15"/>
      <c r="Q65" s="15" t="s">
        <v>35</v>
      </c>
      <c r="R65" s="15"/>
      <c r="S65" s="8" t="b">
        <v>0</v>
      </c>
      <c r="T65" s="8"/>
      <c r="U65" s="8" t="b">
        <v>1</v>
      </c>
      <c r="V65" s="8" t="b">
        <v>1</v>
      </c>
      <c r="W65" s="8" t="b">
        <v>1</v>
      </c>
      <c r="X65" s="8" t="b">
        <v>1</v>
      </c>
      <c r="Y65" s="8" t="b">
        <v>1</v>
      </c>
      <c r="Z65" s="8" t="b">
        <v>0</v>
      </c>
    </row>
    <row r="66" spans="1:26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f t="shared" si="6"/>
        <v>15</v>
      </c>
      <c r="E66" s="8">
        <v>10</v>
      </c>
      <c r="F66" s="8" t="str">
        <f t="array" ref="F66">GetValue("Domains",E66,"Name")</f>
        <v>Varchar(50)</v>
      </c>
      <c r="G66" s="8" t="str" cm="1">
        <f t="array" ref="G66">GetValue("Domains",E66,"#CategoryName")</f>
        <v>string</v>
      </c>
      <c r="H66" s="8" t="str" cm="1">
        <f t="array" ref="H66">GetDataType(E66)</f>
        <v>nvarchar(50)</v>
      </c>
      <c r="I66" s="8"/>
      <c r="J66" s="8" t="str">
        <f t="array" ref="J66">GetValue("Tables",I66,"Name")</f>
        <v/>
      </c>
      <c r="K66" s="8" t="s">
        <v>90</v>
      </c>
      <c r="L66" s="8" t="s">
        <v>244</v>
      </c>
      <c r="M66" s="8" t="s">
        <v>214</v>
      </c>
      <c r="N66" s="8" t="s">
        <v>214</v>
      </c>
      <c r="O66" s="8"/>
      <c r="P66" s="15"/>
      <c r="Q66" s="15" t="s">
        <v>35</v>
      </c>
      <c r="R66" s="15"/>
      <c r="S66" s="8" t="b">
        <v>0</v>
      </c>
      <c r="T66" s="8"/>
      <c r="U66" s="8" t="b">
        <v>1</v>
      </c>
      <c r="V66" s="8" t="b">
        <v>0</v>
      </c>
      <c r="W66" s="8" t="b">
        <v>0</v>
      </c>
      <c r="X66" s="8" t="b">
        <v>1</v>
      </c>
      <c r="Y66" s="8" t="b">
        <v>1</v>
      </c>
      <c r="Z66" s="8" t="b">
        <v>0</v>
      </c>
    </row>
    <row r="67" spans="1:26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si="6"/>
        <v>20</v>
      </c>
      <c r="E67" s="8">
        <v>9</v>
      </c>
      <c r="F67" s="8" t="str">
        <f t="array" ref="F67">GetValue("Domains",E67,"Name")</f>
        <v>Varchar(25)</v>
      </c>
      <c r="G67" s="8" t="str" cm="1">
        <f t="array" ref="G67">GetValue("Domains",E67,"#CategoryName")</f>
        <v>string</v>
      </c>
      <c r="H67" s="8" t="str" cm="1">
        <f t="array" ref="H67">GetDataType(E67)</f>
        <v>nvarchar(25)</v>
      </c>
      <c r="I67" s="8"/>
      <c r="J67" s="8" t="str">
        <f t="array" ref="J67">GetValue("Tables",I67,"Name")</f>
        <v/>
      </c>
      <c r="K67" s="8" t="s">
        <v>131</v>
      </c>
      <c r="L67" s="8" t="s">
        <v>245</v>
      </c>
      <c r="M67" s="8" t="s">
        <v>131</v>
      </c>
      <c r="N67" s="8" t="s">
        <v>131</v>
      </c>
      <c r="O67" s="8"/>
      <c r="P67" s="15"/>
      <c r="Q67" s="15" t="s">
        <v>35</v>
      </c>
      <c r="R67" s="15"/>
      <c r="S67" s="8" t="b">
        <v>0</v>
      </c>
      <c r="T67" s="8"/>
      <c r="U67" s="8" t="b">
        <v>1</v>
      </c>
      <c r="V67" s="8" t="b">
        <v>0</v>
      </c>
      <c r="W67" s="8" t="b">
        <v>1</v>
      </c>
      <c r="X67" s="8" t="b">
        <v>1</v>
      </c>
      <c r="Y67" s="8" t="b">
        <v>1</v>
      </c>
      <c r="Z67" s="8" t="b">
        <v>0</v>
      </c>
    </row>
    <row r="68" spans="1:26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25</v>
      </c>
      <c r="E68" s="8">
        <v>10</v>
      </c>
      <c r="F68" s="8" t="str">
        <f t="array" ref="F68">GetValue("Domains",E68,"Name")</f>
        <v>Varchar(50)</v>
      </c>
      <c r="G68" s="8" t="str" cm="1">
        <f t="array" ref="G68">GetValue("Domains",E68,"#CategoryName")</f>
        <v>string</v>
      </c>
      <c r="H68" s="8" t="str" cm="1">
        <f t="array" ref="H68">GetDataType(E68)</f>
        <v>nvarchar(50)</v>
      </c>
      <c r="I68" s="8"/>
      <c r="J68" s="8" t="str">
        <f t="array" ref="J68">GetValue("Tables",I68,"Name")</f>
        <v/>
      </c>
      <c r="K68" s="8" t="s">
        <v>132</v>
      </c>
      <c r="L68" s="8" t="s">
        <v>246</v>
      </c>
      <c r="M68" s="8" t="s">
        <v>247</v>
      </c>
      <c r="N68" s="8" t="s">
        <v>247</v>
      </c>
      <c r="O68" s="8"/>
      <c r="P68" s="15"/>
      <c r="Q68" s="15" t="s">
        <v>35</v>
      </c>
      <c r="R68" s="15"/>
      <c r="S68" s="8" t="b">
        <v>0</v>
      </c>
      <c r="T68" s="8"/>
      <c r="U68" s="8" t="b">
        <v>0</v>
      </c>
      <c r="V68" s="8" t="b">
        <v>0</v>
      </c>
      <c r="W68" s="8" t="b">
        <v>0</v>
      </c>
      <c r="X68" s="8" t="b">
        <v>1</v>
      </c>
      <c r="Y68" s="8" t="b">
        <v>0</v>
      </c>
      <c r="Z68" s="8" t="b">
        <v>1</v>
      </c>
    </row>
    <row r="69" spans="1:26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30</v>
      </c>
      <c r="E69" s="8">
        <v>9</v>
      </c>
      <c r="F69" s="8" t="str">
        <f t="array" ref="F69">GetValue("Domains",E69,"Name")</f>
        <v>Varchar(25)</v>
      </c>
      <c r="G69" s="8" t="str" cm="1">
        <f t="array" ref="G69">GetValue("Domains",E69,"#CategoryName")</f>
        <v>string</v>
      </c>
      <c r="H69" s="8" t="str" cm="1">
        <f t="array" ref="H69">GetDataType(E69)</f>
        <v>nvarchar(25)</v>
      </c>
      <c r="I69" s="8"/>
      <c r="J69" s="8" t="str">
        <f t="array" ref="J69">GetValue("Tables",I69,"Name")</f>
        <v/>
      </c>
      <c r="K69" s="8" t="s">
        <v>133</v>
      </c>
      <c r="L69" s="8" t="s">
        <v>248</v>
      </c>
      <c r="M69" s="8" t="s">
        <v>249</v>
      </c>
      <c r="N69" s="8" t="s">
        <v>249</v>
      </c>
      <c r="O69" s="8"/>
      <c r="P69" s="15"/>
      <c r="Q69" s="15" t="s">
        <v>35</v>
      </c>
      <c r="R69" s="15"/>
      <c r="S69" s="8" t="b">
        <v>0</v>
      </c>
      <c r="T69" s="8"/>
      <c r="U69" s="8" t="b">
        <v>0</v>
      </c>
      <c r="V69" s="8" t="b">
        <v>0</v>
      </c>
      <c r="W69" s="8" t="b">
        <v>0</v>
      </c>
      <c r="X69" s="8" t="b">
        <v>1</v>
      </c>
      <c r="Y69" s="8" t="b">
        <v>0</v>
      </c>
      <c r="Z69" s="8" t="b">
        <v>0</v>
      </c>
    </row>
    <row r="70" spans="1:26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35</v>
      </c>
      <c r="E70" s="8">
        <v>3</v>
      </c>
      <c r="F70" s="8" t="str">
        <f t="array" ref="F70">GetValue("Domains",E70,"Name")</f>
        <v>ShortInteger</v>
      </c>
      <c r="G70" s="8" t="str" cm="1">
        <f t="array" ref="G70">GetValue("Domains",E70,"#CategoryName")</f>
        <v>numeric</v>
      </c>
      <c r="H70" s="8" t="str" cm="1">
        <f t="array" ref="H70">GetDataType(E70)</f>
        <v>int</v>
      </c>
      <c r="I70" s="8"/>
      <c r="J70" s="8" t="str">
        <f t="array" ref="J70">GetValue("Tables",I70,"Name")</f>
        <v/>
      </c>
      <c r="K70" s="8" t="s">
        <v>134</v>
      </c>
      <c r="L70" s="8" t="s">
        <v>250</v>
      </c>
      <c r="M70" s="8" t="s">
        <v>251</v>
      </c>
      <c r="N70" s="8" t="s">
        <v>251</v>
      </c>
      <c r="O70" s="8"/>
      <c r="P70" s="15"/>
      <c r="Q70" s="15">
        <v>1</v>
      </c>
      <c r="R70" s="15"/>
      <c r="S70" s="8" t="b">
        <v>0</v>
      </c>
      <c r="T70" s="8" t="b">
        <v>0</v>
      </c>
      <c r="U70" s="8" t="b">
        <v>0</v>
      </c>
      <c r="V70" s="8"/>
      <c r="W70" s="8" t="b">
        <v>0</v>
      </c>
      <c r="X70" s="8" t="b">
        <v>1</v>
      </c>
      <c r="Y70" s="8" t="b">
        <v>0</v>
      </c>
      <c r="Z70" s="8"/>
    </row>
    <row r="71" spans="1:26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40</v>
      </c>
      <c r="E71" s="8">
        <v>11</v>
      </c>
      <c r="F71" s="8" t="str">
        <f t="array" ref="F71">GetValue("Domains",E71,"Name")</f>
        <v>Varchar(256)</v>
      </c>
      <c r="G71" s="8" t="str" cm="1">
        <f t="array" ref="G71">GetValue("Domains",E71,"#CategoryName")</f>
        <v>string</v>
      </c>
      <c r="H71" s="8" t="str" cm="1">
        <f t="array" ref="H71">GetDataType(E71)</f>
        <v>nvarchar(256)</v>
      </c>
      <c r="I71" s="8"/>
      <c r="J71" s="8" t="str">
        <f t="array" ref="J71">GetValue("Tables",I71,"Name")</f>
        <v/>
      </c>
      <c r="K71" s="8" t="s">
        <v>135</v>
      </c>
      <c r="L71" s="8" t="s">
        <v>252</v>
      </c>
      <c r="M71" s="8" t="s">
        <v>241</v>
      </c>
      <c r="N71" s="8" t="s">
        <v>241</v>
      </c>
      <c r="O71" s="8"/>
      <c r="P71" s="15"/>
      <c r="Q71" s="15" t="s">
        <v>35</v>
      </c>
      <c r="R71" s="15"/>
      <c r="S71" s="8" t="b">
        <v>0</v>
      </c>
      <c r="T71" s="8"/>
      <c r="U71" s="8" t="b">
        <v>0</v>
      </c>
      <c r="V71" s="8" t="b">
        <v>0</v>
      </c>
      <c r="W71" s="8" t="b">
        <v>0</v>
      </c>
      <c r="X71" s="8" t="b">
        <v>1</v>
      </c>
      <c r="Y71" s="8" t="b">
        <v>0</v>
      </c>
      <c r="Z71" s="8" t="b">
        <v>1</v>
      </c>
    </row>
    <row r="72" spans="1:26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45</v>
      </c>
      <c r="E72" s="8">
        <v>11</v>
      </c>
      <c r="F72" s="8" t="str">
        <f t="array" ref="F72">GetValue("Domains",E72,"Name")</f>
        <v>Varchar(256)</v>
      </c>
      <c r="G72" s="8" t="str" cm="1">
        <f t="array" ref="G72">GetValue("Domains",E72,"#CategoryName")</f>
        <v>string</v>
      </c>
      <c r="H72" s="8" t="str" cm="1">
        <f t="array" ref="H72">GetDataType(E72)</f>
        <v>nvarchar(256)</v>
      </c>
      <c r="I72" s="8"/>
      <c r="J72" s="8" t="str">
        <f t="array" ref="J72">GetValue("Tables",I72,"Name")</f>
        <v/>
      </c>
      <c r="K72" s="8" t="s">
        <v>126</v>
      </c>
      <c r="L72" s="8" t="s">
        <v>253</v>
      </c>
      <c r="M72" s="8" t="s">
        <v>235</v>
      </c>
      <c r="N72" s="8" t="s">
        <v>235</v>
      </c>
      <c r="O72" s="8"/>
      <c r="P72" s="15"/>
      <c r="Q72" s="15" t="s">
        <v>35</v>
      </c>
      <c r="R72" s="15"/>
      <c r="S72" s="8" t="b">
        <v>0</v>
      </c>
      <c r="T72" s="8"/>
      <c r="U72" s="8" t="b">
        <v>0</v>
      </c>
      <c r="V72" s="8" t="b">
        <v>0</v>
      </c>
      <c r="W72" s="8" t="b">
        <v>0</v>
      </c>
      <c r="X72" s="8" t="b">
        <v>1</v>
      </c>
      <c r="Y72" s="8" t="b">
        <v>0</v>
      </c>
      <c r="Z72" s="8" t="b">
        <v>1</v>
      </c>
    </row>
    <row r="73" spans="1:26" x14ac:dyDescent="0.3">
      <c r="A73" s="8">
        <f t="shared" si="2"/>
        <v>72</v>
      </c>
      <c r="B73" s="8">
        <v>9</v>
      </c>
      <c r="C73" s="8" t="str">
        <f t="array" ref="C73">GetValue("Tables",B73,"Name")</f>
        <v>Databases</v>
      </c>
      <c r="D73" s="8">
        <f t="shared" si="6"/>
        <v>50</v>
      </c>
      <c r="E73" s="8">
        <v>11</v>
      </c>
      <c r="F73" s="8" t="str">
        <f t="array" ref="F73">GetValue("Domains",E73,"Name")</f>
        <v>Varchar(256)</v>
      </c>
      <c r="G73" s="8" t="str" cm="1">
        <f t="array" ref="G73">GetValue("Domains",E73,"#CategoryName")</f>
        <v>string</v>
      </c>
      <c r="H73" s="8" t="str" cm="1">
        <f t="array" ref="H73">GetDataType(E73)</f>
        <v>nvarchar(256)</v>
      </c>
      <c r="I73" s="8"/>
      <c r="J73" s="8" t="str">
        <f t="array" ref="J73">GetValue("Tables",I73,"Name")</f>
        <v/>
      </c>
      <c r="K73" s="8" t="s">
        <v>136</v>
      </c>
      <c r="L73" s="8" t="s">
        <v>254</v>
      </c>
      <c r="M73" s="8" t="s">
        <v>255</v>
      </c>
      <c r="N73" s="8" t="s">
        <v>255</v>
      </c>
      <c r="O73" s="8"/>
      <c r="P73" s="15"/>
      <c r="Q73" s="15" t="s">
        <v>35</v>
      </c>
      <c r="R73" s="15"/>
      <c r="S73" s="8" t="b">
        <v>0</v>
      </c>
      <c r="T73" s="8"/>
      <c r="U73" s="8" t="b">
        <v>0</v>
      </c>
      <c r="V73" s="8" t="b">
        <v>0</v>
      </c>
      <c r="W73" s="8" t="b">
        <v>0</v>
      </c>
      <c r="X73" s="8" t="b">
        <v>1</v>
      </c>
      <c r="Y73" s="8" t="b">
        <v>0</v>
      </c>
      <c r="Z73" s="8" t="b">
        <v>1</v>
      </c>
    </row>
    <row r="74" spans="1:26" x14ac:dyDescent="0.3">
      <c r="A74" s="10">
        <f t="shared" si="2"/>
        <v>73</v>
      </c>
      <c r="B74" s="10">
        <v>10</v>
      </c>
      <c r="C74" s="10" t="str">
        <f t="array" ref="C74">GetValue("Tables",B74,"Name")</f>
        <v>SystemsDatabases</v>
      </c>
      <c r="D74" s="10">
        <v>5</v>
      </c>
      <c r="E74" s="10">
        <v>1</v>
      </c>
      <c r="F74" s="10" t="str">
        <f t="array" ref="F74">GetValue("Domains",E74,"Name")</f>
        <v>BigInteger</v>
      </c>
      <c r="G74" s="10" t="str" cm="1">
        <f t="array" ref="G74">GetValue("Domains",E74,"#CategoryName")</f>
        <v>numeric</v>
      </c>
      <c r="H74" s="10" t="str" cm="1">
        <f t="array" ref="H74">GetDataType(E74)</f>
        <v>int</v>
      </c>
      <c r="I74" s="10"/>
      <c r="J74" s="10" t="str">
        <f t="array" ref="J74">GetValue("Tables",I74,"Name")</f>
        <v/>
      </c>
      <c r="K74" s="10" t="s">
        <v>0</v>
      </c>
      <c r="L74" s="10" t="s">
        <v>256</v>
      </c>
      <c r="M74" s="10" t="s">
        <v>174</v>
      </c>
      <c r="N74" s="10" t="s">
        <v>174</v>
      </c>
      <c r="O74" s="10"/>
      <c r="P74" s="16"/>
      <c r="Q74" s="17">
        <v>1</v>
      </c>
      <c r="R74" s="17"/>
      <c r="S74" s="10" t="b">
        <v>1</v>
      </c>
      <c r="T74" s="10" t="b">
        <v>0</v>
      </c>
      <c r="U74" s="10" t="b">
        <v>1</v>
      </c>
      <c r="V74" s="10"/>
      <c r="W74" s="10" t="b">
        <v>1</v>
      </c>
      <c r="X74" s="10" t="b">
        <v>0</v>
      </c>
      <c r="Y74" s="10" t="b">
        <v>0</v>
      </c>
      <c r="Z74" s="10"/>
    </row>
    <row r="75" spans="1:26" x14ac:dyDescent="0.3">
      <c r="A75" s="10">
        <f t="shared" si="2"/>
        <v>74</v>
      </c>
      <c r="B75" s="10">
        <v>10</v>
      </c>
      <c r="C75" s="10" t="str">
        <f t="array" ref="C75">GetValue("Tables",B75,"Name")</f>
        <v>SystemsDatabases</v>
      </c>
      <c r="D75" s="10">
        <f>D74+5</f>
        <v>10</v>
      </c>
      <c r="E75" s="10">
        <v>1</v>
      </c>
      <c r="F75" s="10" t="str">
        <f t="array" ref="F75">GetValue("Domains",E75,"Name")</f>
        <v>BigInteger</v>
      </c>
      <c r="G75" s="10" t="str" cm="1">
        <f t="array" ref="G75">GetValue("Domains",E75,"#CategoryName")</f>
        <v>numeric</v>
      </c>
      <c r="H75" s="10" t="str" cm="1">
        <f t="array" ref="H75">GetDataType(E75)</f>
        <v>int</v>
      </c>
      <c r="I75" s="10">
        <v>5</v>
      </c>
      <c r="J75" s="10" t="str">
        <f t="array" ref="J75">GetValue("Tables",I75,"Name")</f>
        <v>Systems</v>
      </c>
      <c r="K75" s="10" t="s">
        <v>96</v>
      </c>
      <c r="L75" s="10" t="s">
        <v>211</v>
      </c>
      <c r="M75" s="10" t="s">
        <v>221</v>
      </c>
      <c r="N75" s="10" t="s">
        <v>221</v>
      </c>
      <c r="O75" s="10"/>
      <c r="P75" s="16"/>
      <c r="Q75" s="17">
        <v>1</v>
      </c>
      <c r="R75" s="16"/>
      <c r="S75" s="10" t="b">
        <v>0</v>
      </c>
      <c r="T75" s="10" t="b">
        <v>0</v>
      </c>
      <c r="U75" s="10" t="b">
        <v>1</v>
      </c>
      <c r="V75" s="10"/>
      <c r="W75" s="10" t="b">
        <v>1</v>
      </c>
      <c r="X75" s="10" t="b">
        <v>1</v>
      </c>
      <c r="Y75" s="10" t="b">
        <v>1</v>
      </c>
      <c r="Z75" s="10"/>
    </row>
    <row r="76" spans="1:26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f>D75+5</f>
        <v>15</v>
      </c>
      <c r="E76" s="10">
        <v>1</v>
      </c>
      <c r="F76" s="10" t="str">
        <f t="array" ref="F76">GetValue("Domains",E76,"Name")</f>
        <v>BigInteger</v>
      </c>
      <c r="G76" s="10" t="str" cm="1">
        <f t="array" ref="G76">GetValue("Domains",E76,"#CategoryName")</f>
        <v>numeric</v>
      </c>
      <c r="H76" s="10" t="str" cm="1">
        <f t="array" ref="H76">GetDataType(E76)</f>
        <v>int</v>
      </c>
      <c r="I76" s="10">
        <v>9</v>
      </c>
      <c r="J76" s="10" t="str">
        <f t="array" ref="J76">GetValue("Tables",I76,"Name")</f>
        <v>Databases</v>
      </c>
      <c r="K76" s="10" t="s">
        <v>140</v>
      </c>
      <c r="L76" s="10" t="s">
        <v>242</v>
      </c>
      <c r="M76" s="10" t="s">
        <v>257</v>
      </c>
      <c r="N76" s="10" t="s">
        <v>257</v>
      </c>
      <c r="O76" s="10"/>
      <c r="P76" s="16"/>
      <c r="Q76" s="17">
        <v>1</v>
      </c>
      <c r="R76" s="16"/>
      <c r="S76" s="10" t="b">
        <v>0</v>
      </c>
      <c r="T76" s="10" t="b">
        <v>0</v>
      </c>
      <c r="U76" s="10" t="b">
        <v>1</v>
      </c>
      <c r="V76" s="10"/>
      <c r="W76" s="10" t="b">
        <v>1</v>
      </c>
      <c r="X76" s="10" t="b">
        <v>1</v>
      </c>
      <c r="Y76" s="10" t="b">
        <v>1</v>
      </c>
      <c r="Z76" s="10"/>
    </row>
    <row r="77" spans="1:26" x14ac:dyDescent="0.3">
      <c r="A77" s="10">
        <f t="shared" si="2"/>
        <v>76</v>
      </c>
      <c r="B77" s="10">
        <v>10</v>
      </c>
      <c r="C77" s="10" t="str">
        <f t="array" ref="C77">GetValue("Tables",B77,"Name")</f>
        <v>SystemsDatabases</v>
      </c>
      <c r="D77" s="10">
        <f>D76+5</f>
        <v>20</v>
      </c>
      <c r="E77" s="10">
        <v>10</v>
      </c>
      <c r="F77" s="10" t="str">
        <f t="array" ref="F77">GetValue("Domains",E77,"Name")</f>
        <v>Varchar(50)</v>
      </c>
      <c r="G77" s="10" t="str" cm="1">
        <f t="array" ref="G77">GetValue("Domains",E77,"#CategoryName")</f>
        <v>string</v>
      </c>
      <c r="H77" s="10" t="str" cm="1">
        <f t="array" ref="H77">GetDataType(E77)</f>
        <v>nvarchar(50)</v>
      </c>
      <c r="I77" s="10"/>
      <c r="J77" s="10" t="str">
        <f t="array" ref="J77">GetValue("Tables",I77,"Name")</f>
        <v/>
      </c>
      <c r="K77" s="10" t="s">
        <v>90</v>
      </c>
      <c r="L77" s="10" t="s">
        <v>375</v>
      </c>
      <c r="M77" s="10" t="s">
        <v>214</v>
      </c>
      <c r="N77" s="10" t="s">
        <v>214</v>
      </c>
      <c r="O77" s="10"/>
      <c r="P77" s="16"/>
      <c r="Q77" s="17"/>
      <c r="R77" s="17"/>
      <c r="S77" s="10" t="b">
        <v>0</v>
      </c>
      <c r="T77" s="10"/>
      <c r="U77" s="10" t="b">
        <v>1</v>
      </c>
      <c r="V77" s="10" t="b">
        <v>1</v>
      </c>
      <c r="W77" s="10" t="b">
        <v>1</v>
      </c>
      <c r="X77" s="10" t="b">
        <v>1</v>
      </c>
      <c r="Y77" s="10" t="b">
        <v>1</v>
      </c>
      <c r="Z77" s="10" t="b">
        <v>0</v>
      </c>
    </row>
    <row r="78" spans="1:26" x14ac:dyDescent="0.3">
      <c r="A78" s="8">
        <f t="shared" si="2"/>
        <v>77</v>
      </c>
      <c r="B78" s="8">
        <v>11</v>
      </c>
      <c r="C78" s="8" t="str">
        <f t="array" ref="C78">GetValue("Tables",B78,"Name")</f>
        <v>Tables</v>
      </c>
      <c r="D78" s="8">
        <v>5</v>
      </c>
      <c r="E78" s="8">
        <v>1</v>
      </c>
      <c r="F78" s="8" t="str">
        <f t="array" ref="F78">GetValue("Domains",E78,"Name")</f>
        <v>BigInteger</v>
      </c>
      <c r="G78" s="8" t="str" cm="1">
        <f t="array" ref="G78">GetValue("Domains",E78,"#CategoryName")</f>
        <v>numeric</v>
      </c>
      <c r="H78" s="8" t="str" cm="1">
        <f t="array" ref="H78">GetDataType(E78)</f>
        <v>int</v>
      </c>
      <c r="I78" s="8"/>
      <c r="J78" s="8" t="str">
        <f t="array" ref="J78">GetValue("Tables",I78,"Name")</f>
        <v/>
      </c>
      <c r="K78" s="8" t="s">
        <v>0</v>
      </c>
      <c r="L78" s="8" t="s">
        <v>258</v>
      </c>
      <c r="M78" s="8" t="s">
        <v>174</v>
      </c>
      <c r="N78" s="8" t="s">
        <v>174</v>
      </c>
      <c r="O78" s="8"/>
      <c r="P78" s="15"/>
      <c r="Q78" s="15">
        <v>1</v>
      </c>
      <c r="R78" s="15"/>
      <c r="S78" s="8" t="b">
        <v>1</v>
      </c>
      <c r="T78" s="8" t="b">
        <v>0</v>
      </c>
      <c r="U78" s="8" t="b">
        <v>1</v>
      </c>
      <c r="V78" s="8"/>
      <c r="W78" s="8" t="b">
        <v>1</v>
      </c>
      <c r="X78" s="8" t="b">
        <v>0</v>
      </c>
      <c r="Y78" s="8" t="b">
        <v>0</v>
      </c>
      <c r="Z78" s="8"/>
    </row>
    <row r="79" spans="1:26" x14ac:dyDescent="0.3">
      <c r="A79" s="8">
        <f t="shared" si="2"/>
        <v>78</v>
      </c>
      <c r="B79" s="8">
        <v>11</v>
      </c>
      <c r="C79" s="8" t="str">
        <f t="array" ref="C79">GetValue("Tables",B79,"Name")</f>
        <v>Tables</v>
      </c>
      <c r="D79" s="8">
        <f t="shared" ref="D79" si="7">D78+5</f>
        <v>10</v>
      </c>
      <c r="E79" s="8">
        <v>9</v>
      </c>
      <c r="F79" s="8" t="str">
        <f t="array" ref="F79">GetValue("Domains",E79,"Name")</f>
        <v>Varchar(25)</v>
      </c>
      <c r="G79" s="8" t="str" cm="1">
        <f t="array" ref="G79">GetValue("Domains",E79,"#CategoryName")</f>
        <v>string</v>
      </c>
      <c r="H79" s="8" t="str" cm="1">
        <f t="array" ref="H79">GetDataType(E79)</f>
        <v>nvarchar(25)</v>
      </c>
      <c r="I79" s="8"/>
      <c r="J79" s="8" t="str">
        <f t="array" ref="J79">GetValue("Tables",I79,"Name")</f>
        <v/>
      </c>
      <c r="K79" s="8" t="s">
        <v>1</v>
      </c>
      <c r="L79" s="8" t="s">
        <v>259</v>
      </c>
      <c r="M79" s="8" t="s">
        <v>176</v>
      </c>
      <c r="N79" s="8" t="s">
        <v>176</v>
      </c>
      <c r="O79" s="8"/>
      <c r="P79" s="15"/>
      <c r="Q79" s="15" t="s">
        <v>35</v>
      </c>
      <c r="R79" s="15"/>
      <c r="S79" s="8" t="b">
        <v>0</v>
      </c>
      <c r="T79" s="8"/>
      <c r="U79" s="8" t="b">
        <v>1</v>
      </c>
      <c r="V79" s="8" t="b">
        <v>1</v>
      </c>
      <c r="W79" s="8" t="b">
        <v>1</v>
      </c>
      <c r="X79" s="8" t="b">
        <v>1</v>
      </c>
      <c r="Y79" s="8" t="b">
        <v>1</v>
      </c>
      <c r="Z79" s="8" t="b">
        <v>0</v>
      </c>
    </row>
    <row r="80" spans="1:26" x14ac:dyDescent="0.3">
      <c r="A80" s="8">
        <f t="shared" si="2"/>
        <v>79</v>
      </c>
      <c r="B80" s="8">
        <v>11</v>
      </c>
      <c r="C80" s="8" t="str">
        <f t="array" ref="C80">GetValue("Tables",B80,"Name")</f>
        <v>Tables</v>
      </c>
      <c r="D80" s="8">
        <f t="shared" ref="D80:D84" si="8">D79+5</f>
        <v>15</v>
      </c>
      <c r="E80" s="8">
        <v>9</v>
      </c>
      <c r="F80" s="8" t="str">
        <f t="array" ref="F80">GetValue("Domains",E80,"Name")</f>
        <v>Varchar(25)</v>
      </c>
      <c r="G80" s="8" t="str" cm="1">
        <f t="array" ref="G80">GetValue("Domains",E80,"#CategoryName")</f>
        <v>string</v>
      </c>
      <c r="H80" s="8" t="str" cm="1">
        <f t="array" ref="H80">GetDataType(E80)</f>
        <v>nvarchar(25)</v>
      </c>
      <c r="I80" s="8"/>
      <c r="J80" s="8" t="str">
        <f t="array" ref="J80">GetValue("Tables",I80,"Name")</f>
        <v/>
      </c>
      <c r="K80" s="8" t="s">
        <v>131</v>
      </c>
      <c r="L80" s="8" t="s">
        <v>260</v>
      </c>
      <c r="M80" s="8" t="s">
        <v>131</v>
      </c>
      <c r="N80" s="8" t="s">
        <v>131</v>
      </c>
      <c r="O80" s="8"/>
      <c r="P80" s="15"/>
      <c r="Q80" s="15" t="s">
        <v>35</v>
      </c>
      <c r="R80" s="15"/>
      <c r="S80" s="8" t="b">
        <v>0</v>
      </c>
      <c r="T80" s="8"/>
      <c r="U80" s="8" t="b">
        <v>1</v>
      </c>
      <c r="V80" s="8" t="b">
        <v>0</v>
      </c>
      <c r="W80" s="8" t="b">
        <v>1</v>
      </c>
      <c r="X80" s="8" t="b">
        <v>1</v>
      </c>
      <c r="Y80" s="8" t="b">
        <v>1</v>
      </c>
      <c r="Z80" s="8" t="b">
        <v>0</v>
      </c>
    </row>
    <row r="81" spans="1:26" x14ac:dyDescent="0.3">
      <c r="A81" s="8">
        <f t="shared" ref="A81:A124" si="9">ROW(A81)-1</f>
        <v>80</v>
      </c>
      <c r="B81" s="8">
        <v>11</v>
      </c>
      <c r="C81" s="8" t="str">
        <f t="array" ref="C81">GetValue("Tables",B81,"Name")</f>
        <v>Tables</v>
      </c>
      <c r="D81" s="8">
        <f t="shared" si="8"/>
        <v>20</v>
      </c>
      <c r="E81" s="8">
        <v>10</v>
      </c>
      <c r="F81" s="8" t="str">
        <f t="array" ref="F81">GetValue("Domains",E81,"Name")</f>
        <v>Varchar(50)</v>
      </c>
      <c r="G81" s="8" t="str" cm="1">
        <f t="array" ref="G81">GetValue("Domains",E81,"#CategoryName")</f>
        <v>string</v>
      </c>
      <c r="H81" s="8" t="str" cm="1">
        <f t="array" ref="H81">GetDataType(E81)</f>
        <v>nvarchar(50)</v>
      </c>
      <c r="I81" s="8"/>
      <c r="J81" s="8" t="str">
        <f t="array" ref="J81">GetValue("Tables",I81,"Name")</f>
        <v/>
      </c>
      <c r="K81" s="8" t="s">
        <v>90</v>
      </c>
      <c r="L81" s="8" t="s">
        <v>261</v>
      </c>
      <c r="M81" s="8" t="s">
        <v>214</v>
      </c>
      <c r="N81" s="8" t="s">
        <v>214</v>
      </c>
      <c r="O81" s="8"/>
      <c r="P81" s="15"/>
      <c r="Q81" s="15" t="s">
        <v>35</v>
      </c>
      <c r="R81" s="15"/>
      <c r="S81" s="8" t="b">
        <v>0</v>
      </c>
      <c r="T81" s="8"/>
      <c r="U81" s="8" t="b">
        <v>1</v>
      </c>
      <c r="V81" s="8" t="b">
        <v>0</v>
      </c>
      <c r="W81" s="8" t="b">
        <v>0</v>
      </c>
      <c r="X81" s="8" t="b">
        <v>1</v>
      </c>
      <c r="Y81" s="8" t="b">
        <v>1</v>
      </c>
      <c r="Z81" s="8" t="b">
        <v>0</v>
      </c>
    </row>
    <row r="82" spans="1:26" x14ac:dyDescent="0.3">
      <c r="A82" s="8">
        <f t="shared" si="9"/>
        <v>81</v>
      </c>
      <c r="B82" s="8">
        <v>11</v>
      </c>
      <c r="C82" s="8" t="str">
        <f t="array" ref="C82">GetValue("Tables",B82,"Name")</f>
        <v>Tables</v>
      </c>
      <c r="D82" s="8">
        <f t="shared" si="8"/>
        <v>25</v>
      </c>
      <c r="E82" s="8">
        <v>1</v>
      </c>
      <c r="F82" s="8" t="str">
        <f t="array" ref="F82">GetValue("Domains",E82,"Name")</f>
        <v>BigInteger</v>
      </c>
      <c r="G82" s="8" t="str" cm="1">
        <f t="array" ref="G82">GetValue("Domains",E82,"#CategoryName")</f>
        <v>numeric</v>
      </c>
      <c r="H82" s="8" t="str" cm="1">
        <f t="array" ref="H82">GetDataType(E82)</f>
        <v>int</v>
      </c>
      <c r="I82" s="8"/>
      <c r="J82" s="8" t="str">
        <f t="array" ref="J82">GetValue("Tables",I82,"Name")</f>
        <v/>
      </c>
      <c r="K82" s="8" t="s">
        <v>141</v>
      </c>
      <c r="L82" s="8" t="s">
        <v>451</v>
      </c>
      <c r="M82" s="8" t="s">
        <v>450</v>
      </c>
      <c r="N82" s="8" t="s">
        <v>450</v>
      </c>
      <c r="O82" s="8"/>
      <c r="P82" s="19"/>
      <c r="Q82" s="15">
        <v>0</v>
      </c>
      <c r="R82" s="15"/>
      <c r="S82" s="8" t="b">
        <v>0</v>
      </c>
      <c r="T82" s="8" t="b">
        <v>0</v>
      </c>
      <c r="U82" s="8" t="b">
        <v>0</v>
      </c>
      <c r="V82" s="8" t="b">
        <v>0</v>
      </c>
      <c r="W82" s="8" t="b">
        <v>0</v>
      </c>
      <c r="X82" s="8" t="b">
        <v>0</v>
      </c>
      <c r="Y82" s="8" t="b">
        <v>0</v>
      </c>
      <c r="Z82" s="8"/>
    </row>
    <row r="83" spans="1:26" x14ac:dyDescent="0.3">
      <c r="A83" s="8">
        <f t="shared" si="9"/>
        <v>82</v>
      </c>
      <c r="B83" s="8">
        <v>11</v>
      </c>
      <c r="C83" s="8" t="str">
        <f t="array" ref="C83">GetValue("Tables",B83,"Name")</f>
        <v>Tables</v>
      </c>
      <c r="D83" s="8">
        <f t="shared" si="8"/>
        <v>30</v>
      </c>
      <c r="E83" s="8">
        <v>6</v>
      </c>
      <c r="F83" s="8" t="str">
        <f t="array" ref="F83">GetValue("Domains",E83,"Name")</f>
        <v>Boolean</v>
      </c>
      <c r="G83" s="8" t="str" cm="1">
        <f t="array" ref="G83">GetValue("Domains",E83,"#CategoryName")</f>
        <v>boolean</v>
      </c>
      <c r="H83" s="8" t="str" cm="1">
        <f t="array" ref="H83">GetDataType(E83)</f>
        <v>bit</v>
      </c>
      <c r="I83" s="8"/>
      <c r="J83" s="8" t="str">
        <f t="array" ref="J83">GetValue("Tables",I83,"Name")</f>
        <v/>
      </c>
      <c r="K83" s="8" t="s">
        <v>348</v>
      </c>
      <c r="L83" s="8" t="s">
        <v>349</v>
      </c>
      <c r="M83" s="8" t="s">
        <v>350</v>
      </c>
      <c r="N83" s="8" t="s">
        <v>350</v>
      </c>
      <c r="O83" s="8"/>
      <c r="P83" s="15"/>
      <c r="Q83" s="15" t="s">
        <v>35</v>
      </c>
      <c r="R83" s="15"/>
      <c r="S83" s="8" t="b">
        <v>0</v>
      </c>
      <c r="T83" s="8"/>
      <c r="U83" s="8" t="b">
        <v>1</v>
      </c>
      <c r="V83" s="8"/>
      <c r="W83" s="8" t="b">
        <v>1</v>
      </c>
      <c r="X83" s="8" t="b">
        <v>1</v>
      </c>
      <c r="Y83" s="8" t="b">
        <v>1</v>
      </c>
      <c r="Z83" s="8"/>
    </row>
    <row r="84" spans="1:26" x14ac:dyDescent="0.3">
      <c r="A84" s="8">
        <f t="shared" si="9"/>
        <v>83</v>
      </c>
      <c r="B84" s="8">
        <v>11</v>
      </c>
      <c r="C84" s="8" t="str">
        <f t="array" ref="C84">GetValue("Tables",B84,"Name")</f>
        <v>Tables</v>
      </c>
      <c r="D84" s="8">
        <f t="shared" si="8"/>
        <v>35</v>
      </c>
      <c r="E84" s="8">
        <v>1</v>
      </c>
      <c r="F84" s="8" t="str">
        <f t="array" ref="F84">GetValue("Domains",E84,"Name")</f>
        <v>BigInteger</v>
      </c>
      <c r="G84" s="8" t="str" cm="1">
        <f t="array" ref="G84">GetValue("Domains",E84,"#CategoryName")</f>
        <v>numeric</v>
      </c>
      <c r="H84" s="8" t="str" cm="1">
        <f t="array" ref="H84">GetDataType(E84)</f>
        <v>int</v>
      </c>
      <c r="I84" s="8"/>
      <c r="J84" s="8" t="str">
        <f t="array" ref="J84">GetValue("Tables",I84,"Name")</f>
        <v/>
      </c>
      <c r="K84" s="8" t="s">
        <v>440</v>
      </c>
      <c r="L84" s="8" t="s">
        <v>441</v>
      </c>
      <c r="M84" s="8" t="s">
        <v>441</v>
      </c>
      <c r="N84" s="8" t="s">
        <v>441</v>
      </c>
      <c r="O84" s="8"/>
      <c r="P84" s="19">
        <v>0</v>
      </c>
      <c r="Q84" s="15">
        <v>0</v>
      </c>
      <c r="R84" s="15"/>
      <c r="S84" s="8" t="b">
        <v>0</v>
      </c>
      <c r="T84" s="8" t="b">
        <v>0</v>
      </c>
      <c r="U84" s="8" t="b">
        <v>1</v>
      </c>
      <c r="V84" s="8" t="b">
        <v>0</v>
      </c>
      <c r="W84" s="8" t="b">
        <v>0</v>
      </c>
      <c r="X84" s="8" t="b">
        <v>0</v>
      </c>
      <c r="Y84" s="8" t="b">
        <v>0</v>
      </c>
      <c r="Z84" s="8"/>
    </row>
    <row r="85" spans="1:26" x14ac:dyDescent="0.3">
      <c r="A85" s="10">
        <f t="shared" si="9"/>
        <v>84</v>
      </c>
      <c r="B85" s="10">
        <v>12</v>
      </c>
      <c r="C85" s="10" t="str">
        <f t="array" ref="C85">GetValue("Tables",B85,"Name")</f>
        <v>DatabasesTables</v>
      </c>
      <c r="D85" s="10">
        <v>5</v>
      </c>
      <c r="E85" s="10">
        <v>1</v>
      </c>
      <c r="F85" s="10" t="str">
        <f t="array" ref="F85">GetValue("Domains",E85,"Name")</f>
        <v>BigInteger</v>
      </c>
      <c r="G85" s="10" t="str" cm="1">
        <f t="array" ref="G85">GetValue("Domains",E85,"#CategoryName")</f>
        <v>numeric</v>
      </c>
      <c r="H85" s="10" t="str" cm="1">
        <f t="array" ref="H85">GetDataType(E85)</f>
        <v>int</v>
      </c>
      <c r="I85" s="10"/>
      <c r="J85" s="10" t="str">
        <f t="array" ref="J85">GetValue("Tables",I85,"Name")</f>
        <v/>
      </c>
      <c r="K85" s="10" t="s">
        <v>0</v>
      </c>
      <c r="L85" s="10" t="s">
        <v>377</v>
      </c>
      <c r="M85" s="10" t="s">
        <v>174</v>
      </c>
      <c r="N85" s="10" t="s">
        <v>174</v>
      </c>
      <c r="O85" s="10"/>
      <c r="P85" s="16"/>
      <c r="Q85" s="17">
        <v>1</v>
      </c>
      <c r="R85" s="17"/>
      <c r="S85" s="10" t="b">
        <v>1</v>
      </c>
      <c r="T85" s="10" t="b">
        <v>0</v>
      </c>
      <c r="U85" s="10" t="b">
        <v>1</v>
      </c>
      <c r="V85" s="10"/>
      <c r="W85" s="10" t="b">
        <v>1</v>
      </c>
      <c r="X85" s="10" t="b">
        <v>0</v>
      </c>
      <c r="Y85" s="10" t="b">
        <v>0</v>
      </c>
      <c r="Z85" s="10"/>
    </row>
    <row r="86" spans="1:26" x14ac:dyDescent="0.3">
      <c r="A86" s="10">
        <f t="shared" si="9"/>
        <v>85</v>
      </c>
      <c r="B86" s="10">
        <v>12</v>
      </c>
      <c r="C86" s="10" t="str">
        <f t="array" ref="C86">GetValue("Tables",B86,"Name")</f>
        <v>DatabasesTables</v>
      </c>
      <c r="D86" s="10">
        <f>D85+5</f>
        <v>10</v>
      </c>
      <c r="E86" s="10">
        <v>1</v>
      </c>
      <c r="F86" s="10" t="str">
        <f t="array" ref="F86">GetValue("Domains",E86,"Name")</f>
        <v>BigInteger</v>
      </c>
      <c r="G86" s="10" t="str" cm="1">
        <f t="array" ref="G86">GetValue("Domains",E86,"#CategoryName")</f>
        <v>numeric</v>
      </c>
      <c r="H86" s="10" t="str" cm="1">
        <f t="array" ref="H86">GetDataType(E86)</f>
        <v>int</v>
      </c>
      <c r="I86" s="10">
        <v>9</v>
      </c>
      <c r="J86" s="10" t="str">
        <f t="array" ref="J86">GetValue("Tables",I86,"Name")</f>
        <v>Databases</v>
      </c>
      <c r="K86" s="10" t="s">
        <v>140</v>
      </c>
      <c r="L86" s="10" t="s">
        <v>242</v>
      </c>
      <c r="M86" s="10" t="s">
        <v>221</v>
      </c>
      <c r="N86" s="10" t="s">
        <v>221</v>
      </c>
      <c r="O86" s="10"/>
      <c r="P86" s="16"/>
      <c r="Q86" s="17">
        <v>1</v>
      </c>
      <c r="R86" s="16"/>
      <c r="S86" s="10" t="b">
        <v>0</v>
      </c>
      <c r="T86" s="10" t="b">
        <v>0</v>
      </c>
      <c r="U86" s="10" t="b">
        <v>1</v>
      </c>
      <c r="V86" s="10"/>
      <c r="W86" s="10" t="b">
        <v>1</v>
      </c>
      <c r="X86" s="10" t="b">
        <v>1</v>
      </c>
      <c r="Y86" s="10" t="b">
        <v>1</v>
      </c>
      <c r="Z86" s="10"/>
    </row>
    <row r="87" spans="1:26" x14ac:dyDescent="0.3">
      <c r="A87" s="10">
        <f t="shared" si="9"/>
        <v>86</v>
      </c>
      <c r="B87" s="10">
        <v>12</v>
      </c>
      <c r="C87" s="10" t="str">
        <f t="array" ref="C87">GetValue("Tables",B87,"Name")</f>
        <v>DatabasesTables</v>
      </c>
      <c r="D87" s="10">
        <f>D86+5</f>
        <v>15</v>
      </c>
      <c r="E87" s="10">
        <v>1</v>
      </c>
      <c r="F87" s="10" t="str">
        <f t="array" ref="F87">GetValue("Domains",E87,"Name")</f>
        <v>BigInteger</v>
      </c>
      <c r="G87" s="10" t="str" cm="1">
        <f t="array" ref="G87">GetValue("Domains",E87,"#CategoryName")</f>
        <v>numeric</v>
      </c>
      <c r="H87" s="10" t="str" cm="1">
        <f t="array" ref="H87">GetDataType(E87)</f>
        <v>int</v>
      </c>
      <c r="I87" s="10">
        <v>11</v>
      </c>
      <c r="J87" s="10" t="str">
        <f t="array" ref="J87">GetValue("Tables",I87,"Name")</f>
        <v>Tables</v>
      </c>
      <c r="K87" s="10" t="s">
        <v>162</v>
      </c>
      <c r="L87" s="10" t="s">
        <v>258</v>
      </c>
      <c r="M87" s="10" t="s">
        <v>257</v>
      </c>
      <c r="N87" s="10" t="s">
        <v>257</v>
      </c>
      <c r="O87" s="10"/>
      <c r="P87" s="16"/>
      <c r="Q87" s="17">
        <v>1</v>
      </c>
      <c r="R87" s="16"/>
      <c r="S87" s="10" t="b">
        <v>0</v>
      </c>
      <c r="T87" s="10" t="b">
        <v>0</v>
      </c>
      <c r="U87" s="10" t="b">
        <v>1</v>
      </c>
      <c r="V87" s="10"/>
      <c r="W87" s="10" t="b">
        <v>1</v>
      </c>
      <c r="X87" s="10" t="b">
        <v>1</v>
      </c>
      <c r="Y87" s="10" t="b">
        <v>1</v>
      </c>
      <c r="Z87" s="10"/>
    </row>
    <row r="88" spans="1:26" x14ac:dyDescent="0.3">
      <c r="A88" s="10">
        <f t="shared" si="9"/>
        <v>87</v>
      </c>
      <c r="B88" s="10">
        <v>12</v>
      </c>
      <c r="C88" s="10" t="str">
        <f t="array" ref="C88">GetValue("Tables",B88,"Name")</f>
        <v>DatabasesTables</v>
      </c>
      <c r="D88" s="10">
        <f>D87+5</f>
        <v>20</v>
      </c>
      <c r="E88" s="10">
        <v>10</v>
      </c>
      <c r="F88" s="10" t="str">
        <f t="array" ref="F88">GetValue("Domains",E88,"Name")</f>
        <v>Varchar(50)</v>
      </c>
      <c r="G88" s="10" t="str" cm="1">
        <f t="array" ref="G88">GetValue("Domains",E88,"#CategoryName")</f>
        <v>string</v>
      </c>
      <c r="H88" s="10" t="str" cm="1">
        <f t="array" ref="H88">GetDataType(E88)</f>
        <v>nvarchar(50)</v>
      </c>
      <c r="I88" s="10"/>
      <c r="J88" s="10" t="str">
        <f t="array" ref="J88">GetValue("Tables",I88,"Name")</f>
        <v/>
      </c>
      <c r="K88" s="10" t="s">
        <v>90</v>
      </c>
      <c r="L88" s="10" t="s">
        <v>376</v>
      </c>
      <c r="M88" s="10" t="s">
        <v>214</v>
      </c>
      <c r="N88" s="10" t="s">
        <v>214</v>
      </c>
      <c r="O88" s="10"/>
      <c r="P88" s="16"/>
      <c r="Q88" s="17"/>
      <c r="R88" s="17"/>
      <c r="S88" s="10" t="b">
        <v>0</v>
      </c>
      <c r="T88" s="10"/>
      <c r="U88" s="10" t="b">
        <v>1</v>
      </c>
      <c r="V88" s="10" t="b">
        <v>1</v>
      </c>
      <c r="W88" s="10" t="b">
        <v>1</v>
      </c>
      <c r="X88" s="10" t="b">
        <v>1</v>
      </c>
      <c r="Y88" s="10" t="b">
        <v>1</v>
      </c>
      <c r="Z88" s="10" t="b">
        <v>0</v>
      </c>
    </row>
    <row r="89" spans="1:26" x14ac:dyDescent="0.3">
      <c r="A89" s="8">
        <f t="shared" si="9"/>
        <v>88</v>
      </c>
      <c r="B89" s="8">
        <v>13</v>
      </c>
      <c r="C89" s="8" t="str">
        <f t="array" ref="C89">GetValue("Tables",B89,"Name")</f>
        <v>Columns</v>
      </c>
      <c r="D89" s="8">
        <v>5</v>
      </c>
      <c r="E89" s="8">
        <v>1</v>
      </c>
      <c r="F89" s="8" t="str">
        <f t="array" ref="F89">GetValue("Domains",E89,"Name")</f>
        <v>BigInteger</v>
      </c>
      <c r="G89" s="8" t="str" cm="1">
        <f t="array" ref="G89">GetValue("Domains",E89,"#CategoryName")</f>
        <v>numeric</v>
      </c>
      <c r="H89" s="8" t="str" cm="1">
        <f t="array" ref="H89">GetDataType(E89)</f>
        <v>int</v>
      </c>
      <c r="I89" s="8"/>
      <c r="J89" s="8" t="str">
        <f t="array" ref="J89">GetValue("Tables",I89,"Name")</f>
        <v/>
      </c>
      <c r="K89" s="8" t="s">
        <v>0</v>
      </c>
      <c r="L89" s="8" t="s">
        <v>262</v>
      </c>
      <c r="M89" s="8" t="s">
        <v>174</v>
      </c>
      <c r="N89" s="8" t="s">
        <v>174</v>
      </c>
      <c r="O89" s="8"/>
      <c r="P89" s="15"/>
      <c r="Q89" s="15">
        <v>1</v>
      </c>
      <c r="R89" s="15"/>
      <c r="S89" s="8" t="b">
        <v>1</v>
      </c>
      <c r="T89" s="8" t="b">
        <v>0</v>
      </c>
      <c r="U89" s="8" t="b">
        <v>1</v>
      </c>
      <c r="V89" s="8"/>
      <c r="W89" s="8" t="b">
        <v>1</v>
      </c>
      <c r="X89" s="8" t="b">
        <v>0</v>
      </c>
      <c r="Y89" s="8" t="b">
        <v>0</v>
      </c>
      <c r="Z89" s="8"/>
    </row>
    <row r="90" spans="1:26" x14ac:dyDescent="0.3">
      <c r="A90" s="8">
        <f t="shared" si="9"/>
        <v>89</v>
      </c>
      <c r="B90" s="8">
        <v>13</v>
      </c>
      <c r="C90" s="8" t="str">
        <f t="array" ref="C90">GetValue("Tables",B90,"Name")</f>
        <v>Columns</v>
      </c>
      <c r="D90" s="8">
        <f t="shared" ref="D90:D109" si="10">D89+5</f>
        <v>10</v>
      </c>
      <c r="E90" s="8">
        <v>1</v>
      </c>
      <c r="F90" s="8" t="str">
        <f t="array" ref="F90">GetValue("Domains",E90,"Name")</f>
        <v>BigInteger</v>
      </c>
      <c r="G90" s="8" t="str" cm="1">
        <f t="array" ref="G90">GetValue("Domains",E90,"#CategoryName")</f>
        <v>numeric</v>
      </c>
      <c r="H90" s="8" t="str" cm="1">
        <f t="array" ref="H90">GetDataType(E90)</f>
        <v>int</v>
      </c>
      <c r="I90" s="8">
        <v>11</v>
      </c>
      <c r="J90" s="8" t="str">
        <f t="array" ref="J90">GetValue("Tables",I90,"Name")</f>
        <v>Tables</v>
      </c>
      <c r="K90" s="8" t="s">
        <v>162</v>
      </c>
      <c r="L90" s="8" t="s">
        <v>263</v>
      </c>
      <c r="M90" s="8" t="s">
        <v>263</v>
      </c>
      <c r="N90" s="8" t="s">
        <v>263</v>
      </c>
      <c r="O90" s="8"/>
      <c r="P90" s="15"/>
      <c r="Q90" s="15">
        <v>1</v>
      </c>
      <c r="R90" s="15"/>
      <c r="S90" s="8" t="b">
        <v>0</v>
      </c>
      <c r="T90" s="8" t="b">
        <v>0</v>
      </c>
      <c r="U90" s="8" t="b">
        <v>1</v>
      </c>
      <c r="V90" s="8"/>
      <c r="W90" s="8" t="b">
        <v>1</v>
      </c>
      <c r="X90" s="8" t="b">
        <v>1</v>
      </c>
      <c r="Y90" s="8" t="b">
        <v>1</v>
      </c>
      <c r="Z90" s="8"/>
    </row>
    <row r="91" spans="1:26" x14ac:dyDescent="0.3">
      <c r="A91" s="8">
        <f t="shared" si="9"/>
        <v>90</v>
      </c>
      <c r="B91" s="8">
        <v>13</v>
      </c>
      <c r="C91" s="8" t="str">
        <f t="array" ref="C91">GetValue("Tables",B91,"Name")</f>
        <v>Columns</v>
      </c>
      <c r="D91" s="8">
        <f t="shared" si="10"/>
        <v>15</v>
      </c>
      <c r="E91" s="8">
        <v>4</v>
      </c>
      <c r="F91" s="8" t="str">
        <f t="array" ref="F91">GetValue("Domains",E91,"Name")</f>
        <v>SmallInteger</v>
      </c>
      <c r="G91" s="8" t="str" cm="1">
        <f t="array" ref="G91">GetValue("Domains",E91,"#CategoryName")</f>
        <v>numeric</v>
      </c>
      <c r="H91" s="8" t="str" cm="1">
        <f t="array" ref="H91">GetDataType(E91)</f>
        <v>smallint</v>
      </c>
      <c r="I91" s="8"/>
      <c r="J91" s="8" t="str">
        <f t="array" ref="J91">GetValue("Tables",I91,"Name")</f>
        <v/>
      </c>
      <c r="K91" s="8" t="s">
        <v>97</v>
      </c>
      <c r="L91" s="8" t="s">
        <v>223</v>
      </c>
      <c r="M91" s="8" t="s">
        <v>223</v>
      </c>
      <c r="N91" s="8" t="s">
        <v>223</v>
      </c>
      <c r="O91" s="8"/>
      <c r="P91" s="15"/>
      <c r="Q91" s="15">
        <v>1</v>
      </c>
      <c r="R91" s="15"/>
      <c r="S91" s="8" t="b">
        <v>0</v>
      </c>
      <c r="T91" s="8" t="b">
        <v>0</v>
      </c>
      <c r="U91" s="8" t="b">
        <v>1</v>
      </c>
      <c r="V91" s="8"/>
      <c r="W91" s="8" t="b">
        <v>0</v>
      </c>
      <c r="X91" s="8" t="b">
        <v>1</v>
      </c>
      <c r="Y91" s="8" t="b">
        <v>1</v>
      </c>
      <c r="Z91" s="8"/>
    </row>
    <row r="92" spans="1:26" x14ac:dyDescent="0.3">
      <c r="A92" s="8">
        <f t="shared" si="9"/>
        <v>91</v>
      </c>
      <c r="B92" s="8">
        <v>13</v>
      </c>
      <c r="C92" s="8" t="str">
        <f t="array" ref="C92">GetValue("Tables",B92,"Name")</f>
        <v>Columns</v>
      </c>
      <c r="D92" s="8">
        <f t="shared" si="10"/>
        <v>20</v>
      </c>
      <c r="E92" s="8">
        <v>1</v>
      </c>
      <c r="F92" s="8" t="str">
        <f t="array" ref="F92">GetValue("Domains",E92,"Name")</f>
        <v>BigInteger</v>
      </c>
      <c r="G92" s="8" t="str" cm="1">
        <f t="array" ref="G92">GetValue("Domains",E92,"#CategoryName")</f>
        <v>numeric</v>
      </c>
      <c r="H92" s="8" t="str" cm="1">
        <f t="array" ref="H92">GetDataType(E92)</f>
        <v>int</v>
      </c>
      <c r="I92" s="8">
        <v>4</v>
      </c>
      <c r="J92" s="8" t="str">
        <f t="array" ref="J92">GetValue("Tables",I92,"Name")</f>
        <v>Domains</v>
      </c>
      <c r="K92" s="8" t="s">
        <v>163</v>
      </c>
      <c r="L92" s="8" t="s">
        <v>264</v>
      </c>
      <c r="M92" s="8" t="s">
        <v>265</v>
      </c>
      <c r="N92" s="8" t="s">
        <v>265</v>
      </c>
      <c r="O92" s="8"/>
      <c r="P92" s="15"/>
      <c r="Q92" s="15">
        <v>1</v>
      </c>
      <c r="R92" s="15"/>
      <c r="S92" s="8" t="b">
        <v>0</v>
      </c>
      <c r="T92" s="8" t="b">
        <v>0</v>
      </c>
      <c r="U92" s="8" t="b">
        <v>1</v>
      </c>
      <c r="V92" s="8"/>
      <c r="W92" s="8" t="b">
        <v>1</v>
      </c>
      <c r="X92" s="8" t="b">
        <v>1</v>
      </c>
      <c r="Y92" s="8" t="b">
        <v>1</v>
      </c>
      <c r="Z92" s="8"/>
    </row>
    <row r="93" spans="1:26" x14ac:dyDescent="0.3">
      <c r="A93" s="8">
        <f t="shared" si="9"/>
        <v>92</v>
      </c>
      <c r="B93" s="8">
        <v>13</v>
      </c>
      <c r="C93" s="8" t="str">
        <f t="array" ref="C93">GetValue("Tables",B93,"Name")</f>
        <v>Columns</v>
      </c>
      <c r="D93" s="8">
        <f t="shared" si="10"/>
        <v>25</v>
      </c>
      <c r="E93" s="8">
        <v>1</v>
      </c>
      <c r="F93" s="8" t="str">
        <f t="array" ref="F93">GetValue("Domains",E93,"Name")</f>
        <v>BigInteger</v>
      </c>
      <c r="G93" s="8" t="str" cm="1">
        <f t="array" ref="G93">GetValue("Domains",E93,"#CategoryName")</f>
        <v>numeric</v>
      </c>
      <c r="H93" s="8" t="str" cm="1">
        <f t="array" ref="H93">GetDataType(E93)</f>
        <v>int</v>
      </c>
      <c r="I93" s="8">
        <v>11</v>
      </c>
      <c r="J93" s="8" t="str">
        <f t="array" ref="J93">GetValue("Tables",I93,"Name")</f>
        <v>Tables</v>
      </c>
      <c r="K93" s="8" t="s">
        <v>164</v>
      </c>
      <c r="L93" s="8" t="s">
        <v>266</v>
      </c>
      <c r="M93" s="8" t="s">
        <v>267</v>
      </c>
      <c r="N93" s="8" t="s">
        <v>267</v>
      </c>
      <c r="O93" s="8"/>
      <c r="P93" s="15"/>
      <c r="Q93" s="15">
        <v>1</v>
      </c>
      <c r="R93" s="15"/>
      <c r="S93" s="8" t="b">
        <v>0</v>
      </c>
      <c r="T93" s="8" t="b">
        <v>0</v>
      </c>
      <c r="U93" s="8" t="b">
        <v>0</v>
      </c>
      <c r="V93" s="8"/>
      <c r="W93" s="8" t="b">
        <v>1</v>
      </c>
      <c r="X93" s="8" t="b">
        <v>1</v>
      </c>
      <c r="Y93" s="8" t="b">
        <v>1</v>
      </c>
      <c r="Z93" s="8"/>
    </row>
    <row r="94" spans="1:26" x14ac:dyDescent="0.3">
      <c r="A94" s="8">
        <f t="shared" si="9"/>
        <v>93</v>
      </c>
      <c r="B94" s="8">
        <v>13</v>
      </c>
      <c r="C94" s="8" t="str">
        <f t="array" ref="C94">GetValue("Tables",B94,"Name")</f>
        <v>Columns</v>
      </c>
      <c r="D94" s="8">
        <f>D93+5</f>
        <v>30</v>
      </c>
      <c r="E94" s="8">
        <v>9</v>
      </c>
      <c r="F94" s="8" t="str">
        <f t="array" ref="F94">GetValue("Domains",E94,"Name")</f>
        <v>Varchar(25)</v>
      </c>
      <c r="G94" s="8" t="str" cm="1">
        <f t="array" ref="G94">GetValue("Domains",E94,"#CategoryName")</f>
        <v>string</v>
      </c>
      <c r="H94" s="8" t="str" cm="1">
        <f t="array" ref="H94">GetDataType(E94)</f>
        <v>nvarchar(25)</v>
      </c>
      <c r="I94" s="8"/>
      <c r="J94" s="8" t="str">
        <f t="array" ref="J94">GetValue("Tables",I94,"Name")</f>
        <v/>
      </c>
      <c r="K94" s="8" t="s">
        <v>1</v>
      </c>
      <c r="L94" s="8" t="s">
        <v>268</v>
      </c>
      <c r="M94" s="8" t="s">
        <v>176</v>
      </c>
      <c r="N94" s="8" t="s">
        <v>176</v>
      </c>
      <c r="O94" s="8"/>
      <c r="P94" s="15"/>
      <c r="Q94" s="15" t="s">
        <v>35</v>
      </c>
      <c r="R94" s="15"/>
      <c r="S94" s="8" t="b">
        <v>0</v>
      </c>
      <c r="T94" s="8"/>
      <c r="U94" s="8" t="b">
        <v>1</v>
      </c>
      <c r="V94" s="8"/>
      <c r="W94" s="8" t="b">
        <v>1</v>
      </c>
      <c r="X94" s="8" t="b">
        <v>1</v>
      </c>
      <c r="Y94" s="8" t="b">
        <v>1</v>
      </c>
      <c r="Z94" s="8" t="b">
        <v>0</v>
      </c>
    </row>
    <row r="95" spans="1:26" x14ac:dyDescent="0.3">
      <c r="A95" s="8">
        <f t="shared" si="9"/>
        <v>94</v>
      </c>
      <c r="B95" s="8">
        <v>13</v>
      </c>
      <c r="C95" s="8" t="str">
        <f t="array" ref="C95">GetValue("Tables",B95,"Name")</f>
        <v>Columns</v>
      </c>
      <c r="D95" s="8">
        <f t="shared" si="10"/>
        <v>35</v>
      </c>
      <c r="E95" s="8">
        <v>10</v>
      </c>
      <c r="F95" s="8" t="str">
        <f t="array" ref="F95">GetValue("Domains",E95,"Name")</f>
        <v>Varchar(50)</v>
      </c>
      <c r="G95" s="8" t="str" cm="1">
        <f t="array" ref="G95">GetValue("Domains",E95,"#CategoryName")</f>
        <v>string</v>
      </c>
      <c r="H95" s="8" t="str" cm="1">
        <f t="array" ref="H95">GetDataType(E95)</f>
        <v>nvarchar(50)</v>
      </c>
      <c r="I95" s="8"/>
      <c r="J95" s="8" t="str">
        <f t="array" ref="J95">GetValue("Tables",I95,"Name")</f>
        <v/>
      </c>
      <c r="K95" s="8" t="s">
        <v>90</v>
      </c>
      <c r="L95" s="8" t="s">
        <v>269</v>
      </c>
      <c r="M95" s="8" t="s">
        <v>214</v>
      </c>
      <c r="N95" s="8" t="s">
        <v>214</v>
      </c>
      <c r="O95" s="8"/>
      <c r="P95" s="15"/>
      <c r="Q95" s="15" t="s">
        <v>35</v>
      </c>
      <c r="R95" s="15"/>
      <c r="S95" s="8" t="b">
        <v>0</v>
      </c>
      <c r="T95" s="8"/>
      <c r="U95" s="8" t="b">
        <v>1</v>
      </c>
      <c r="V95" s="8"/>
      <c r="W95" s="8" t="b">
        <v>0</v>
      </c>
      <c r="X95" s="8" t="b">
        <v>1</v>
      </c>
      <c r="Y95" s="8" t="b">
        <v>1</v>
      </c>
      <c r="Z95" s="8" t="b">
        <v>0</v>
      </c>
    </row>
    <row r="96" spans="1:26" x14ac:dyDescent="0.3">
      <c r="A96" s="8">
        <f t="shared" si="9"/>
        <v>95</v>
      </c>
      <c r="B96" s="8">
        <v>13</v>
      </c>
      <c r="C96" s="8" t="str">
        <f t="array" ref="C96">GetValue("Tables",B96,"Name")</f>
        <v>Columns</v>
      </c>
      <c r="D96" s="8">
        <f t="shared" si="10"/>
        <v>40</v>
      </c>
      <c r="E96" s="8">
        <v>9</v>
      </c>
      <c r="F96" s="8" t="str">
        <f t="array" ref="F96">GetValue("Domains",E96,"Name")</f>
        <v>Varchar(25)</v>
      </c>
      <c r="G96" s="8" t="str" cm="1">
        <f t="array" ref="G96">GetValue("Domains",E96,"#CategoryName")</f>
        <v>string</v>
      </c>
      <c r="H96" s="8" t="str" cm="1">
        <f t="array" ref="H96">GetDataType(E96)</f>
        <v>nvarchar(25)</v>
      </c>
      <c r="I96" s="8"/>
      <c r="J96" s="8" t="str">
        <f t="array" ref="J96">GetValue("Tables",I96,"Name")</f>
        <v/>
      </c>
      <c r="K96" s="8" t="s">
        <v>165</v>
      </c>
      <c r="L96" s="8" t="s">
        <v>270</v>
      </c>
      <c r="M96" s="8" t="s">
        <v>271</v>
      </c>
      <c r="N96" s="8" t="s">
        <v>271</v>
      </c>
      <c r="O96" s="8"/>
      <c r="P96" s="15"/>
      <c r="Q96" s="15" t="s">
        <v>35</v>
      </c>
      <c r="R96" s="15"/>
      <c r="S96" s="8" t="b">
        <v>0</v>
      </c>
      <c r="T96" s="8"/>
      <c r="U96" s="8" t="b">
        <v>1</v>
      </c>
      <c r="V96" s="8"/>
      <c r="W96" s="8" t="b">
        <v>0</v>
      </c>
      <c r="X96" s="8" t="b">
        <v>1</v>
      </c>
      <c r="Y96" s="8" t="b">
        <v>1</v>
      </c>
      <c r="Z96" s="8" t="b">
        <v>0</v>
      </c>
    </row>
    <row r="97" spans="1:26" x14ac:dyDescent="0.3">
      <c r="A97" s="8">
        <f t="shared" si="9"/>
        <v>96</v>
      </c>
      <c r="B97" s="8">
        <v>13</v>
      </c>
      <c r="C97" s="8" t="str">
        <f t="array" ref="C97">GetValue("Tables",B97,"Name")</f>
        <v>Columns</v>
      </c>
      <c r="D97" s="8">
        <f t="shared" si="10"/>
        <v>45</v>
      </c>
      <c r="E97" s="8">
        <v>9</v>
      </c>
      <c r="F97" s="8" t="str">
        <f t="array" ref="F97">GetValue("Domains",E97,"Name")</f>
        <v>Varchar(25)</v>
      </c>
      <c r="G97" s="8" t="str" cm="1">
        <f t="array" ref="G97">GetValue("Domains",E97,"#CategoryName")</f>
        <v>string</v>
      </c>
      <c r="H97" s="8" t="str" cm="1">
        <f t="array" ref="H97">GetDataType(E97)</f>
        <v>nvarchar(25)</v>
      </c>
      <c r="I97" s="8"/>
      <c r="J97" s="8" t="str">
        <f t="array" ref="J97">GetValue("Tables",I97,"Name")</f>
        <v/>
      </c>
      <c r="K97" s="8" t="s">
        <v>98</v>
      </c>
      <c r="L97" s="8" t="s">
        <v>272</v>
      </c>
      <c r="M97" s="8" t="s">
        <v>273</v>
      </c>
      <c r="N97" s="8" t="s">
        <v>273</v>
      </c>
      <c r="O97" s="8"/>
      <c r="P97" s="15"/>
      <c r="Q97" s="15" t="s">
        <v>35</v>
      </c>
      <c r="R97" s="15"/>
      <c r="S97" s="8" t="b">
        <v>0</v>
      </c>
      <c r="T97" s="8"/>
      <c r="U97" s="8" t="b">
        <v>1</v>
      </c>
      <c r="V97" s="8"/>
      <c r="W97" s="8" t="b">
        <v>0</v>
      </c>
      <c r="X97" s="8" t="b">
        <v>1</v>
      </c>
      <c r="Y97" s="8" t="b">
        <v>1</v>
      </c>
      <c r="Z97" s="8" t="b">
        <v>0</v>
      </c>
    </row>
    <row r="98" spans="1:26" x14ac:dyDescent="0.3">
      <c r="A98" s="8">
        <f t="shared" si="9"/>
        <v>97</v>
      </c>
      <c r="B98" s="8">
        <v>13</v>
      </c>
      <c r="C98" s="8" t="str">
        <f t="array" ref="C98">GetValue("Tables",B98,"Name")</f>
        <v>Columns</v>
      </c>
      <c r="D98" s="8">
        <f t="shared" si="10"/>
        <v>50</v>
      </c>
      <c r="E98" s="8">
        <v>12</v>
      </c>
      <c r="F98" s="8" t="str">
        <f t="array" ref="F98">GetValue("Domains",E98,"Name")</f>
        <v>Varchar(MAX)</v>
      </c>
      <c r="G98" s="8" t="str" cm="1">
        <f t="array" ref="G98">GetValue("Domains",E98,"#CategoryName")</f>
        <v>string</v>
      </c>
      <c r="H98" s="8" t="str" cm="1">
        <f t="array" ref="H98">GetDataType(E98)</f>
        <v>nvarchar(MAX)</v>
      </c>
      <c r="I98" s="8"/>
      <c r="J98" s="8" t="str">
        <f t="array" ref="J98">GetValue("Tables",I98,"Name")</f>
        <v/>
      </c>
      <c r="K98" s="8" t="s">
        <v>351</v>
      </c>
      <c r="L98" s="8" t="s">
        <v>347</v>
      </c>
      <c r="M98" s="8" t="s">
        <v>347</v>
      </c>
      <c r="N98" s="8" t="s">
        <v>347</v>
      </c>
      <c r="O98" s="8"/>
      <c r="P98" s="15"/>
      <c r="Q98" s="15" t="s">
        <v>35</v>
      </c>
      <c r="R98" s="15"/>
      <c r="S98" s="8" t="b">
        <v>0</v>
      </c>
      <c r="T98" s="8"/>
      <c r="U98" s="8" t="b">
        <v>0</v>
      </c>
      <c r="V98" s="8"/>
      <c r="W98" s="8" t="b">
        <v>0</v>
      </c>
      <c r="X98" s="8" t="b">
        <v>1</v>
      </c>
      <c r="Y98" s="8" t="b">
        <v>0</v>
      </c>
      <c r="Z98" s="8" t="b">
        <v>0</v>
      </c>
    </row>
    <row r="99" spans="1:26" x14ac:dyDescent="0.3">
      <c r="A99" s="8">
        <f t="shared" si="9"/>
        <v>98</v>
      </c>
      <c r="B99" s="8">
        <v>13</v>
      </c>
      <c r="C99" s="8" t="str">
        <f t="array" ref="C99">GetValue("Tables",B99,"Name")</f>
        <v>Columns</v>
      </c>
      <c r="D99" s="8">
        <f t="shared" si="10"/>
        <v>55</v>
      </c>
      <c r="E99" s="8">
        <v>17</v>
      </c>
      <c r="F99" s="8" t="str">
        <f t="array" ref="F99">GetValue("Domains",E99,"Name")</f>
        <v>Variant</v>
      </c>
      <c r="G99" s="8" t="str" cm="1">
        <f t="array" ref="G99">GetValue("Domains",E99,"#CategoryName")</f>
        <v>string</v>
      </c>
      <c r="H99" s="8" t="str" cm="1">
        <f t="array" ref="H99">GetDataType(E99)</f>
        <v>nvarchar(MAX)</v>
      </c>
      <c r="I99" s="8"/>
      <c r="J99" s="8" t="str">
        <f t="array" ref="J99">GetValue("Tables",I99,"Name")</f>
        <v/>
      </c>
      <c r="K99" s="8" t="s">
        <v>66</v>
      </c>
      <c r="L99" s="8" t="s">
        <v>274</v>
      </c>
      <c r="M99" s="8" t="s">
        <v>275</v>
      </c>
      <c r="N99" s="8" t="s">
        <v>275</v>
      </c>
      <c r="O99" s="8"/>
      <c r="P99" s="15"/>
      <c r="Q99" s="15" t="s">
        <v>35</v>
      </c>
      <c r="R99" s="15"/>
      <c r="S99" s="8"/>
      <c r="T99" s="8"/>
      <c r="U99" s="8" t="b">
        <v>0</v>
      </c>
      <c r="V99" s="8"/>
      <c r="W99" s="8"/>
      <c r="X99" s="8" t="b">
        <v>1</v>
      </c>
      <c r="Y99" s="8" t="b">
        <v>1</v>
      </c>
      <c r="Z99" s="8"/>
    </row>
    <row r="100" spans="1:26" x14ac:dyDescent="0.3">
      <c r="A100" s="8">
        <f t="shared" si="9"/>
        <v>99</v>
      </c>
      <c r="B100" s="8">
        <v>13</v>
      </c>
      <c r="C100" s="8" t="str">
        <f t="array" ref="C100">GetValue("Tables",B100,"Name")</f>
        <v>Columns</v>
      </c>
      <c r="D100" s="8">
        <f t="shared" si="10"/>
        <v>60</v>
      </c>
      <c r="E100" s="8">
        <v>17</v>
      </c>
      <c r="F100" s="8" t="str">
        <f t="array" ref="F100">GetValue("Domains",E100,"Name")</f>
        <v>Variant</v>
      </c>
      <c r="G100" s="8" t="str" cm="1">
        <f t="array" ref="G100">GetValue("Domains",E100,"#CategoryName")</f>
        <v>string</v>
      </c>
      <c r="H100" s="8" t="str" cm="1">
        <f t="array" ref="H100">GetDataType(E100)</f>
        <v>nvarchar(MAX)</v>
      </c>
      <c r="I100" s="8"/>
      <c r="J100" s="8" t="str">
        <f t="array" ref="J100">GetValue("Tables",I100,"Name")</f>
        <v/>
      </c>
      <c r="K100" s="8" t="s">
        <v>26</v>
      </c>
      <c r="L100" s="8" t="s">
        <v>276</v>
      </c>
      <c r="M100" s="8" t="s">
        <v>180</v>
      </c>
      <c r="N100" s="8" t="s">
        <v>180</v>
      </c>
      <c r="O100" s="8"/>
      <c r="P100" s="15"/>
      <c r="Q100" s="15" t="s">
        <v>35</v>
      </c>
      <c r="R100" s="15"/>
      <c r="S100" s="8"/>
      <c r="T100" s="8"/>
      <c r="U100" s="8" t="b">
        <v>0</v>
      </c>
      <c r="V100" s="8"/>
      <c r="W100" s="8"/>
      <c r="X100" s="8" t="b">
        <v>1</v>
      </c>
      <c r="Y100" s="8" t="b">
        <v>1</v>
      </c>
      <c r="Z100" s="8"/>
    </row>
    <row r="101" spans="1:26" x14ac:dyDescent="0.3">
      <c r="A101" s="8">
        <f t="shared" si="9"/>
        <v>100</v>
      </c>
      <c r="B101" s="8">
        <v>13</v>
      </c>
      <c r="C101" s="8" t="str">
        <f t="array" ref="C101">GetValue("Tables",B101,"Name")</f>
        <v>Columns</v>
      </c>
      <c r="D101" s="8">
        <f t="shared" si="10"/>
        <v>65</v>
      </c>
      <c r="E101" s="8">
        <v>17</v>
      </c>
      <c r="F101" s="8" t="str">
        <f t="array" ref="F101">GetValue("Domains",E101,"Name")</f>
        <v>Variant</v>
      </c>
      <c r="G101" s="8" t="str" cm="1">
        <f t="array" ref="G101">GetValue("Domains",E101,"#CategoryName")</f>
        <v>string</v>
      </c>
      <c r="H101" s="8" t="str" cm="1">
        <f t="array" ref="H101">GetDataType(E101)</f>
        <v>nvarchar(MAX)</v>
      </c>
      <c r="I101" s="8"/>
      <c r="J101" s="8" t="str">
        <f t="array" ref="J101">GetValue("Tables",I101,"Name")</f>
        <v/>
      </c>
      <c r="K101" s="8" t="s">
        <v>27</v>
      </c>
      <c r="L101" s="8" t="s">
        <v>277</v>
      </c>
      <c r="M101" s="8" t="s">
        <v>182</v>
      </c>
      <c r="N101" s="8" t="s">
        <v>182</v>
      </c>
      <c r="O101" s="8"/>
      <c r="P101" s="15"/>
      <c r="Q101" s="15" t="s">
        <v>35</v>
      </c>
      <c r="R101" s="15"/>
      <c r="S101" s="8"/>
      <c r="T101" s="8"/>
      <c r="U101" s="8" t="b">
        <v>0</v>
      </c>
      <c r="V101" s="8"/>
      <c r="W101" s="8"/>
      <c r="X101" s="8" t="b">
        <v>1</v>
      </c>
      <c r="Y101" s="8" t="b">
        <v>1</v>
      </c>
      <c r="Z101" s="8"/>
    </row>
    <row r="102" spans="1:26" x14ac:dyDescent="0.3">
      <c r="A102" s="8">
        <f t="shared" si="9"/>
        <v>101</v>
      </c>
      <c r="B102" s="8">
        <v>13</v>
      </c>
      <c r="C102" s="8" t="str">
        <f t="array" ref="C102">GetValue("Tables",B102,"Name")</f>
        <v>Columns</v>
      </c>
      <c r="D102" s="8">
        <f t="shared" si="10"/>
        <v>70</v>
      </c>
      <c r="E102" s="8">
        <v>6</v>
      </c>
      <c r="F102" s="8" t="str">
        <f t="array" ref="F102">GetValue("Domains",E102,"Name")</f>
        <v>Boolean</v>
      </c>
      <c r="G102" s="8" t="str" cm="1">
        <f t="array" ref="G102">GetValue("Domains",E102,"#CategoryName")</f>
        <v>boolean</v>
      </c>
      <c r="H102" s="8" t="str" cm="1">
        <f t="array" ref="H102">GetDataType(E102)</f>
        <v>bit</v>
      </c>
      <c r="I102" s="8"/>
      <c r="J102" s="8" t="str">
        <f t="array" ref="J102">GetValue("Tables",I102,"Name")</f>
        <v/>
      </c>
      <c r="K102" s="8" t="s">
        <v>166</v>
      </c>
      <c r="L102" s="8" t="s">
        <v>278</v>
      </c>
      <c r="M102" s="8" t="s">
        <v>469</v>
      </c>
      <c r="N102" s="8" t="s">
        <v>469</v>
      </c>
      <c r="O102" s="8"/>
      <c r="P102" s="15"/>
      <c r="Q102" s="15" t="s">
        <v>35</v>
      </c>
      <c r="R102" s="15"/>
      <c r="S102" s="8"/>
      <c r="T102" s="8"/>
      <c r="U102" s="8" t="b">
        <v>0</v>
      </c>
      <c r="V102" s="8"/>
      <c r="W102" s="8"/>
      <c r="X102" s="8" t="b">
        <v>1</v>
      </c>
      <c r="Y102" s="8" t="b">
        <v>1</v>
      </c>
      <c r="Z102" s="8"/>
    </row>
    <row r="103" spans="1:26" x14ac:dyDescent="0.3">
      <c r="A103" s="8">
        <f t="shared" si="9"/>
        <v>102</v>
      </c>
      <c r="B103" s="8">
        <v>13</v>
      </c>
      <c r="C103" s="8" t="str">
        <f t="array" ref="C103">GetValue("Tables",B103,"Name")</f>
        <v>Columns</v>
      </c>
      <c r="D103" s="8">
        <f t="shared" si="10"/>
        <v>75</v>
      </c>
      <c r="E103" s="8">
        <v>6</v>
      </c>
      <c r="F103" s="8" t="str">
        <f t="array" ref="F103">GetValue("Domains",E103,"Name")</f>
        <v>Boolean</v>
      </c>
      <c r="G103" s="8" t="str" cm="1">
        <f t="array" ref="G103">GetValue("Domains",E103,"#CategoryName")</f>
        <v>boolean</v>
      </c>
      <c r="H103" s="8" t="str" cm="1">
        <f t="array" ref="H103">GetDataType(E103)</f>
        <v>bit</v>
      </c>
      <c r="I103" s="8"/>
      <c r="J103" s="8" t="str">
        <f t="array" ref="J103">GetValue("Tables",I103,"Name")</f>
        <v/>
      </c>
      <c r="K103" s="8" t="s">
        <v>167</v>
      </c>
      <c r="L103" s="8" t="s">
        <v>279</v>
      </c>
      <c r="M103" s="8" t="s">
        <v>470</v>
      </c>
      <c r="N103" s="8" t="s">
        <v>470</v>
      </c>
      <c r="O103" s="8"/>
      <c r="P103" s="15"/>
      <c r="Q103" s="15" t="s">
        <v>35</v>
      </c>
      <c r="R103" s="15"/>
      <c r="S103" s="8"/>
      <c r="T103" s="8"/>
      <c r="U103" s="8" t="b">
        <v>0</v>
      </c>
      <c r="V103" s="8"/>
      <c r="W103" s="8" t="b">
        <v>1</v>
      </c>
      <c r="X103" s="8" t="b">
        <v>1</v>
      </c>
      <c r="Y103" s="8" t="b">
        <v>1</v>
      </c>
      <c r="Z103" s="8"/>
    </row>
    <row r="104" spans="1:26" x14ac:dyDescent="0.3">
      <c r="A104" s="8">
        <f t="shared" si="9"/>
        <v>103</v>
      </c>
      <c r="B104" s="8">
        <v>13</v>
      </c>
      <c r="C104" s="8" t="str">
        <f t="array" ref="C104">GetValue("Tables",B104,"Name")</f>
        <v>Columns</v>
      </c>
      <c r="D104" s="8">
        <f t="shared" si="10"/>
        <v>80</v>
      </c>
      <c r="E104" s="8">
        <v>6</v>
      </c>
      <c r="F104" s="8" t="str">
        <f t="array" ref="F104">GetValue("Domains",E104,"Name")</f>
        <v>Boolean</v>
      </c>
      <c r="G104" s="8" t="str" cm="1">
        <f t="array" ref="G104">GetValue("Domains",E104,"#CategoryName")</f>
        <v>boolean</v>
      </c>
      <c r="H104" s="8" t="str" cm="1">
        <f t="array" ref="H104">GetDataType(E104)</f>
        <v>bit</v>
      </c>
      <c r="I104" s="8"/>
      <c r="J104" s="8" t="str">
        <f t="array" ref="J104">GetValue("Tables",I104,"Name")</f>
        <v/>
      </c>
      <c r="K104" s="8" t="s">
        <v>168</v>
      </c>
      <c r="L104" s="8" t="s">
        <v>280</v>
      </c>
      <c r="M104" s="8" t="s">
        <v>471</v>
      </c>
      <c r="N104" s="8" t="s">
        <v>471</v>
      </c>
      <c r="O104" s="8"/>
      <c r="P104" s="15"/>
      <c r="Q104" s="15" t="s">
        <v>35</v>
      </c>
      <c r="R104" s="15"/>
      <c r="S104" s="8"/>
      <c r="T104" s="8"/>
      <c r="U104" s="8" t="b">
        <v>1</v>
      </c>
      <c r="V104" s="8"/>
      <c r="W104" s="8" t="b">
        <v>1</v>
      </c>
      <c r="X104" s="8" t="b">
        <v>1</v>
      </c>
      <c r="Y104" s="8" t="b">
        <v>1</v>
      </c>
      <c r="Z104" s="8"/>
    </row>
    <row r="105" spans="1:26" x14ac:dyDescent="0.3">
      <c r="A105" s="8">
        <f t="shared" si="9"/>
        <v>104</v>
      </c>
      <c r="B105" s="8">
        <v>13</v>
      </c>
      <c r="C105" s="8" t="str">
        <f t="array" ref="C105">GetValue("Tables",B105,"Name")</f>
        <v>Columns</v>
      </c>
      <c r="D105" s="8">
        <f t="shared" si="10"/>
        <v>85</v>
      </c>
      <c r="E105" s="8">
        <v>6</v>
      </c>
      <c r="F105" s="8" t="str">
        <f t="array" ref="F105">GetValue("Domains",E105,"Name")</f>
        <v>Boolean</v>
      </c>
      <c r="G105" s="8" t="str" cm="1">
        <f t="array" ref="G105">GetValue("Domains",E105,"#CategoryName")</f>
        <v>boolean</v>
      </c>
      <c r="H105" s="8" t="str" cm="1">
        <f t="array" ref="H105">GetDataType(E105)</f>
        <v>bit</v>
      </c>
      <c r="I105" s="8"/>
      <c r="J105" s="8" t="str">
        <f t="array" ref="J105">GetValue("Tables",I105,"Name")</f>
        <v/>
      </c>
      <c r="K105" s="8" t="s">
        <v>169</v>
      </c>
      <c r="L105" s="8" t="s">
        <v>281</v>
      </c>
      <c r="M105" s="8" t="s">
        <v>472</v>
      </c>
      <c r="N105" s="8" t="s">
        <v>472</v>
      </c>
      <c r="O105" s="8"/>
      <c r="P105" s="15"/>
      <c r="Q105" s="15" t="s">
        <v>35</v>
      </c>
      <c r="R105" s="15"/>
      <c r="S105" s="8"/>
      <c r="T105" s="8"/>
      <c r="U105" s="8" t="b">
        <v>0</v>
      </c>
      <c r="V105" s="8"/>
      <c r="W105" s="8" t="b">
        <v>1</v>
      </c>
      <c r="X105" s="8" t="b">
        <v>1</v>
      </c>
      <c r="Y105" s="8" t="b">
        <v>1</v>
      </c>
      <c r="Z105" s="8"/>
    </row>
    <row r="106" spans="1:26" x14ac:dyDescent="0.3">
      <c r="A106" s="8">
        <f t="shared" si="9"/>
        <v>105</v>
      </c>
      <c r="B106" s="8">
        <v>13</v>
      </c>
      <c r="C106" s="8" t="str">
        <f t="array" ref="C106">GetValue("Tables",B106,"Name")</f>
        <v>Columns</v>
      </c>
      <c r="D106" s="8">
        <f t="shared" si="10"/>
        <v>90</v>
      </c>
      <c r="E106" s="8">
        <v>6</v>
      </c>
      <c r="F106" s="8" t="str">
        <f t="array" ref="F106">GetValue("Domains",E106,"Name")</f>
        <v>Boolean</v>
      </c>
      <c r="G106" s="8" t="str" cm="1">
        <f t="array" ref="G106">GetValue("Domains",E106,"#CategoryName")</f>
        <v>boolean</v>
      </c>
      <c r="H106" s="8" t="str" cm="1">
        <f t="array" ref="H106">GetDataType(E106)</f>
        <v>bit</v>
      </c>
      <c r="I106" s="8"/>
      <c r="J106" s="8" t="str">
        <f t="array" ref="J106">GetValue("Tables",I106,"Name")</f>
        <v/>
      </c>
      <c r="K106" s="8" t="s">
        <v>170</v>
      </c>
      <c r="L106" s="8" t="s">
        <v>282</v>
      </c>
      <c r="M106" s="8" t="s">
        <v>473</v>
      </c>
      <c r="N106" s="8" t="s">
        <v>473</v>
      </c>
      <c r="O106" s="8"/>
      <c r="P106" s="15"/>
      <c r="Q106" s="15" t="s">
        <v>35</v>
      </c>
      <c r="R106" s="15"/>
      <c r="S106" s="8"/>
      <c r="T106" s="8"/>
      <c r="U106" s="8" t="b">
        <v>0</v>
      </c>
      <c r="V106" s="8"/>
      <c r="W106" s="8" t="b">
        <v>1</v>
      </c>
      <c r="X106" s="8" t="b">
        <v>1</v>
      </c>
      <c r="Y106" s="8" t="b">
        <v>1</v>
      </c>
      <c r="Z106" s="8"/>
    </row>
    <row r="107" spans="1:26" x14ac:dyDescent="0.3">
      <c r="A107" s="8">
        <f t="shared" si="9"/>
        <v>106</v>
      </c>
      <c r="B107" s="8">
        <v>13</v>
      </c>
      <c r="C107" s="8" t="str">
        <f t="array" ref="C107">GetValue("Tables",B107,"Name")</f>
        <v>Columns</v>
      </c>
      <c r="D107" s="8">
        <f t="shared" si="10"/>
        <v>95</v>
      </c>
      <c r="E107" s="8">
        <v>6</v>
      </c>
      <c r="F107" s="8" t="str">
        <f t="array" ref="F107">GetValue("Domains",E107,"Name")</f>
        <v>Boolean</v>
      </c>
      <c r="G107" s="8" t="str" cm="1">
        <f t="array" ref="G107">GetValue("Domains",E107,"#CategoryName")</f>
        <v>boolean</v>
      </c>
      <c r="H107" s="8" t="str" cm="1">
        <f t="array" ref="H107">GetDataType(E107)</f>
        <v>bit</v>
      </c>
      <c r="I107" s="8"/>
      <c r="J107" s="8" t="str">
        <f t="array" ref="J107">GetValue("Tables",I107,"Name")</f>
        <v/>
      </c>
      <c r="K107" s="8" t="s">
        <v>171</v>
      </c>
      <c r="L107" s="8" t="s">
        <v>283</v>
      </c>
      <c r="M107" s="8" t="s">
        <v>474</v>
      </c>
      <c r="N107" s="8" t="s">
        <v>474</v>
      </c>
      <c r="O107" s="8"/>
      <c r="P107" s="15"/>
      <c r="Q107" s="15" t="s">
        <v>35</v>
      </c>
      <c r="R107" s="15"/>
      <c r="S107" s="8"/>
      <c r="T107" s="8"/>
      <c r="U107" s="8" t="b">
        <v>0</v>
      </c>
      <c r="V107" s="8"/>
      <c r="W107" s="8" t="b">
        <v>1</v>
      </c>
      <c r="X107" s="8" t="b">
        <v>1</v>
      </c>
      <c r="Y107" s="8" t="b">
        <v>1</v>
      </c>
      <c r="Z107" s="8"/>
    </row>
    <row r="108" spans="1:26" x14ac:dyDescent="0.3">
      <c r="A108" s="8">
        <f t="shared" si="9"/>
        <v>107</v>
      </c>
      <c r="B108" s="8">
        <v>13</v>
      </c>
      <c r="C108" s="8" t="str">
        <f t="array" ref="C108">GetValue("Tables",B108,"Name")</f>
        <v>Columns</v>
      </c>
      <c r="D108" s="8">
        <f t="shared" si="10"/>
        <v>100</v>
      </c>
      <c r="E108" s="8">
        <v>6</v>
      </c>
      <c r="F108" s="8" t="str">
        <f t="array" ref="F108">GetValue("Domains",E108,"Name")</f>
        <v>Boolean</v>
      </c>
      <c r="G108" s="8" t="str" cm="1">
        <f t="array" ref="G108">GetValue("Domains",E108,"#CategoryName")</f>
        <v>boolean</v>
      </c>
      <c r="H108" s="8" t="str" cm="1">
        <f t="array" ref="H108">GetDataType(E108)</f>
        <v>bit</v>
      </c>
      <c r="I108" s="8"/>
      <c r="J108" s="8" t="str">
        <f t="array" ref="J108">GetValue("Tables",I108,"Name")</f>
        <v/>
      </c>
      <c r="K108" s="8" t="s">
        <v>465</v>
      </c>
      <c r="L108" s="8" t="s">
        <v>468</v>
      </c>
      <c r="M108" s="8" t="s">
        <v>475</v>
      </c>
      <c r="N108" s="8" t="s">
        <v>475</v>
      </c>
      <c r="O108" s="8"/>
      <c r="P108" s="15"/>
      <c r="Q108" s="15" t="s">
        <v>35</v>
      </c>
      <c r="R108" s="15"/>
      <c r="S108" s="8"/>
      <c r="T108" s="8"/>
      <c r="U108" s="8" t="b">
        <v>0</v>
      </c>
      <c r="V108" s="8"/>
      <c r="W108" s="8" t="b">
        <v>1</v>
      </c>
      <c r="X108" s="8" t="b">
        <v>1</v>
      </c>
      <c r="Y108" s="8" t="b">
        <v>1</v>
      </c>
      <c r="Z108" s="8"/>
    </row>
    <row r="109" spans="1:26" x14ac:dyDescent="0.3">
      <c r="A109" s="8">
        <f t="shared" si="9"/>
        <v>108</v>
      </c>
      <c r="B109" s="8">
        <v>13</v>
      </c>
      <c r="C109" s="8" t="str">
        <f t="array" ref="C109">GetValue("Tables",B109,"Name")</f>
        <v>Columns</v>
      </c>
      <c r="D109" s="8">
        <f t="shared" si="10"/>
        <v>105</v>
      </c>
      <c r="E109" s="8">
        <v>6</v>
      </c>
      <c r="F109" s="8" t="str">
        <f t="array" ref="F109">GetValue("Domains",E109,"Name")</f>
        <v>Boolean</v>
      </c>
      <c r="G109" s="8" t="str" cm="1">
        <f t="array" ref="G109">GetValue("Domains",E109,"#CategoryName")</f>
        <v>boolean</v>
      </c>
      <c r="H109" s="8" t="str" cm="1">
        <f t="array" ref="H109">GetDataType(E109)</f>
        <v>bit</v>
      </c>
      <c r="I109" s="8"/>
      <c r="J109" s="8" t="str">
        <f t="array" ref="J109">GetValue("Tables",I109,"Name")</f>
        <v/>
      </c>
      <c r="K109" s="8" t="s">
        <v>172</v>
      </c>
      <c r="L109" s="8" t="s">
        <v>284</v>
      </c>
      <c r="M109" s="8" t="s">
        <v>476</v>
      </c>
      <c r="N109" s="8" t="s">
        <v>476</v>
      </c>
      <c r="O109" s="8"/>
      <c r="P109" s="15"/>
      <c r="Q109" s="15" t="s">
        <v>35</v>
      </c>
      <c r="R109" s="15"/>
      <c r="S109" s="8"/>
      <c r="T109" s="8"/>
      <c r="U109" s="8" t="b">
        <v>0</v>
      </c>
      <c r="V109" s="8"/>
      <c r="W109" s="8" t="b">
        <v>1</v>
      </c>
      <c r="X109" s="8" t="b">
        <v>1</v>
      </c>
      <c r="Y109" s="8" t="b">
        <v>1</v>
      </c>
      <c r="Z109" s="8"/>
    </row>
    <row r="110" spans="1:26" x14ac:dyDescent="0.3">
      <c r="A110" s="10">
        <f t="shared" si="9"/>
        <v>109</v>
      </c>
      <c r="B110" s="10">
        <v>14</v>
      </c>
      <c r="C110" s="10" t="str">
        <f t="array" ref="C110">GetValue("Tables",B110,"Name")</f>
        <v>Indexes</v>
      </c>
      <c r="D110" s="10">
        <v>5</v>
      </c>
      <c r="E110" s="10">
        <v>1</v>
      </c>
      <c r="F110" s="10" t="str">
        <f t="array" ref="F110">GetValue("Domains",E110,"Name")</f>
        <v>BigInteger</v>
      </c>
      <c r="G110" s="10" t="str" cm="1">
        <f t="array" ref="G110">GetValue("Domains",E110,"#CategoryName")</f>
        <v>numeric</v>
      </c>
      <c r="H110" s="10" t="str" cm="1">
        <f t="array" ref="H110">GetDataType(E110)</f>
        <v>int</v>
      </c>
      <c r="I110" s="10"/>
      <c r="J110" s="10" t="str">
        <f t="array" ref="J110">GetValue("Tables",I110,"Name")</f>
        <v/>
      </c>
      <c r="K110" s="10" t="s">
        <v>0</v>
      </c>
      <c r="L110" s="10" t="s">
        <v>285</v>
      </c>
      <c r="M110" s="10" t="s">
        <v>174</v>
      </c>
      <c r="N110" s="10" t="s">
        <v>174</v>
      </c>
      <c r="O110" s="10"/>
      <c r="P110" s="16"/>
      <c r="Q110" s="17">
        <v>1</v>
      </c>
      <c r="R110" s="17"/>
      <c r="S110" s="10" t="b">
        <v>1</v>
      </c>
      <c r="T110" s="10" t="b">
        <v>0</v>
      </c>
      <c r="U110" s="10" t="b">
        <v>1</v>
      </c>
      <c r="V110" s="10"/>
      <c r="W110" s="10" t="b">
        <v>1</v>
      </c>
      <c r="X110" s="10" t="b">
        <v>0</v>
      </c>
      <c r="Y110" s="10" t="b">
        <v>0</v>
      </c>
      <c r="Z110" s="10"/>
    </row>
    <row r="111" spans="1:26" x14ac:dyDescent="0.3">
      <c r="A111" s="10">
        <f t="shared" si="9"/>
        <v>110</v>
      </c>
      <c r="B111" s="10">
        <v>14</v>
      </c>
      <c r="C111" s="10" t="str">
        <f t="array" ref="C111">GetValue("Tables",B111,"Name")</f>
        <v>Indexes</v>
      </c>
      <c r="D111" s="10">
        <f>D110+5</f>
        <v>10</v>
      </c>
      <c r="E111" s="10">
        <v>1</v>
      </c>
      <c r="F111" s="10" t="str">
        <f t="array" ref="F111">GetValue("Domains",E111,"Name")</f>
        <v>BigInteger</v>
      </c>
      <c r="G111" s="10" t="str" cm="1">
        <f t="array" ref="G111">GetValue("Domains",E111,"#CategoryName")</f>
        <v>numeric</v>
      </c>
      <c r="H111" s="10" t="str" cm="1">
        <f t="array" ref="H111">GetDataType(E111)</f>
        <v>int</v>
      </c>
      <c r="I111" s="10">
        <v>9</v>
      </c>
      <c r="J111" s="10" t="str">
        <f t="array" ref="J111">GetValue("Tables",I111,"Name")</f>
        <v>Databases</v>
      </c>
      <c r="K111" s="10" t="s">
        <v>140</v>
      </c>
      <c r="L111" s="10" t="s">
        <v>286</v>
      </c>
      <c r="M111" s="10" t="s">
        <v>257</v>
      </c>
      <c r="N111" s="10" t="s">
        <v>257</v>
      </c>
      <c r="O111" s="10"/>
      <c r="P111" s="16"/>
      <c r="Q111" s="17">
        <v>1</v>
      </c>
      <c r="R111" s="16"/>
      <c r="S111" s="10" t="b">
        <v>0</v>
      </c>
      <c r="T111" s="10" t="b">
        <v>0</v>
      </c>
      <c r="U111" s="10" t="b">
        <v>1</v>
      </c>
      <c r="V111" s="10"/>
      <c r="W111" s="10" t="b">
        <v>0</v>
      </c>
      <c r="X111" s="10" t="b">
        <v>0</v>
      </c>
      <c r="Y111" s="10" t="b">
        <v>0</v>
      </c>
      <c r="Z111" s="10"/>
    </row>
    <row r="112" spans="1:26" x14ac:dyDescent="0.3">
      <c r="A112" s="10">
        <f t="shared" si="9"/>
        <v>111</v>
      </c>
      <c r="B112" s="10">
        <v>14</v>
      </c>
      <c r="C112" s="10" t="str">
        <f t="array" ref="C112">GetValue("Tables",B112,"Name")</f>
        <v>Indexes</v>
      </c>
      <c r="D112" s="10">
        <f>D111+5</f>
        <v>15</v>
      </c>
      <c r="E112" s="10">
        <v>1</v>
      </c>
      <c r="F112" s="10" t="str">
        <f t="array" ref="F112">GetValue("Domains",E112,"Name")</f>
        <v>BigInteger</v>
      </c>
      <c r="G112" s="10" t="str" cm="1">
        <f t="array" ref="G112">GetValue("Domains",E112,"#CategoryName")</f>
        <v>numeric</v>
      </c>
      <c r="H112" s="10" t="str" cm="1">
        <f t="array" ref="H112">GetDataType(E112)</f>
        <v>int</v>
      </c>
      <c r="I112" s="10">
        <v>11</v>
      </c>
      <c r="J112" s="10" t="str">
        <f t="array" ref="J112">GetValue("Tables",I112,"Name")</f>
        <v>Tables</v>
      </c>
      <c r="K112" s="10" t="s">
        <v>162</v>
      </c>
      <c r="L112" s="10" t="s">
        <v>287</v>
      </c>
      <c r="M112" s="10" t="s">
        <v>263</v>
      </c>
      <c r="N112" s="10" t="s">
        <v>263</v>
      </c>
      <c r="O112" s="10"/>
      <c r="P112" s="16"/>
      <c r="Q112" s="17">
        <v>1</v>
      </c>
      <c r="R112" s="16"/>
      <c r="S112" s="10" t="b">
        <v>0</v>
      </c>
      <c r="T112" s="10" t="b">
        <v>0</v>
      </c>
      <c r="U112" s="10" t="b">
        <v>1</v>
      </c>
      <c r="V112" s="10"/>
      <c r="W112" s="10" t="b">
        <v>1</v>
      </c>
      <c r="X112" s="10" t="b">
        <v>1</v>
      </c>
      <c r="Y112" s="10" t="b">
        <v>1</v>
      </c>
      <c r="Z112" s="10"/>
    </row>
    <row r="113" spans="1:26" x14ac:dyDescent="0.3">
      <c r="A113" s="10">
        <f t="shared" si="9"/>
        <v>112</v>
      </c>
      <c r="B113" s="10">
        <v>14</v>
      </c>
      <c r="C113" s="10" t="str">
        <f t="array" ref="C113">GetValue("Tables",B113,"Name")</f>
        <v>Indexes</v>
      </c>
      <c r="D113" s="10">
        <f>D112+5</f>
        <v>20</v>
      </c>
      <c r="E113" s="10">
        <v>10</v>
      </c>
      <c r="F113" s="10" t="str">
        <f t="array" ref="F113">GetValue("Domains",E113,"Name")</f>
        <v>Varchar(50)</v>
      </c>
      <c r="G113" s="10" t="str" cm="1">
        <f t="array" ref="G113">GetValue("Domains",E113,"#CategoryName")</f>
        <v>string</v>
      </c>
      <c r="H113" s="10" t="str" cm="1">
        <f t="array" ref="H113">GetDataType(E113)</f>
        <v>nvarchar(50)</v>
      </c>
      <c r="I113" s="10"/>
      <c r="J113" s="10" t="str">
        <f t="array" ref="J113">GetValue("Tables",I113,"Name")</f>
        <v/>
      </c>
      <c r="K113" s="10" t="s">
        <v>1</v>
      </c>
      <c r="L113" s="10" t="s">
        <v>288</v>
      </c>
      <c r="M113" s="10" t="s">
        <v>176</v>
      </c>
      <c r="N113" s="10" t="s">
        <v>176</v>
      </c>
      <c r="O113" s="10"/>
      <c r="P113" s="16"/>
      <c r="Q113" s="17" t="s">
        <v>35</v>
      </c>
      <c r="R113" s="16"/>
      <c r="S113" s="10" t="b">
        <v>0</v>
      </c>
      <c r="T113" s="10"/>
      <c r="U113" s="10" t="b">
        <v>1</v>
      </c>
      <c r="V113" s="10" t="b">
        <v>1</v>
      </c>
      <c r="W113" s="10" t="b">
        <v>1</v>
      </c>
      <c r="X113" s="10" t="b">
        <v>1</v>
      </c>
      <c r="Y113" s="10" t="b">
        <v>1</v>
      </c>
      <c r="Z113" s="10" t="b">
        <v>0</v>
      </c>
    </row>
    <row r="114" spans="1:26" x14ac:dyDescent="0.3">
      <c r="A114" s="10">
        <f t="shared" si="9"/>
        <v>113</v>
      </c>
      <c r="B114" s="10">
        <v>14</v>
      </c>
      <c r="C114" s="10" t="str">
        <f t="array" ref="C114">GetValue("Tables",B114,"Name")</f>
        <v>Indexes</v>
      </c>
      <c r="D114" s="10">
        <f>D113+5</f>
        <v>25</v>
      </c>
      <c r="E114" s="10">
        <v>6</v>
      </c>
      <c r="F114" s="10" t="str">
        <f t="array" ref="F114">GetValue("Domains",E114,"Name")</f>
        <v>Boolean</v>
      </c>
      <c r="G114" s="10" t="str" cm="1">
        <f t="array" ref="G114">GetValue("Domains",E114,"#CategoryName")</f>
        <v>boolean</v>
      </c>
      <c r="H114" s="10" t="str" cm="1">
        <f t="array" ref="H114">GetDataType(E114)</f>
        <v>bit</v>
      </c>
      <c r="I114" s="10"/>
      <c r="J114" s="10" t="str">
        <f t="array" ref="J114">GetValue("Tables",I114,"Name")</f>
        <v/>
      </c>
      <c r="K114" s="10" t="s">
        <v>289</v>
      </c>
      <c r="L114" s="10" t="s">
        <v>290</v>
      </c>
      <c r="M114" s="10" t="s">
        <v>291</v>
      </c>
      <c r="N114" s="10" t="s">
        <v>291</v>
      </c>
      <c r="O114" s="10"/>
      <c r="P114" s="16"/>
      <c r="Q114" s="17" t="s">
        <v>35</v>
      </c>
      <c r="R114" s="16"/>
      <c r="S114" s="10"/>
      <c r="T114" s="10"/>
      <c r="U114" s="10" t="b">
        <v>1</v>
      </c>
      <c r="V114" s="10"/>
      <c r="W114" s="10" t="b">
        <v>1</v>
      </c>
      <c r="X114" s="10" t="b">
        <v>1</v>
      </c>
      <c r="Y114" s="10" t="b">
        <v>1</v>
      </c>
      <c r="Z114" s="10"/>
    </row>
    <row r="115" spans="1:26" x14ac:dyDescent="0.3">
      <c r="A115" s="8">
        <f t="shared" si="9"/>
        <v>114</v>
      </c>
      <c r="B115" s="8">
        <v>15</v>
      </c>
      <c r="C115" s="8" t="str">
        <f t="array" ref="C115">GetValue("Tables",B115,"Name")</f>
        <v>Indexkeys</v>
      </c>
      <c r="D115" s="8">
        <v>5</v>
      </c>
      <c r="E115" s="8">
        <v>1</v>
      </c>
      <c r="F115" s="8" t="str">
        <f t="array" ref="F115">GetValue("Domains",E115,"Name")</f>
        <v>BigInteger</v>
      </c>
      <c r="G115" s="8" t="str" cm="1">
        <f t="array" ref="G115">GetValue("Domains",E115,"#CategoryName")</f>
        <v>numeric</v>
      </c>
      <c r="H115" s="8" t="str" cm="1">
        <f t="array" ref="H115">GetDataType(E115)</f>
        <v>int</v>
      </c>
      <c r="I115" s="8"/>
      <c r="J115" s="8" t="str">
        <f t="array" ref="J115">GetValue("Tables",I115,"Name")</f>
        <v/>
      </c>
      <c r="K115" s="8" t="s">
        <v>0</v>
      </c>
      <c r="L115" s="8" t="s">
        <v>292</v>
      </c>
      <c r="M115" s="8" t="s">
        <v>174</v>
      </c>
      <c r="N115" s="8" t="s">
        <v>174</v>
      </c>
      <c r="O115" s="8"/>
      <c r="P115" s="15"/>
      <c r="Q115" s="15">
        <v>1</v>
      </c>
      <c r="R115" s="15"/>
      <c r="S115" s="8" t="b">
        <v>1</v>
      </c>
      <c r="T115" s="8" t="b">
        <v>0</v>
      </c>
      <c r="U115" s="8" t="b">
        <v>1</v>
      </c>
      <c r="V115" s="8"/>
      <c r="W115" s="8" t="b">
        <v>1</v>
      </c>
      <c r="X115" s="8" t="b">
        <v>0</v>
      </c>
      <c r="Y115" s="8" t="b">
        <v>0</v>
      </c>
      <c r="Z115" s="8"/>
    </row>
    <row r="116" spans="1:26" x14ac:dyDescent="0.3">
      <c r="A116" s="8">
        <f t="shared" si="9"/>
        <v>115</v>
      </c>
      <c r="B116" s="8">
        <v>15</v>
      </c>
      <c r="C116" s="8" t="str">
        <f t="array" ref="C116">GetValue("Tables",B116,"Name")</f>
        <v>Indexkeys</v>
      </c>
      <c r="D116" s="8">
        <f>D115+5</f>
        <v>10</v>
      </c>
      <c r="E116" s="8">
        <v>1</v>
      </c>
      <c r="F116" s="8" t="str">
        <f t="array" ref="F116">GetValue("Domains",E116,"Name")</f>
        <v>BigInteger</v>
      </c>
      <c r="G116" s="8" t="str" cm="1">
        <f t="array" ref="G116">GetValue("Domains",E116,"#CategoryName")</f>
        <v>numeric</v>
      </c>
      <c r="H116" s="8" t="str" cm="1">
        <f t="array" ref="H116">GetDataType(E116)</f>
        <v>int</v>
      </c>
      <c r="I116" s="8">
        <v>14</v>
      </c>
      <c r="J116" s="8" t="str">
        <f t="array" ref="J116">GetValue("Tables",I116,"Name")</f>
        <v>Indexes</v>
      </c>
      <c r="K116" s="8" t="s">
        <v>293</v>
      </c>
      <c r="L116" s="8" t="s">
        <v>294</v>
      </c>
      <c r="M116" s="8" t="s">
        <v>295</v>
      </c>
      <c r="N116" s="8" t="s">
        <v>295</v>
      </c>
      <c r="O116" s="8"/>
      <c r="P116" s="15"/>
      <c r="Q116" s="15">
        <v>1</v>
      </c>
      <c r="R116" s="15"/>
      <c r="S116" s="8" t="b">
        <v>0</v>
      </c>
      <c r="T116" s="8" t="b">
        <v>0</v>
      </c>
      <c r="U116" s="8" t="b">
        <v>1</v>
      </c>
      <c r="V116" s="8"/>
      <c r="W116" s="8" t="b">
        <v>1</v>
      </c>
      <c r="X116" s="8" t="b">
        <v>1</v>
      </c>
      <c r="Y116" s="8" t="b">
        <v>1</v>
      </c>
      <c r="Z116" s="8"/>
    </row>
    <row r="117" spans="1:26" x14ac:dyDescent="0.3">
      <c r="A117" s="8">
        <f t="shared" si="9"/>
        <v>116</v>
      </c>
      <c r="B117" s="8">
        <v>15</v>
      </c>
      <c r="C117" s="8" t="str">
        <f t="array" ref="C117">GetValue("Tables",B117,"Name")</f>
        <v>Indexkeys</v>
      </c>
      <c r="D117" s="8">
        <f>D116+5</f>
        <v>15</v>
      </c>
      <c r="E117" s="8">
        <v>4</v>
      </c>
      <c r="F117" s="8" t="str">
        <f t="array" ref="F117">GetValue("Domains",E117,"Name")</f>
        <v>SmallInteger</v>
      </c>
      <c r="G117" s="8" t="str" cm="1">
        <f t="array" ref="G117">GetValue("Domains",E117,"#CategoryName")</f>
        <v>numeric</v>
      </c>
      <c r="H117" s="8" t="str" cm="1">
        <f t="array" ref="H117">GetDataType(E117)</f>
        <v>smallint</v>
      </c>
      <c r="I117" s="8"/>
      <c r="J117" s="8" t="str">
        <f t="array" ref="J117">GetValue("Tables",I117,"Name")</f>
        <v/>
      </c>
      <c r="K117" s="8" t="s">
        <v>97</v>
      </c>
      <c r="L117" s="8" t="s">
        <v>296</v>
      </c>
      <c r="M117" s="8" t="s">
        <v>223</v>
      </c>
      <c r="N117" s="8" t="s">
        <v>223</v>
      </c>
      <c r="O117" s="8"/>
      <c r="P117" s="15"/>
      <c r="Q117" s="15">
        <v>1</v>
      </c>
      <c r="R117" s="15"/>
      <c r="S117" s="8" t="b">
        <v>0</v>
      </c>
      <c r="T117" s="8" t="b">
        <v>0</v>
      </c>
      <c r="U117" s="8" t="b">
        <v>1</v>
      </c>
      <c r="V117" s="8"/>
      <c r="W117" s="8" t="b">
        <v>0</v>
      </c>
      <c r="X117" s="8" t="b">
        <v>1</v>
      </c>
      <c r="Y117" s="8" t="b">
        <v>1</v>
      </c>
      <c r="Z117" s="8"/>
    </row>
    <row r="118" spans="1:26" x14ac:dyDescent="0.3">
      <c r="A118" s="8">
        <f t="shared" si="9"/>
        <v>117</v>
      </c>
      <c r="B118" s="8">
        <v>15</v>
      </c>
      <c r="C118" s="8" t="str">
        <f t="array" ref="C118">GetValue("Tables",B118,"Name")</f>
        <v>Indexkeys</v>
      </c>
      <c r="D118" s="8">
        <f>D117+5</f>
        <v>20</v>
      </c>
      <c r="E118" s="8">
        <v>1</v>
      </c>
      <c r="F118" s="8" t="str">
        <f t="array" ref="F118">GetValue("Domains",E118,"Name")</f>
        <v>BigInteger</v>
      </c>
      <c r="G118" s="8" t="str" cm="1">
        <f t="array" ref="G118">GetValue("Domains",E118,"#CategoryName")</f>
        <v>numeric</v>
      </c>
      <c r="H118" s="8" t="str" cm="1">
        <f t="array" ref="H118">GetDataType(E118)</f>
        <v>int</v>
      </c>
      <c r="I118" s="8">
        <v>13</v>
      </c>
      <c r="J118" s="8" t="str">
        <f t="array" ref="J118">GetValue("Tables",I118,"Name")</f>
        <v>Columns</v>
      </c>
      <c r="K118" s="8" t="s">
        <v>297</v>
      </c>
      <c r="L118" s="8" t="s">
        <v>298</v>
      </c>
      <c r="M118" s="8" t="s">
        <v>299</v>
      </c>
      <c r="N118" s="8" t="s">
        <v>299</v>
      </c>
      <c r="O118" s="8"/>
      <c r="P118" s="15"/>
      <c r="Q118" s="15">
        <v>1</v>
      </c>
      <c r="R118" s="15"/>
      <c r="S118" s="8" t="b">
        <v>0</v>
      </c>
      <c r="T118" s="8" t="b">
        <v>0</v>
      </c>
      <c r="U118" s="8" t="b">
        <v>1</v>
      </c>
      <c r="V118" s="8"/>
      <c r="W118" s="8" t="b">
        <v>1</v>
      </c>
      <c r="X118" s="8" t="b">
        <v>1</v>
      </c>
      <c r="Y118" s="8" t="b">
        <v>1</v>
      </c>
      <c r="Z118" s="8"/>
    </row>
    <row r="119" spans="1:26" x14ac:dyDescent="0.3">
      <c r="A119" s="8">
        <f t="shared" si="9"/>
        <v>118</v>
      </c>
      <c r="B119" s="8">
        <v>15</v>
      </c>
      <c r="C119" s="8" t="str">
        <f t="array" ref="C119">GetValue("Tables",B119,"Name")</f>
        <v>Indexkeys</v>
      </c>
      <c r="D119" s="8">
        <f>D118+5</f>
        <v>25</v>
      </c>
      <c r="E119" s="8">
        <v>6</v>
      </c>
      <c r="F119" s="8" t="str">
        <f t="array" ref="F119">GetValue("Domains",E119,"Name")</f>
        <v>Boolean</v>
      </c>
      <c r="G119" s="8" t="str" cm="1">
        <f t="array" ref="G119">GetValue("Domains",E119,"#CategoryName")</f>
        <v>boolean</v>
      </c>
      <c r="H119" s="8" t="str" cm="1">
        <f t="array" ref="H119">GetDataType(E119)</f>
        <v>bit</v>
      </c>
      <c r="I119" s="8"/>
      <c r="J119" s="8" t="str">
        <f t="array" ref="J119">GetValue("Tables",I119,"Name")</f>
        <v/>
      </c>
      <c r="K119" s="8" t="s">
        <v>300</v>
      </c>
      <c r="L119" s="8" t="s">
        <v>301</v>
      </c>
      <c r="M119" s="8" t="s">
        <v>302</v>
      </c>
      <c r="N119" s="8" t="s">
        <v>302</v>
      </c>
      <c r="O119" s="8"/>
      <c r="P119" s="15"/>
      <c r="Q119" s="15" t="s">
        <v>35</v>
      </c>
      <c r="R119" s="15"/>
      <c r="S119" s="8"/>
      <c r="T119" s="8"/>
      <c r="U119" s="8" t="b">
        <v>1</v>
      </c>
      <c r="V119" s="8"/>
      <c r="W119" s="8" t="b">
        <v>1</v>
      </c>
      <c r="X119" s="8" t="b">
        <v>1</v>
      </c>
      <c r="Y119" s="8" t="b">
        <v>1</v>
      </c>
      <c r="Z119" s="8"/>
    </row>
    <row r="120" spans="1:26" x14ac:dyDescent="0.3">
      <c r="A120" s="10">
        <f t="shared" si="9"/>
        <v>119</v>
      </c>
      <c r="B120" s="10">
        <v>16</v>
      </c>
      <c r="C120" s="10" t="str">
        <f t="array" ref="C120">GetValue("Tables",B120,"Name")</f>
        <v>Logins</v>
      </c>
      <c r="D120" s="10">
        <v>5</v>
      </c>
      <c r="E120" s="10">
        <v>1</v>
      </c>
      <c r="F120" s="10" t="str">
        <f t="array" ref="F120">GetValue("Domains",E120,"Name")</f>
        <v>BigInteger</v>
      </c>
      <c r="G120" s="10" t="str" cm="1">
        <f t="array" ref="G120">GetValue("Domains",E120,"#CategoryName")</f>
        <v>numeric</v>
      </c>
      <c r="H120" s="10" t="str" cm="1">
        <f t="array" ref="H120">GetDataType(E120)</f>
        <v>int</v>
      </c>
      <c r="I120" s="10"/>
      <c r="J120" s="10" t="str">
        <f t="array" ref="J120">GetValue("Tables",I120,"Name")</f>
        <v/>
      </c>
      <c r="K120" s="10" t="s">
        <v>0</v>
      </c>
      <c r="L120" s="10" t="s">
        <v>399</v>
      </c>
      <c r="M120" s="10" t="s">
        <v>174</v>
      </c>
      <c r="N120" s="10" t="s">
        <v>174</v>
      </c>
      <c r="O120" s="10"/>
      <c r="P120" s="16"/>
      <c r="Q120" s="17">
        <v>1</v>
      </c>
      <c r="R120" s="17"/>
      <c r="S120" s="10" t="b">
        <v>1</v>
      </c>
      <c r="T120" s="10" t="b">
        <v>0</v>
      </c>
      <c r="U120" s="10" t="b">
        <v>1</v>
      </c>
      <c r="V120" s="10"/>
      <c r="W120" s="10" t="b">
        <v>1</v>
      </c>
      <c r="X120" s="10" t="b">
        <v>0</v>
      </c>
      <c r="Y120" s="10" t="b">
        <v>0</v>
      </c>
      <c r="Z120" s="10"/>
    </row>
    <row r="121" spans="1:26" x14ac:dyDescent="0.3">
      <c r="A121" s="10">
        <f t="shared" si="9"/>
        <v>120</v>
      </c>
      <c r="B121" s="10">
        <v>16</v>
      </c>
      <c r="C121" s="10" t="str">
        <f t="array" ref="C121">GetValue("Tables",B121,"Name")</f>
        <v>Logins</v>
      </c>
      <c r="D121" s="10">
        <f>D120+5</f>
        <v>10</v>
      </c>
      <c r="E121" s="10">
        <v>1</v>
      </c>
      <c r="F121" s="10" t="str">
        <f t="array" ref="F121">GetValue("Domains",E121,"Name")</f>
        <v>BigInteger</v>
      </c>
      <c r="G121" s="10" t="str" cm="1">
        <f t="array" ref="G121">GetValue("Domains",E121,"#CategoryName")</f>
        <v>numeric</v>
      </c>
      <c r="H121" s="10" t="str" cm="1">
        <f t="array" ref="H121">GetDataType(E121)</f>
        <v>int</v>
      </c>
      <c r="I121" s="10">
        <v>5</v>
      </c>
      <c r="J121" s="10" t="str">
        <f t="array" ref="J121">GetValue("Tables",I121,"Name")</f>
        <v>Systems</v>
      </c>
      <c r="K121" s="10" t="s">
        <v>96</v>
      </c>
      <c r="L121" s="10" t="s">
        <v>321</v>
      </c>
      <c r="M121" s="10" t="s">
        <v>221</v>
      </c>
      <c r="N121" s="10" t="s">
        <v>221</v>
      </c>
      <c r="O121" s="10"/>
      <c r="P121" s="16"/>
      <c r="Q121" s="17">
        <v>1</v>
      </c>
      <c r="R121" s="16"/>
      <c r="S121" s="10" t="b">
        <v>0</v>
      </c>
      <c r="T121" s="10" t="b">
        <v>0</v>
      </c>
      <c r="U121" s="10" t="b">
        <v>1</v>
      </c>
      <c r="V121" s="10"/>
      <c r="W121" s="10" t="b">
        <v>1</v>
      </c>
      <c r="X121" s="10" t="b">
        <v>0</v>
      </c>
      <c r="Y121" s="10" t="b">
        <v>1</v>
      </c>
      <c r="Z121" s="10"/>
    </row>
    <row r="122" spans="1:26" x14ac:dyDescent="0.3">
      <c r="A122" s="10">
        <f t="shared" si="9"/>
        <v>121</v>
      </c>
      <c r="B122" s="10">
        <v>16</v>
      </c>
      <c r="C122" s="10" t="str">
        <f t="array" ref="C122">GetValue("Tables",B122,"Name")</f>
        <v>Logins</v>
      </c>
      <c r="D122" s="10">
        <f>D121+5</f>
        <v>15</v>
      </c>
      <c r="E122" s="10">
        <v>1</v>
      </c>
      <c r="F122" s="10" t="str">
        <f t="array" ref="F122">GetValue("Domains",E122,"Name")</f>
        <v>BigInteger</v>
      </c>
      <c r="G122" s="10" t="str" cm="1">
        <f t="array" ref="G122">GetValue("Domains",E122,"#CategoryName")</f>
        <v>numeric</v>
      </c>
      <c r="H122" s="10" t="str" cm="1">
        <f t="array" ref="H122">GetDataType(E122)</f>
        <v>int</v>
      </c>
      <c r="I122" s="10">
        <v>7</v>
      </c>
      <c r="J122" s="10" t="str">
        <f t="array" ref="J122">GetValue("Tables",I122,"Name")</f>
        <v>Users</v>
      </c>
      <c r="K122" s="10" t="s">
        <v>130</v>
      </c>
      <c r="L122" s="10" t="s">
        <v>232</v>
      </c>
      <c r="M122" s="10" t="s">
        <v>241</v>
      </c>
      <c r="N122" s="10" t="s">
        <v>241</v>
      </c>
      <c r="O122" s="10"/>
      <c r="P122" s="16"/>
      <c r="Q122" s="17">
        <v>1</v>
      </c>
      <c r="R122" s="16"/>
      <c r="S122" s="10"/>
      <c r="T122" s="10"/>
      <c r="U122" s="10" t="b">
        <v>1</v>
      </c>
      <c r="V122" s="10"/>
      <c r="W122" s="10" t="b">
        <v>1</v>
      </c>
      <c r="X122" s="10" t="b">
        <v>0</v>
      </c>
      <c r="Y122" s="10" t="b">
        <v>1</v>
      </c>
      <c r="Z122" s="10"/>
    </row>
    <row r="123" spans="1:26" x14ac:dyDescent="0.3">
      <c r="A123" s="10">
        <f t="shared" si="9"/>
        <v>122</v>
      </c>
      <c r="B123" s="10">
        <v>16</v>
      </c>
      <c r="C123" s="10" t="str">
        <f t="array" ref="C123">GetValue("Tables",B123,"Name")</f>
        <v>Logins</v>
      </c>
      <c r="D123" s="10">
        <f>D122+5</f>
        <v>20</v>
      </c>
      <c r="E123" s="10">
        <v>11</v>
      </c>
      <c r="F123" s="10" t="str">
        <f t="array" ref="F123">GetValue("Domains",E123,"Name")</f>
        <v>Varchar(256)</v>
      </c>
      <c r="G123" s="10" t="str" cm="1">
        <f t="array" ref="G123">GetValue("Domains",E123,"#CategoryName")</f>
        <v>string</v>
      </c>
      <c r="H123" s="10" t="str" cm="1">
        <f t="array" ref="H123">GetDataType(E123)</f>
        <v>nvarchar(256)</v>
      </c>
      <c r="I123" s="10"/>
      <c r="J123" s="10" t="str">
        <f t="array" ref="J123">GetValue("Tables",I123,"Name")</f>
        <v/>
      </c>
      <c r="K123" s="10" t="s">
        <v>400</v>
      </c>
      <c r="L123" s="10" t="s">
        <v>402</v>
      </c>
      <c r="M123" s="10" t="s">
        <v>401</v>
      </c>
      <c r="N123" s="10" t="s">
        <v>401</v>
      </c>
      <c r="O123" s="10"/>
      <c r="P123" s="16"/>
      <c r="Q123" s="17"/>
      <c r="R123" s="16"/>
      <c r="S123" s="10" t="b">
        <v>0</v>
      </c>
      <c r="T123" s="10"/>
      <c r="U123" s="10" t="b">
        <v>1</v>
      </c>
      <c r="V123" s="10" t="b">
        <v>0</v>
      </c>
      <c r="W123" s="10" t="b">
        <v>0</v>
      </c>
      <c r="X123" s="10" t="b">
        <v>0</v>
      </c>
      <c r="Y123" s="10" t="b">
        <v>0</v>
      </c>
      <c r="Z123" s="10" t="b">
        <v>1</v>
      </c>
    </row>
    <row r="124" spans="1:26" x14ac:dyDescent="0.3">
      <c r="A124" s="10">
        <f t="shared" si="9"/>
        <v>123</v>
      </c>
      <c r="B124" s="10">
        <v>16</v>
      </c>
      <c r="C124" s="10" t="str">
        <f t="array" ref="C124">GetValue("Tables",B124,"Name")</f>
        <v>Logins</v>
      </c>
      <c r="D124" s="10">
        <f>D123+5</f>
        <v>25</v>
      </c>
      <c r="E124" s="10">
        <v>6</v>
      </c>
      <c r="F124" s="10" t="str">
        <f t="array" ref="F124">GetValue("Domains",E124,"Name")</f>
        <v>Boolean</v>
      </c>
      <c r="G124" s="10" t="str" cm="1">
        <f t="array" ref="G124">GetValue("Domains",E124,"#CategoryName")</f>
        <v>boolean</v>
      </c>
      <c r="H124" s="10" t="str" cm="1">
        <f t="array" ref="H124">GetDataType(E124)</f>
        <v>bit</v>
      </c>
      <c r="I124" s="10"/>
      <c r="J124" s="10" t="str">
        <f t="array" ref="J124">GetValue("Tables",I124,"Name")</f>
        <v/>
      </c>
      <c r="K124" s="10" t="s">
        <v>409</v>
      </c>
      <c r="L124" s="10" t="s">
        <v>322</v>
      </c>
      <c r="M124" s="10" t="s">
        <v>322</v>
      </c>
      <c r="N124" s="10" t="s">
        <v>322</v>
      </c>
      <c r="O124" s="10"/>
      <c r="P124" s="16"/>
      <c r="Q124" s="17" t="s">
        <v>35</v>
      </c>
      <c r="R124" s="16"/>
      <c r="S124" s="10"/>
      <c r="T124" s="10"/>
      <c r="U124" s="10" t="b">
        <v>1</v>
      </c>
      <c r="V124" s="10"/>
      <c r="W124" s="10" t="b">
        <v>1</v>
      </c>
      <c r="X124" s="10" t="b">
        <v>1</v>
      </c>
      <c r="Y124" s="10" t="b">
        <v>0</v>
      </c>
      <c r="Z124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5"/>
  <sheetViews>
    <sheetView workbookViewId="0">
      <pane ySplit="1" topLeftCell="A2" activePane="bottomLeft" state="frozen"/>
      <selection pane="bottomLeft" activeCell="B8" sqref="B8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0.332031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140</v>
      </c>
      <c r="C1" s="1" t="s">
        <v>415</v>
      </c>
      <c r="D1" s="1" t="s">
        <v>162</v>
      </c>
      <c r="E1" s="1" t="s">
        <v>416</v>
      </c>
      <c r="F1" s="1" t="s">
        <v>1</v>
      </c>
      <c r="G1" s="1" t="s">
        <v>289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331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323</v>
      </c>
      <c r="G3" t="b">
        <v>1</v>
      </c>
    </row>
    <row r="4" spans="1:7" x14ac:dyDescent="0.3">
      <c r="A4">
        <f t="shared" ref="A4:A25" si="0">ROW(A4)-1</f>
        <v>3</v>
      </c>
      <c r="B4" cm="1">
        <f t="array" ref="B4">DatabaseId(D4)</f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325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324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326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421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</v>
      </c>
      <c r="D8">
        <v>6</v>
      </c>
      <c r="E8" t="str">
        <f t="array" ref="E8">GetValue("Tables",D8,"Name")</f>
        <v>Menus</v>
      </c>
      <c r="F8" t="s">
        <v>454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</v>
      </c>
      <c r="D9">
        <v>7</v>
      </c>
      <c r="E9" t="str">
        <f t="array" ref="E9">GetValue("Tables",D9,"Name")</f>
        <v>Users</v>
      </c>
      <c r="F9" t="s">
        <v>327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</v>
      </c>
      <c r="D10">
        <v>8</v>
      </c>
      <c r="E10" t="str">
        <f t="array" ref="E10">GetValue("Tables",D10,"Name")</f>
        <v>SystemsUsers</v>
      </c>
      <c r="F10" t="s">
        <v>428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</v>
      </c>
      <c r="D11">
        <v>8</v>
      </c>
      <c r="E11" t="str">
        <f t="array" ref="E11">GetValue("Tables",D11,"Name")</f>
        <v>SystemsUsers</v>
      </c>
      <c r="F11" t="s">
        <v>378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</v>
      </c>
      <c r="D12">
        <v>9</v>
      </c>
      <c r="E12" t="str">
        <f t="array" ref="E12">GetValue("Tables",D12,"Name")</f>
        <v>Databases</v>
      </c>
      <c r="F12" t="s">
        <v>328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</v>
      </c>
      <c r="D13">
        <v>9</v>
      </c>
      <c r="E13" t="str">
        <f t="array" ref="E13">GetValue("Tables",D13,"Name")</f>
        <v>Databases</v>
      </c>
      <c r="F13" t="s">
        <v>329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</v>
      </c>
      <c r="D14">
        <v>10</v>
      </c>
      <c r="E14" t="str">
        <f t="array" ref="E14">GetValue("Tables",D14,"Name")</f>
        <v>SystemsDatabases</v>
      </c>
      <c r="F14" t="s">
        <v>422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</v>
      </c>
      <c r="D15">
        <v>10</v>
      </c>
      <c r="E15" t="str">
        <f t="array" ref="E15">GetValue("Tables",D15,"Name")</f>
        <v>SystemsDatabases</v>
      </c>
      <c r="F15" t="s">
        <v>379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</v>
      </c>
      <c r="D16">
        <v>11</v>
      </c>
      <c r="E16" t="str">
        <f t="array" ref="E16">GetValue("Tables",D16,"Name")</f>
        <v>Tables</v>
      </c>
      <c r="F16" t="s">
        <v>356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</v>
      </c>
      <c r="D17">
        <v>11</v>
      </c>
      <c r="E17" t="str">
        <f t="array" ref="E17">GetValue("Tables",D17,"Name")</f>
        <v>Tables</v>
      </c>
      <c r="F17" t="s">
        <v>330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</v>
      </c>
      <c r="D18">
        <v>12</v>
      </c>
      <c r="E18" t="str">
        <f t="array" ref="E18">GetValue("Tables",D18,"Name")</f>
        <v>DatabasesTables</v>
      </c>
      <c r="F18" t="s">
        <v>423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</v>
      </c>
      <c r="D19">
        <v>12</v>
      </c>
      <c r="E19" t="str">
        <f t="array" ref="E19">GetValue("Tables",D19,"Name")</f>
        <v>DatabasesTables</v>
      </c>
      <c r="F19" t="s">
        <v>380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</v>
      </c>
      <c r="D20">
        <v>13</v>
      </c>
      <c r="E20" t="str">
        <f t="array" ref="E20">GetValue("Tables",D20,"Name")</f>
        <v>Columns</v>
      </c>
      <c r="F20" t="s">
        <v>424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</v>
      </c>
      <c r="D21">
        <v>13</v>
      </c>
      <c r="E21" t="str">
        <f t="array" ref="E21">GetValue("Tables",D21,"Name")</f>
        <v>Columns</v>
      </c>
      <c r="F21" t="s">
        <v>425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</v>
      </c>
      <c r="D22">
        <v>14</v>
      </c>
      <c r="E22" t="str">
        <f t="array" ref="E22">GetValue("Tables",D22,"Name")</f>
        <v>Indexes</v>
      </c>
      <c r="F22" t="s">
        <v>426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</v>
      </c>
      <c r="D23">
        <v>15</v>
      </c>
      <c r="E23" t="str">
        <f t="array" ref="E23">GetValue("Tables",D23,"Name")</f>
        <v>Indexkeys</v>
      </c>
      <c r="F23" t="s">
        <v>427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</v>
      </c>
      <c r="D24">
        <v>15</v>
      </c>
      <c r="E24" t="str">
        <f t="array" ref="E24">GetValue("Tables",D24,"Name")</f>
        <v>Indexkeys</v>
      </c>
      <c r="F24" t="s">
        <v>446</v>
      </c>
      <c r="G24" t="b">
        <v>1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cruda</v>
      </c>
      <c r="D25">
        <v>16</v>
      </c>
      <c r="E25" t="str">
        <f t="array" ref="E25">GetValue("Tables",D25,"Name")</f>
        <v>Logins</v>
      </c>
      <c r="F25" t="s">
        <v>448</v>
      </c>
      <c r="G2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7"/>
  <sheetViews>
    <sheetView workbookViewId="0">
      <pane ySplit="1" topLeftCell="A2" activePane="bottomLeft" state="frozen"/>
      <selection pane="bottomLeft" activeCell="C10" sqref="C10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293</v>
      </c>
      <c r="C1" s="1" t="s">
        <v>419</v>
      </c>
      <c r="D1" s="1" t="s">
        <v>97</v>
      </c>
      <c r="E1" s="1" t="s">
        <v>297</v>
      </c>
      <c r="F1" s="1" t="s">
        <v>420</v>
      </c>
      <c r="G1" s="1" t="s">
        <v>300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7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47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49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54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60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61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UNQ_SystemsUsers_Description</v>
      </c>
      <c r="D14">
        <v>5</v>
      </c>
      <c r="E14">
        <v>62</v>
      </c>
      <c r="F14" t="str">
        <f t="array" ref="F14">GetValue("Columns",E14,"Name")</f>
        <v>Description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64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66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74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75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UNQ_SystemsDatabases_Description</v>
      </c>
      <c r="D19">
        <v>5</v>
      </c>
      <c r="E19">
        <v>76</v>
      </c>
      <c r="F19" t="str">
        <f t="array" ref="F19">GetValue("Columns",E19,"Name")</f>
        <v>Description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78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79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84</v>
      </c>
      <c r="F22" t="str">
        <f t="array" ref="F22">GetValue("Columns",E22,"Name")</f>
        <v>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86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UNQ_DatabasesTables_Description</v>
      </c>
      <c r="D24">
        <v>5</v>
      </c>
      <c r="E24">
        <v>87</v>
      </c>
      <c r="F24" t="str">
        <f t="array" ref="F24">GetValue("Columns",E24,"Name")</f>
        <v>Description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89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93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89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90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UNQ_Indexes_DatabaseId_Name</v>
      </c>
      <c r="D29">
        <v>5</v>
      </c>
      <c r="E29">
        <v>110</v>
      </c>
      <c r="F29" t="str">
        <f t="array" ref="F29">GetValue("Columns",E29,"Name")</f>
        <v>DatabaseId (Indexes)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UNQ_Indexes_DatabaseId_Name</v>
      </c>
      <c r="D30">
        <v>10</v>
      </c>
      <c r="E30">
        <v>112</v>
      </c>
      <c r="F30" t="str">
        <f t="array" ref="F30">GetValue("Columns",E30,"Name")</f>
        <v>Name (Indexes)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5</v>
      </c>
      <c r="E31">
        <v>115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UNQ_Indexkeys_IndexId_Sequence</v>
      </c>
      <c r="D32">
        <v>10</v>
      </c>
      <c r="E32">
        <v>116</v>
      </c>
      <c r="F32" t="str">
        <f t="array" ref="F32">GetValue("Columns",E32,"Name")</f>
        <v>Sequence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5</v>
      </c>
      <c r="E33">
        <v>115</v>
      </c>
      <c r="F33" t="str">
        <f t="array" ref="F33">GetValue("Columns",E33,"Name")</f>
        <v>IndexId (Indexkeys)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UNQ_Indexkeys_IndexId_ColumnId</v>
      </c>
      <c r="D34">
        <v>10</v>
      </c>
      <c r="E34">
        <v>117</v>
      </c>
      <c r="F34" t="str">
        <f t="array" ref="F34">GetValue("Columns",E34,"Name")</f>
        <v>ColumnId (Indexkeys)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5</v>
      </c>
      <c r="E35">
        <v>120</v>
      </c>
      <c r="F35" t="str">
        <f t="array" ref="F35">GetValue("Columns",E35,"Name")</f>
        <v>SystemId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10</v>
      </c>
      <c r="E36">
        <v>121</v>
      </c>
      <c r="F36" t="str">
        <f t="array" ref="F36">GetValue("Columns",E36,"Name")</f>
        <v>UserId (Logins)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IDX_Logins_SystemId_UserId_IsLogged</v>
      </c>
      <c r="D37">
        <v>15</v>
      </c>
      <c r="E37">
        <v>123</v>
      </c>
      <c r="F37" t="str">
        <f t="array" ref="F37">GetValue("Columns",E37,"Name")</f>
        <v>IsLogged (Logins)</v>
      </c>
      <c r="G37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96</v>
      </c>
      <c r="C1" s="1" t="s">
        <v>130</v>
      </c>
      <c r="D1" s="1" t="s">
        <v>400</v>
      </c>
      <c r="E1" s="1" t="s">
        <v>409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2024-09-22T00:44:05Z</dcterms:modified>
</cp:coreProperties>
</file>