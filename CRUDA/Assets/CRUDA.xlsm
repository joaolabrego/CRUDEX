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D163D0A-9B0B-4085-BA5F-B1A7B38F1EAF}" xr6:coauthVersionLast="47" xr6:coauthVersionMax="47" xr10:uidLastSave="{00000000-0000-0000-0000-000000000000}"/>
  <bookViews>
    <workbookView xWindow="-108" yWindow="-108" windowWidth="23256" windowHeight="13176" tabRatio="925" firstSheet="3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6" i="12" l="1"/>
  <c r="A46" i="12"/>
  <c r="D79" i="12"/>
  <c r="D80" i="12" s="1"/>
  <c r="D81" i="12" s="1"/>
  <c r="D82" i="12" s="1"/>
  <c r="D83" i="12" s="1"/>
  <c r="D84" i="12" s="1"/>
  <c r="A79" i="12"/>
  <c r="H46" i="12" a="1"/>
  <c r="F46" i="12" a="1"/>
  <c r="C46" i="12" a="1"/>
  <c r="H79" i="12" a="1"/>
  <c r="F79" i="12" a="1"/>
  <c r="C79" i="12" a="1"/>
  <c r="C46" i="12" l="1"/>
  <c r="F46" i="12"/>
  <c r="H46" i="12"/>
  <c r="H79" i="12"/>
  <c r="F79" i="12"/>
  <c r="C79" i="12"/>
  <c r="A41" i="14"/>
  <c r="A40" i="14"/>
  <c r="A39" i="14"/>
  <c r="A19" i="17"/>
  <c r="A26" i="13"/>
  <c r="A98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H98" i="12" a="1"/>
  <c r="H95" i="12" a="1"/>
  <c r="H96" i="12" a="1"/>
  <c r="H102" i="12" a="1"/>
  <c r="H90" i="12" a="1"/>
  <c r="H101" i="12" a="1"/>
  <c r="H108" i="12" a="1"/>
  <c r="H104" i="12" a="1"/>
  <c r="H105" i="12" a="1"/>
  <c r="H94" i="12" a="1"/>
  <c r="H93" i="12" a="1"/>
  <c r="H103" i="12" a="1"/>
  <c r="H97" i="12" a="1"/>
  <c r="H107" i="12" a="1"/>
  <c r="H92" i="12" a="1"/>
  <c r="H106" i="12" a="1"/>
  <c r="H91" i="12" a="1"/>
  <c r="F131" i="12" a="1"/>
  <c r="H100" i="12" a="1"/>
  <c r="H99" i="12" a="1"/>
  <c r="C98" i="12" a="1"/>
  <c r="H109" i="12" a="1"/>
  <c r="F98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H101" i="12"/>
  <c r="H91" i="12"/>
  <c r="H102" i="12"/>
  <c r="H92" i="12"/>
  <c r="H103" i="12"/>
  <c r="H93" i="12"/>
  <c r="H104" i="12"/>
  <c r="H94" i="12"/>
  <c r="H105" i="12"/>
  <c r="H95" i="12"/>
  <c r="H106" i="12"/>
  <c r="H96" i="12"/>
  <c r="H107" i="12"/>
  <c r="H97" i="12"/>
  <c r="H108" i="12"/>
  <c r="H98" i="12"/>
  <c r="H109" i="12"/>
  <c r="H99" i="12"/>
  <c r="H90" i="12"/>
  <c r="H100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98" i="12"/>
  <c r="C98" i="12"/>
  <c r="F131" i="12"/>
  <c r="C22" i="4"/>
  <c r="A130" i="12"/>
  <c r="A3" i="7"/>
  <c r="A3" i="8"/>
  <c r="A133" i="12"/>
  <c r="A134" i="12"/>
  <c r="A132" i="12"/>
  <c r="A131" i="12"/>
  <c r="D129" i="12"/>
  <c r="D130" i="12" s="1"/>
  <c r="A129" i="12"/>
  <c r="A128" i="12"/>
  <c r="A19" i="11"/>
  <c r="A123" i="12"/>
  <c r="A38" i="14"/>
  <c r="A37" i="14"/>
  <c r="A36" i="14"/>
  <c r="A35" i="14"/>
  <c r="A34" i="14"/>
  <c r="A33" i="14"/>
  <c r="A18" i="13"/>
  <c r="A14" i="13"/>
  <c r="A10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7" i="12"/>
  <c r="D86" i="12"/>
  <c r="D87" i="12" s="1"/>
  <c r="D88" i="12" s="1"/>
  <c r="A86" i="12"/>
  <c r="A85" i="12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7" i="12"/>
  <c r="D126" i="12"/>
  <c r="D127" i="12" s="1"/>
  <c r="A126" i="12"/>
  <c r="A125" i="12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A90" i="12"/>
  <c r="A89" i="12"/>
  <c r="A84" i="12"/>
  <c r="A82" i="12"/>
  <c r="A81" i="12"/>
  <c r="A80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C125" i="12" a="1"/>
  <c r="H111" i="12" a="1"/>
  <c r="H74" i="12" a="1"/>
  <c r="F40" i="12" a="1"/>
  <c r="F45" i="12" a="1"/>
  <c r="F71" i="12" a="1"/>
  <c r="F21" i="12" a="1"/>
  <c r="C129" i="12" a="1"/>
  <c r="C22" i="12" a="1"/>
  <c r="F10" i="12" a="1"/>
  <c r="C91" i="12" a="1"/>
  <c r="C109" i="12" a="1"/>
  <c r="F14" i="12" a="1"/>
  <c r="H75" i="12" a="1"/>
  <c r="H118" i="12" a="1"/>
  <c r="H37" i="12" a="1"/>
  <c r="C36" i="12" a="1"/>
  <c r="C76" i="12" a="1"/>
  <c r="C71" i="12" a="1"/>
  <c r="C20" i="12" a="1"/>
  <c r="F49" i="12" a="1"/>
  <c r="C32" i="12" a="1"/>
  <c r="F83" i="12" a="1"/>
  <c r="C122" i="12" a="1"/>
  <c r="C75" i="12" a="1"/>
  <c r="C92" i="12" a="1"/>
  <c r="H127" i="12" a="1"/>
  <c r="F89" i="12" a="1"/>
  <c r="F30" i="12" a="1"/>
  <c r="F113" i="12" a="1"/>
  <c r="H68" i="12" a="1"/>
  <c r="C111" i="12" a="1"/>
  <c r="H77" i="12" a="1"/>
  <c r="C42" i="12" a="1"/>
  <c r="C85" i="12" a="1"/>
  <c r="F24" i="12" a="1"/>
  <c r="C101" i="12" a="1"/>
  <c r="H129" i="12" a="1"/>
  <c r="F8" i="12" a="1"/>
  <c r="F99" i="12" a="1"/>
  <c r="F121" i="12" a="1"/>
  <c r="H63" i="12" a="1"/>
  <c r="C30" i="12" a="1"/>
  <c r="H76" i="12" a="1"/>
  <c r="C93" i="12" a="1"/>
  <c r="F9" i="12" a="1"/>
  <c r="C82" i="12" a="1"/>
  <c r="C94" i="12" a="1"/>
  <c r="C63" i="12" a="1"/>
  <c r="C103" i="12" a="1"/>
  <c r="C126" i="12" a="1"/>
  <c r="C116" i="12" a="1"/>
  <c r="H30" i="12" a="1"/>
  <c r="F95" i="12" a="1"/>
  <c r="H17" i="12" a="1"/>
  <c r="C81" i="12" a="1"/>
  <c r="H54" i="12" a="1"/>
  <c r="F50" i="12" a="1"/>
  <c r="F6" i="12" a="1"/>
  <c r="C104" i="12" a="1"/>
  <c r="H86" i="12" a="1"/>
  <c r="C43" i="12" a="1"/>
  <c r="H10" i="12" a="1"/>
  <c r="H23" i="12" a="1"/>
  <c r="F123" i="12" a="1"/>
  <c r="C114" i="12" a="1"/>
  <c r="F5" i="12" a="1"/>
  <c r="H131" i="12" a="1"/>
  <c r="F67" i="12" a="1"/>
  <c r="C74" i="12" a="1"/>
  <c r="F60" i="12" a="1"/>
  <c r="F44" i="12" a="1"/>
  <c r="H134" i="12" a="1"/>
  <c r="F29" i="12" a="1"/>
  <c r="H47" i="12" a="1"/>
  <c r="H128" i="12" a="1"/>
  <c r="F112" i="12" a="1"/>
  <c r="F41" i="12" a="1"/>
  <c r="H53" i="12" a="1"/>
  <c r="F120" i="12" a="1"/>
  <c r="H28" i="12" a="1"/>
  <c r="F58" i="12" a="1"/>
  <c r="C84" i="12" a="1"/>
  <c r="C16" i="12" a="1"/>
  <c r="H65" i="12" a="1"/>
  <c r="H78" i="12" a="1"/>
  <c r="F43" i="12" a="1"/>
  <c r="F130" i="12" a="1"/>
  <c r="F132" i="12" a="1"/>
  <c r="C26" i="12" a="1"/>
  <c r="C131" i="12" a="1"/>
  <c r="C107" i="12" a="1"/>
  <c r="H116" i="12" a="1"/>
  <c r="F104" i="12" a="1"/>
  <c r="H115" i="12" a="1"/>
  <c r="C70" i="12" a="1"/>
  <c r="C55" i="12" a="1"/>
  <c r="H9" i="12" a="1"/>
  <c r="C18" i="12" a="1"/>
  <c r="H81" i="12" a="1"/>
  <c r="C52" i="12" a="1"/>
  <c r="C64" i="12" a="1"/>
  <c r="F76" i="12" a="1"/>
  <c r="F129" i="12" a="1"/>
  <c r="C41" i="12" a="1"/>
  <c r="C72" i="12" a="1"/>
  <c r="H49" i="12" a="1"/>
  <c r="C40" i="12" a="1"/>
  <c r="H71" i="12" a="1"/>
  <c r="F84" i="12" a="1"/>
  <c r="C73" i="12" a="1"/>
  <c r="H48" i="12" a="1"/>
  <c r="C59" i="12" a="1"/>
  <c r="F109" i="12" a="1"/>
  <c r="F39" i="12" a="1"/>
  <c r="H114" i="12" a="1"/>
  <c r="F3" i="12" a="1"/>
  <c r="H31" i="12" a="1"/>
  <c r="C58" i="12" a="1"/>
  <c r="C83" i="12" a="1"/>
  <c r="C7" i="12" a="1"/>
  <c r="C27" i="12" a="1"/>
  <c r="C66" i="12" a="1"/>
  <c r="C68" i="12" a="1"/>
  <c r="C88" i="12" a="1"/>
  <c r="H51" i="12" a="1"/>
  <c r="C3" i="12" a="1"/>
  <c r="H72" i="12" a="1"/>
  <c r="F36" i="12" a="1"/>
  <c r="H87" i="12" a="1"/>
  <c r="H7" i="12" a="1"/>
  <c r="H112" i="12" a="1"/>
  <c r="C77" i="12" a="1"/>
  <c r="C39" i="12" a="1"/>
  <c r="H113" i="12" a="1"/>
  <c r="F80" i="12" a="1"/>
  <c r="F122" i="12" a="1"/>
  <c r="F56" i="12" a="1"/>
  <c r="H88" i="12" a="1"/>
  <c r="C99" i="12" a="1"/>
  <c r="F18" i="12" a="1"/>
  <c r="F107" i="12" a="1"/>
  <c r="H61" i="12" a="1"/>
  <c r="H3" i="12" a="1"/>
  <c r="C90" i="12" a="1"/>
  <c r="H38" i="12" a="1"/>
  <c r="F32" i="12" a="1"/>
  <c r="H44" i="12" a="1"/>
  <c r="H6" i="12" a="1"/>
  <c r="C33" i="12" a="1"/>
  <c r="F16" i="12" a="1"/>
  <c r="H21" i="12" a="1"/>
  <c r="C6" i="12" a="1"/>
  <c r="C28" i="12" a="1"/>
  <c r="C115" i="12" a="1"/>
  <c r="C89" i="12" a="1"/>
  <c r="F133" i="12" a="1"/>
  <c r="H52" i="12" a="1"/>
  <c r="F126" i="12" a="1"/>
  <c r="F94" i="12" a="1"/>
  <c r="F82" i="12" a="1"/>
  <c r="F128" i="12" a="1"/>
  <c r="H5" i="12" a="1"/>
  <c r="F125" i="12" a="1"/>
  <c r="F127" i="12" a="1"/>
  <c r="F81" i="12" a="1"/>
  <c r="F111" i="12" a="1"/>
  <c r="H26" i="12" a="1"/>
  <c r="H40" i="12" a="1"/>
  <c r="C10" i="12" a="1"/>
  <c r="C48" i="12" a="1"/>
  <c r="C97" i="12" a="1"/>
  <c r="F110" i="12" a="1"/>
  <c r="H45" i="12" a="1"/>
  <c r="F66" i="12" a="1"/>
  <c r="H83" i="12" a="1"/>
  <c r="C35" i="12" a="1"/>
  <c r="F33" i="12" a="1"/>
  <c r="C53" i="12" a="1"/>
  <c r="F77" i="12" a="1"/>
  <c r="H132" i="12" a="1"/>
  <c r="H73" i="12" a="1"/>
  <c r="F55" i="12" a="1"/>
  <c r="H13" i="12" a="1"/>
  <c r="F31" i="12" a="1"/>
  <c r="C130" i="12" a="1"/>
  <c r="C11" i="12" a="1"/>
  <c r="F25" i="12" a="1"/>
  <c r="F63" i="12" a="1"/>
  <c r="H57" i="12" a="1"/>
  <c r="C121" i="12" a="1"/>
  <c r="C4" i="12" a="1"/>
  <c r="C44" i="12" a="1"/>
  <c r="F116" i="12" a="1"/>
  <c r="F115" i="12" a="1"/>
  <c r="F68" i="12" a="1"/>
  <c r="H62" i="12" a="1"/>
  <c r="H15" i="12" a="1"/>
  <c r="F28" i="12" a="1"/>
  <c r="C133" i="12" a="1"/>
  <c r="F19" i="12" a="1"/>
  <c r="C112" i="12" a="1"/>
  <c r="F75" i="12" a="1"/>
  <c r="C13" i="12" a="1"/>
  <c r="H27" i="12" a="1"/>
  <c r="H133" i="12" a="1"/>
  <c r="C56" i="12" a="1"/>
  <c r="C105" i="12" a="1"/>
  <c r="F106" i="12" a="1"/>
  <c r="C96" i="12" a="1"/>
  <c r="H123" i="12" a="1"/>
  <c r="F48" i="12" a="1"/>
  <c r="F96" i="12" a="1"/>
  <c r="H35" i="12" a="1"/>
  <c r="H125" i="12" a="1"/>
  <c r="F91" i="12" a="1"/>
  <c r="H82" i="12" a="1"/>
  <c r="C134" i="12" a="1"/>
  <c r="F52" i="12" a="1"/>
  <c r="F22" i="12" a="1"/>
  <c r="H22" i="12" a="1"/>
  <c r="F35" i="12" a="1"/>
  <c r="F72" i="12" a="1"/>
  <c r="H126" i="12" a="1"/>
  <c r="F78" i="12" a="1"/>
  <c r="H66" i="12" a="1"/>
  <c r="H24" i="12" a="1"/>
  <c r="C117" i="12" a="1"/>
  <c r="F93" i="12" a="1"/>
  <c r="F53" i="12" a="1"/>
  <c r="F114" i="12" a="1"/>
  <c r="H60" i="12" a="1"/>
  <c r="F118" i="12" a="1"/>
  <c r="F51" i="12" a="1"/>
  <c r="F69" i="12" a="1"/>
  <c r="C106" i="12" a="1"/>
  <c r="H119" i="12" a="1"/>
  <c r="F34" i="12" a="1"/>
  <c r="C78" i="12" a="1"/>
  <c r="F27" i="12" a="1"/>
  <c r="H130" i="12" a="1"/>
  <c r="H84" i="12" a="1"/>
  <c r="F119" i="12" a="1"/>
  <c r="H4" i="12" a="1"/>
  <c r="C120" i="12" a="1"/>
  <c r="H124" i="12" a="1"/>
  <c r="H25" i="12" a="1"/>
  <c r="F73" i="12" a="1"/>
  <c r="C38" i="12" a="1"/>
  <c r="H36" i="12" a="1"/>
  <c r="F23" i="12" a="1"/>
  <c r="C62" i="12" a="1"/>
  <c r="C8" i="12" a="1"/>
  <c r="H110" i="12" a="1"/>
  <c r="C12" i="12" a="1"/>
  <c r="F100" i="12" a="1"/>
  <c r="F92" i="12" a="1"/>
  <c r="C34" i="12" a="1"/>
  <c r="F11" i="12" a="1"/>
  <c r="H85" i="12" a="1"/>
  <c r="H117" i="12" a="1"/>
  <c r="H42" i="12" a="1"/>
  <c r="H16" i="12" a="1"/>
  <c r="C100" i="12" a="1"/>
  <c r="F47" i="12" a="1"/>
  <c r="C80" i="12" a="1"/>
  <c r="C9" i="12" a="1"/>
  <c r="F20" i="12" a="1"/>
  <c r="C119" i="12" a="1"/>
  <c r="F26" i="12" a="1"/>
  <c r="H19" i="12" a="1"/>
  <c r="C57" i="12" a="1"/>
  <c r="H67" i="12" a="1"/>
  <c r="F101" i="12" a="1"/>
  <c r="F57" i="12" a="1"/>
  <c r="C67" i="12" a="1"/>
  <c r="H41" i="12" a="1"/>
  <c r="C123" i="12" a="1"/>
  <c r="H59" i="12" a="1"/>
  <c r="C49" i="12" a="1"/>
  <c r="C86" i="12" a="1"/>
  <c r="H121" i="12" a="1"/>
  <c r="F7" i="12" a="1"/>
  <c r="F61" i="12" a="1"/>
  <c r="F90" i="12" a="1"/>
  <c r="F134" i="12" a="1"/>
  <c r="H14" i="12" a="1"/>
  <c r="F12" i="12" a="1"/>
  <c r="C69" i="12" a="1"/>
  <c r="F64" i="12" a="1"/>
  <c r="H8" i="12" a="1"/>
  <c r="F38" i="12" a="1"/>
  <c r="H11" i="12" a="1"/>
  <c r="H20" i="12" a="1"/>
  <c r="C65" i="12" a="1"/>
  <c r="C2" i="12" a="1"/>
  <c r="H32" i="12" a="1"/>
  <c r="C132" i="12" a="1"/>
  <c r="F13" i="12" a="1"/>
  <c r="C51" i="12" a="1"/>
  <c r="C87" i="12" a="1"/>
  <c r="F85" i="12" a="1"/>
  <c r="F97" i="12" a="1"/>
  <c r="F37" i="12" a="1"/>
  <c r="F59" i="12" a="1"/>
  <c r="C37" i="12" a="1"/>
  <c r="F62" i="12" a="1"/>
  <c r="F87" i="12" a="1"/>
  <c r="C31" i="12" a="1"/>
  <c r="F108" i="12" a="1"/>
  <c r="F54" i="12" a="1"/>
  <c r="C23" i="12" a="1"/>
  <c r="F124" i="12" a="1"/>
  <c r="C25" i="12" a="1"/>
  <c r="F86" i="12" a="1"/>
  <c r="C108" i="12" a="1"/>
  <c r="H18" i="12" a="1"/>
  <c r="C110" i="12" a="1"/>
  <c r="C95" i="12" a="1"/>
  <c r="C118" i="12" a="1"/>
  <c r="H34" i="12" a="1"/>
  <c r="F17" i="12" a="1"/>
  <c r="C45" i="12" a="1"/>
  <c r="F105" i="12" a="1"/>
  <c r="F103" i="12" a="1"/>
  <c r="F42" i="12" a="1"/>
  <c r="F15" i="12" a="1"/>
  <c r="H50" i="12" a="1"/>
  <c r="H89" i="12" a="1"/>
  <c r="C19" i="12" a="1"/>
  <c r="C21" i="12" a="1"/>
  <c r="C29" i="12" a="1"/>
  <c r="C113" i="12" a="1"/>
  <c r="C128" i="12" a="1"/>
  <c r="H64" i="12" a="1"/>
  <c r="C14" i="12" a="1"/>
  <c r="H29" i="12" a="1"/>
  <c r="C15" i="12" a="1"/>
  <c r="C17" i="12" a="1"/>
  <c r="C61" i="12" a="1"/>
  <c r="H43" i="12" a="1"/>
  <c r="C50" i="12" a="1"/>
  <c r="C5" i="12" a="1"/>
  <c r="F70" i="12" a="1"/>
  <c r="C127" i="12" a="1"/>
  <c r="H55" i="12" a="1"/>
  <c r="H12" i="12" a="1"/>
  <c r="C124" i="12" a="1"/>
  <c r="F74" i="12" a="1"/>
  <c r="H70" i="12" a="1"/>
  <c r="C102" i="12" a="1"/>
  <c r="C24" i="12" a="1"/>
  <c r="H69" i="12" a="1"/>
  <c r="F102" i="12" a="1"/>
  <c r="H33" i="12" a="1"/>
  <c r="F117" i="12" a="1"/>
  <c r="C47" i="12" a="1"/>
  <c r="H39" i="12" a="1"/>
  <c r="H2" i="12" a="1"/>
  <c r="F2" i="12" a="1"/>
  <c r="H120" i="12" a="1"/>
  <c r="F4" i="12" a="1"/>
  <c r="C60" i="12" a="1"/>
  <c r="H80" i="12" a="1"/>
  <c r="F65" i="12" a="1"/>
  <c r="F88" i="12" a="1"/>
  <c r="H58" i="12" a="1"/>
  <c r="H56" i="12" a="1"/>
  <c r="C54" i="12" a="1"/>
  <c r="H122" i="12" a="1"/>
  <c r="I17" i="11" a="1"/>
  <c r="G10" i="11" a="1"/>
  <c r="I18" i="11" a="1"/>
  <c r="G4" i="11" a="1"/>
  <c r="I6" i="11" a="1"/>
  <c r="G3" i="11" a="1"/>
  <c r="I9" i="11" a="1"/>
  <c r="G8" i="11" a="1"/>
  <c r="I19" i="11" a="1"/>
  <c r="G13" i="11" a="1"/>
  <c r="I10" i="11" a="1"/>
  <c r="G16" i="11" a="1"/>
  <c r="I12" i="11" a="1"/>
  <c r="I3" i="11" a="1"/>
  <c r="I14" i="11" a="1"/>
  <c r="I5" i="11" a="1"/>
  <c r="I15" i="11" a="1"/>
  <c r="I16" i="11" a="1"/>
  <c r="G17" i="11" a="1"/>
  <c r="G9" i="11" a="1"/>
  <c r="I13" i="11" a="1"/>
  <c r="G6" i="11" a="1"/>
  <c r="I4" i="11" a="1"/>
  <c r="I8" i="11" a="1"/>
  <c r="G11" i="11" a="1"/>
  <c r="G5" i="11" a="1"/>
  <c r="G7" i="11" a="1"/>
  <c r="G2" i="11" a="1"/>
  <c r="I7" i="11" a="1"/>
  <c r="I2" i="11" a="1"/>
  <c r="G15" i="11" a="1"/>
  <c r="I11" i="11" a="1"/>
  <c r="G14" i="11" a="1"/>
  <c r="G19" i="11" a="1"/>
  <c r="G18" i="11" a="1"/>
  <c r="G12" i="11" a="1"/>
  <c r="I18" i="11" l="1"/>
  <c r="I8" i="11"/>
  <c r="I16" i="11"/>
  <c r="I15" i="11"/>
  <c r="I5" i="11"/>
  <c r="I14" i="11"/>
  <c r="I4" i="11"/>
  <c r="I3" i="11"/>
  <c r="I12" i="11"/>
  <c r="I11" i="11"/>
  <c r="I2" i="11"/>
  <c r="I10" i="11"/>
  <c r="I19" i="11"/>
  <c r="I9" i="11"/>
  <c r="I17" i="11"/>
  <c r="I7" i="11"/>
  <c r="I6" i="11"/>
  <c r="I13" i="11"/>
  <c r="D131" i="12"/>
  <c r="D132" i="12" s="1"/>
  <c r="D133" i="12" s="1"/>
  <c r="D134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G19" i="11"/>
  <c r="G10" i="11"/>
  <c r="G11" i="11"/>
  <c r="G17" i="11"/>
  <c r="G3" i="11"/>
  <c r="G16" i="11"/>
  <c r="G9" i="11"/>
  <c r="G14" i="11"/>
  <c r="G2" i="11"/>
  <c r="G7" i="11"/>
  <c r="G12" i="11"/>
  <c r="G13" i="11"/>
  <c r="G8" i="11"/>
  <c r="G6" i="11"/>
  <c r="G4" i="11"/>
  <c r="G18" i="11"/>
  <c r="G5" i="11"/>
  <c r="G15" i="11"/>
  <c r="C130" i="12"/>
  <c r="F130" i="12"/>
  <c r="H130" i="12"/>
  <c r="H21" i="12"/>
  <c r="C41" i="12"/>
  <c r="H20" i="12"/>
  <c r="F122" i="12"/>
  <c r="C62" i="12"/>
  <c r="H29" i="12"/>
  <c r="H41" i="12"/>
  <c r="H78" i="12"/>
  <c r="F67" i="12"/>
  <c r="H34" i="12"/>
  <c r="F119" i="12"/>
  <c r="H6" i="12"/>
  <c r="H40" i="12"/>
  <c r="H44" i="12"/>
  <c r="F106" i="12"/>
  <c r="H85" i="12"/>
  <c r="F15" i="12"/>
  <c r="F44" i="12"/>
  <c r="F105" i="12"/>
  <c r="F77" i="12"/>
  <c r="F74" i="12"/>
  <c r="H131" i="12"/>
  <c r="C56" i="12"/>
  <c r="H35" i="12"/>
  <c r="F101" i="12"/>
  <c r="F132" i="12"/>
  <c r="F18" i="12"/>
  <c r="C10" i="12"/>
  <c r="F123" i="12"/>
  <c r="C36" i="12"/>
  <c r="F34" i="12"/>
  <c r="F112" i="12"/>
  <c r="C119" i="12"/>
  <c r="C107" i="12"/>
  <c r="H31" i="12"/>
  <c r="F110" i="12"/>
  <c r="F54" i="12"/>
  <c r="C32" i="12"/>
  <c r="C77" i="12"/>
  <c r="F100" i="12"/>
  <c r="F35" i="12"/>
  <c r="H5" i="12"/>
  <c r="F19" i="12"/>
  <c r="F115" i="12"/>
  <c r="H58" i="12"/>
  <c r="C71" i="12"/>
  <c r="C42" i="12"/>
  <c r="F17" i="12"/>
  <c r="H57" i="12"/>
  <c r="F125" i="12"/>
  <c r="C125" i="12"/>
  <c r="H69" i="12"/>
  <c r="F87" i="12"/>
  <c r="H116" i="12"/>
  <c r="F29" i="12"/>
  <c r="C50" i="12"/>
  <c r="C7" i="12"/>
  <c r="F124" i="12"/>
  <c r="F64" i="12"/>
  <c r="F88" i="12"/>
  <c r="F129" i="12"/>
  <c r="H45" i="12"/>
  <c r="H43" i="12"/>
  <c r="F56" i="12"/>
  <c r="H129" i="12"/>
  <c r="H134" i="12"/>
  <c r="C123" i="12"/>
  <c r="C53" i="12"/>
  <c r="C37" i="12"/>
  <c r="H36" i="12"/>
  <c r="H17" i="12"/>
  <c r="H2" i="12"/>
  <c r="F31" i="12"/>
  <c r="H84" i="12"/>
  <c r="H37" i="12"/>
  <c r="C44" i="12"/>
  <c r="F30" i="12"/>
  <c r="C91" i="12"/>
  <c r="F7" i="12"/>
  <c r="F103" i="12"/>
  <c r="F81" i="12"/>
  <c r="F96" i="12"/>
  <c r="H24" i="12"/>
  <c r="F28" i="12"/>
  <c r="H110" i="12"/>
  <c r="C20" i="12"/>
  <c r="C14" i="12"/>
  <c r="F52" i="12"/>
  <c r="C117" i="12"/>
  <c r="C18" i="12"/>
  <c r="F109" i="12"/>
  <c r="H63" i="12"/>
  <c r="H9" i="12"/>
  <c r="F111" i="12"/>
  <c r="C28" i="12"/>
  <c r="C126" i="12"/>
  <c r="F76" i="12"/>
  <c r="C69" i="12"/>
  <c r="F83" i="12"/>
  <c r="F12" i="12"/>
  <c r="F50" i="12"/>
  <c r="F80" i="12"/>
  <c r="F127" i="12"/>
  <c r="F120" i="12"/>
  <c r="C3" i="12"/>
  <c r="C60" i="12"/>
  <c r="F6" i="12"/>
  <c r="H70" i="12"/>
  <c r="C88" i="12"/>
  <c r="C96" i="12"/>
  <c r="C112" i="12"/>
  <c r="F71" i="12"/>
  <c r="F23" i="12"/>
  <c r="C11" i="12"/>
  <c r="C114" i="12"/>
  <c r="F118" i="12"/>
  <c r="F108" i="12"/>
  <c r="H77" i="12"/>
  <c r="H122" i="12"/>
  <c r="C110" i="12"/>
  <c r="F5" i="12"/>
  <c r="H114" i="12"/>
  <c r="F73" i="12"/>
  <c r="H32" i="12"/>
  <c r="H51" i="12"/>
  <c r="C86" i="12"/>
  <c r="H13" i="12"/>
  <c r="F32" i="12"/>
  <c r="C30" i="12"/>
  <c r="H83" i="12"/>
  <c r="H60" i="12"/>
  <c r="C101" i="12"/>
  <c r="C115" i="12"/>
  <c r="C63" i="12"/>
  <c r="F78" i="12"/>
  <c r="C54" i="12"/>
  <c r="C87" i="12"/>
  <c r="F99" i="12"/>
  <c r="C95" i="12"/>
  <c r="C23" i="12"/>
  <c r="H123" i="12"/>
  <c r="F33" i="12"/>
  <c r="C116" i="12"/>
  <c r="C68" i="12"/>
  <c r="C94" i="12"/>
  <c r="H66" i="12"/>
  <c r="F90" i="12"/>
  <c r="C5" i="12"/>
  <c r="F40" i="12"/>
  <c r="C33" i="12"/>
  <c r="C108" i="12"/>
  <c r="F41" i="12"/>
  <c r="C85" i="12"/>
  <c r="H87" i="12"/>
  <c r="C58" i="12"/>
  <c r="H50" i="12"/>
  <c r="H14" i="12"/>
  <c r="F37" i="12"/>
  <c r="C8" i="12"/>
  <c r="C2" i="12"/>
  <c r="F4" i="12"/>
  <c r="F102" i="12"/>
  <c r="H4" i="12"/>
  <c r="H25" i="12"/>
  <c r="C120" i="12"/>
  <c r="F9" i="12"/>
  <c r="H68" i="12"/>
  <c r="C38" i="12"/>
  <c r="F93" i="12"/>
  <c r="H52" i="12"/>
  <c r="H49" i="12"/>
  <c r="H65" i="12"/>
  <c r="C52" i="12"/>
  <c r="H111" i="12"/>
  <c r="C35" i="12"/>
  <c r="F70" i="12"/>
  <c r="F10" i="12"/>
  <c r="H27" i="12"/>
  <c r="C132" i="12"/>
  <c r="H113" i="12"/>
  <c r="F11" i="12"/>
  <c r="C4" i="12"/>
  <c r="F62" i="12"/>
  <c r="C12" i="12"/>
  <c r="F114" i="12"/>
  <c r="C109" i="12"/>
  <c r="C75" i="12"/>
  <c r="C57" i="12"/>
  <c r="C34" i="12"/>
  <c r="F42" i="12"/>
  <c r="C121" i="12"/>
  <c r="H22" i="12"/>
  <c r="C39" i="12"/>
  <c r="H30" i="12"/>
  <c r="C128" i="12"/>
  <c r="H124" i="12"/>
  <c r="C16" i="12"/>
  <c r="H117" i="12"/>
  <c r="F69" i="12"/>
  <c r="H126" i="12"/>
  <c r="H81" i="12"/>
  <c r="H125" i="12"/>
  <c r="C43" i="12"/>
  <c r="F104" i="12"/>
  <c r="H48" i="12"/>
  <c r="H11" i="12"/>
  <c r="F128" i="12"/>
  <c r="C111" i="12"/>
  <c r="H3" i="12"/>
  <c r="C76" i="12"/>
  <c r="F82" i="12"/>
  <c r="F53" i="12"/>
  <c r="C84" i="12"/>
  <c r="F85" i="12"/>
  <c r="H61" i="12"/>
  <c r="C97" i="12"/>
  <c r="C102" i="12"/>
  <c r="F25" i="12"/>
  <c r="F60" i="12"/>
  <c r="F24" i="12"/>
  <c r="H10" i="12"/>
  <c r="H38" i="12"/>
  <c r="H112" i="12"/>
  <c r="H120" i="12"/>
  <c r="F134" i="12"/>
  <c r="C25" i="12"/>
  <c r="C17" i="12"/>
  <c r="H42" i="12"/>
  <c r="F13" i="12"/>
  <c r="H54" i="12"/>
  <c r="C66" i="12"/>
  <c r="C24" i="12"/>
  <c r="F107" i="12"/>
  <c r="F8" i="12"/>
  <c r="C122" i="12"/>
  <c r="C100" i="12"/>
  <c r="F126" i="12"/>
  <c r="H55" i="12"/>
  <c r="F21" i="12"/>
  <c r="H128" i="12"/>
  <c r="C81" i="12"/>
  <c r="H82" i="12"/>
  <c r="H115" i="12"/>
  <c r="H23" i="12"/>
  <c r="C15" i="12"/>
  <c r="C40" i="12"/>
  <c r="C104" i="12"/>
  <c r="F43" i="12"/>
  <c r="F49" i="12"/>
  <c r="C93" i="12"/>
  <c r="C67" i="12"/>
  <c r="C48" i="12"/>
  <c r="F58" i="12"/>
  <c r="F55" i="12"/>
  <c r="H12" i="12"/>
  <c r="H47" i="12"/>
  <c r="C22" i="12"/>
  <c r="C133" i="12"/>
  <c r="F133" i="12"/>
  <c r="H75" i="12"/>
  <c r="H132" i="12"/>
  <c r="C19" i="12"/>
  <c r="C29" i="12"/>
  <c r="F2" i="12"/>
  <c r="C45" i="12"/>
  <c r="C21" i="12"/>
  <c r="F36" i="12"/>
  <c r="C129" i="12"/>
  <c r="H62" i="12"/>
  <c r="H64" i="12"/>
  <c r="C13" i="12"/>
  <c r="C65" i="12"/>
  <c r="F16" i="12"/>
  <c r="H121" i="12"/>
  <c r="H80" i="12"/>
  <c r="H59" i="12"/>
  <c r="C51" i="12"/>
  <c r="C6" i="12"/>
  <c r="H76" i="12"/>
  <c r="F48" i="12"/>
  <c r="F75" i="12"/>
  <c r="F113" i="12"/>
  <c r="F94" i="12"/>
  <c r="F95" i="12"/>
  <c r="H119" i="12"/>
  <c r="F45" i="12"/>
  <c r="C47" i="12"/>
  <c r="H133" i="12"/>
  <c r="C55" i="12"/>
  <c r="F91" i="12"/>
  <c r="C74" i="12"/>
  <c r="F84" i="12"/>
  <c r="C27" i="12"/>
  <c r="H53" i="12"/>
  <c r="H118" i="12"/>
  <c r="C134" i="12"/>
  <c r="F20" i="12"/>
  <c r="C118" i="12"/>
  <c r="H72" i="12"/>
  <c r="F68" i="12"/>
  <c r="H89" i="12"/>
  <c r="C92" i="12"/>
  <c r="H15" i="12"/>
  <c r="C113" i="12"/>
  <c r="H8" i="12"/>
  <c r="C99" i="12"/>
  <c r="C26" i="12"/>
  <c r="F39" i="12"/>
  <c r="C103" i="12"/>
  <c r="C80" i="12"/>
  <c r="F63" i="12"/>
  <c r="H86" i="12"/>
  <c r="F121" i="12"/>
  <c r="F27" i="12"/>
  <c r="C89" i="12"/>
  <c r="H73" i="12"/>
  <c r="C124" i="12"/>
  <c r="H16" i="12"/>
  <c r="C131" i="12"/>
  <c r="F65" i="12"/>
  <c r="C31" i="12"/>
  <c r="C59" i="12"/>
  <c r="H127" i="12"/>
  <c r="C105" i="12"/>
  <c r="F47" i="12"/>
  <c r="F86" i="12"/>
  <c r="F97" i="12"/>
  <c r="F116" i="12"/>
  <c r="C90" i="12"/>
  <c r="C78" i="12"/>
  <c r="C61" i="12"/>
  <c r="H7" i="12"/>
  <c r="H67" i="12"/>
  <c r="H88" i="12"/>
  <c r="C49" i="12"/>
  <c r="C82" i="12"/>
  <c r="C127" i="12"/>
  <c r="H71" i="12"/>
  <c r="C106" i="12"/>
  <c r="F72" i="12"/>
  <c r="H19" i="12"/>
  <c r="C64" i="12"/>
  <c r="C9" i="12"/>
  <c r="H33" i="12"/>
  <c r="F38" i="12"/>
  <c r="F26" i="12"/>
  <c r="H28" i="12"/>
  <c r="F57" i="12"/>
  <c r="C73" i="12"/>
  <c r="H39" i="12"/>
  <c r="F66" i="12"/>
  <c r="C70" i="12"/>
  <c r="F61" i="12"/>
  <c r="F14" i="12"/>
  <c r="H18" i="12"/>
  <c r="F51" i="12"/>
  <c r="C83" i="12"/>
  <c r="F92" i="12"/>
  <c r="F22" i="12"/>
  <c r="H74" i="12"/>
  <c r="F89" i="12"/>
  <c r="C72" i="12"/>
  <c r="H26" i="12"/>
  <c r="F117" i="12"/>
  <c r="F59" i="12"/>
  <c r="H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<sst xmlns="http://schemas.openxmlformats.org/spreadsheetml/2006/main" count="1080" uniqueCount="503">
  <si>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</si>
  <si>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</si>
  <si>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</si>
  <si>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</si>
  <si>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</si>
  <si>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</si>
  <si>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</si>
  <si>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</si>
  <si>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</si>
  <si>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</si>
  <si>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</si>
  <si>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</si>
  <si>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</si>
  <si>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</si>
  <si>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</si>
  <si>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</si>
  <si>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</si>
  <si>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</si>
  <si>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</si>
  <si>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</si>
  <si>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</si>
  <si>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</si>
  <si>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</si>
  <si>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</si>
  <si>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</si>
  <si>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</si>
  <si>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</si>
  <si>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</si>
  <si>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</si>
  <si>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</si>
  <si>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</si>
  <si>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</si>
  <si>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</si>
  <si>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</si>
  <si>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</si>
  <si>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</si>
  <si>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</si>
  <si>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</si>
  <si>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</si>
  <si>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</si>
  <si>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</si>
  <si>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</si>
  <si>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</si>
  <si>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</si>
  <si>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</si>
  <si>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</si>
  <si>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</si>
  <si>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</si>
  <si>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</si>
  <si>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</si>
  <si>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</si>
  <si>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</si>
  <si>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</si>
  <si>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</si>
  <si>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</si>
  <si>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</si>
  <si>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</si>
  <si>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</si>
  <si>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</si>
  <si>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</si>
  <si>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</si>
  <si>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</si>
  <si>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</si>
  <si>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</si>
  <si>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</si>
  <si>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</si>
  <si>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</si>
  <si>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</si>
  <si>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</si>
  <si>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</si>
  <si>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</si>
  <si>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</si>
  <si>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</si>
  <si>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</si>
  <si>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</si>
  <si>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</si>
  <si>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</si>
  <si>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</si>
  <si>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</si>
  <si>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</si>
  <si>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</si>
  <si>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</si>
  <si>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</si>
  <si>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</si>
  <si>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</si>
  <si>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</si>
  <si>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</si>
  <si>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</si>
  <si>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</si>
  <si>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</si>
  <si>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</si>
  <si>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</si>
  <si>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</si>
  <si>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</si>
  <si>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</si>
  <si>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</si>
  <si>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</si>
  <si>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</si>
  <si>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</si>
  <si>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</si>
  <si>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</si>
  <si>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</si>
  <si>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</si>
  <si>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</si>
  <si>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</si>
  <si>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</si>
  <si>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</si>
  <si>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</si>
  <si>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</si>
  <si>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</si>
  <si>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</si>
  <si>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</si>
  <si>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</si>
  <si>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</si>
  <si>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</si>
  <si>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</si>
  <si>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</si>
  <si>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</si>
  <si>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</si>
  <si>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</si>
  <si>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</si>
  <si>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</si>
  <si>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</si>
  <si>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</si>
  <si>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</si>
  <si>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</si>
  <si>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</si>
  <si>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</si>
  <si>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</si>
  <si>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</si>
  <si>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</si>
  <si>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</si>
  <si>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</si>
  <si>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</si>
  <si>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</si>
  <si>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</si>
  <si>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</si>
  <si>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</si>
  <si>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</si>
  <si>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</si>
  <si>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</si>
  <si>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</si>
  <si>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</si>
  <si>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</si>
  <si>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</si>
  <si>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</si>
  <si>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</si>
  <si>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</si>
  <si>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</si>
  <si>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</si>
  <si>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</si>
  <si>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</si>
  <si>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</si>
  <si>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</si>
  <si>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</si>
  <si>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</si>
  <si>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</si>
  <si>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</si>
  <si>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</si>
  <si>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</si>
  <si>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</si>
  <si>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</si>
  <si>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</si>
  <si>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</si>
  <si>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</si>
  <si>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</si>
  <si>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</si>
  <si>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</si>
  <si>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</si>
  <si>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</si>
  <si>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</si>
  <si>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</si>
  <si>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</si>
  <si>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</si>
  <si>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</si>
  <si>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</si>
  <si>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</si>
  <si>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</si>
  <si>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</si>
  <si>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</si>
  <si>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</si>
  <si>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</si>
  <si>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</si>
  <si>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</si>
  <si>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</si>
  <si>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</si>
  <si>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</si>
  <si>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</si>
  <si>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</si>
  <si>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</si>
  <si>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</si>
  <si>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</si>
  <si>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</si>
  <si>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</si>
  <si>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</si>
  <si>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</si>
  <si>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</si>
  <si>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</si>
  <si>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</si>
  <si>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</si>
  <si>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</si>
  <si>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</si>
  <si>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</si>
  <si>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</si>
  <si>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</si>
  <si>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</si>
  <si>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</si>
  <si>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</si>
  <si>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</si>
  <si>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</si>
  <si>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</si>
  <si>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</si>
  <si>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</si>
  <si>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</si>
  <si>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</si>
  <si>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</si>
  <si>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</si>
  <si>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</si>
  <si>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</si>
  <si>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</si>
  <si>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</si>
  <si>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</si>
  <si>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</si>
  <si>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</si>
  <si>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</si>
  <si>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</si>
  <si>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</si>
  <si>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</si>
  <si>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</si>
  <si>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</si>
  <si>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</si>
  <si>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</si>
  <si>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</si>
  <si>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</si>
  <si>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</si>
  <si>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</si>
  <si>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</si>
  <si>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</si>
  <si>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</si>
  <si>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</si>
  <si>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</si>
  <si>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</si>
  <si>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</si>
  <si>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</si>
  <si>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</si>
  <si>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</si>
  <si>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</si>
  <si>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</si>
  <si>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</si>
  <si>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</si>
  <si>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</si>
  <si>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</si>
  <si>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</si>
  <si>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</si>
  <si>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</si>
  <si>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</si>
  <si>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</si>
  <si>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</si>
  <si>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</si>
  <si>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</si>
  <si>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</si>
  <si>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</si>
  <si>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</si>
  <si>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</si>
  <si>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</si>
  <si>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</si>
  <si>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</si>
  <si>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</si>
  <si>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</si>
  <si>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</si>
  <si>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</si>
  <si>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</si>
  <si>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</si>
  <si>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</si>
  <si>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</si>
  <si>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</si>
  <si>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</si>
  <si>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</si>
  <si>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</si>
  <si>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</si>
  <si>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</si>
  <si>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</si>
  <si>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</si>
  <si>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</si>
  <si>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</si>
  <si>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</si>
  <si>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</si>
  <si>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</si>
  <si>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</si>
  <si>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</si>
  <si>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</si>
  <si>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</si>
  <si>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</si>
  <si>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</si>
  <si>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</si>
  <si>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</si>
  <si>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</si>
  <si>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</si>
  <si>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</si>
  <si>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</si>
  <si>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</si>
  <si>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</si>
  <si>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</si>
  <si>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</si>
  <si>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</si>
  <si>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</si>
  <si>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</si>
  <si>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</si>
  <si>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</si>
  <si>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</si>
  <si>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</si>
  <si>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</si>
  <si>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</si>
  <si>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</si>
  <si>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</si>
  <si>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</si>
  <si>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</si>
  <si>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</si>
  <si>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</si>
  <si>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</si>
  <si>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</si>
  <si>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</si>
  <si>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</si>
  <si>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</si>
  <si>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</si>
  <si>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</si>
  <si>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</si>
  <si>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</si>
  <si>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</si>
  <si>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</si>
  <si>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</si>
  <si>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</si>
  <si>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</si>
  <si>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</si>
  <si>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</si>
  <si>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</si>
  <si>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</si>
  <si>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</si>
  <si>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</si>
  <si>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</si>
  <si>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</si>
  <si>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</si>
  <si>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</si>
  <si>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</si>
  <si>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</si>
  <si>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</si>
  <si>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</si>
  <si>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</si>
  <si>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</si>
  <si>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</si>
  <si>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</si>
  <si>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</si>
  <si>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</si>
  <si>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</si>
  <si>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</si>
  <si>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</si>
  <si>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</si>
  <si>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</si>
  <si>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</si>
  <si>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</si>
  <si>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</si>
  <si>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</si>
  <si>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</si>
  <si>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</si>
  <si>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</si>
  <si>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</si>
  <si>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</si>
  <si>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</si>
  <si>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</si>
  <si>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</si>
  <si>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</si>
  <si>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</si>
  <si>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</si>
  <si>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</si>
  <si>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</si>
  <si>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</si>
  <si>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</si>
  <si>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</si>
  <si>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</si>
  <si>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</si>
  <si>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</si>
  <si>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</si>
  <si>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</si>
  <si>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</si>
  <si>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</si>
  <si>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</si>
  <si>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</si>
  <si>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</si>
  <si>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</si>
  <si>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</si>
  <si>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</si>
  <si>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</si>
  <si>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</si>
  <si>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</si>
  <si>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</si>
  <si>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</si>
  <si>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</si>
  <si>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</si>
  <si>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</si>
  <si>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</si>
  <si>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</si>
  <si>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</si>
  <si>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</si>
  <si>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</si>
  <si>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</si>
  <si>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</si>
  <si>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</si>
  <si>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</si>
  <si>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</si>
  <si>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</si>
  <si>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</si>
  <si>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</si>
  <si>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</si>
  <si>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</si>
  <si>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</si>
  <si>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</si>
  <si>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</si>
  <si>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</si>
  <si>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</si>
  <si>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</si>
  <si>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</si>
  <si>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</si>
  <si>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</si>
  <si>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</si>
  <si>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</si>
  <si>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</si>
  <si>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</si>
  <si>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</si>
  <si>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</si>
  <si>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</si>
  <si>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</si>
  <si>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</si>
  <si>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</si>
  <si>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</si>
  <si>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</si>
  <si>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</si>
  <si>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</si>
  <si>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</si>
  <si>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</si>
  <si>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labrego</t>
  </si>
  <si>
    <t>João da Rocha Labrego</t>
  </si>
  <si>
    <t>cruda x labrego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</si>
  <si>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</si>
  <si>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</si>
  <si>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</si>
  <si>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</si>
  <si>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</si>
  <si>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</si>
  <si>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</si>
  <si>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</si>
  <si>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</si>
  <si>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</si>
  <si>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</si>
  <si>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</si>
  <si>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</si>
  <si>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</si>
  <si>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</si>
  <si>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</si>
  <si>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</si>
  <si>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</si>
  <si>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</si>
  <si>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</si>
  <si>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</si>
  <si>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</si>
  <si>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</si>
  <si>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</si>
  <si>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</si>
  <si>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</si>
  <si>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</si>
  <si>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</si>
  <si>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</si>
  <si>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</si>
  <si>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</si>
  <si>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</si>
  <si>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</si>
  <si>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</si>
  <si>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</si>
  <si>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</si>
  <si>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</si>
  <si>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</si>
  <si>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</si>
  <si>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</si>
  <si>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</si>
  <si>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</si>
  <si>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</si>
  <si>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</si>
  <si>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</si>
  <si>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</si>
  <si>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</si>
  <si>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</si>
  <si>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</si>
  <si>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</si>
  <si>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TableName</t>
  </si>
  <si>
    <t>Nome da Tabela</t>
  </si>
  <si>
    <t>CurrentId</t>
  </si>
  <si>
    <t>Id atual</t>
  </si>
  <si>
    <t>dbo</t>
  </si>
  <si>
    <t>Scheme</t>
  </si>
  <si>
    <t>Esquema da tabela</t>
  </si>
  <si>
    <t>Esquema</t>
  </si>
  <si>
    <t>IsOffAir</t>
  </si>
  <si>
    <t>Sistema fora-do-ar</t>
  </si>
  <si>
    <t>Fora-do-ar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</si>
</sst>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356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449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353</v>
      </c>
      <c r="N1" s="1" t="s">
        <v>352</v>
      </c>
      <c r="O1" s="1" t="s">
        <v>355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481</v>
      </c>
      <c r="F6" s="6" t="s">
        <v>486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482</v>
      </c>
      <c r="F7" s="6" t="s">
        <v>487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483</v>
      </c>
      <c r="F8" s="6" t="s">
        <v>488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483</v>
      </c>
      <c r="F9" s="6" t="s">
        <v>488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484</v>
      </c>
      <c r="F23" s="6" t="s">
        <v>489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485</v>
      </c>
      <c r="F29" s="6" t="s">
        <v>490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450</v>
      </c>
      <c r="D1" s="1" t="s">
        <v>64</v>
      </c>
      <c r="E1" s="1" t="s">
        <v>451</v>
      </c>
      <c r="F1" s="1" t="s">
        <v>1</v>
      </c>
      <c r="G1" s="1" t="s">
        <v>65</v>
      </c>
      <c r="H1" s="1" t="s">
        <v>66</v>
      </c>
      <c r="I1" s="1" t="s">
        <v>372</v>
      </c>
      <c r="J1" s="1" t="s">
        <v>67</v>
      </c>
      <c r="K1" s="1" t="s">
        <v>26</v>
      </c>
      <c r="L1" s="1" t="s">
        <v>27</v>
      </c>
      <c r="M1" s="1" t="s">
        <v>354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365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354</v>
      </c>
      <c r="G19">
        <v>5</v>
      </c>
      <c r="I19" t="s">
        <v>443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357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444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500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472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473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474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475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476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477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478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479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480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374</v>
      </c>
      <c r="C2" t="s">
        <v>374</v>
      </c>
      <c r="D2" t="s">
        <v>375</v>
      </c>
      <c r="E2">
        <v>0</v>
      </c>
      <c r="F2" t="b">
        <v>1</v>
      </c>
    </row>
    <row r="3" spans="1:6" x14ac:dyDescent="0.3">
      <c r="A3">
        <f>ROW(A3)-1</f>
        <v>2</v>
      </c>
      <c r="B3" t="s">
        <v>439</v>
      </c>
      <c r="C3" t="s">
        <v>130</v>
      </c>
      <c r="D3" t="s">
        <v>440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453</v>
      </c>
      <c r="D1" s="1" t="s">
        <v>131</v>
      </c>
      <c r="E1" s="1" t="s">
        <v>452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380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441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F2" sqref="F2:I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420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453</v>
      </c>
      <c r="D1" s="1" t="s">
        <v>141</v>
      </c>
      <c r="E1" s="1" t="s">
        <v>454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I19"/>
  <sheetViews>
    <sheetView workbookViewId="0">
      <pane ySplit="1" topLeftCell="A2" activePane="bottomLeft" state="frozen"/>
      <selection pane="bottomLeft" activeCell="G19" sqref="G19"/>
    </sheetView>
  </sheetViews>
  <sheetFormatPr defaultRowHeight="14.4" x14ac:dyDescent="0.3"/>
  <cols>
    <col min="1" max="1" width="3" bestFit="1" customWidth="1"/>
    <col min="2" max="2" width="7.44140625" bestFit="1" customWidth="1"/>
    <col min="3" max="3" width="16.109375" bestFit="1" customWidth="1"/>
    <col min="4" max="4" width="14.5546875" bestFit="1" customWidth="1"/>
    <col min="5" max="5" width="28.44140625" bestFit="1" customWidth="1"/>
    <col min="6" max="6" width="12.77734375" bestFit="1" customWidth="1"/>
    <col min="7" max="7" width="17.33203125" bestFit="1" customWidth="1"/>
    <col min="8" max="8" width="11.77734375" bestFit="1" customWidth="1"/>
    <col min="9" max="9" width="9" bestFit="1" customWidth="1"/>
  </cols>
  <sheetData>
    <row r="1" spans="1:9" s="1" customFormat="1" x14ac:dyDescent="0.3">
      <c r="A1" s="1" t="s">
        <v>0</v>
      </c>
      <c r="B1" s="1" t="s">
        <v>497</v>
      </c>
      <c r="C1" s="1" t="s">
        <v>1</v>
      </c>
      <c r="D1" s="1" t="s">
        <v>132</v>
      </c>
      <c r="E1" s="1" t="s">
        <v>91</v>
      </c>
      <c r="F1" s="1" t="s">
        <v>142</v>
      </c>
      <c r="G1" s="1" t="s">
        <v>491</v>
      </c>
      <c r="H1" s="1" t="s">
        <v>369</v>
      </c>
      <c r="I1" s="1" t="s">
        <v>494</v>
      </c>
    </row>
    <row r="2" spans="1:9" x14ac:dyDescent="0.3">
      <c r="A2">
        <f>ROW(A2)-1</f>
        <v>1</v>
      </c>
      <c r="B2" t="s">
        <v>496</v>
      </c>
      <c r="C2" t="s">
        <v>161</v>
      </c>
      <c r="D2" t="s">
        <v>405</v>
      </c>
      <c r="E2" t="s">
        <v>162</v>
      </c>
      <c r="G2" t="str">
        <f t="array" ref="G2">GetValue("Tables",F2,"Name")</f>
        <v/>
      </c>
      <c r="H2" t="b">
        <v>1</v>
      </c>
      <c r="I2">
        <f t="array" ref="I2">LastId(A2)</f>
        <v>10</v>
      </c>
    </row>
    <row r="3" spans="1:9" x14ac:dyDescent="0.3">
      <c r="A3">
        <f>ROW(A3)-1</f>
        <v>2</v>
      </c>
      <c r="B3" t="s">
        <v>496</v>
      </c>
      <c r="C3" t="s">
        <v>143</v>
      </c>
      <c r="D3" t="s">
        <v>406</v>
      </c>
      <c r="E3" t="s">
        <v>104</v>
      </c>
      <c r="G3" t="str">
        <f t="array" ref="G3">GetValue("Tables",F3,"Name")</f>
        <v/>
      </c>
      <c r="H3" t="b">
        <v>1</v>
      </c>
      <c r="I3">
        <f t="array" ref="I3">LastId(A3)</f>
        <v>34</v>
      </c>
    </row>
    <row r="4" spans="1:9" x14ac:dyDescent="0.3">
      <c r="A4">
        <f>ROW(A4)-1</f>
        <v>3</v>
      </c>
      <c r="B4" t="s">
        <v>496</v>
      </c>
      <c r="C4" t="s">
        <v>146</v>
      </c>
      <c r="D4" t="s">
        <v>84</v>
      </c>
      <c r="E4" t="s">
        <v>147</v>
      </c>
      <c r="G4" t="str">
        <f t="array" ref="G4">GetValue("Tables",F4,"Name")</f>
        <v/>
      </c>
      <c r="H4" t="b">
        <v>1</v>
      </c>
      <c r="I4">
        <f t="array" ref="I4">LastId(A4)</f>
        <v>6</v>
      </c>
    </row>
    <row r="5" spans="1:9" x14ac:dyDescent="0.3">
      <c r="A5">
        <f t="shared" ref="A5:A19" si="0">ROW(A5)-1</f>
        <v>4</v>
      </c>
      <c r="B5" t="s">
        <v>496</v>
      </c>
      <c r="C5" t="s">
        <v>144</v>
      </c>
      <c r="D5" t="s">
        <v>407</v>
      </c>
      <c r="E5" t="s">
        <v>145</v>
      </c>
      <c r="G5" t="str">
        <f t="array" ref="G5">GetValue("Tables",F5,"Name")</f>
        <v/>
      </c>
      <c r="H5" t="b">
        <v>1</v>
      </c>
      <c r="I5">
        <f t="array" ref="I5">LastId(A5)</f>
        <v>21</v>
      </c>
    </row>
    <row r="6" spans="1:9" x14ac:dyDescent="0.3">
      <c r="A6">
        <f t="shared" si="0"/>
        <v>5</v>
      </c>
      <c r="B6" t="s">
        <v>496</v>
      </c>
      <c r="C6" t="s">
        <v>148</v>
      </c>
      <c r="D6" t="s">
        <v>408</v>
      </c>
      <c r="E6" t="s">
        <v>112</v>
      </c>
      <c r="G6" t="str">
        <f t="array" ref="G6">GetValue("Tables",F6,"Name")</f>
        <v/>
      </c>
      <c r="H6" t="b">
        <v>1</v>
      </c>
      <c r="I6">
        <f t="array" ref="I6">LastId(A6)</f>
        <v>1</v>
      </c>
    </row>
    <row r="7" spans="1:9" x14ac:dyDescent="0.3">
      <c r="A7">
        <f t="shared" si="0"/>
        <v>6</v>
      </c>
      <c r="B7" t="s">
        <v>496</v>
      </c>
      <c r="C7" t="s">
        <v>110</v>
      </c>
      <c r="D7" t="s">
        <v>409</v>
      </c>
      <c r="E7" t="s">
        <v>110</v>
      </c>
      <c r="F7">
        <v>5</v>
      </c>
      <c r="G7" t="str">
        <f t="array" ref="G7">GetValue("Tables",F7,"Name")</f>
        <v>Systems</v>
      </c>
      <c r="H7" t="b">
        <v>1</v>
      </c>
      <c r="I7">
        <f t="array" ref="I7">LastId(A7)</f>
        <v>12</v>
      </c>
    </row>
    <row r="8" spans="1:9" x14ac:dyDescent="0.3">
      <c r="A8">
        <f t="shared" si="0"/>
        <v>7</v>
      </c>
      <c r="B8" t="s">
        <v>496</v>
      </c>
      <c r="C8" t="s">
        <v>149</v>
      </c>
      <c r="D8" t="s">
        <v>410</v>
      </c>
      <c r="E8" t="s">
        <v>106</v>
      </c>
      <c r="G8" t="str">
        <f t="array" ref="G8">GetValue("Tables",F8,"Name")</f>
        <v/>
      </c>
      <c r="H8" t="b">
        <v>1</v>
      </c>
      <c r="I8">
        <f t="array" ref="I8">LastId(A8)</f>
        <v>2</v>
      </c>
    </row>
    <row r="9" spans="1:9" x14ac:dyDescent="0.3">
      <c r="A9">
        <f t="shared" si="0"/>
        <v>8</v>
      </c>
      <c r="B9" t="s">
        <v>496</v>
      </c>
      <c r="C9" t="s">
        <v>150</v>
      </c>
      <c r="D9" t="s">
        <v>411</v>
      </c>
      <c r="E9" t="s">
        <v>151</v>
      </c>
      <c r="F9">
        <v>5</v>
      </c>
      <c r="G9" t="str">
        <f t="array" ref="G9">GetValue("Tables",F9,"Name")</f>
        <v>Systems</v>
      </c>
      <c r="H9" t="b">
        <v>1</v>
      </c>
      <c r="I9">
        <f t="array" ref="I9">LastId(A9)</f>
        <v>2</v>
      </c>
    </row>
    <row r="10" spans="1:9" x14ac:dyDescent="0.3">
      <c r="A10">
        <f t="shared" si="0"/>
        <v>9</v>
      </c>
      <c r="B10" t="s">
        <v>496</v>
      </c>
      <c r="C10" t="s">
        <v>152</v>
      </c>
      <c r="D10" t="s">
        <v>412</v>
      </c>
      <c r="E10" t="s">
        <v>153</v>
      </c>
      <c r="G10" t="str">
        <f t="array" ref="G10">GetValue("Tables",F10,"Name")</f>
        <v/>
      </c>
      <c r="H10" t="b">
        <v>1</v>
      </c>
      <c r="I10">
        <f t="array" ref="I10">LastId(A10)</f>
        <v>1</v>
      </c>
    </row>
    <row r="11" spans="1:9" x14ac:dyDescent="0.3">
      <c r="A11">
        <f t="shared" si="0"/>
        <v>10</v>
      </c>
      <c r="B11" t="s">
        <v>496</v>
      </c>
      <c r="C11" t="s">
        <v>154</v>
      </c>
      <c r="D11" t="s">
        <v>413</v>
      </c>
      <c r="E11" t="s">
        <v>155</v>
      </c>
      <c r="F11">
        <v>5</v>
      </c>
      <c r="G11" t="str">
        <f t="array" ref="G11">GetValue("Tables",F11,"Name")</f>
        <v>Systems</v>
      </c>
      <c r="H11" t="b">
        <v>1</v>
      </c>
      <c r="I11">
        <f t="array" ref="I11">LastId(A11)</f>
        <v>1</v>
      </c>
    </row>
    <row r="12" spans="1:9" x14ac:dyDescent="0.3">
      <c r="A12">
        <f t="shared" si="0"/>
        <v>11</v>
      </c>
      <c r="B12" t="s">
        <v>496</v>
      </c>
      <c r="C12" t="s">
        <v>156</v>
      </c>
      <c r="D12" t="s">
        <v>414</v>
      </c>
      <c r="E12" t="s">
        <v>108</v>
      </c>
      <c r="F12">
        <v>9</v>
      </c>
      <c r="G12" t="str">
        <f t="array" ref="G12">GetValue("Tables",F12,"Name")</f>
        <v>Databases</v>
      </c>
      <c r="H12" t="b">
        <v>1</v>
      </c>
      <c r="I12">
        <f t="array" ref="I12">LastId(A12)</f>
        <v>18</v>
      </c>
    </row>
    <row r="13" spans="1:9" x14ac:dyDescent="0.3">
      <c r="A13">
        <f t="shared" si="0"/>
        <v>12</v>
      </c>
      <c r="B13" t="s">
        <v>496</v>
      </c>
      <c r="C13" t="s">
        <v>376</v>
      </c>
      <c r="D13" t="s">
        <v>415</v>
      </c>
      <c r="E13" t="s">
        <v>377</v>
      </c>
      <c r="F13">
        <v>9</v>
      </c>
      <c r="G13" t="str">
        <f t="array" ref="G13">GetValue("Tables",F13,"Name")</f>
        <v>Databases</v>
      </c>
      <c r="H13" t="b">
        <v>1</v>
      </c>
      <c r="I13">
        <f t="array" ref="I13">LastId(A13)</f>
        <v>18</v>
      </c>
    </row>
    <row r="14" spans="1:9" x14ac:dyDescent="0.3">
      <c r="A14">
        <f t="shared" si="0"/>
        <v>13</v>
      </c>
      <c r="B14" t="s">
        <v>496</v>
      </c>
      <c r="C14" t="s">
        <v>157</v>
      </c>
      <c r="D14" t="s">
        <v>416</v>
      </c>
      <c r="E14" t="s">
        <v>116</v>
      </c>
      <c r="F14">
        <v>11</v>
      </c>
      <c r="G14" t="str">
        <f t="array" ref="G14">GetValue("Tables",F14,"Name")</f>
        <v>Tables</v>
      </c>
      <c r="H14" t="b">
        <v>1</v>
      </c>
      <c r="I14">
        <f t="array" ref="I14">LastId(A14)</f>
        <v>131</v>
      </c>
    </row>
    <row r="15" spans="1:9" x14ac:dyDescent="0.3">
      <c r="A15">
        <f t="shared" si="0"/>
        <v>14</v>
      </c>
      <c r="B15" t="s">
        <v>496</v>
      </c>
      <c r="C15" t="s">
        <v>158</v>
      </c>
      <c r="D15" t="s">
        <v>417</v>
      </c>
      <c r="E15" t="s">
        <v>159</v>
      </c>
      <c r="F15">
        <v>11</v>
      </c>
      <c r="G15" t="str">
        <f t="array" ref="G15">GetValue("Tables",F15,"Name")</f>
        <v>Tables</v>
      </c>
      <c r="H15" t="b">
        <v>1</v>
      </c>
      <c r="I15">
        <f t="array" ref="I15">LastId(A15)</f>
        <v>25</v>
      </c>
    </row>
    <row r="16" spans="1:9" x14ac:dyDescent="0.3">
      <c r="A16">
        <f t="shared" si="0"/>
        <v>15</v>
      </c>
      <c r="B16" t="s">
        <v>496</v>
      </c>
      <c r="C16" t="s">
        <v>358</v>
      </c>
      <c r="D16" t="s">
        <v>418</v>
      </c>
      <c r="E16" t="s">
        <v>160</v>
      </c>
      <c r="F16">
        <v>14</v>
      </c>
      <c r="G16" t="str">
        <f t="array" ref="G16">GetValue("Tables",F16,"Name")</f>
        <v>Indexes</v>
      </c>
      <c r="H16" t="b">
        <v>1</v>
      </c>
      <c r="I16">
        <f t="array" ref="I16">LastId(A16)</f>
        <v>40</v>
      </c>
    </row>
    <row r="17" spans="1:9" x14ac:dyDescent="0.3">
      <c r="A17">
        <f t="shared" si="0"/>
        <v>16</v>
      </c>
      <c r="B17" t="s">
        <v>496</v>
      </c>
      <c r="C17" t="s">
        <v>422</v>
      </c>
      <c r="D17" t="s">
        <v>423</v>
      </c>
      <c r="E17" t="s">
        <v>424</v>
      </c>
      <c r="G17" t="str">
        <f t="array" ref="G17">GetValue("Tables",F17,"Name")</f>
        <v/>
      </c>
      <c r="H17" t="b">
        <v>0</v>
      </c>
      <c r="I17">
        <f t="array" ref="I17">LastId(A17)</f>
        <v>0</v>
      </c>
    </row>
    <row r="18" spans="1:9" x14ac:dyDescent="0.3">
      <c r="A18">
        <f t="shared" si="0"/>
        <v>17</v>
      </c>
      <c r="B18" t="s">
        <v>94</v>
      </c>
      <c r="C18" t="s">
        <v>373</v>
      </c>
      <c r="D18" t="s">
        <v>419</v>
      </c>
      <c r="E18" t="s">
        <v>433</v>
      </c>
      <c r="G18" t="str">
        <f t="array" ref="G18">GetValue("Tables",F18,"Name")</f>
        <v/>
      </c>
      <c r="H18" t="b">
        <v>0</v>
      </c>
      <c r="I18">
        <f t="array" ref="I18">LastId(A18)</f>
        <v>0</v>
      </c>
    </row>
    <row r="19" spans="1:9" x14ac:dyDescent="0.3">
      <c r="A19">
        <f t="shared" si="0"/>
        <v>18</v>
      </c>
      <c r="B19" t="s">
        <v>94</v>
      </c>
      <c r="C19" t="s">
        <v>430</v>
      </c>
      <c r="D19" t="s">
        <v>431</v>
      </c>
      <c r="E19" t="s">
        <v>432</v>
      </c>
      <c r="G19" t="str">
        <f t="array" ref="G19">GetValue("Tables",F19,"Name")</f>
        <v/>
      </c>
      <c r="H19" t="b">
        <v>0</v>
      </c>
      <c r="I19">
        <f t="array" ref="I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454</v>
      </c>
      <c r="D1" s="1" t="s">
        <v>163</v>
      </c>
      <c r="E1" s="1" t="s">
        <v>455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381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382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383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384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385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386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387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388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389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390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391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392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393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394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395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396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397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448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34"/>
  <sheetViews>
    <sheetView tabSelected="1" zoomScaleNormal="100" workbookViewId="0">
      <pane ySplit="1" topLeftCell="A32" activePane="bottomLeft" state="frozen"/>
      <selection pane="bottomLeft" activeCell="A46" sqref="A4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163</v>
      </c>
      <c r="C1" s="11" t="s">
        <v>455</v>
      </c>
      <c r="D1" s="11" t="s">
        <v>98</v>
      </c>
      <c r="E1" s="11" t="s">
        <v>164</v>
      </c>
      <c r="F1" s="11" t="s">
        <v>456</v>
      </c>
      <c r="G1" s="11" t="s">
        <v>165</v>
      </c>
      <c r="H1" s="11" t="s">
        <v>457</v>
      </c>
      <c r="I1" s="11" t="s">
        <v>1</v>
      </c>
      <c r="J1" s="11" t="s">
        <v>91</v>
      </c>
      <c r="K1" s="11" t="s">
        <v>166</v>
      </c>
      <c r="L1" s="11" t="s">
        <v>99</v>
      </c>
      <c r="M1" s="11" t="s">
        <v>372</v>
      </c>
      <c r="N1" s="11" t="s">
        <v>67</v>
      </c>
      <c r="O1" s="13" t="s">
        <v>26</v>
      </c>
      <c r="P1" s="18" t="s">
        <v>27</v>
      </c>
      <c r="Q1" s="11" t="s">
        <v>167</v>
      </c>
      <c r="R1" s="11" t="s">
        <v>168</v>
      </c>
      <c r="S1" s="11" t="s">
        <v>169</v>
      </c>
      <c r="T1" s="11" t="s">
        <v>170</v>
      </c>
      <c r="U1" s="11" t="s">
        <v>171</v>
      </c>
      <c r="V1" s="11" t="s">
        <v>172</v>
      </c>
      <c r="W1" s="11" t="s">
        <v>173</v>
      </c>
      <c r="X1" s="11" t="s">
        <v>174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318</v>
      </c>
      <c r="K2" s="8" t="s">
        <v>180</v>
      </c>
      <c r="L2" s="8" t="s">
        <v>180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319</v>
      </c>
      <c r="K3" s="8" t="s">
        <v>178</v>
      </c>
      <c r="L3" s="8" t="s">
        <v>178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320</v>
      </c>
      <c r="K4" s="8" t="s">
        <v>321</v>
      </c>
      <c r="L4" s="8" t="s">
        <v>321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322</v>
      </c>
      <c r="K5" s="8" t="s">
        <v>323</v>
      </c>
      <c r="L5" s="8" t="s">
        <v>323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324</v>
      </c>
      <c r="K6" s="8" t="s">
        <v>325</v>
      </c>
      <c r="L6" s="8" t="s">
        <v>325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326</v>
      </c>
      <c r="K7" s="8" t="s">
        <v>327</v>
      </c>
      <c r="L7" s="8" t="s">
        <v>327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328</v>
      </c>
      <c r="K8" s="8" t="s">
        <v>329</v>
      </c>
      <c r="L8" s="8" t="s">
        <v>329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330</v>
      </c>
      <c r="K9" s="8" t="s">
        <v>331</v>
      </c>
      <c r="L9" s="8" t="s">
        <v>331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332</v>
      </c>
      <c r="K10" s="8" t="s">
        <v>333</v>
      </c>
      <c r="L10" s="8" t="s">
        <v>333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334</v>
      </c>
      <c r="K11" s="8" t="s">
        <v>335</v>
      </c>
      <c r="L11" s="8" t="s">
        <v>335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175</v>
      </c>
      <c r="K12" s="10" t="s">
        <v>176</v>
      </c>
      <c r="L12" s="10" t="s">
        <v>176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179</v>
      </c>
      <c r="K13" s="10" t="s">
        <v>180</v>
      </c>
      <c r="L13" s="10" t="s">
        <v>180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177</v>
      </c>
      <c r="K14" s="10" t="s">
        <v>178</v>
      </c>
      <c r="L14" s="10" t="s">
        <v>178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181</v>
      </c>
      <c r="K15" s="10" t="s">
        <v>182</v>
      </c>
      <c r="L15" s="10" t="s">
        <v>182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183</v>
      </c>
      <c r="K16" s="10" t="s">
        <v>184</v>
      </c>
      <c r="L16" s="10" t="s">
        <v>184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185</v>
      </c>
      <c r="K17" s="10" t="s">
        <v>186</v>
      </c>
      <c r="L17" s="10" t="s">
        <v>186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187</v>
      </c>
      <c r="K18" s="10" t="s">
        <v>188</v>
      </c>
      <c r="L18" s="10" t="s">
        <v>188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189</v>
      </c>
      <c r="K19" s="10" t="s">
        <v>190</v>
      </c>
      <c r="L19" s="10" t="s">
        <v>190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191</v>
      </c>
      <c r="K20" s="10" t="s">
        <v>192</v>
      </c>
      <c r="L20" s="10" t="s">
        <v>192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193</v>
      </c>
      <c r="K21" s="10" t="s">
        <v>194</v>
      </c>
      <c r="L21" s="10" t="s">
        <v>194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195</v>
      </c>
      <c r="K22" s="10" t="s">
        <v>196</v>
      </c>
      <c r="L22" s="10" t="s">
        <v>196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353</v>
      </c>
      <c r="J23" s="10" t="s">
        <v>359</v>
      </c>
      <c r="K23" s="10" t="s">
        <v>360</v>
      </c>
      <c r="L23" s="10" t="s">
        <v>360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352</v>
      </c>
      <c r="J24" s="10" t="s">
        <v>361</v>
      </c>
      <c r="K24" s="10" t="s">
        <v>362</v>
      </c>
      <c r="L24" s="10" t="s">
        <v>362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355</v>
      </c>
      <c r="J25" s="10" t="s">
        <v>363</v>
      </c>
      <c r="K25" s="10" t="s">
        <v>364</v>
      </c>
      <c r="L25" s="10" t="s">
        <v>364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197</v>
      </c>
      <c r="K26" s="10" t="s">
        <v>198</v>
      </c>
      <c r="L26" s="10" t="s">
        <v>198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213</v>
      </c>
      <c r="K27" s="8" t="s">
        <v>176</v>
      </c>
      <c r="L27" s="8" t="s">
        <v>176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214</v>
      </c>
      <c r="K28" s="8" t="s">
        <v>178</v>
      </c>
      <c r="L28" s="8" t="s">
        <v>178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215</v>
      </c>
      <c r="K29" s="8" t="s">
        <v>203</v>
      </c>
      <c r="L29" s="8" t="s">
        <v>203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199</v>
      </c>
      <c r="K30" s="10" t="s">
        <v>176</v>
      </c>
      <c r="L30" s="10" t="s">
        <v>176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200</v>
      </c>
      <c r="K31" s="10" t="s">
        <v>201</v>
      </c>
      <c r="L31" s="10" t="s">
        <v>201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202</v>
      </c>
      <c r="K32" s="10" t="s">
        <v>203</v>
      </c>
      <c r="L32" s="10" t="s">
        <v>203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204</v>
      </c>
      <c r="K33" s="10" t="s">
        <v>178</v>
      </c>
      <c r="L33" s="10" t="s">
        <v>178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205</v>
      </c>
      <c r="K34" s="10" t="s">
        <v>206</v>
      </c>
      <c r="L34" s="10" t="s">
        <v>206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207</v>
      </c>
      <c r="K35" s="10" t="s">
        <v>208</v>
      </c>
      <c r="L35" s="10" t="s">
        <v>208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372</v>
      </c>
      <c r="J36" s="10" t="s">
        <v>368</v>
      </c>
      <c r="K36" s="10" t="s">
        <v>368</v>
      </c>
      <c r="L36" s="10" t="s">
        <v>368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209</v>
      </c>
      <c r="K37" s="10" t="s">
        <v>182</v>
      </c>
      <c r="L37" s="10" t="s">
        <v>182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210</v>
      </c>
      <c r="K38" s="10" t="s">
        <v>184</v>
      </c>
      <c r="L38" s="10" t="s">
        <v>184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211</v>
      </c>
      <c r="K39" s="10" t="s">
        <v>212</v>
      </c>
      <c r="L39" s="10" t="s">
        <v>212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354</v>
      </c>
      <c r="J40" s="10" t="s">
        <v>366</v>
      </c>
      <c r="K40" s="10" t="s">
        <v>367</v>
      </c>
      <c r="L40" s="10" t="s">
        <v>367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216</v>
      </c>
      <c r="K41" s="8" t="s">
        <v>176</v>
      </c>
      <c r="L41" s="8" t="s">
        <v>176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217</v>
      </c>
      <c r="K42" s="8" t="s">
        <v>178</v>
      </c>
      <c r="L42" s="8" t="s">
        <v>178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218</v>
      </c>
      <c r="K43" s="8" t="s">
        <v>219</v>
      </c>
      <c r="L43" s="8" t="s">
        <v>219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220</v>
      </c>
      <c r="K44" s="8" t="s">
        <v>221</v>
      </c>
      <c r="L44" s="8" t="s">
        <v>221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222</v>
      </c>
      <c r="K45" s="8" t="s">
        <v>223</v>
      </c>
      <c r="L45" s="8" t="s">
        <v>223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/>
      <c r="H46" s="8" t="str">
        <f t="array" ref="H46">GetValue("Tables",G46,"Name")</f>
        <v/>
      </c>
      <c r="I46" s="8" t="s">
        <v>500</v>
      </c>
      <c r="J46" s="8" t="s">
        <v>501</v>
      </c>
      <c r="K46" s="8" t="s">
        <v>502</v>
      </c>
      <c r="L46" s="8" t="s">
        <v>502</v>
      </c>
      <c r="M46" s="8"/>
      <c r="N46" s="8"/>
      <c r="O46" s="15"/>
      <c r="P46" s="15"/>
      <c r="Q46" s="8"/>
      <c r="R46" s="8"/>
      <c r="S46" s="8" t="b">
        <v>1</v>
      </c>
      <c r="T46" s="8"/>
      <c r="U46" s="8" t="b">
        <v>0</v>
      </c>
      <c r="V46" s="8" t="b">
        <v>1</v>
      </c>
      <c r="W46" s="8" t="b">
        <v>0</v>
      </c>
      <c r="X46" s="8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/>
      <c r="H47" s="10" t="str">
        <f t="array" ref="H47">GetValue("Tables",G47,"Name")</f>
        <v/>
      </c>
      <c r="I47" s="10" t="s">
        <v>0</v>
      </c>
      <c r="J47" s="10" t="s">
        <v>224</v>
      </c>
      <c r="K47" s="10" t="s">
        <v>176</v>
      </c>
      <c r="L47" s="10" t="s">
        <v>176</v>
      </c>
      <c r="M47" s="10"/>
      <c r="N47" s="10"/>
      <c r="O47" s="17">
        <v>1</v>
      </c>
      <c r="P47" s="17"/>
      <c r="Q47" s="10" t="b">
        <v>1</v>
      </c>
      <c r="R47" s="10" t="b">
        <v>0</v>
      </c>
      <c r="S47" s="10" t="b">
        <v>1</v>
      </c>
      <c r="T47" s="10"/>
      <c r="U47" s="10" t="b">
        <v>1</v>
      </c>
      <c r="V47" s="10" t="b">
        <v>0</v>
      </c>
      <c r="W47" s="10" t="b">
        <v>0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>
        <v>5</v>
      </c>
      <c r="H48" s="10" t="str">
        <f t="array" ref="H48">GetValue("Tables",G48,"Name")</f>
        <v>Systems</v>
      </c>
      <c r="I48" s="10" t="s">
        <v>97</v>
      </c>
      <c r="J48" s="10" t="s">
        <v>225</v>
      </c>
      <c r="K48" s="10" t="s">
        <v>226</v>
      </c>
      <c r="L48" s="10" t="s">
        <v>226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1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/>
      <c r="H49" s="10" t="str">
        <f t="array" ref="H49">GetValue("Tables",G49,"Name")</f>
        <v/>
      </c>
      <c r="I49" s="10" t="s">
        <v>98</v>
      </c>
      <c r="J49" s="10" t="s">
        <v>227</v>
      </c>
      <c r="K49" s="10" t="s">
        <v>228</v>
      </c>
      <c r="L49" s="10" t="s">
        <v>228</v>
      </c>
      <c r="M49" s="10"/>
      <c r="N49" s="10"/>
      <c r="O49" s="17">
        <v>1</v>
      </c>
      <c r="P49" s="16"/>
      <c r="Q49" s="10" t="b">
        <v>0</v>
      </c>
      <c r="R49" s="10" t="b">
        <v>0</v>
      </c>
      <c r="S49" s="10" t="b">
        <v>1</v>
      </c>
      <c r="T49" s="10"/>
      <c r="U49" s="10" t="b">
        <v>0</v>
      </c>
      <c r="V49" s="10" t="b">
        <v>1</v>
      </c>
      <c r="W49" s="10" t="b">
        <v>1</v>
      </c>
      <c r="X49" s="10"/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/>
      <c r="H50" s="10" t="str">
        <f t="array" ref="H50">GetValue("Tables",G50,"Name")</f>
        <v/>
      </c>
      <c r="I50" s="10" t="s">
        <v>99</v>
      </c>
      <c r="J50" s="10" t="s">
        <v>229</v>
      </c>
      <c r="K50" s="10" t="s">
        <v>230</v>
      </c>
      <c r="L50" s="10" t="s">
        <v>230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1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100</v>
      </c>
      <c r="J51" s="10" t="s">
        <v>231</v>
      </c>
      <c r="K51" s="10" t="s">
        <v>232</v>
      </c>
      <c r="L51" s="10" t="s">
        <v>232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1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/>
      <c r="H52" s="10" t="str">
        <f t="array" ref="H52">GetValue("Tables",G52,"Name")</f>
        <v/>
      </c>
      <c r="I52" s="10" t="s">
        <v>101</v>
      </c>
      <c r="J52" s="10" t="s">
        <v>233</v>
      </c>
      <c r="K52" s="10" t="s">
        <v>234</v>
      </c>
      <c r="L52" s="10" t="s">
        <v>234</v>
      </c>
      <c r="M52" s="10"/>
      <c r="N52" s="10"/>
      <c r="O52" s="17" t="s">
        <v>36</v>
      </c>
      <c r="P52" s="16"/>
      <c r="Q52" s="10" t="b">
        <v>0</v>
      </c>
      <c r="R52" s="10"/>
      <c r="S52" s="10" t="b">
        <v>0</v>
      </c>
      <c r="T52" s="10"/>
      <c r="U52" s="10" t="b">
        <v>0</v>
      </c>
      <c r="V52" s="10" t="b">
        <v>1</v>
      </c>
      <c r="W52" s="10" t="b">
        <v>1</v>
      </c>
      <c r="X52" s="10" t="b">
        <v>0</v>
      </c>
    </row>
    <row r="53" spans="1:24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>
        <v>6</v>
      </c>
      <c r="H53" s="10" t="str">
        <f t="array" ref="H53">GetValue("Tables",G53,"Name")</f>
        <v>Menus</v>
      </c>
      <c r="I53" s="10" t="s">
        <v>102</v>
      </c>
      <c r="J53" s="10" t="s">
        <v>235</v>
      </c>
      <c r="K53" s="10" t="s">
        <v>236</v>
      </c>
      <c r="L53" s="10" t="s">
        <v>236</v>
      </c>
      <c r="M53" s="10"/>
      <c r="N53" s="10"/>
      <c r="O53" s="17">
        <v>1</v>
      </c>
      <c r="P53" s="16"/>
      <c r="Q53" s="10" t="b">
        <v>0</v>
      </c>
      <c r="R53" s="10" t="b">
        <v>0</v>
      </c>
      <c r="S53" s="10" t="b">
        <v>0</v>
      </c>
      <c r="T53" s="10"/>
      <c r="U53" s="10" t="b">
        <v>0</v>
      </c>
      <c r="V53" s="10" t="b">
        <v>1</v>
      </c>
      <c r="W53" s="10" t="b">
        <v>0</v>
      </c>
      <c r="X53" s="10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/>
      <c r="H54" s="8" t="str">
        <f t="array" ref="H54">GetValue("Tables",G54,"Name")</f>
        <v/>
      </c>
      <c r="I54" s="8" t="s">
        <v>0</v>
      </c>
      <c r="J54" s="8" t="s">
        <v>237</v>
      </c>
      <c r="K54" s="8" t="s">
        <v>176</v>
      </c>
      <c r="L54" s="8" t="s">
        <v>176</v>
      </c>
      <c r="M54" s="8"/>
      <c r="N54" s="8"/>
      <c r="O54" s="15">
        <v>1</v>
      </c>
      <c r="P54" s="15"/>
      <c r="Q54" s="8" t="b">
        <v>1</v>
      </c>
      <c r="R54" s="8" t="b">
        <v>0</v>
      </c>
      <c r="S54" s="8" t="b">
        <v>1</v>
      </c>
      <c r="T54" s="8"/>
      <c r="U54" s="8" t="b">
        <v>1</v>
      </c>
      <c r="V54" s="8" t="b">
        <v>0</v>
      </c>
      <c r="W54" s="8" t="b">
        <v>0</v>
      </c>
      <c r="X54" s="8"/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/>
      <c r="H55" s="8" t="str">
        <f t="array" ref="H55">GetValue("Tables",G55,"Name")</f>
        <v/>
      </c>
      <c r="I55" s="8" t="s">
        <v>1</v>
      </c>
      <c r="J55" s="8" t="s">
        <v>238</v>
      </c>
      <c r="K55" s="8" t="s">
        <v>178</v>
      </c>
      <c r="L55" s="8" t="s">
        <v>178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1</v>
      </c>
      <c r="U55" s="8" t="b">
        <v>1</v>
      </c>
      <c r="V55" s="8" t="b">
        <v>1</v>
      </c>
      <c r="W55" s="8" t="b">
        <v>1</v>
      </c>
      <c r="X55" s="8" t="b">
        <v>0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/>
      <c r="H56" s="8" t="str">
        <f t="array" ref="H56">GetValue("Tables",G56,"Name")</f>
        <v/>
      </c>
      <c r="I56" s="8" t="s">
        <v>127</v>
      </c>
      <c r="J56" s="8" t="s">
        <v>239</v>
      </c>
      <c r="K56" s="8" t="s">
        <v>240</v>
      </c>
      <c r="L56" s="8" t="s">
        <v>240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0</v>
      </c>
      <c r="V56" s="8" t="b">
        <v>1</v>
      </c>
      <c r="W56" s="8" t="b">
        <v>0</v>
      </c>
      <c r="X56" s="8" t="b">
        <v>1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/>
      <c r="H57" s="8" t="str">
        <f t="array" ref="H57">GetValue("Tables",G57,"Name")</f>
        <v/>
      </c>
      <c r="I57" s="8" t="s">
        <v>128</v>
      </c>
      <c r="J57" s="8" t="s">
        <v>241</v>
      </c>
      <c r="K57" s="8" t="s">
        <v>242</v>
      </c>
      <c r="L57" s="8" t="s">
        <v>242</v>
      </c>
      <c r="M57" s="8"/>
      <c r="N57" s="8"/>
      <c r="O57" s="15" t="s">
        <v>36</v>
      </c>
      <c r="P57" s="15"/>
      <c r="Q57" s="8" t="b">
        <v>0</v>
      </c>
      <c r="R57" s="8"/>
      <c r="S57" s="8" t="b">
        <v>1</v>
      </c>
      <c r="T57" s="8" t="b">
        <v>0</v>
      </c>
      <c r="U57" s="8" t="b">
        <v>1</v>
      </c>
      <c r="V57" s="8" t="b">
        <v>1</v>
      </c>
      <c r="W57" s="8" t="b">
        <v>1</v>
      </c>
      <c r="X57" s="8" t="b">
        <v>0</v>
      </c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/>
      <c r="H58" s="8" t="str">
        <f t="array" ref="H58">GetValue("Tables",G58,"Name")</f>
        <v/>
      </c>
      <c r="I58" s="8" t="s">
        <v>129</v>
      </c>
      <c r="J58" s="8" t="s">
        <v>243</v>
      </c>
      <c r="K58" s="8" t="s">
        <v>243</v>
      </c>
      <c r="L58" s="8" t="s">
        <v>243</v>
      </c>
      <c r="M58" s="8"/>
      <c r="N58" s="8">
        <v>0</v>
      </c>
      <c r="O58" s="15">
        <v>0</v>
      </c>
      <c r="P58" s="15"/>
      <c r="Q58" s="8" t="b">
        <v>0</v>
      </c>
      <c r="R58" s="8" t="b">
        <v>0</v>
      </c>
      <c r="S58" s="8" t="b">
        <v>1</v>
      </c>
      <c r="T58" s="8"/>
      <c r="U58" s="8" t="b">
        <v>0</v>
      </c>
      <c r="V58" s="8" t="b">
        <v>1</v>
      </c>
      <c r="W58" s="8" t="b">
        <v>1</v>
      </c>
      <c r="X58" s="8"/>
    </row>
    <row r="59" spans="1:24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/>
      <c r="H59" s="8" t="str">
        <f t="array" ref="H59">GetValue("Tables",G59,"Name")</f>
        <v/>
      </c>
      <c r="I59" s="8" t="s">
        <v>34</v>
      </c>
      <c r="J59" s="8" t="s">
        <v>244</v>
      </c>
      <c r="K59" s="8" t="s">
        <v>244</v>
      </c>
      <c r="L59" s="8" t="s">
        <v>244</v>
      </c>
      <c r="M59" s="8"/>
      <c r="N59" s="8"/>
      <c r="O59" s="15" t="s">
        <v>36</v>
      </c>
      <c r="P59" s="15"/>
      <c r="Q59" s="8" t="b">
        <v>0</v>
      </c>
      <c r="R59" s="8"/>
      <c r="S59" s="8" t="b">
        <v>1</v>
      </c>
      <c r="T59" s="8"/>
      <c r="U59" s="8" t="b">
        <v>1</v>
      </c>
      <c r="V59" s="8" t="b">
        <v>1</v>
      </c>
      <c r="W59" s="8" t="b">
        <v>1</v>
      </c>
      <c r="X59" s="8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/>
      <c r="H60" s="10" t="str">
        <f t="array" ref="H60">GetValue("Tables",G60,"Name")</f>
        <v/>
      </c>
      <c r="I60" s="10" t="s">
        <v>0</v>
      </c>
      <c r="J60" s="10" t="s">
        <v>245</v>
      </c>
      <c r="K60" s="10" t="s">
        <v>226</v>
      </c>
      <c r="L60" s="10" t="s">
        <v>226</v>
      </c>
      <c r="M60" s="10"/>
      <c r="N60" s="10"/>
      <c r="O60" s="17">
        <v>1</v>
      </c>
      <c r="P60" s="17"/>
      <c r="Q60" s="10" t="b">
        <v>1</v>
      </c>
      <c r="R60" s="10" t="b">
        <v>0</v>
      </c>
      <c r="S60" s="10" t="b">
        <v>1</v>
      </c>
      <c r="T60" s="10"/>
      <c r="U60" s="10" t="b">
        <v>1</v>
      </c>
      <c r="V60" s="10" t="b">
        <v>0</v>
      </c>
      <c r="W60" s="10" t="b">
        <v>0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>
        <v>5</v>
      </c>
      <c r="H61" s="10" t="str">
        <f t="array" ref="H61">GetValue("Tables",G61,"Name")</f>
        <v>Systems</v>
      </c>
      <c r="I61" s="10" t="s">
        <v>97</v>
      </c>
      <c r="J61" s="10" t="s">
        <v>216</v>
      </c>
      <c r="K61" s="10" t="s">
        <v>176</v>
      </c>
      <c r="L61" s="10" t="s">
        <v>176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>
        <v>7</v>
      </c>
      <c r="H62" s="10" t="str">
        <f t="array" ref="H62">GetValue("Tables",G62,"Name")</f>
        <v>Users</v>
      </c>
      <c r="I62" s="10" t="s">
        <v>131</v>
      </c>
      <c r="J62" s="10" t="s">
        <v>237</v>
      </c>
      <c r="K62" s="10" t="s">
        <v>246</v>
      </c>
      <c r="L62" s="10" t="s">
        <v>246</v>
      </c>
      <c r="M62" s="10"/>
      <c r="N62" s="10"/>
      <c r="O62" s="17">
        <v>1</v>
      </c>
      <c r="P62" s="17"/>
      <c r="Q62" s="10" t="b">
        <v>0</v>
      </c>
      <c r="R62" s="10" t="b">
        <v>0</v>
      </c>
      <c r="S62" s="10" t="b">
        <v>1</v>
      </c>
      <c r="T62" s="10"/>
      <c r="U62" s="10" t="b">
        <v>1</v>
      </c>
      <c r="V62" s="10" t="b">
        <v>1</v>
      </c>
      <c r="W62" s="10" t="b">
        <v>1</v>
      </c>
      <c r="X62" s="10"/>
    </row>
    <row r="63" spans="1:24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/>
      <c r="H63" s="10" t="str">
        <f t="array" ref="H63">GetValue("Tables",G63,"Name")</f>
        <v/>
      </c>
      <c r="I63" s="10" t="s">
        <v>91</v>
      </c>
      <c r="J63" s="10" t="s">
        <v>398</v>
      </c>
      <c r="K63" s="10" t="s">
        <v>219</v>
      </c>
      <c r="L63" s="10" t="s">
        <v>219</v>
      </c>
      <c r="M63" s="10"/>
      <c r="N63" s="10"/>
      <c r="O63" s="17"/>
      <c r="P63" s="17"/>
      <c r="Q63" s="10" t="b">
        <v>0</v>
      </c>
      <c r="R63" s="10"/>
      <c r="S63" s="10" t="b">
        <v>1</v>
      </c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0</v>
      </c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/>
      <c r="H64" s="8" t="str">
        <f t="array" ref="H64">GetValue("Tables",G64,"Name")</f>
        <v/>
      </c>
      <c r="I64" s="8" t="s">
        <v>0</v>
      </c>
      <c r="J64" s="8" t="s">
        <v>247</v>
      </c>
      <c r="K64" s="8" t="s">
        <v>176</v>
      </c>
      <c r="L64" s="8" t="s">
        <v>176</v>
      </c>
      <c r="M64" s="8"/>
      <c r="N64" s="8"/>
      <c r="O64" s="15">
        <v>1</v>
      </c>
      <c r="P64" s="15"/>
      <c r="Q64" s="8" t="b">
        <v>1</v>
      </c>
      <c r="R64" s="8" t="b">
        <v>0</v>
      </c>
      <c r="S64" s="8" t="b">
        <v>1</v>
      </c>
      <c r="T64" s="8"/>
      <c r="U64" s="8" t="b">
        <v>1</v>
      </c>
      <c r="V64" s="8" t="b">
        <v>0</v>
      </c>
      <c r="W64" s="8" t="b">
        <v>0</v>
      </c>
      <c r="X64" s="8"/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/>
      <c r="H65" s="8" t="str">
        <f t="array" ref="H65">GetValue("Tables",G65,"Name")</f>
        <v/>
      </c>
      <c r="I65" s="8" t="s">
        <v>1</v>
      </c>
      <c r="J65" s="8" t="s">
        <v>248</v>
      </c>
      <c r="K65" s="8" t="s">
        <v>178</v>
      </c>
      <c r="L65" s="8" t="s">
        <v>178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1</v>
      </c>
      <c r="U65" s="8" t="b">
        <v>1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/>
      <c r="H66" s="8" t="str">
        <f t="array" ref="H66">GetValue("Tables",G66,"Name")</f>
        <v/>
      </c>
      <c r="I66" s="8" t="s">
        <v>91</v>
      </c>
      <c r="J66" s="8" t="s">
        <v>249</v>
      </c>
      <c r="K66" s="8" t="s">
        <v>219</v>
      </c>
      <c r="L66" s="8" t="s">
        <v>219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0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/>
      <c r="H67" s="8" t="str">
        <f t="array" ref="H67">GetValue("Tables",G67,"Name")</f>
        <v/>
      </c>
      <c r="I67" s="8" t="s">
        <v>132</v>
      </c>
      <c r="J67" s="8" t="s">
        <v>250</v>
      </c>
      <c r="K67" s="8" t="s">
        <v>132</v>
      </c>
      <c r="L67" s="8" t="s">
        <v>132</v>
      </c>
      <c r="M67" s="8"/>
      <c r="N67" s="8"/>
      <c r="O67" s="15" t="s">
        <v>36</v>
      </c>
      <c r="P67" s="15"/>
      <c r="Q67" s="8" t="b">
        <v>0</v>
      </c>
      <c r="R67" s="8"/>
      <c r="S67" s="8" t="b">
        <v>1</v>
      </c>
      <c r="T67" s="8" t="b">
        <v>0</v>
      </c>
      <c r="U67" s="8" t="b">
        <v>1</v>
      </c>
      <c r="V67" s="8" t="b">
        <v>1</v>
      </c>
      <c r="W67" s="8" t="b">
        <v>1</v>
      </c>
      <c r="X67" s="8" t="b">
        <v>0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/>
      <c r="H68" s="8" t="str">
        <f t="array" ref="H68">GetValue("Tables",G68,"Name")</f>
        <v/>
      </c>
      <c r="I68" s="8" t="s">
        <v>133</v>
      </c>
      <c r="J68" s="8" t="s">
        <v>251</v>
      </c>
      <c r="K68" s="8" t="s">
        <v>252</v>
      </c>
      <c r="L68" s="8" t="s">
        <v>252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1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/>
      <c r="H69" s="8" t="str">
        <f t="array" ref="H69">GetValue("Tables",G69,"Name")</f>
        <v/>
      </c>
      <c r="I69" s="8" t="s">
        <v>134</v>
      </c>
      <c r="J69" s="8" t="s">
        <v>253</v>
      </c>
      <c r="K69" s="8" t="s">
        <v>254</v>
      </c>
      <c r="L69" s="8" t="s">
        <v>254</v>
      </c>
      <c r="M69" s="8"/>
      <c r="N69" s="8"/>
      <c r="O69" s="15" t="s">
        <v>36</v>
      </c>
      <c r="P69" s="15"/>
      <c r="Q69" s="8" t="b">
        <v>0</v>
      </c>
      <c r="R69" s="8"/>
      <c r="S69" s="8" t="b">
        <v>0</v>
      </c>
      <c r="T69" s="8" t="b">
        <v>0</v>
      </c>
      <c r="U69" s="8" t="b">
        <v>0</v>
      </c>
      <c r="V69" s="8" t="b">
        <v>1</v>
      </c>
      <c r="W69" s="8" t="b">
        <v>0</v>
      </c>
      <c r="X69" s="8" t="b">
        <v>0</v>
      </c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/>
      <c r="H70" s="8" t="str">
        <f t="array" ref="H70">GetValue("Tables",G70,"Name")</f>
        <v/>
      </c>
      <c r="I70" s="8" t="s">
        <v>135</v>
      </c>
      <c r="J70" s="8" t="s">
        <v>255</v>
      </c>
      <c r="K70" s="8" t="s">
        <v>256</v>
      </c>
      <c r="L70" s="8" t="s">
        <v>256</v>
      </c>
      <c r="M70" s="8"/>
      <c r="N70" s="8"/>
      <c r="O70" s="15">
        <v>1</v>
      </c>
      <c r="P70" s="15"/>
      <c r="Q70" s="8" t="b">
        <v>0</v>
      </c>
      <c r="R70" s="8" t="b">
        <v>0</v>
      </c>
      <c r="S70" s="8" t="b">
        <v>0</v>
      </c>
      <c r="T70" s="8"/>
      <c r="U70" s="8" t="b">
        <v>0</v>
      </c>
      <c r="V70" s="8" t="b">
        <v>1</v>
      </c>
      <c r="W70" s="8" t="b">
        <v>0</v>
      </c>
      <c r="X70" s="8"/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136</v>
      </c>
      <c r="J71" s="8" t="s">
        <v>257</v>
      </c>
      <c r="K71" s="8" t="s">
        <v>246</v>
      </c>
      <c r="L71" s="8" t="s">
        <v>246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127</v>
      </c>
      <c r="J72" s="8" t="s">
        <v>258</v>
      </c>
      <c r="K72" s="8" t="s">
        <v>240</v>
      </c>
      <c r="L72" s="8" t="s">
        <v>240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/>
      <c r="H73" s="8" t="str">
        <f t="array" ref="H73">GetValue("Tables",G73,"Name")</f>
        <v/>
      </c>
      <c r="I73" s="8" t="s">
        <v>137</v>
      </c>
      <c r="J73" s="8" t="s">
        <v>259</v>
      </c>
      <c r="K73" s="8" t="s">
        <v>260</v>
      </c>
      <c r="L73" s="8" t="s">
        <v>260</v>
      </c>
      <c r="M73" s="8"/>
      <c r="N73" s="8"/>
      <c r="O73" s="15" t="s">
        <v>36</v>
      </c>
      <c r="P73" s="15"/>
      <c r="Q73" s="8" t="b">
        <v>0</v>
      </c>
      <c r="R73" s="8"/>
      <c r="S73" s="8" t="b">
        <v>0</v>
      </c>
      <c r="T73" s="8" t="b">
        <v>0</v>
      </c>
      <c r="U73" s="8" t="b">
        <v>0</v>
      </c>
      <c r="V73" s="8" t="b">
        <v>1</v>
      </c>
      <c r="W73" s="8" t="b">
        <v>0</v>
      </c>
      <c r="X73" s="8" t="b">
        <v>1</v>
      </c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/>
      <c r="H74" s="10" t="str">
        <f t="array" ref="H74">GetValue("Tables",G74,"Name")</f>
        <v/>
      </c>
      <c r="I74" s="10" t="s">
        <v>0</v>
      </c>
      <c r="J74" s="10" t="s">
        <v>261</v>
      </c>
      <c r="K74" s="10" t="s">
        <v>176</v>
      </c>
      <c r="L74" s="10" t="s">
        <v>176</v>
      </c>
      <c r="M74" s="10"/>
      <c r="N74" s="10"/>
      <c r="O74" s="17">
        <v>1</v>
      </c>
      <c r="P74" s="17"/>
      <c r="Q74" s="10" t="b">
        <v>1</v>
      </c>
      <c r="R74" s="10" t="b">
        <v>0</v>
      </c>
      <c r="S74" s="10" t="b">
        <v>1</v>
      </c>
      <c r="T74" s="10"/>
      <c r="U74" s="10" t="b">
        <v>1</v>
      </c>
      <c r="V74" s="10" t="b">
        <v>0</v>
      </c>
      <c r="W74" s="10" t="b">
        <v>0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>
        <v>5</v>
      </c>
      <c r="H75" s="10" t="str">
        <f t="array" ref="H75">GetValue("Tables",G75,"Name")</f>
        <v>Systems</v>
      </c>
      <c r="I75" s="10" t="s">
        <v>97</v>
      </c>
      <c r="J75" s="10" t="s">
        <v>216</v>
      </c>
      <c r="K75" s="10" t="s">
        <v>226</v>
      </c>
      <c r="L75" s="10" t="s">
        <v>226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>
        <v>9</v>
      </c>
      <c r="H76" s="10" t="str">
        <f t="array" ref="H76">GetValue("Tables",G76,"Name")</f>
        <v>Databases</v>
      </c>
      <c r="I76" s="10" t="s">
        <v>141</v>
      </c>
      <c r="J76" s="10" t="s">
        <v>247</v>
      </c>
      <c r="K76" s="10" t="s">
        <v>262</v>
      </c>
      <c r="L76" s="10" t="s">
        <v>262</v>
      </c>
      <c r="M76" s="10"/>
      <c r="N76" s="10"/>
      <c r="O76" s="17">
        <v>1</v>
      </c>
      <c r="P76" s="16"/>
      <c r="Q76" s="10" t="b">
        <v>0</v>
      </c>
      <c r="R76" s="10" t="b">
        <v>0</v>
      </c>
      <c r="S76" s="10" t="b">
        <v>1</v>
      </c>
      <c r="T76" s="10"/>
      <c r="U76" s="10" t="b">
        <v>1</v>
      </c>
      <c r="V76" s="10" t="b">
        <v>1</v>
      </c>
      <c r="W76" s="10" t="b">
        <v>1</v>
      </c>
      <c r="X76" s="10"/>
    </row>
    <row r="77" spans="1:24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/>
      <c r="H77" s="10" t="str">
        <f t="array" ref="H77">GetValue("Tables",G77,"Name")</f>
        <v/>
      </c>
      <c r="I77" s="10" t="s">
        <v>91</v>
      </c>
      <c r="J77" s="10" t="s">
        <v>399</v>
      </c>
      <c r="K77" s="10" t="s">
        <v>219</v>
      </c>
      <c r="L77" s="10" t="s">
        <v>219</v>
      </c>
      <c r="M77" s="10"/>
      <c r="N77" s="10"/>
      <c r="O77" s="17"/>
      <c r="P77" s="17"/>
      <c r="Q77" s="10" t="b">
        <v>0</v>
      </c>
      <c r="R77" s="10"/>
      <c r="S77" s="10" t="b">
        <v>1</v>
      </c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0</v>
      </c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/>
      <c r="H78" s="8" t="str">
        <f t="array" ref="H78">GetValue("Tables",G78,"Name")</f>
        <v/>
      </c>
      <c r="I78" s="8" t="s">
        <v>0</v>
      </c>
      <c r="J78" s="8" t="s">
        <v>263</v>
      </c>
      <c r="K78" s="8" t="s">
        <v>176</v>
      </c>
      <c r="L78" s="8" t="s">
        <v>176</v>
      </c>
      <c r="M78" s="8"/>
      <c r="N78" s="8"/>
      <c r="O78" s="15">
        <v>1</v>
      </c>
      <c r="P78" s="15"/>
      <c r="Q78" s="8" t="b">
        <v>1</v>
      </c>
      <c r="R78" s="8" t="b">
        <v>0</v>
      </c>
      <c r="S78" s="8" t="b">
        <v>1</v>
      </c>
      <c r="T78" s="8"/>
      <c r="U78" s="8" t="b">
        <v>1</v>
      </c>
      <c r="V78" s="8" t="b">
        <v>0</v>
      </c>
      <c r="W78" s="8" t="b">
        <v>0</v>
      </c>
      <c r="X78" s="8"/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>D78+5</f>
        <v>10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497</v>
      </c>
      <c r="J79" s="8" t="s">
        <v>498</v>
      </c>
      <c r="K79" s="8" t="s">
        <v>499</v>
      </c>
      <c r="L79" s="8" t="s">
        <v>499</v>
      </c>
      <c r="M79" s="8"/>
      <c r="N79" s="8"/>
      <c r="O79" s="15"/>
      <c r="P79" s="15"/>
      <c r="Q79" s="8" t="b">
        <v>0</v>
      </c>
      <c r="R79" s="8"/>
      <c r="S79" s="8" t="b">
        <v>0</v>
      </c>
      <c r="T79" s="8" t="b">
        <v>0</v>
      </c>
      <c r="U79" s="8" t="b">
        <v>1</v>
      </c>
      <c r="V79" s="8" t="b">
        <v>1</v>
      </c>
      <c r="W79" s="8" t="b">
        <v>0</v>
      </c>
      <c r="X79" s="8" t="b">
        <v>0</v>
      </c>
    </row>
    <row r="80" spans="1:24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7">D79+5</f>
        <v>15</v>
      </c>
      <c r="E80" s="8">
        <v>9</v>
      </c>
      <c r="F80" s="8" t="str">
        <f t="array" ref="F80">GetValue("Domains",E80,"Name")</f>
        <v>Varchar(25)</v>
      </c>
      <c r="G80" s="8"/>
      <c r="H80" s="8" t="str">
        <f t="array" ref="H80">GetValue("Tables",G80,"Name")</f>
        <v/>
      </c>
      <c r="I80" s="8" t="s">
        <v>1</v>
      </c>
      <c r="J80" s="8" t="s">
        <v>264</v>
      </c>
      <c r="K80" s="8" t="s">
        <v>178</v>
      </c>
      <c r="L80" s="8" t="s">
        <v>178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1</v>
      </c>
      <c r="U80" s="8" t="b">
        <v>1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20</v>
      </c>
      <c r="E81" s="8">
        <v>9</v>
      </c>
      <c r="F81" s="8" t="str">
        <f t="array" ref="F81">GetValue("Domains",E81,"Name")</f>
        <v>Varchar(25)</v>
      </c>
      <c r="G81" s="8"/>
      <c r="H81" s="8" t="str">
        <f t="array" ref="H81">GetValue("Tables",G81,"Name")</f>
        <v/>
      </c>
      <c r="I81" s="8" t="s">
        <v>132</v>
      </c>
      <c r="J81" s="8" t="s">
        <v>265</v>
      </c>
      <c r="K81" s="8" t="s">
        <v>132</v>
      </c>
      <c r="L81" s="8" t="s">
        <v>132</v>
      </c>
      <c r="M81" s="8"/>
      <c r="N81" s="8"/>
      <c r="O81" s="15" t="s">
        <v>36</v>
      </c>
      <c r="P81" s="15"/>
      <c r="Q81" s="8" t="b">
        <v>0</v>
      </c>
      <c r="R81" s="8"/>
      <c r="S81" s="8" t="b">
        <v>1</v>
      </c>
      <c r="T81" s="8" t="b">
        <v>0</v>
      </c>
      <c r="U81" s="8" t="b">
        <v>1</v>
      </c>
      <c r="V81" s="8" t="b">
        <v>1</v>
      </c>
      <c r="W81" s="8" t="b">
        <v>1</v>
      </c>
      <c r="X81" s="8" t="b">
        <v>0</v>
      </c>
    </row>
    <row r="82" spans="1:24" x14ac:dyDescent="0.3">
      <c r="A82" s="8">
        <f t="shared" ref="A82:A126" si="8">ROW(A82)-1</f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25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91</v>
      </c>
      <c r="J82" s="8" t="s">
        <v>266</v>
      </c>
      <c r="K82" s="8" t="s">
        <v>219</v>
      </c>
      <c r="L82" s="8" t="s">
        <v>219</v>
      </c>
      <c r="M82" s="8"/>
      <c r="N82" s="8"/>
      <c r="O82" s="15" t="s">
        <v>36</v>
      </c>
      <c r="P82" s="15"/>
      <c r="Q82" s="8" t="b">
        <v>0</v>
      </c>
      <c r="R82" s="8"/>
      <c r="S82" s="8" t="b">
        <v>1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30</v>
      </c>
      <c r="E83" s="8">
        <v>6</v>
      </c>
      <c r="F83" s="8" t="str">
        <f t="array" ref="F83">GetValue("Domains",E83,"Name")</f>
        <v>Boolean</v>
      </c>
      <c r="G83" s="8"/>
      <c r="H83" s="8" t="str">
        <f t="array" ref="H83">GetValue("Tables",G83,"Name")</f>
        <v/>
      </c>
      <c r="I83" s="8" t="s">
        <v>369</v>
      </c>
      <c r="J83" s="8" t="s">
        <v>370</v>
      </c>
      <c r="K83" s="8" t="s">
        <v>371</v>
      </c>
      <c r="L83" s="8" t="s">
        <v>371</v>
      </c>
      <c r="M83" s="8"/>
      <c r="N83" s="8"/>
      <c r="O83" s="15" t="s">
        <v>36</v>
      </c>
      <c r="P83" s="15"/>
      <c r="Q83" s="8" t="b">
        <v>0</v>
      </c>
      <c r="R83" s="8"/>
      <c r="S83" s="8" t="b">
        <v>1</v>
      </c>
      <c r="T83" s="8"/>
      <c r="U83" s="8" t="b">
        <v>1</v>
      </c>
      <c r="V83" s="8" t="b">
        <v>1</v>
      </c>
      <c r="W83" s="8" t="b">
        <v>1</v>
      </c>
      <c r="X83" s="8"/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35</v>
      </c>
      <c r="E84" s="8">
        <v>1</v>
      </c>
      <c r="F84" s="8" t="str">
        <f t="array" ref="F84">GetValue("Domains",E84,"Name")</f>
        <v>BigInteger</v>
      </c>
      <c r="G84" s="8"/>
      <c r="H84" s="8" t="str">
        <f t="array" ref="H84">GetValue("Tables",G84,"Name")</f>
        <v/>
      </c>
      <c r="I84" s="8" t="s">
        <v>494</v>
      </c>
      <c r="J84" s="8" t="s">
        <v>495</v>
      </c>
      <c r="K84" s="8" t="s">
        <v>495</v>
      </c>
      <c r="L84" s="8" t="s">
        <v>495</v>
      </c>
      <c r="M84" s="8"/>
      <c r="N84" s="8" t="s">
        <v>267</v>
      </c>
      <c r="O84" s="15">
        <v>0</v>
      </c>
      <c r="P84" s="15"/>
      <c r="Q84" s="8" t="b">
        <v>0</v>
      </c>
      <c r="R84" s="8" t="b">
        <v>0</v>
      </c>
      <c r="S84" s="8" t="b">
        <v>1</v>
      </c>
      <c r="T84" s="8" t="b">
        <v>0</v>
      </c>
      <c r="U84" s="8" t="b">
        <v>0</v>
      </c>
      <c r="V84" s="8" t="b">
        <v>0</v>
      </c>
      <c r="W84" s="8" t="b">
        <v>0</v>
      </c>
      <c r="X84" s="8"/>
    </row>
    <row r="85" spans="1:24" x14ac:dyDescent="0.3">
      <c r="A85" s="10">
        <f t="shared" si="8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/>
      <c r="H85" s="10" t="str">
        <f t="array" ref="H85">GetValue("Tables",G85,"Name")</f>
        <v/>
      </c>
      <c r="I85" s="10" t="s">
        <v>0</v>
      </c>
      <c r="J85" s="10" t="s">
        <v>401</v>
      </c>
      <c r="K85" s="10" t="s">
        <v>176</v>
      </c>
      <c r="L85" s="10" t="s">
        <v>176</v>
      </c>
      <c r="M85" s="10"/>
      <c r="N85" s="10"/>
      <c r="O85" s="17">
        <v>1</v>
      </c>
      <c r="P85" s="17"/>
      <c r="Q85" s="10" t="b">
        <v>1</v>
      </c>
      <c r="R85" s="10" t="b">
        <v>0</v>
      </c>
      <c r="S85" s="10" t="b">
        <v>1</v>
      </c>
      <c r="T85" s="10"/>
      <c r="U85" s="10" t="b">
        <v>1</v>
      </c>
      <c r="V85" s="10" t="b">
        <v>0</v>
      </c>
      <c r="W85" s="10" t="b">
        <v>0</v>
      </c>
      <c r="X85" s="10"/>
    </row>
    <row r="86" spans="1:24" x14ac:dyDescent="0.3">
      <c r="A86" s="10">
        <f t="shared" si="8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>
        <v>9</v>
      </c>
      <c r="H86" s="10" t="str">
        <f t="array" ref="H86">GetValue("Tables",G86,"Name")</f>
        <v>Databases</v>
      </c>
      <c r="I86" s="10" t="s">
        <v>141</v>
      </c>
      <c r="J86" s="10" t="s">
        <v>247</v>
      </c>
      <c r="K86" s="10" t="s">
        <v>226</v>
      </c>
      <c r="L86" s="10" t="s">
        <v>226</v>
      </c>
      <c r="M86" s="10"/>
      <c r="N86" s="10"/>
      <c r="O86" s="17">
        <v>1</v>
      </c>
      <c r="P86" s="16"/>
      <c r="Q86" s="10" t="b">
        <v>0</v>
      </c>
      <c r="R86" s="10" t="b">
        <v>0</v>
      </c>
      <c r="S86" s="10" t="b">
        <v>1</v>
      </c>
      <c r="T86" s="10"/>
      <c r="U86" s="10" t="b">
        <v>1</v>
      </c>
      <c r="V86" s="10" t="b">
        <v>1</v>
      </c>
      <c r="W86" s="10" t="b">
        <v>1</v>
      </c>
      <c r="X86" s="10"/>
    </row>
    <row r="87" spans="1:24" x14ac:dyDescent="0.3">
      <c r="A87" s="10">
        <f t="shared" si="8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>
        <v>11</v>
      </c>
      <c r="H87" s="10" t="str">
        <f t="array" ref="H87">GetValue("Tables",G87,"Name")</f>
        <v>Tables</v>
      </c>
      <c r="I87" s="10" t="s">
        <v>163</v>
      </c>
      <c r="J87" s="10" t="s">
        <v>263</v>
      </c>
      <c r="K87" s="10" t="s">
        <v>262</v>
      </c>
      <c r="L87" s="10" t="s">
        <v>262</v>
      </c>
      <c r="M87" s="10"/>
      <c r="N87" s="10"/>
      <c r="O87" s="17">
        <v>1</v>
      </c>
      <c r="P87" s="16"/>
      <c r="Q87" s="10" t="b">
        <v>0</v>
      </c>
      <c r="R87" s="10" t="b">
        <v>0</v>
      </c>
      <c r="S87" s="10" t="b">
        <v>1</v>
      </c>
      <c r="T87" s="10"/>
      <c r="U87" s="10" t="b">
        <v>1</v>
      </c>
      <c r="V87" s="10" t="b">
        <v>1</v>
      </c>
      <c r="W87" s="10" t="b">
        <v>1</v>
      </c>
      <c r="X87" s="10"/>
    </row>
    <row r="88" spans="1:24" x14ac:dyDescent="0.3">
      <c r="A88" s="10">
        <f t="shared" si="8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/>
      <c r="H88" s="10" t="str">
        <f t="array" ref="H88">GetValue("Tables",G88,"Name")</f>
        <v/>
      </c>
      <c r="I88" s="10" t="s">
        <v>91</v>
      </c>
      <c r="J88" s="10" t="s">
        <v>400</v>
      </c>
      <c r="K88" s="10" t="s">
        <v>219</v>
      </c>
      <c r="L88" s="10" t="s">
        <v>219</v>
      </c>
      <c r="M88" s="10"/>
      <c r="N88" s="10"/>
      <c r="O88" s="17"/>
      <c r="P88" s="17"/>
      <c r="Q88" s="10" t="b">
        <v>0</v>
      </c>
      <c r="R88" s="10"/>
      <c r="S88" s="10" t="b">
        <v>1</v>
      </c>
      <c r="T88" s="10" t="b">
        <v>1</v>
      </c>
      <c r="U88" s="10" t="b">
        <v>1</v>
      </c>
      <c r="V88" s="10" t="b">
        <v>1</v>
      </c>
      <c r="W88" s="10" t="b">
        <v>1</v>
      </c>
      <c r="X88" s="10" t="b">
        <v>0</v>
      </c>
    </row>
    <row r="89" spans="1:24" x14ac:dyDescent="0.3">
      <c r="A89" s="8">
        <f t="shared" si="8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/>
      <c r="H89" s="8" t="str">
        <f t="array" ref="H89">GetValue("Tables",G89,"Name")</f>
        <v/>
      </c>
      <c r="I89" s="8" t="s">
        <v>0</v>
      </c>
      <c r="J89" s="8" t="s">
        <v>268</v>
      </c>
      <c r="K89" s="8" t="s">
        <v>176</v>
      </c>
      <c r="L89" s="8" t="s">
        <v>176</v>
      </c>
      <c r="M89" s="8"/>
      <c r="N89" s="8"/>
      <c r="O89" s="15">
        <v>1</v>
      </c>
      <c r="P89" s="15"/>
      <c r="Q89" s="8" t="b">
        <v>1</v>
      </c>
      <c r="R89" s="8" t="b">
        <v>0</v>
      </c>
      <c r="S89" s="8" t="b">
        <v>1</v>
      </c>
      <c r="T89" s="8"/>
      <c r="U89" s="8" t="b">
        <v>1</v>
      </c>
      <c r="V89" s="8" t="b">
        <v>0</v>
      </c>
      <c r="W89" s="8" t="b">
        <v>0</v>
      </c>
      <c r="X89" s="8"/>
    </row>
    <row r="90" spans="1:24" x14ac:dyDescent="0.3">
      <c r="A90" s="8">
        <f t="shared" si="8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9">D89+5</f>
        <v>10</v>
      </c>
      <c r="E90" s="8">
        <v>1</v>
      </c>
      <c r="F90" s="8" t="str">
        <f t="array" ref="F90">GetValue("Domains",E90,"Name")</f>
        <v>BigInteger</v>
      </c>
      <c r="G90" s="8">
        <v>11</v>
      </c>
      <c r="H90" s="8" t="str">
        <f t="array" ref="H90">GetValue("Tables",G90,"Name")</f>
        <v>Tables</v>
      </c>
      <c r="I90" s="8" t="s">
        <v>163</v>
      </c>
      <c r="J90" s="8" t="s">
        <v>269</v>
      </c>
      <c r="K90" s="8" t="s">
        <v>269</v>
      </c>
      <c r="L90" s="8" t="s">
        <v>269</v>
      </c>
      <c r="M90" s="8"/>
      <c r="N90" s="8"/>
      <c r="O90" s="15">
        <v>1</v>
      </c>
      <c r="P90" s="15"/>
      <c r="Q90" s="8" t="b">
        <v>0</v>
      </c>
      <c r="R90" s="8" t="b">
        <v>0</v>
      </c>
      <c r="S90" s="8" t="b">
        <v>1</v>
      </c>
      <c r="T90" s="8"/>
      <c r="U90" s="8" t="b">
        <v>1</v>
      </c>
      <c r="V90" s="8" t="b">
        <v>1</v>
      </c>
      <c r="W90" s="8" t="b">
        <v>1</v>
      </c>
      <c r="X90" s="8"/>
    </row>
    <row r="91" spans="1:24" x14ac:dyDescent="0.3">
      <c r="A91" s="8">
        <f t="shared" si="8"/>
        <v>90</v>
      </c>
      <c r="B91" s="8">
        <v>13</v>
      </c>
      <c r="C91" s="8" t="str">
        <f t="array" ref="C91">GetValue("Tables",B91,"Name")</f>
        <v>Columns</v>
      </c>
      <c r="D91" s="8">
        <f t="shared" si="9"/>
        <v>15</v>
      </c>
      <c r="E91" s="8">
        <v>4</v>
      </c>
      <c r="F91" s="8" t="str">
        <f t="array" ref="F91">GetValue("Domains",E91,"Name")</f>
        <v>SmallInteger</v>
      </c>
      <c r="G91" s="8"/>
      <c r="H91" s="8" t="str">
        <f t="array" ref="H91">GetValue("Tables",G91,"Name")</f>
        <v/>
      </c>
      <c r="I91" s="8" t="s">
        <v>98</v>
      </c>
      <c r="J91" s="8" t="s">
        <v>228</v>
      </c>
      <c r="K91" s="8" t="s">
        <v>228</v>
      </c>
      <c r="L91" s="8" t="s">
        <v>228</v>
      </c>
      <c r="M91" s="8"/>
      <c r="N91" s="8"/>
      <c r="O91" s="15">
        <v>1</v>
      </c>
      <c r="P91" s="15"/>
      <c r="Q91" s="8" t="b">
        <v>0</v>
      </c>
      <c r="R91" s="8" t="b">
        <v>0</v>
      </c>
      <c r="S91" s="8" t="b">
        <v>1</v>
      </c>
      <c r="T91" s="8"/>
      <c r="U91" s="8" t="b">
        <v>0</v>
      </c>
      <c r="V91" s="8" t="b">
        <v>1</v>
      </c>
      <c r="W91" s="8" t="b">
        <v>1</v>
      </c>
      <c r="X91" s="8"/>
    </row>
    <row r="92" spans="1:24" x14ac:dyDescent="0.3">
      <c r="A92" s="8">
        <f t="shared" si="8"/>
        <v>91</v>
      </c>
      <c r="B92" s="8">
        <v>13</v>
      </c>
      <c r="C92" s="8" t="str">
        <f t="array" ref="C92">GetValue("Tables",B92,"Name")</f>
        <v>Columns</v>
      </c>
      <c r="D92" s="8">
        <f t="shared" si="9"/>
        <v>20</v>
      </c>
      <c r="E92" s="8">
        <v>1</v>
      </c>
      <c r="F92" s="8" t="str">
        <f t="array" ref="F92">GetValue("Domains",E92,"Name")</f>
        <v>BigInteger</v>
      </c>
      <c r="G92" s="8">
        <v>4</v>
      </c>
      <c r="H92" s="8" t="str">
        <f t="array" ref="H92">GetValue("Tables",G92,"Name")</f>
        <v>Domains</v>
      </c>
      <c r="I92" s="8" t="s">
        <v>164</v>
      </c>
      <c r="J92" s="8" t="s">
        <v>270</v>
      </c>
      <c r="K92" s="8" t="s">
        <v>271</v>
      </c>
      <c r="L92" s="8" t="s">
        <v>271</v>
      </c>
      <c r="M92" s="8"/>
      <c r="N92" s="8"/>
      <c r="O92" s="15">
        <v>1</v>
      </c>
      <c r="P92" s="15"/>
      <c r="Q92" s="8" t="b">
        <v>0</v>
      </c>
      <c r="R92" s="8" t="b">
        <v>0</v>
      </c>
      <c r="S92" s="8" t="b">
        <v>1</v>
      </c>
      <c r="T92" s="8"/>
      <c r="U92" s="8" t="b">
        <v>1</v>
      </c>
      <c r="V92" s="8" t="b">
        <v>1</v>
      </c>
      <c r="W92" s="8" t="b">
        <v>1</v>
      </c>
      <c r="X92" s="8"/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f t="shared" si="9"/>
        <v>25</v>
      </c>
      <c r="E93" s="8">
        <v>1</v>
      </c>
      <c r="F93" s="8" t="str">
        <f t="array" ref="F93">GetValue("Domains",E93,"Name")</f>
        <v>BigInteger</v>
      </c>
      <c r="G93" s="8">
        <v>11</v>
      </c>
      <c r="H93" s="8" t="str">
        <f t="array" ref="H93">GetValue("Tables",G93,"Name")</f>
        <v>Tables</v>
      </c>
      <c r="I93" s="8" t="s">
        <v>165</v>
      </c>
      <c r="J93" s="8" t="s">
        <v>272</v>
      </c>
      <c r="K93" s="8" t="s">
        <v>273</v>
      </c>
      <c r="L93" s="8" t="s">
        <v>273</v>
      </c>
      <c r="M93" s="8"/>
      <c r="N93" s="8"/>
      <c r="O93" s="15">
        <v>1</v>
      </c>
      <c r="P93" s="15"/>
      <c r="Q93" s="8" t="b">
        <v>0</v>
      </c>
      <c r="R93" s="8" t="b">
        <v>0</v>
      </c>
      <c r="S93" s="8" t="b">
        <v>0</v>
      </c>
      <c r="T93" s="8"/>
      <c r="U93" s="8" t="b">
        <v>1</v>
      </c>
      <c r="V93" s="8" t="b">
        <v>1</v>
      </c>
      <c r="W93" s="8" t="b">
        <v>1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si="9"/>
        <v>30</v>
      </c>
      <c r="E94" s="8">
        <v>9</v>
      </c>
      <c r="F94" s="8" t="str">
        <f t="array" ref="F94">GetValue("Domains",E94,"Name")</f>
        <v>Varchar(25)</v>
      </c>
      <c r="G94" s="8"/>
      <c r="H94" s="8" t="str">
        <f t="array" ref="H94">GetValue("Tables",G94,"Name")</f>
        <v/>
      </c>
      <c r="I94" s="8" t="s">
        <v>1</v>
      </c>
      <c r="J94" s="8" t="s">
        <v>274</v>
      </c>
      <c r="K94" s="8" t="s">
        <v>178</v>
      </c>
      <c r="L94" s="8" t="s">
        <v>178</v>
      </c>
      <c r="M94" s="8"/>
      <c r="N94" s="8"/>
      <c r="O94" s="15" t="s">
        <v>36</v>
      </c>
      <c r="P94" s="15"/>
      <c r="Q94" s="8" t="b">
        <v>0</v>
      </c>
      <c r="R94" s="8"/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 t="b">
        <v>0</v>
      </c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35</v>
      </c>
      <c r="E95" s="8">
        <v>10</v>
      </c>
      <c r="F95" s="8" t="str">
        <f t="array" ref="F95">GetValue("Domains",E95,"Name")</f>
        <v>Varchar(50)</v>
      </c>
      <c r="G95" s="8"/>
      <c r="H95" s="8" t="str">
        <f t="array" ref="H95">GetValue("Tables",G95,"Name")</f>
        <v/>
      </c>
      <c r="I95" s="8" t="s">
        <v>91</v>
      </c>
      <c r="J95" s="8" t="s">
        <v>275</v>
      </c>
      <c r="K95" s="8" t="s">
        <v>219</v>
      </c>
      <c r="L95" s="8" t="s">
        <v>219</v>
      </c>
      <c r="M95" s="8"/>
      <c r="N95" s="8"/>
      <c r="O95" s="15" t="s">
        <v>36</v>
      </c>
      <c r="P95" s="15"/>
      <c r="Q95" s="8" t="b">
        <v>0</v>
      </c>
      <c r="R95" s="8"/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 t="b">
        <v>0</v>
      </c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40</v>
      </c>
      <c r="E96" s="8">
        <v>9</v>
      </c>
      <c r="F96" s="8" t="str">
        <f t="array" ref="F96">GetValue("Domains",E96,"Name")</f>
        <v>Varchar(25)</v>
      </c>
      <c r="G96" s="8"/>
      <c r="H96" s="8" t="str">
        <f t="array" ref="H96">GetValue("Tables",G96,"Name")</f>
        <v/>
      </c>
      <c r="I96" s="8" t="s">
        <v>166</v>
      </c>
      <c r="J96" s="8" t="s">
        <v>276</v>
      </c>
      <c r="K96" s="8" t="s">
        <v>277</v>
      </c>
      <c r="L96" s="8" t="s">
        <v>277</v>
      </c>
      <c r="M96" s="8"/>
      <c r="N96" s="8"/>
      <c r="O96" s="15" t="s">
        <v>36</v>
      </c>
      <c r="P96" s="15"/>
      <c r="Q96" s="8" t="b">
        <v>0</v>
      </c>
      <c r="R96" s="8"/>
      <c r="S96" s="8" t="b">
        <v>1</v>
      </c>
      <c r="T96" s="8"/>
      <c r="U96" s="8" t="b">
        <v>0</v>
      </c>
      <c r="V96" s="8" t="b">
        <v>1</v>
      </c>
      <c r="W96" s="8" t="b">
        <v>1</v>
      </c>
      <c r="X96" s="8" t="b">
        <v>0</v>
      </c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45</v>
      </c>
      <c r="E97" s="8">
        <v>9</v>
      </c>
      <c r="F97" s="8" t="str">
        <f t="array" ref="F97">GetValue("Domains",E97,"Name")</f>
        <v>Varchar(25)</v>
      </c>
      <c r="G97" s="8"/>
      <c r="H97" s="8" t="str">
        <f t="array" ref="H97">GetValue("Tables",G97,"Name")</f>
        <v/>
      </c>
      <c r="I97" s="8" t="s">
        <v>99</v>
      </c>
      <c r="J97" s="8" t="s">
        <v>278</v>
      </c>
      <c r="K97" s="8" t="s">
        <v>279</v>
      </c>
      <c r="L97" s="8" t="s">
        <v>279</v>
      </c>
      <c r="M97" s="8"/>
      <c r="N97" s="8"/>
      <c r="O97" s="15" t="s">
        <v>36</v>
      </c>
      <c r="P97" s="15"/>
      <c r="Q97" s="8" t="b">
        <v>0</v>
      </c>
      <c r="R97" s="8"/>
      <c r="S97" s="8" t="b">
        <v>1</v>
      </c>
      <c r="T97" s="8"/>
      <c r="U97" s="8" t="b">
        <v>0</v>
      </c>
      <c r="V97" s="8" t="b">
        <v>1</v>
      </c>
      <c r="W97" s="8" t="b">
        <v>1</v>
      </c>
      <c r="X97" s="8" t="b">
        <v>0</v>
      </c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50</v>
      </c>
      <c r="E98" s="8">
        <v>12</v>
      </c>
      <c r="F98" s="8" t="str">
        <f t="array" ref="F98">GetValue("Domains",E98,"Name")</f>
        <v>Varchar(MAX)</v>
      </c>
      <c r="G98" s="8"/>
      <c r="H98" s="8" t="str">
        <f t="array" ref="H98">GetValue("Tables",G98,"Name")</f>
        <v/>
      </c>
      <c r="I98" s="8" t="s">
        <v>372</v>
      </c>
      <c r="J98" s="8" t="s">
        <v>368</v>
      </c>
      <c r="K98" s="8" t="s">
        <v>368</v>
      </c>
      <c r="L98" s="8" t="s">
        <v>368</v>
      </c>
      <c r="M98" s="8"/>
      <c r="N98" s="8"/>
      <c r="O98" s="15" t="s">
        <v>36</v>
      </c>
      <c r="P98" s="15"/>
      <c r="Q98" s="8" t="b">
        <v>0</v>
      </c>
      <c r="R98" s="8"/>
      <c r="S98" s="8" t="b">
        <v>0</v>
      </c>
      <c r="T98" s="8"/>
      <c r="U98" s="8" t="b">
        <v>0</v>
      </c>
      <c r="V98" s="8" t="b">
        <v>1</v>
      </c>
      <c r="W98" s="8" t="b">
        <v>0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55</v>
      </c>
      <c r="E99" s="8">
        <v>17</v>
      </c>
      <c r="F99" s="8" t="str">
        <f t="array" ref="F99">GetValue("Domains",E99,"Name")</f>
        <v>Variant</v>
      </c>
      <c r="G99" s="8"/>
      <c r="H99" s="8" t="str">
        <f t="array" ref="H99">GetValue("Tables",G99,"Name")</f>
        <v/>
      </c>
      <c r="I99" s="8" t="s">
        <v>67</v>
      </c>
      <c r="J99" s="8" t="s">
        <v>280</v>
      </c>
      <c r="K99" s="8" t="s">
        <v>281</v>
      </c>
      <c r="L99" s="8" t="s">
        <v>281</v>
      </c>
      <c r="M99" s="8"/>
      <c r="N99" s="8"/>
      <c r="O99" s="15" t="s">
        <v>36</v>
      </c>
      <c r="P99" s="15"/>
      <c r="Q99" s="8"/>
      <c r="R99" s="8"/>
      <c r="S99" s="8" t="b">
        <v>0</v>
      </c>
      <c r="T99" s="8"/>
      <c r="U99" s="8"/>
      <c r="V99" s="8" t="b">
        <v>1</v>
      </c>
      <c r="W99" s="8" t="b">
        <v>1</v>
      </c>
      <c r="X99" s="8"/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60</v>
      </c>
      <c r="E100" s="8">
        <v>17</v>
      </c>
      <c r="F100" s="8" t="str">
        <f t="array" ref="F100">GetValue("Domains",E100,"Name")</f>
        <v>Variant</v>
      </c>
      <c r="G100" s="8"/>
      <c r="H100" s="8" t="str">
        <f t="array" ref="H100">GetValue("Tables",G100,"Name")</f>
        <v/>
      </c>
      <c r="I100" s="8" t="s">
        <v>26</v>
      </c>
      <c r="J100" s="8" t="s">
        <v>282</v>
      </c>
      <c r="K100" s="8" t="s">
        <v>182</v>
      </c>
      <c r="L100" s="8" t="s">
        <v>182</v>
      </c>
      <c r="M100" s="8"/>
      <c r="N100" s="8"/>
      <c r="O100" s="15" t="s">
        <v>36</v>
      </c>
      <c r="P100" s="15"/>
      <c r="Q100" s="8"/>
      <c r="R100" s="8"/>
      <c r="S100" s="8" t="b">
        <v>0</v>
      </c>
      <c r="T100" s="8"/>
      <c r="U100" s="8"/>
      <c r="V100" s="8" t="b">
        <v>1</v>
      </c>
      <c r="W100" s="8" t="b">
        <v>1</v>
      </c>
      <c r="X100" s="8"/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65</v>
      </c>
      <c r="E101" s="8">
        <v>17</v>
      </c>
      <c r="F101" s="8" t="str">
        <f t="array" ref="F101">GetValue("Domains",E101,"Name")</f>
        <v>Variant</v>
      </c>
      <c r="G101" s="8"/>
      <c r="H101" s="8" t="str">
        <f t="array" ref="H101">GetValue("Tables",G101,"Name")</f>
        <v/>
      </c>
      <c r="I101" s="8" t="s">
        <v>27</v>
      </c>
      <c r="J101" s="8" t="s">
        <v>283</v>
      </c>
      <c r="K101" s="8" t="s">
        <v>184</v>
      </c>
      <c r="L101" s="8" t="s">
        <v>184</v>
      </c>
      <c r="M101" s="8"/>
      <c r="N101" s="8"/>
      <c r="O101" s="15" t="s">
        <v>36</v>
      </c>
      <c r="P101" s="15"/>
      <c r="Q101" s="8"/>
      <c r="R101" s="8"/>
      <c r="S101" s="8" t="b">
        <v>0</v>
      </c>
      <c r="T101" s="8"/>
      <c r="U101" s="8"/>
      <c r="V101" s="8" t="b">
        <v>1</v>
      </c>
      <c r="W101" s="8" t="b">
        <v>1</v>
      </c>
      <c r="X101" s="8"/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70</v>
      </c>
      <c r="E102" s="8">
        <v>6</v>
      </c>
      <c r="F102" s="8" t="str">
        <f t="array" ref="F102">GetValue("Domains",E102,"Name")</f>
        <v>Boolean</v>
      </c>
      <c r="G102" s="8"/>
      <c r="H102" s="8" t="str">
        <f t="array" ref="H102">GetValue("Tables",G102,"Name")</f>
        <v/>
      </c>
      <c r="I102" s="8" t="s">
        <v>167</v>
      </c>
      <c r="J102" s="8" t="s">
        <v>284</v>
      </c>
      <c r="K102" s="8" t="s">
        <v>285</v>
      </c>
      <c r="L102" s="8" t="s">
        <v>285</v>
      </c>
      <c r="M102" s="8"/>
      <c r="N102" s="8"/>
      <c r="O102" s="15" t="s">
        <v>36</v>
      </c>
      <c r="P102" s="15"/>
      <c r="Q102" s="8"/>
      <c r="R102" s="8"/>
      <c r="S102" s="8" t="b">
        <v>0</v>
      </c>
      <c r="T102" s="8"/>
      <c r="U102" s="8"/>
      <c r="V102" s="8" t="b">
        <v>1</v>
      </c>
      <c r="W102" s="8" t="b">
        <v>1</v>
      </c>
      <c r="X102" s="8"/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75</v>
      </c>
      <c r="E103" s="8">
        <v>6</v>
      </c>
      <c r="F103" s="8" t="str">
        <f t="array" ref="F103">GetValue("Domains",E103,"Name")</f>
        <v>Boolean</v>
      </c>
      <c r="G103" s="8"/>
      <c r="H103" s="8" t="str">
        <f t="array" ref="H103">GetValue("Tables",G103,"Name")</f>
        <v/>
      </c>
      <c r="I103" s="8" t="s">
        <v>168</v>
      </c>
      <c r="J103" s="8" t="s">
        <v>286</v>
      </c>
      <c r="K103" s="8" t="s">
        <v>287</v>
      </c>
      <c r="L103" s="8" t="s">
        <v>287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 t="b">
        <v>1</v>
      </c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80</v>
      </c>
      <c r="E104" s="8">
        <v>6</v>
      </c>
      <c r="F104" s="8" t="str">
        <f t="array" ref="F104">GetValue("Domains",E104,"Name")</f>
        <v>Boolean</v>
      </c>
      <c r="G104" s="8"/>
      <c r="H104" s="8" t="str">
        <f t="array" ref="H104">GetValue("Tables",G104,"Name")</f>
        <v/>
      </c>
      <c r="I104" s="8" t="s">
        <v>169</v>
      </c>
      <c r="J104" s="8" t="s">
        <v>288</v>
      </c>
      <c r="K104" s="8" t="s">
        <v>289</v>
      </c>
      <c r="L104" s="8" t="s">
        <v>289</v>
      </c>
      <c r="M104" s="8"/>
      <c r="N104" s="8"/>
      <c r="O104" s="15" t="s">
        <v>36</v>
      </c>
      <c r="P104" s="15"/>
      <c r="Q104" s="8"/>
      <c r="R104" s="8"/>
      <c r="S104" s="8" t="b">
        <v>1</v>
      </c>
      <c r="T104" s="8"/>
      <c r="U104" s="8" t="b">
        <v>1</v>
      </c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85</v>
      </c>
      <c r="E105" s="8">
        <v>6</v>
      </c>
      <c r="F105" s="8" t="str">
        <f t="array" ref="F105">GetValue("Domains",E105,"Name")</f>
        <v>Boolean</v>
      </c>
      <c r="G105" s="8"/>
      <c r="H105" s="8" t="str">
        <f t="array" ref="H105">GetValue("Tables",G105,"Name")</f>
        <v/>
      </c>
      <c r="I105" s="8" t="s">
        <v>170</v>
      </c>
      <c r="J105" s="8" t="s">
        <v>290</v>
      </c>
      <c r="K105" s="8" t="s">
        <v>291</v>
      </c>
      <c r="L105" s="8" t="s">
        <v>291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 t="b">
        <v>1</v>
      </c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90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171</v>
      </c>
      <c r="J106" s="8" t="s">
        <v>292</v>
      </c>
      <c r="K106" s="8" t="s">
        <v>293</v>
      </c>
      <c r="L106" s="8" t="s">
        <v>293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 t="b">
        <v>1</v>
      </c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95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172</v>
      </c>
      <c r="J107" s="8" t="s">
        <v>294</v>
      </c>
      <c r="K107" s="8" t="s">
        <v>295</v>
      </c>
      <c r="L107" s="8" t="s">
        <v>295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100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173</v>
      </c>
      <c r="J108" s="8" t="s">
        <v>296</v>
      </c>
      <c r="K108" s="8" t="s">
        <v>297</v>
      </c>
      <c r="L108" s="8" t="s">
        <v>297</v>
      </c>
      <c r="M108" s="8"/>
      <c r="N108" s="8"/>
      <c r="O108" s="15" t="s">
        <v>36</v>
      </c>
      <c r="P108" s="15"/>
      <c r="Q108" s="8"/>
      <c r="R108" s="8"/>
      <c r="S108" s="8" t="b">
        <v>0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105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174</v>
      </c>
      <c r="J109" s="8" t="s">
        <v>298</v>
      </c>
      <c r="K109" s="8" t="s">
        <v>299</v>
      </c>
      <c r="L109" s="8" t="s">
        <v>299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10">
        <f t="shared" si="8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/>
      <c r="H110" s="10" t="str">
        <f t="array" ref="H110">GetValue("Tables",G110,"Name")</f>
        <v/>
      </c>
      <c r="I110" s="10" t="s">
        <v>0</v>
      </c>
      <c r="J110" s="10" t="s">
        <v>300</v>
      </c>
      <c r="K110" s="10" t="s">
        <v>176</v>
      </c>
      <c r="L110" s="10" t="s">
        <v>176</v>
      </c>
      <c r="M110" s="10"/>
      <c r="N110" s="10"/>
      <c r="O110" s="17">
        <v>1</v>
      </c>
      <c r="P110" s="17"/>
      <c r="Q110" s="10" t="b">
        <v>1</v>
      </c>
      <c r="R110" s="10" t="b">
        <v>0</v>
      </c>
      <c r="S110" s="10" t="b">
        <v>1</v>
      </c>
      <c r="T110" s="10"/>
      <c r="U110" s="10" t="b">
        <v>1</v>
      </c>
      <c r="V110" s="10" t="b">
        <v>0</v>
      </c>
      <c r="W110" s="10" t="b">
        <v>0</v>
      </c>
      <c r="X110" s="10"/>
    </row>
    <row r="111" spans="1:24" x14ac:dyDescent="0.3">
      <c r="A111" s="10">
        <f t="shared" si="8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>
        <v>9</v>
      </c>
      <c r="H111" s="10" t="str">
        <f t="array" ref="H111">GetValue("Tables",G111,"Name")</f>
        <v>Databases</v>
      </c>
      <c r="I111" s="10" t="s">
        <v>141</v>
      </c>
      <c r="J111" s="10" t="s">
        <v>301</v>
      </c>
      <c r="K111" s="10" t="s">
        <v>262</v>
      </c>
      <c r="L111" s="10" t="s">
        <v>262</v>
      </c>
      <c r="M111" s="10"/>
      <c r="N111" s="10"/>
      <c r="O111" s="17">
        <v>1</v>
      </c>
      <c r="P111" s="16"/>
      <c r="Q111" s="10" t="b">
        <v>0</v>
      </c>
      <c r="R111" s="10" t="b">
        <v>0</v>
      </c>
      <c r="S111" s="10" t="b">
        <v>1</v>
      </c>
      <c r="T111" s="10"/>
      <c r="U111" s="10" t="b">
        <v>0</v>
      </c>
      <c r="V111" s="10" t="b">
        <v>0</v>
      </c>
      <c r="W111" s="10" t="b">
        <v>0</v>
      </c>
      <c r="X111" s="10"/>
    </row>
    <row r="112" spans="1:24" x14ac:dyDescent="0.3">
      <c r="A112" s="10">
        <f t="shared" si="8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>
        <v>11</v>
      </c>
      <c r="H112" s="10" t="str">
        <f t="array" ref="H112">GetValue("Tables",G112,"Name")</f>
        <v>Tables</v>
      </c>
      <c r="I112" s="10" t="s">
        <v>163</v>
      </c>
      <c r="J112" s="10" t="s">
        <v>302</v>
      </c>
      <c r="K112" s="10" t="s">
        <v>269</v>
      </c>
      <c r="L112" s="10" t="s">
        <v>269</v>
      </c>
      <c r="M112" s="10"/>
      <c r="N112" s="10"/>
      <c r="O112" s="17">
        <v>1</v>
      </c>
      <c r="P112" s="16"/>
      <c r="Q112" s="10" t="b">
        <v>0</v>
      </c>
      <c r="R112" s="10" t="b">
        <v>0</v>
      </c>
      <c r="S112" s="10" t="b">
        <v>1</v>
      </c>
      <c r="T112" s="10"/>
      <c r="U112" s="10" t="b">
        <v>1</v>
      </c>
      <c r="V112" s="10" t="b">
        <v>1</v>
      </c>
      <c r="W112" s="10" t="b">
        <v>1</v>
      </c>
      <c r="X112" s="10"/>
    </row>
    <row r="113" spans="1:24" x14ac:dyDescent="0.3">
      <c r="A113" s="10">
        <f t="shared" si="8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/>
      <c r="H113" s="10" t="str">
        <f t="array" ref="H113">GetValue("Tables",G113,"Name")</f>
        <v/>
      </c>
      <c r="I113" s="10" t="s">
        <v>1</v>
      </c>
      <c r="J113" s="10" t="s">
        <v>303</v>
      </c>
      <c r="K113" s="10" t="s">
        <v>178</v>
      </c>
      <c r="L113" s="10" t="s">
        <v>178</v>
      </c>
      <c r="M113" s="10"/>
      <c r="N113" s="10"/>
      <c r="O113" s="17" t="s">
        <v>36</v>
      </c>
      <c r="P113" s="16"/>
      <c r="Q113" s="10" t="b">
        <v>0</v>
      </c>
      <c r="R113" s="10"/>
      <c r="S113" s="10" t="b">
        <v>1</v>
      </c>
      <c r="T113" s="10" t="b">
        <v>1</v>
      </c>
      <c r="U113" s="10" t="b">
        <v>1</v>
      </c>
      <c r="V113" s="10" t="b">
        <v>1</v>
      </c>
      <c r="W113" s="10" t="b">
        <v>1</v>
      </c>
      <c r="X113" s="10" t="b">
        <v>0</v>
      </c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/>
      <c r="H114" s="10" t="str">
        <f t="array" ref="H114">GetValue("Tables",G114,"Name")</f>
        <v/>
      </c>
      <c r="I114" s="10" t="s">
        <v>304</v>
      </c>
      <c r="J114" s="10" t="s">
        <v>305</v>
      </c>
      <c r="K114" s="10" t="s">
        <v>306</v>
      </c>
      <c r="L114" s="10" t="s">
        <v>306</v>
      </c>
      <c r="M114" s="10"/>
      <c r="N114" s="10"/>
      <c r="O114" s="17" t="s">
        <v>36</v>
      </c>
      <c r="P114" s="16"/>
      <c r="Q114" s="10"/>
      <c r="R114" s="10"/>
      <c r="S114" s="10" t="b">
        <v>1</v>
      </c>
      <c r="T114" s="10"/>
      <c r="U114" s="10" t="b">
        <v>1</v>
      </c>
      <c r="V114" s="10" t="b">
        <v>1</v>
      </c>
      <c r="W114" s="10" t="b">
        <v>1</v>
      </c>
      <c r="X114" s="10"/>
    </row>
    <row r="115" spans="1:24" x14ac:dyDescent="0.3">
      <c r="A115" s="8">
        <f t="shared" si="8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/>
      <c r="H115" s="8" t="str">
        <f t="array" ref="H115">GetValue("Tables",G115,"Name")</f>
        <v/>
      </c>
      <c r="I115" s="8" t="s">
        <v>0</v>
      </c>
      <c r="J115" s="8" t="s">
        <v>307</v>
      </c>
      <c r="K115" s="8" t="s">
        <v>176</v>
      </c>
      <c r="L115" s="8" t="s">
        <v>176</v>
      </c>
      <c r="M115" s="8"/>
      <c r="N115" s="8"/>
      <c r="O115" s="15">
        <v>1</v>
      </c>
      <c r="P115" s="15"/>
      <c r="Q115" s="8" t="b">
        <v>1</v>
      </c>
      <c r="R115" s="8" t="b">
        <v>0</v>
      </c>
      <c r="S115" s="8" t="b">
        <v>1</v>
      </c>
      <c r="T115" s="8"/>
      <c r="U115" s="8" t="b">
        <v>1</v>
      </c>
      <c r="V115" s="8" t="b">
        <v>0</v>
      </c>
      <c r="W115" s="8" t="b">
        <v>0</v>
      </c>
      <c r="X115" s="8"/>
    </row>
    <row r="116" spans="1:24" x14ac:dyDescent="0.3">
      <c r="A116" s="8">
        <f t="shared" si="8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>
        <v>14</v>
      </c>
      <c r="H116" s="8" t="str">
        <f t="array" ref="H116">GetValue("Tables",G116,"Name")</f>
        <v>Indexes</v>
      </c>
      <c r="I116" s="8" t="s">
        <v>308</v>
      </c>
      <c r="J116" s="8" t="s">
        <v>309</v>
      </c>
      <c r="K116" s="8" t="s">
        <v>310</v>
      </c>
      <c r="L116" s="8" t="s">
        <v>310</v>
      </c>
      <c r="M116" s="8"/>
      <c r="N116" s="8"/>
      <c r="O116" s="15">
        <v>1</v>
      </c>
      <c r="P116" s="15"/>
      <c r="Q116" s="8" t="b">
        <v>0</v>
      </c>
      <c r="R116" s="8" t="b">
        <v>0</v>
      </c>
      <c r="S116" s="8" t="b">
        <v>1</v>
      </c>
      <c r="T116" s="8"/>
      <c r="U116" s="8" t="b">
        <v>1</v>
      </c>
      <c r="V116" s="8" t="b">
        <v>1</v>
      </c>
      <c r="W116" s="8" t="b">
        <v>1</v>
      </c>
      <c r="X116" s="8"/>
    </row>
    <row r="117" spans="1:24" x14ac:dyDescent="0.3">
      <c r="A117" s="8">
        <f t="shared" si="8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/>
      <c r="H117" s="8" t="str">
        <f t="array" ref="H117">GetValue("Tables",G117,"Name")</f>
        <v/>
      </c>
      <c r="I117" s="8" t="s">
        <v>98</v>
      </c>
      <c r="J117" s="8" t="s">
        <v>311</v>
      </c>
      <c r="K117" s="8" t="s">
        <v>228</v>
      </c>
      <c r="L117" s="8" t="s">
        <v>228</v>
      </c>
      <c r="M117" s="8"/>
      <c r="N117" s="8"/>
      <c r="O117" s="15">
        <v>1</v>
      </c>
      <c r="P117" s="15"/>
      <c r="Q117" s="8" t="b">
        <v>0</v>
      </c>
      <c r="R117" s="8" t="b">
        <v>0</v>
      </c>
      <c r="S117" s="8" t="b">
        <v>1</v>
      </c>
      <c r="T117" s="8"/>
      <c r="U117" s="8" t="b">
        <v>0</v>
      </c>
      <c r="V117" s="8" t="b">
        <v>1</v>
      </c>
      <c r="W117" s="8" t="b">
        <v>1</v>
      </c>
      <c r="X117" s="8"/>
    </row>
    <row r="118" spans="1:24" x14ac:dyDescent="0.3">
      <c r="A118" s="8">
        <f t="shared" si="8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>
        <v>13</v>
      </c>
      <c r="H118" s="8" t="str">
        <f t="array" ref="H118">GetValue("Tables",G118,"Name")</f>
        <v>Columns</v>
      </c>
      <c r="I118" s="8" t="s">
        <v>312</v>
      </c>
      <c r="J118" s="8" t="s">
        <v>313</v>
      </c>
      <c r="K118" s="8" t="s">
        <v>314</v>
      </c>
      <c r="L118" s="8" t="s">
        <v>314</v>
      </c>
      <c r="M118" s="8"/>
      <c r="N118" s="8"/>
      <c r="O118" s="15">
        <v>1</v>
      </c>
      <c r="P118" s="15"/>
      <c r="Q118" s="8" t="b">
        <v>0</v>
      </c>
      <c r="R118" s="8" t="b">
        <v>0</v>
      </c>
      <c r="S118" s="8" t="b">
        <v>1</v>
      </c>
      <c r="T118" s="8"/>
      <c r="U118" s="8" t="b">
        <v>1</v>
      </c>
      <c r="V118" s="8" t="b">
        <v>1</v>
      </c>
      <c r="W118" s="8" t="b">
        <v>1</v>
      </c>
      <c r="X118" s="8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/>
      <c r="H119" s="8" t="str">
        <f t="array" ref="H119">GetValue("Tables",G119,"Name")</f>
        <v/>
      </c>
      <c r="I119" s="8" t="s">
        <v>315</v>
      </c>
      <c r="J119" s="8" t="s">
        <v>316</v>
      </c>
      <c r="K119" s="8" t="s">
        <v>317</v>
      </c>
      <c r="L119" s="8" t="s">
        <v>317</v>
      </c>
      <c r="M119" s="8"/>
      <c r="N119" s="8"/>
      <c r="O119" s="15" t="s">
        <v>36</v>
      </c>
      <c r="P119" s="15"/>
      <c r="Q119" s="8"/>
      <c r="R119" s="8"/>
      <c r="S119" s="8" t="b">
        <v>1</v>
      </c>
      <c r="T119" s="8"/>
      <c r="U119" s="8" t="b">
        <v>1</v>
      </c>
      <c r="V119" s="8" t="b">
        <v>1</v>
      </c>
      <c r="W119" s="8" t="b">
        <v>1</v>
      </c>
      <c r="X119" s="8"/>
    </row>
    <row r="120" spans="1:24" x14ac:dyDescent="0.3">
      <c r="A120" s="10">
        <f t="shared" si="8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/>
      <c r="H120" s="10" t="str">
        <f t="array" ref="H120">GetValue("Tables",G120,"Name")</f>
        <v/>
      </c>
      <c r="I120" s="10" t="s">
        <v>0</v>
      </c>
      <c r="J120" s="10" t="s">
        <v>425</v>
      </c>
      <c r="K120" s="10" t="s">
        <v>176</v>
      </c>
      <c r="L120" s="10" t="s">
        <v>176</v>
      </c>
      <c r="M120" s="10"/>
      <c r="N120" s="10"/>
      <c r="O120" s="17">
        <v>1</v>
      </c>
      <c r="P120" s="17"/>
      <c r="Q120" s="10" t="b">
        <v>1</v>
      </c>
      <c r="R120" s="10" t="b">
        <v>0</v>
      </c>
      <c r="S120" s="10" t="b">
        <v>1</v>
      </c>
      <c r="T120" s="10"/>
      <c r="U120" s="10" t="b">
        <v>1</v>
      </c>
      <c r="V120" s="10" t="b">
        <v>0</v>
      </c>
      <c r="W120" s="10" t="b">
        <v>0</v>
      </c>
      <c r="X120" s="10"/>
    </row>
    <row r="121" spans="1:24" x14ac:dyDescent="0.3">
      <c r="A121" s="10">
        <f t="shared" si="8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>
        <v>5</v>
      </c>
      <c r="H121" s="10" t="str">
        <f t="array" ref="H121">GetValue("Tables",G121,"Name")</f>
        <v>Systems</v>
      </c>
      <c r="I121" s="10" t="s">
        <v>97</v>
      </c>
      <c r="J121" s="10" t="s">
        <v>336</v>
      </c>
      <c r="K121" s="10" t="s">
        <v>226</v>
      </c>
      <c r="L121" s="10" t="s">
        <v>226</v>
      </c>
      <c r="M121" s="10"/>
      <c r="N121" s="10"/>
      <c r="O121" s="17">
        <v>1</v>
      </c>
      <c r="P121" s="16"/>
      <c r="Q121" s="10" t="b">
        <v>0</v>
      </c>
      <c r="R121" s="10" t="b">
        <v>0</v>
      </c>
      <c r="S121" s="10" t="b">
        <v>1</v>
      </c>
      <c r="T121" s="10"/>
      <c r="U121" s="10" t="b">
        <v>1</v>
      </c>
      <c r="V121" s="10" t="b">
        <v>0</v>
      </c>
      <c r="W121" s="10" t="b">
        <v>1</v>
      </c>
      <c r="X121" s="10"/>
    </row>
    <row r="122" spans="1:24" x14ac:dyDescent="0.3">
      <c r="A122" s="10">
        <f t="shared" si="8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>
        <v>7</v>
      </c>
      <c r="H122" s="10" t="str">
        <f t="array" ref="H122">GetValue("Tables",G122,"Name")</f>
        <v>Users</v>
      </c>
      <c r="I122" s="10" t="s">
        <v>131</v>
      </c>
      <c r="J122" s="10" t="s">
        <v>237</v>
      </c>
      <c r="K122" s="10" t="s">
        <v>246</v>
      </c>
      <c r="L122" s="10" t="s">
        <v>246</v>
      </c>
      <c r="M122" s="10"/>
      <c r="N122" s="10"/>
      <c r="O122" s="17">
        <v>1</v>
      </c>
      <c r="P122" s="16"/>
      <c r="Q122" s="10"/>
      <c r="R122" s="10"/>
      <c r="S122" s="10" t="b">
        <v>1</v>
      </c>
      <c r="T122" s="10"/>
      <c r="U122" s="10" t="b">
        <v>1</v>
      </c>
      <c r="V122" s="10" t="b">
        <v>0</v>
      </c>
      <c r="W122" s="10" t="b">
        <v>1</v>
      </c>
      <c r="X122" s="10"/>
    </row>
    <row r="123" spans="1:24" x14ac:dyDescent="0.3">
      <c r="A123" s="10">
        <f t="shared" si="8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/>
      <c r="H123" s="10" t="str">
        <f t="array" ref="H123">GetValue("Tables",G123,"Name")</f>
        <v/>
      </c>
      <c r="I123" s="10" t="s">
        <v>426</v>
      </c>
      <c r="J123" s="10" t="s">
        <v>428</v>
      </c>
      <c r="K123" s="10" t="s">
        <v>427</v>
      </c>
      <c r="L123" s="10" t="s">
        <v>427</v>
      </c>
      <c r="M123" s="10"/>
      <c r="N123" s="10"/>
      <c r="O123" s="17">
        <v>1</v>
      </c>
      <c r="P123" s="16"/>
      <c r="Q123" s="10" t="b">
        <v>0</v>
      </c>
      <c r="R123" s="10" t="b">
        <v>0</v>
      </c>
      <c r="S123" s="10" t="b">
        <v>1</v>
      </c>
      <c r="T123" s="10" t="b">
        <v>0</v>
      </c>
      <c r="U123" s="10" t="b">
        <v>0</v>
      </c>
      <c r="V123" s="10" t="b">
        <v>0</v>
      </c>
      <c r="W123" s="10" t="b">
        <v>1</v>
      </c>
      <c r="X123" s="10" t="b">
        <v>1</v>
      </c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/>
      <c r="H124" s="10" t="str">
        <f t="array" ref="H124">GetValue("Tables",G124,"Name")</f>
        <v/>
      </c>
      <c r="I124" s="10" t="s">
        <v>447</v>
      </c>
      <c r="J124" s="10" t="s">
        <v>337</v>
      </c>
      <c r="K124" s="10" t="s">
        <v>337</v>
      </c>
      <c r="L124" s="10" t="s">
        <v>337</v>
      </c>
      <c r="M124" s="10"/>
      <c r="N124" s="10"/>
      <c r="O124" s="17" t="s">
        <v>36</v>
      </c>
      <c r="P124" s="16"/>
      <c r="Q124" s="10"/>
      <c r="R124" s="10"/>
      <c r="S124" s="10" t="b">
        <v>1</v>
      </c>
      <c r="T124" s="10"/>
      <c r="U124" s="10" t="b">
        <v>1</v>
      </c>
      <c r="V124" s="10" t="b">
        <v>1</v>
      </c>
      <c r="W124" s="10" t="b">
        <v>0</v>
      </c>
      <c r="X124" s="10"/>
    </row>
    <row r="125" spans="1:24" x14ac:dyDescent="0.3">
      <c r="A125" s="8">
        <f t="shared" si="8"/>
        <v>124</v>
      </c>
      <c r="B125" s="8">
        <v>17</v>
      </c>
      <c r="C125" s="8" t="str">
        <f t="array" ref="C125">GetValue("Tables",B125,"Name")</f>
        <v>Transactions</v>
      </c>
      <c r="D125" s="8">
        <v>5</v>
      </c>
      <c r="E125" s="8">
        <v>1</v>
      </c>
      <c r="F125" s="8" t="str">
        <f t="array" ref="F125">GetValue("Domains",E125,"Name")</f>
        <v>BigInteger</v>
      </c>
      <c r="G125" s="8"/>
      <c r="H125" s="8" t="str">
        <f t="array" ref="H125">GetValue("Tables",G125,"Name")</f>
        <v/>
      </c>
      <c r="I125" s="8" t="s">
        <v>0</v>
      </c>
      <c r="J125" s="8" t="s">
        <v>348</v>
      </c>
      <c r="K125" s="8" t="s">
        <v>176</v>
      </c>
      <c r="L125" s="8" t="s">
        <v>176</v>
      </c>
      <c r="M125" s="8"/>
      <c r="N125" s="8"/>
      <c r="O125" s="14">
        <v>1</v>
      </c>
      <c r="P125" s="14"/>
      <c r="Q125" s="8" t="b">
        <v>1</v>
      </c>
      <c r="R125" s="8" t="b">
        <v>0</v>
      </c>
      <c r="S125" s="8" t="b">
        <v>1</v>
      </c>
      <c r="T125" s="8"/>
      <c r="U125" s="8" t="b">
        <v>1</v>
      </c>
      <c r="V125" s="8" t="b">
        <v>0</v>
      </c>
      <c r="W125" s="8" t="b">
        <v>0</v>
      </c>
      <c r="X125" s="8"/>
    </row>
    <row r="126" spans="1:24" x14ac:dyDescent="0.3">
      <c r="A126" s="8">
        <f t="shared" si="8"/>
        <v>125</v>
      </c>
      <c r="B126" s="8">
        <v>17</v>
      </c>
      <c r="C126" s="8" t="str">
        <f t="array" ref="C126">GetValue("Tables",B126,"Name")</f>
        <v>Transactions</v>
      </c>
      <c r="D126" s="8">
        <f t="shared" ref="D126:D134" si="10">D125+5</f>
        <v>10</v>
      </c>
      <c r="E126" s="8">
        <v>1</v>
      </c>
      <c r="F126" s="8" t="str">
        <f t="array" ref="F126">GetValue("Domains",E126,"Name")</f>
        <v>BigInteger</v>
      </c>
      <c r="G126" s="8">
        <v>16</v>
      </c>
      <c r="H126" s="8" t="str">
        <f t="array" ref="H126">GetValue("Tables",G126,"Name")</f>
        <v>Logins</v>
      </c>
      <c r="I126" s="8" t="s">
        <v>421</v>
      </c>
      <c r="J126" s="8" t="s">
        <v>425</v>
      </c>
      <c r="K126" s="8" t="s">
        <v>349</v>
      </c>
      <c r="L126" s="8" t="s">
        <v>349</v>
      </c>
      <c r="M126" s="8"/>
      <c r="N126" s="8"/>
      <c r="O126" s="14">
        <v>1</v>
      </c>
      <c r="P126" s="15"/>
      <c r="Q126" s="8" t="b">
        <v>0</v>
      </c>
      <c r="R126" s="8" t="b">
        <v>0</v>
      </c>
      <c r="S126" s="8" t="b">
        <v>1</v>
      </c>
      <c r="T126" s="8"/>
      <c r="U126" s="8" t="b">
        <v>1</v>
      </c>
      <c r="V126" s="8" t="b">
        <v>0</v>
      </c>
      <c r="W126" s="8" t="b">
        <v>0</v>
      </c>
      <c r="X126" s="8"/>
    </row>
    <row r="127" spans="1:24" x14ac:dyDescent="0.3">
      <c r="A127" s="8">
        <f t="shared" ref="A127:A134" si="11">ROW(A127)-1</f>
        <v>126</v>
      </c>
      <c r="B127" s="8">
        <v>17</v>
      </c>
      <c r="C127" s="8" t="str">
        <f t="array" ref="C127">GetValue("Tables",B127,"Name")</f>
        <v>Transactions</v>
      </c>
      <c r="D127" s="8">
        <f t="shared" si="10"/>
        <v>15</v>
      </c>
      <c r="E127" s="8">
        <v>6</v>
      </c>
      <c r="F127" s="8" t="str">
        <f t="array" ref="F127">GetValue("Domains",E127,"Name")</f>
        <v>Boolean</v>
      </c>
      <c r="G127" s="8"/>
      <c r="H127" s="8" t="str">
        <f t="array" ref="H127">GetValue("Tables",G127,"Name")</f>
        <v/>
      </c>
      <c r="I127" s="8" t="s">
        <v>347</v>
      </c>
      <c r="J127" s="8" t="s">
        <v>351</v>
      </c>
      <c r="K127" s="8" t="s">
        <v>351</v>
      </c>
      <c r="L127" s="8" t="s">
        <v>351</v>
      </c>
      <c r="M127" s="8"/>
      <c r="N127" s="8"/>
      <c r="O127" s="14" t="s">
        <v>36</v>
      </c>
      <c r="P127" s="15"/>
      <c r="Q127" s="8"/>
      <c r="R127" s="8"/>
      <c r="S127" s="8" t="b">
        <v>0</v>
      </c>
      <c r="T127" s="8" t="b">
        <v>1</v>
      </c>
      <c r="U127" s="8" t="b">
        <v>1</v>
      </c>
      <c r="V127" s="8" t="b">
        <v>1</v>
      </c>
      <c r="W127" s="8" t="b">
        <v>1</v>
      </c>
      <c r="X127" s="8"/>
    </row>
    <row r="128" spans="1:24" x14ac:dyDescent="0.3">
      <c r="A128" s="10">
        <f t="shared" si="11"/>
        <v>127</v>
      </c>
      <c r="B128" s="10">
        <v>18</v>
      </c>
      <c r="C128" s="10" t="str">
        <f t="array" ref="C128">GetValue("Tables",B128,"Name")</f>
        <v>Operations</v>
      </c>
      <c r="D128" s="10">
        <v>5</v>
      </c>
      <c r="E128" s="10">
        <v>1</v>
      </c>
      <c r="F128" s="10" t="str">
        <f t="array" ref="F128">GetValue("Domains",E128,"Name")</f>
        <v>BigInteger</v>
      </c>
      <c r="G128" s="10"/>
      <c r="H128" s="10" t="str">
        <f t="array" ref="H128">GetValue("Tables",G128,"Name")</f>
        <v/>
      </c>
      <c r="I128" s="10" t="s">
        <v>0</v>
      </c>
      <c r="J128" s="10" t="s">
        <v>348</v>
      </c>
      <c r="K128" s="10" t="s">
        <v>176</v>
      </c>
      <c r="L128" s="10" t="s">
        <v>176</v>
      </c>
      <c r="M128" s="10"/>
      <c r="N128" s="10"/>
      <c r="O128" s="17">
        <v>1</v>
      </c>
      <c r="P128" s="17"/>
      <c r="Q128" s="10" t="b">
        <v>1</v>
      </c>
      <c r="R128" s="10" t="b">
        <v>0</v>
      </c>
      <c r="S128" s="10" t="b">
        <v>1</v>
      </c>
      <c r="T128" s="10"/>
      <c r="U128" s="10" t="b">
        <v>1</v>
      </c>
      <c r="V128" s="10" t="b">
        <v>0</v>
      </c>
      <c r="W128" s="10" t="b">
        <v>0</v>
      </c>
      <c r="X128" s="10"/>
    </row>
    <row r="129" spans="1:24" x14ac:dyDescent="0.3">
      <c r="A129" s="10">
        <f t="shared" si="11"/>
        <v>128</v>
      </c>
      <c r="B129" s="10">
        <v>18</v>
      </c>
      <c r="C129" s="10" t="str">
        <f t="array" ref="C129">GetValue("Tables",B129,"Name")</f>
        <v>Operations</v>
      </c>
      <c r="D129" s="10">
        <f t="shared" si="10"/>
        <v>10</v>
      </c>
      <c r="E129" s="10">
        <v>1</v>
      </c>
      <c r="F129" s="10" t="str">
        <f t="array" ref="F129">GetValue("Domains",E129,"Name")</f>
        <v>BigInteger</v>
      </c>
      <c r="G129" s="10">
        <v>17</v>
      </c>
      <c r="H129" s="10" t="str">
        <f t="array" ref="H129">GetValue("Tables",G129,"Name")</f>
        <v>Transactions</v>
      </c>
      <c r="I129" s="10" t="s">
        <v>429</v>
      </c>
      <c r="J129" s="10" t="s">
        <v>436</v>
      </c>
      <c r="K129" s="10" t="s">
        <v>442</v>
      </c>
      <c r="L129" s="10" t="s">
        <v>442</v>
      </c>
      <c r="M129" s="10"/>
      <c r="N129" s="10"/>
      <c r="O129" s="17">
        <v>1</v>
      </c>
      <c r="P129" s="16"/>
      <c r="Q129" s="10" t="b">
        <v>0</v>
      </c>
      <c r="R129" s="10" t="b">
        <v>0</v>
      </c>
      <c r="S129" s="10" t="b">
        <v>1</v>
      </c>
      <c r="T129" s="10"/>
      <c r="U129" s="10" t="b">
        <v>1</v>
      </c>
      <c r="V129" s="10" t="b">
        <v>0</v>
      </c>
      <c r="W129" s="10" t="b">
        <v>0</v>
      </c>
      <c r="X129" s="10"/>
    </row>
    <row r="130" spans="1:24" x14ac:dyDescent="0.3">
      <c r="A130" s="10">
        <f t="shared" si="11"/>
        <v>129</v>
      </c>
      <c r="B130" s="10">
        <v>18</v>
      </c>
      <c r="C130" s="10" t="str">
        <f t="array" ref="C130">GetValue("Tables",B130,"Name")</f>
        <v>Operations</v>
      </c>
      <c r="D130" s="10">
        <f t="shared" si="10"/>
        <v>15</v>
      </c>
      <c r="E130" s="10">
        <v>9</v>
      </c>
      <c r="F130" s="10" t="str">
        <f t="array" ref="F130">GetValue("Domains",E130,"Name")</f>
        <v>Varchar(25)</v>
      </c>
      <c r="G130" s="10"/>
      <c r="H130" s="10" t="str">
        <f t="array" ref="H130">GetValue("Tables",G130,"Name")</f>
        <v/>
      </c>
      <c r="I130" s="10" t="s">
        <v>492</v>
      </c>
      <c r="J130" s="10" t="s">
        <v>493</v>
      </c>
      <c r="K130" s="10" t="s">
        <v>269</v>
      </c>
      <c r="L130" s="10" t="s">
        <v>269</v>
      </c>
      <c r="M130" s="10"/>
      <c r="N130" s="10"/>
      <c r="O130" s="17">
        <v>1</v>
      </c>
      <c r="P130" s="16"/>
      <c r="Q130" s="10" t="b">
        <v>0</v>
      </c>
      <c r="R130" s="10" t="b">
        <v>0</v>
      </c>
      <c r="S130" s="10" t="b">
        <v>1</v>
      </c>
      <c r="T130" s="10"/>
      <c r="U130" s="10" t="b">
        <v>1</v>
      </c>
      <c r="V130" s="10" t="b">
        <v>0</v>
      </c>
      <c r="W130" s="10" t="b">
        <v>0</v>
      </c>
      <c r="X130" s="10"/>
    </row>
    <row r="131" spans="1:24" x14ac:dyDescent="0.3">
      <c r="A131" s="10">
        <f t="shared" si="11"/>
        <v>130</v>
      </c>
      <c r="B131" s="10">
        <v>18</v>
      </c>
      <c r="C131" s="10" t="str">
        <f t="array" ref="C131">GetValue("Tables",B131,"Name")</f>
        <v>Operations</v>
      </c>
      <c r="D131" s="10">
        <f>D130+5</f>
        <v>20</v>
      </c>
      <c r="E131" s="10">
        <v>21</v>
      </c>
      <c r="F131" s="10" t="str" cm="1">
        <f t="array" ref="F131">GetValue("Domains",E131,"Name")</f>
        <v>Action</v>
      </c>
      <c r="G131" s="10"/>
      <c r="H131" s="10" t="str">
        <f t="array" ref="H131">GetValue("Tables",G131,"Name")</f>
        <v/>
      </c>
      <c r="I131" s="10" t="s">
        <v>101</v>
      </c>
      <c r="J131" s="10" t="s">
        <v>350</v>
      </c>
      <c r="K131" s="10" t="s">
        <v>234</v>
      </c>
      <c r="L131" s="10" t="s">
        <v>234</v>
      </c>
      <c r="M131" s="10" t="s">
        <v>446</v>
      </c>
      <c r="N131" s="10"/>
      <c r="O131" s="17"/>
      <c r="P131" s="16"/>
      <c r="Q131" s="10" t="b">
        <v>0</v>
      </c>
      <c r="R131" s="10"/>
      <c r="S131" s="10" t="b">
        <v>1</v>
      </c>
      <c r="T131" s="10" t="b">
        <v>1</v>
      </c>
      <c r="U131" s="10" t="b">
        <v>1</v>
      </c>
      <c r="V131" s="10" t="b">
        <v>1</v>
      </c>
      <c r="W131" s="10" t="b">
        <v>1</v>
      </c>
      <c r="X131" s="10" t="b">
        <v>0</v>
      </c>
    </row>
    <row r="132" spans="1:24" x14ac:dyDescent="0.3">
      <c r="A132" s="10">
        <f t="shared" si="11"/>
        <v>131</v>
      </c>
      <c r="B132" s="10">
        <v>18</v>
      </c>
      <c r="C132" s="10" t="str">
        <f t="array" ref="C132">GetValue("Tables",B132,"Name")</f>
        <v>Operations</v>
      </c>
      <c r="D132" s="10">
        <f>D131+5</f>
        <v>25</v>
      </c>
      <c r="E132" s="10">
        <v>15</v>
      </c>
      <c r="F132" s="10" t="str">
        <f t="array" ref="F132">GetValue("Domains",E132,"Name")</f>
        <v>JSON</v>
      </c>
      <c r="G132" s="10"/>
      <c r="H132" s="10" t="str">
        <f t="array" ref="H132">GetValue("Tables",G132,"Name")</f>
        <v/>
      </c>
      <c r="I132" s="10" t="s">
        <v>434</v>
      </c>
      <c r="J132" s="10" t="s">
        <v>437</v>
      </c>
      <c r="K132" s="10" t="s">
        <v>437</v>
      </c>
      <c r="L132" s="10" t="s">
        <v>437</v>
      </c>
      <c r="M132" s="10"/>
      <c r="N132" s="10"/>
      <c r="O132" s="17"/>
      <c r="P132" s="16"/>
      <c r="Q132" s="10"/>
      <c r="R132" s="10"/>
      <c r="S132" s="10" t="b">
        <v>0</v>
      </c>
      <c r="T132" s="10"/>
      <c r="U132" s="10"/>
      <c r="V132" s="10" t="b">
        <v>0</v>
      </c>
      <c r="W132" s="10" t="b">
        <v>0</v>
      </c>
      <c r="X132" s="10"/>
    </row>
    <row r="133" spans="1:24" x14ac:dyDescent="0.3">
      <c r="A133" s="10">
        <f t="shared" si="11"/>
        <v>132</v>
      </c>
      <c r="B133" s="10">
        <v>18</v>
      </c>
      <c r="C133" s="10" t="str">
        <f t="array" ref="C133">GetValue("Tables",B133,"Name")</f>
        <v>Operations</v>
      </c>
      <c r="D133" s="10">
        <f>D132+5</f>
        <v>30</v>
      </c>
      <c r="E133" s="10">
        <v>15</v>
      </c>
      <c r="F133" s="10" t="str">
        <f t="array" ref="F133">GetValue("Domains",E133,"Name")</f>
        <v>JSON</v>
      </c>
      <c r="G133" s="10"/>
      <c r="H133" s="10" t="str">
        <f t="array" ref="H133">GetValue("Tables",G133,"Name")</f>
        <v/>
      </c>
      <c r="I133" s="10" t="s">
        <v>435</v>
      </c>
      <c r="J133" s="10" t="s">
        <v>438</v>
      </c>
      <c r="K133" s="10" t="s">
        <v>438</v>
      </c>
      <c r="L133" s="10" t="s">
        <v>438</v>
      </c>
      <c r="M133" s="10"/>
      <c r="N133" s="10"/>
      <c r="O133" s="17"/>
      <c r="P133" s="16"/>
      <c r="Q133" s="10"/>
      <c r="R133" s="10"/>
      <c r="S133" s="10" t="b">
        <v>1</v>
      </c>
      <c r="T133" s="10"/>
      <c r="U133" s="10"/>
      <c r="V133" s="10" t="b">
        <v>0</v>
      </c>
      <c r="W133" s="10" t="b">
        <v>0</v>
      </c>
      <c r="X133" s="10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f t="shared" si="10"/>
        <v>35</v>
      </c>
      <c r="E134" s="10">
        <v>6</v>
      </c>
      <c r="F134" s="10" t="str">
        <f t="array" ref="F134">GetValue("Domains",E134,"Name")</f>
        <v>Boolean</v>
      </c>
      <c r="G134" s="10"/>
      <c r="H134" s="10" t="str">
        <f t="array" ref="H134">GetValue("Tables",G134,"Name")</f>
        <v/>
      </c>
      <c r="I134" s="10" t="s">
        <v>347</v>
      </c>
      <c r="J134" s="10" t="s">
        <v>351</v>
      </c>
      <c r="K134" s="10" t="s">
        <v>351</v>
      </c>
      <c r="L134" s="10" t="s">
        <v>351</v>
      </c>
      <c r="M134" s="10"/>
      <c r="N134" s="10"/>
      <c r="O134" s="17" t="s">
        <v>36</v>
      </c>
      <c r="P134" s="16"/>
      <c r="Q134" s="10"/>
      <c r="R134" s="10"/>
      <c r="S134" s="10" t="b">
        <v>0</v>
      </c>
      <c r="T134" s="10" t="b">
        <v>1</v>
      </c>
      <c r="U134" s="10" t="b">
        <v>1</v>
      </c>
      <c r="V134" s="10" t="b">
        <v>1</v>
      </c>
      <c r="W134" s="10" t="b">
        <v>1</v>
      </c>
      <c r="X13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454</v>
      </c>
      <c r="D1" s="1" t="s">
        <v>163</v>
      </c>
      <c r="E1" s="1" t="s">
        <v>455</v>
      </c>
      <c r="F1" s="1" t="s">
        <v>1</v>
      </c>
      <c r="G1" s="1" t="s">
        <v>304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346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338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340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339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341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460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402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343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344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461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403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378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345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462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404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463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464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465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466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471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468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469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I14" sqref="I1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308</v>
      </c>
      <c r="C1" s="1" t="s">
        <v>458</v>
      </c>
      <c r="D1" s="1" t="s">
        <v>98</v>
      </c>
      <c r="E1" s="1" t="s">
        <v>312</v>
      </c>
      <c r="F1" s="1" t="s">
        <v>459</v>
      </c>
      <c r="G1" s="1" t="s">
        <v>315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C1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421</v>
      </c>
      <c r="C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429</v>
      </c>
      <c r="C1" s="1" t="s">
        <v>492</v>
      </c>
      <c r="D1" s="1" t="s">
        <v>101</v>
      </c>
      <c r="E1" s="1" t="s">
        <v>434</v>
      </c>
      <c r="F1" s="1" t="s">
        <v>435</v>
      </c>
      <c r="G1" s="1" t="s">
        <v>347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2024-08-31T11:21:00Z</dcterms:modified>
</cp:coreProperties>
</file>