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D:\CRUDEX-C#\CRUDEX\CRUDEX\Assets\"/>
    </mc:Choice>
  </mc:AlternateContent>
  <xr:revisionPtr revIDLastSave="0" documentId="13_ncr:1_{81E0FFC4-F5D5-4C41-8528-A534EF54A3E7}" xr6:coauthVersionLast="47" xr6:coauthVersionMax="47" xr10:uidLastSave="{00000000-0000-0000-0000-000000000000}"/>
  <bookViews>
    <workbookView xWindow="-108" yWindow="-108" windowWidth="23256" windowHeight="13176" tabRatio="969" firstSheet="9" activeTab="13" xr2:uid="{62178005-964C-499D-8BA4-3BC85200C027}"/>
  </bookViews>
  <sheets>
    <sheet name="Categories" sheetId="1" r:id="rId1"/>
    <sheet name="Types" sheetId="2" r:id="rId2"/>
    <sheet name="Masks" sheetId="3" r:id="rId3"/>
    <sheet name="Domains" sheetId="4" r:id="rId4"/>
    <sheet name="Systems" sheetId="5" r:id="rId5"/>
    <sheet name="Menus" sheetId="6" r:id="rId6"/>
    <sheet name="Users" sheetId="7" r:id="rId7"/>
    <sheet name="SystemsUsers" sheetId="8" r:id="rId8"/>
    <sheet name="Connections" sheetId="18" r:id="rId9"/>
    <sheet name="Databases" sheetId="9" r:id="rId10"/>
    <sheet name="SystemsDatabases" sheetId="10" r:id="rId11"/>
    <sheet name="Tables" sheetId="11" r:id="rId12"/>
    <sheet name="DatabasesTables" sheetId="17" r:id="rId13"/>
    <sheet name="Columns" sheetId="12" r:id="rId14"/>
    <sheet name="Indexes" sheetId="13" r:id="rId15"/>
    <sheet name="Indexkeys" sheetId="14" r:id="rId16"/>
    <sheet name="Logins" sheetId="15" r:id="rId17"/>
    <sheet name="Transactions" sheetId="19" r:id="rId18"/>
    <sheet name="Operations" sheetId="20" r:id="rId19"/>
    <sheet name="Associations" sheetId="21" r:id="rId20"/>
    <sheet name="Uniques" sheetId="22" r:id="rId21"/>
  </sheets>
  <functionGroups builtInGroupCount="19"/>
  <definedNames>
    <definedName name="_xlnm._FilterDatabase" localSheetId="13" hidden="1">Columns!$F$1:$F$133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22" l="1"/>
  <c r="A4" i="21"/>
  <c r="A3" i="21"/>
  <c r="A2" i="21"/>
  <c r="A149" i="12"/>
  <c r="A152" i="12"/>
  <c r="A151" i="12"/>
  <c r="A150" i="12"/>
  <c r="E150" i="12"/>
  <c r="E151" i="12" s="1"/>
  <c r="E152" i="12" s="1"/>
  <c r="E148" i="12"/>
  <c r="A148" i="12"/>
  <c r="E147" i="12"/>
  <c r="A147" i="12"/>
  <c r="E146" i="12"/>
  <c r="A146" i="12"/>
  <c r="A145" i="12"/>
  <c r="A22" i="17"/>
  <c r="A21" i="17"/>
  <c r="A22" i="11"/>
  <c r="A21" i="11"/>
  <c r="E121" i="12"/>
  <c r="A81" i="12"/>
  <c r="A82" i="12"/>
  <c r="E2" i="4" a="1"/>
  <c r="E10" i="4" a="1"/>
  <c r="E19" i="4" a="1"/>
  <c r="E18" i="4" a="1"/>
  <c r="E8" i="4" a="1"/>
  <c r="E7" i="4" a="1"/>
  <c r="E16" i="4" a="1"/>
  <c r="E15" i="4" a="1"/>
  <c r="E4" i="4" a="1"/>
  <c r="E13" i="4" a="1"/>
  <c r="E22" i="4" a="1"/>
  <c r="E11" i="4" a="1"/>
  <c r="E20" i="4" a="1"/>
  <c r="E9" i="4" a="1"/>
  <c r="E6" i="4" a="1"/>
  <c r="E5" i="4" a="1"/>
  <c r="E14" i="4" a="1"/>
  <c r="E3" i="4" a="1"/>
  <c r="E12" i="4" a="1"/>
  <c r="E21" i="4" a="1"/>
  <c r="E17" i="4" a="1"/>
  <c r="H2" i="9" a="1"/>
  <c r="J41" i="12" a="1"/>
  <c r="I114" i="12" a="1"/>
  <c r="J117" i="12" a="1"/>
  <c r="D82" i="12" a="1"/>
  <c r="H66" i="12" a="1"/>
  <c r="I143" i="12" a="1"/>
  <c r="J74" i="12" a="1"/>
  <c r="H59" i="12" a="1"/>
  <c r="I123" i="12" a="1"/>
  <c r="I29" i="12" a="1"/>
  <c r="I99" i="12" a="1"/>
  <c r="I24" i="12" a="1"/>
  <c r="J62" i="12" a="1"/>
  <c r="J91" i="12" a="1"/>
  <c r="I66" i="12" a="1"/>
  <c r="I118" i="12" a="1"/>
  <c r="H68" i="12" a="1"/>
  <c r="I141" i="12" a="1"/>
  <c r="J139" i="12" a="1"/>
  <c r="H30" i="12" a="1"/>
  <c r="I139" i="12" a="1"/>
  <c r="L31" i="12" a="1"/>
  <c r="L129" i="12" a="1"/>
  <c r="L88" i="12" a="1"/>
  <c r="L12" i="12" a="1"/>
  <c r="L63" i="12" a="1"/>
  <c r="L135" i="12" a="1"/>
  <c r="L34" i="12" a="1"/>
  <c r="I62" i="12" a="1"/>
  <c r="H18" i="12" a="1"/>
  <c r="H85" i="12" a="1"/>
  <c r="J78" i="12" a="1"/>
  <c r="H61" i="12" a="1"/>
  <c r="J122" i="12" a="1"/>
  <c r="I74" i="12" a="1"/>
  <c r="J15" i="12" a="1"/>
  <c r="J50" i="12" a="1"/>
  <c r="L139" i="12" a="1"/>
  <c r="L58" i="12" a="1"/>
  <c r="L43" i="12" a="1"/>
  <c r="L113" i="12" a="1"/>
  <c r="J126" i="12" a="1"/>
  <c r="I122" i="12" a="1"/>
  <c r="I132" i="12" a="1"/>
  <c r="J25" i="12" a="1"/>
  <c r="I48" i="12" a="1"/>
  <c r="I116" i="12" a="1"/>
  <c r="H135" i="12" a="1"/>
  <c r="I15" i="12" a="1"/>
  <c r="H58" i="12" a="1"/>
  <c r="L120" i="12" a="1"/>
  <c r="L141" i="12" a="1"/>
  <c r="I3" i="12" a="1"/>
  <c r="I39" i="12" a="1"/>
  <c r="H110" i="12" a="1"/>
  <c r="H100" i="12" a="1"/>
  <c r="J79" i="12" a="1"/>
  <c r="H92" i="12" a="1"/>
  <c r="I133" i="12" a="1"/>
  <c r="L28" i="12" a="1"/>
  <c r="L56" i="12" a="1"/>
  <c r="I37" i="12" a="1"/>
  <c r="H57" i="12" a="1"/>
  <c r="J69" i="12" a="1"/>
  <c r="L49" i="12" a="1"/>
  <c r="L75" i="12" a="1"/>
  <c r="H130" i="12" a="1"/>
  <c r="J56" i="12" a="1"/>
  <c r="I38" i="12" a="1"/>
  <c r="H134" i="12" a="1"/>
  <c r="L87" i="12" a="1"/>
  <c r="J127" i="12" a="1"/>
  <c r="H55" i="12" a="1"/>
  <c r="J63" i="12" a="1"/>
  <c r="L25" i="12" a="1"/>
  <c r="J90" i="12" a="1"/>
  <c r="H21" i="12" a="1"/>
  <c r="H138" i="12" a="1"/>
  <c r="H40" i="12" a="1"/>
  <c r="J119" i="12" a="1"/>
  <c r="L19" i="12" a="1"/>
  <c r="H38" i="12" a="1"/>
  <c r="I107" i="12" a="1"/>
  <c r="H106" i="12" a="1"/>
  <c r="L52" i="12" a="1"/>
  <c r="J10" i="12" a="1"/>
  <c r="I96" i="12" a="1"/>
  <c r="H36" i="12" a="1"/>
  <c r="H83" i="12" a="1"/>
  <c r="J45" i="12" a="1"/>
  <c r="H120" i="12" a="1"/>
  <c r="H52" i="12" a="1"/>
  <c r="J141" i="12" a="1"/>
  <c r="H28" i="12" a="1"/>
  <c r="H32" i="12" a="1"/>
  <c r="H47" i="12" a="1"/>
  <c r="J102" i="12" a="1"/>
  <c r="J68" i="12" a="1"/>
  <c r="I65" i="12" a="1"/>
  <c r="I25" i="12" a="1"/>
  <c r="H133" i="12" a="1"/>
  <c r="H31" i="12" a="1"/>
  <c r="J32" i="12" a="1"/>
  <c r="H144" i="12" a="1"/>
  <c r="J66" i="12" a="1"/>
  <c r="I4" i="12" a="1"/>
  <c r="J34" i="12" a="1"/>
  <c r="H98" i="12" a="1"/>
  <c r="I71" i="12" a="1"/>
  <c r="L21" i="12" a="1"/>
  <c r="L10" i="12" a="1"/>
  <c r="L78" i="12" a="1"/>
  <c r="L144" i="12" a="1"/>
  <c r="L24" i="12" a="1"/>
  <c r="L116" i="12" a="1"/>
  <c r="L15" i="12" a="1"/>
  <c r="H137" i="12" a="1"/>
  <c r="H19" i="12" a="1"/>
  <c r="L11" i="12" a="1"/>
  <c r="L138" i="12" a="1"/>
  <c r="L124" i="12" a="1"/>
  <c r="L5" i="12" a="1"/>
  <c r="L96" i="12" a="1"/>
  <c r="L132" i="12" a="1"/>
  <c r="I43" i="12" a="1"/>
  <c r="I90" i="12" a="1"/>
  <c r="I54" i="12" a="1"/>
  <c r="I14" i="12" a="1"/>
  <c r="I52" i="12" a="1"/>
  <c r="I85" i="12" a="1"/>
  <c r="I75" i="12" a="1"/>
  <c r="J93" i="12" a="1"/>
  <c r="H64" i="12" a="1"/>
  <c r="I13" i="12" a="1"/>
  <c r="I79" i="12" a="1"/>
  <c r="L128" i="12" a="1"/>
  <c r="L105" i="12" a="1"/>
  <c r="L76" i="12" a="1"/>
  <c r="H124" i="12" a="1"/>
  <c r="H39" i="12" a="1"/>
  <c r="J97" i="12" a="1"/>
  <c r="J59" i="12" a="1"/>
  <c r="H121" i="12" a="1"/>
  <c r="J44" i="12" a="1"/>
  <c r="J136" i="12" a="1"/>
  <c r="L48" i="12" a="1"/>
  <c r="L93" i="12" a="1"/>
  <c r="H115" i="12" a="1"/>
  <c r="H132" i="12" a="1"/>
  <c r="H37" i="12" a="1"/>
  <c r="H69" i="12" a="1"/>
  <c r="I84" i="12" a="1"/>
  <c r="I93" i="12" a="1"/>
  <c r="I63" i="12" a="1"/>
  <c r="J4" i="12" a="1"/>
  <c r="I135" i="12" a="1"/>
  <c r="L100" i="12" a="1"/>
  <c r="L26" i="12" a="1"/>
  <c r="L33" i="12" a="1"/>
  <c r="H10" i="12" a="1"/>
  <c r="I51" i="12" a="1"/>
  <c r="L50" i="12" a="1"/>
  <c r="H5" i="12" a="1"/>
  <c r="J94" i="12" a="1"/>
  <c r="J89" i="12" a="1"/>
  <c r="J123" i="12" a="1"/>
  <c r="L39" i="12" a="1"/>
  <c r="J43" i="12" a="1"/>
  <c r="I49" i="12" a="1"/>
  <c r="J118" i="12" a="1"/>
  <c r="J143" i="12" a="1"/>
  <c r="I142" i="12" a="1"/>
  <c r="H49" i="12" a="1"/>
  <c r="L101" i="12" a="1"/>
  <c r="L112" i="12" a="1"/>
  <c r="I82" i="12" a="1"/>
  <c r="I46" i="12" a="1"/>
  <c r="J16" i="12" a="1"/>
  <c r="H99" i="12" a="1"/>
  <c r="L20" i="12" a="1"/>
  <c r="L16" i="12" a="1"/>
  <c r="J31" i="12" a="1"/>
  <c r="I115" i="12" a="1"/>
  <c r="H79" i="12" a="1"/>
  <c r="H88" i="12" a="1"/>
  <c r="H139" i="12" a="1"/>
  <c r="I100" i="12" a="1"/>
  <c r="H70" i="12" a="1"/>
  <c r="L81" i="12" a="1"/>
  <c r="J37" i="12" a="1"/>
  <c r="J20" i="12" a="1"/>
  <c r="H4" i="12" a="1"/>
  <c r="I126" i="12" a="1"/>
  <c r="J12" i="12" a="1"/>
  <c r="J80" i="12" a="1"/>
  <c r="H129" i="12" a="1"/>
  <c r="I112" i="12" a="1"/>
  <c r="J88" i="12" a="1"/>
  <c r="J106" i="12" a="1"/>
  <c r="H128" i="12" a="1"/>
  <c r="J76" i="12" a="1"/>
  <c r="I16" i="12" a="1"/>
  <c r="J38" i="12" a="1"/>
  <c r="H6" i="12" a="1"/>
  <c r="H25" i="12" a="1"/>
  <c r="I31" i="12" a="1"/>
  <c r="I111" i="12" a="1"/>
  <c r="J103" i="12" a="1"/>
  <c r="L68" i="12" a="1"/>
  <c r="I44" i="12" a="1"/>
  <c r="H72" i="12" a="1"/>
  <c r="J73" i="12" a="1"/>
  <c r="L119" i="12" a="1"/>
  <c r="L22" i="12" a="1"/>
  <c r="H117" i="12" a="1"/>
  <c r="I73" i="12" a="1"/>
  <c r="J17" i="12" a="1"/>
  <c r="H16" i="12" a="1"/>
  <c r="L99" i="12" a="1"/>
  <c r="L102" i="12" a="1"/>
  <c r="I20" i="12" a="1"/>
  <c r="I95" i="12" a="1"/>
  <c r="J113" i="12" a="1"/>
  <c r="L130" i="12" a="1"/>
  <c r="L42" i="12" a="1"/>
  <c r="J134" i="12" a="1"/>
  <c r="J114" i="12" a="1"/>
  <c r="J48" i="12" a="1"/>
  <c r="J54" i="12" a="1"/>
  <c r="J13" i="12" a="1"/>
  <c r="H56" i="12" a="1"/>
  <c r="L40" i="12" a="1"/>
  <c r="L55" i="12" a="1"/>
  <c r="I47" i="12" a="1"/>
  <c r="H125" i="12" a="1"/>
  <c r="I138" i="12" a="1"/>
  <c r="I35" i="12" a="1"/>
  <c r="H113" i="12" a="1"/>
  <c r="I129" i="12" a="1"/>
  <c r="L77" i="12" a="1"/>
  <c r="H82" i="12" a="1"/>
  <c r="H8" i="12" a="1"/>
  <c r="H87" i="12" a="1"/>
  <c r="L6" i="12" a="1"/>
  <c r="J85" i="12" a="1"/>
  <c r="J57" i="12" a="1"/>
  <c r="H27" i="12" a="1"/>
  <c r="H143" i="12" a="1"/>
  <c r="H91" i="12" a="1"/>
  <c r="L127" i="12" a="1"/>
  <c r="J104" i="12" a="1"/>
  <c r="J30" i="12" a="1"/>
  <c r="L97" i="12" a="1"/>
  <c r="I120" i="12" a="1"/>
  <c r="I88" i="12" a="1"/>
  <c r="L67" i="12" a="1"/>
  <c r="I102" i="12" a="1"/>
  <c r="L44" i="12" a="1"/>
  <c r="H50" i="12" a="1"/>
  <c r="J55" i="12" a="1"/>
  <c r="H51" i="12" a="1"/>
  <c r="L85" i="12" a="1"/>
  <c r="J51" i="12" a="1"/>
  <c r="H17" i="12" a="1"/>
  <c r="G81" i="12" a="1"/>
  <c r="I110" i="12" a="1"/>
  <c r="H109" i="12" a="1"/>
  <c r="J142" i="12" a="1"/>
  <c r="J115" i="12" a="1"/>
  <c r="H14" i="12" a="1"/>
  <c r="H71" i="12" a="1"/>
  <c r="I131" i="12" a="1"/>
  <c r="H73" i="12" a="1"/>
  <c r="H127" i="12" a="1"/>
  <c r="J108" i="12" a="1"/>
  <c r="H118" i="12" a="1"/>
  <c r="J96" i="12" a="1"/>
  <c r="I137" i="12" a="1"/>
  <c r="H11" i="12" a="1"/>
  <c r="H24" i="12" a="1"/>
  <c r="I105" i="12" a="1"/>
  <c r="I108" i="12" a="1"/>
  <c r="J132" i="12" a="1"/>
  <c r="J9" i="12" a="1"/>
  <c r="I83" i="12" a="1"/>
  <c r="H48" i="12" a="1"/>
  <c r="L110" i="12" a="1"/>
  <c r="L109" i="12" a="1"/>
  <c r="L38" i="12" a="1"/>
  <c r="L65" i="12" a="1"/>
  <c r="L121" i="12" a="1"/>
  <c r="L3" i="12" a="1"/>
  <c r="L73" i="12" a="1"/>
  <c r="J24" i="12" a="1"/>
  <c r="I50" i="12" a="1"/>
  <c r="I91" i="12" a="1"/>
  <c r="J81" i="12" a="1"/>
  <c r="H81" i="12" a="1"/>
  <c r="J64" i="12" a="1"/>
  <c r="I124" i="12" a="1"/>
  <c r="H20" i="12" a="1"/>
  <c r="H76" i="12" a="1"/>
  <c r="I140" i="12" a="1"/>
  <c r="J101" i="12" a="1"/>
  <c r="J60" i="12" a="1"/>
  <c r="H126" i="12" a="1"/>
  <c r="J72" i="12" a="1"/>
  <c r="J138" i="12" a="1"/>
  <c r="J140" i="12" a="1"/>
  <c r="H43" i="12" a="1"/>
  <c r="J100" i="12" a="1"/>
  <c r="H140" i="12" a="1"/>
  <c r="J124" i="12" a="1"/>
  <c r="J28" i="12" a="1"/>
  <c r="J8" i="12" a="1"/>
  <c r="J49" i="12" a="1"/>
  <c r="I121" i="12" a="1"/>
  <c r="J19" i="12" a="1"/>
  <c r="J36" i="12" a="1"/>
  <c r="L90" i="12" a="1"/>
  <c r="L89" i="12" a="1"/>
  <c r="L18" i="12" a="1"/>
  <c r="L45" i="12" a="1"/>
  <c r="L82" i="12" a="1"/>
  <c r="L36" i="12" a="1"/>
  <c r="L14" i="12" a="1"/>
  <c r="I68" i="12" a="1"/>
  <c r="I72" i="12" a="1"/>
  <c r="H142" i="12" a="1"/>
  <c r="L106" i="12" a="1"/>
  <c r="I45" i="12" a="1"/>
  <c r="L64" i="12" a="1"/>
  <c r="H111" i="12" a="1"/>
  <c r="L30" i="12" a="1"/>
  <c r="H9" i="12" a="1"/>
  <c r="L91" i="12" a="1"/>
  <c r="J40" i="12" a="1"/>
  <c r="L9" i="12" a="1"/>
  <c r="C81" i="12" a="1"/>
  <c r="J71" i="12" a="1"/>
  <c r="J18" i="12" a="1"/>
  <c r="J86" i="12" a="1"/>
  <c r="J107" i="12" a="1"/>
  <c r="H65" i="12" a="1"/>
  <c r="I106" i="12" a="1"/>
  <c r="J77" i="12" a="1"/>
  <c r="J21" i="12" a="1"/>
  <c r="I42" i="12" a="1"/>
  <c r="H29" i="12" a="1"/>
  <c r="H86" i="12" a="1"/>
  <c r="J29" i="12" a="1"/>
  <c r="I70" i="12" a="1"/>
  <c r="H77" i="12" a="1"/>
  <c r="I80" i="12" a="1"/>
  <c r="H90" i="12" a="1"/>
  <c r="H141" i="12" a="1"/>
  <c r="H89" i="12" a="1"/>
  <c r="H46" i="12" a="1"/>
  <c r="J65" i="12" a="1"/>
  <c r="H7" i="12" a="1"/>
  <c r="L80" i="12" a="1"/>
  <c r="L79" i="12" a="1"/>
  <c r="L136" i="12" a="1"/>
  <c r="L143" i="12" a="1"/>
  <c r="L62" i="12" a="1"/>
  <c r="L134" i="12" a="1"/>
  <c r="L131" i="12" a="1"/>
  <c r="I81" i="12" a="1"/>
  <c r="J125" i="12" a="1"/>
  <c r="H22" i="12" a="1"/>
  <c r="I130" i="12" a="1"/>
  <c r="H101" i="12" a="1"/>
  <c r="I59" i="12" a="1"/>
  <c r="I101" i="12" a="1"/>
  <c r="J47" i="12" a="1"/>
  <c r="H63" i="12" a="1"/>
  <c r="I26" i="12" a="1"/>
  <c r="J87" i="12" a="1"/>
  <c r="I97" i="12" a="1"/>
  <c r="I6" i="12" a="1"/>
  <c r="J84" i="12" a="1"/>
  <c r="I10" i="12" a="1"/>
  <c r="H122" i="12" a="1"/>
  <c r="H67" i="12" a="1"/>
  <c r="J112" i="12" a="1"/>
  <c r="J128" i="12" a="1"/>
  <c r="I11" i="12" a="1"/>
  <c r="J53" i="12" a="1"/>
  <c r="I134" i="12" a="1"/>
  <c r="L70" i="12" a="1"/>
  <c r="L69" i="12" a="1"/>
  <c r="L117" i="12" a="1"/>
  <c r="L123" i="12" a="1"/>
  <c r="L23" i="12" a="1"/>
  <c r="L115" i="12" a="1"/>
  <c r="L72" i="12" a="1"/>
  <c r="D81" i="12" a="1"/>
  <c r="J70" i="12" a="1"/>
  <c r="J27" i="12" a="1"/>
  <c r="I5" i="12" a="1"/>
  <c r="J111" i="12" a="1"/>
  <c r="I86" i="12" a="1"/>
  <c r="I36" i="12" a="1"/>
  <c r="I87" i="12" a="1"/>
  <c r="H3" i="12" a="1"/>
  <c r="H112" i="12" a="1"/>
  <c r="J5" i="12" a="1"/>
  <c r="H116" i="12" a="1"/>
  <c r="J14" i="12" a="1"/>
  <c r="H136" i="12" a="1"/>
  <c r="I56" i="12" a="1"/>
  <c r="H93" i="12" a="1"/>
  <c r="I78" i="12" a="1"/>
  <c r="H95" i="12" a="1"/>
  <c r="J120" i="12" a="1"/>
  <c r="H119" i="12" a="1"/>
  <c r="I40" i="12" a="1"/>
  <c r="L140" i="12" a="1"/>
  <c r="L60" i="12" a="1"/>
  <c r="L59" i="12" a="1"/>
  <c r="L107" i="12" a="1"/>
  <c r="L104" i="12" a="1"/>
  <c r="L4" i="12" a="1"/>
  <c r="L95" i="12" a="1"/>
  <c r="L13" i="12" a="1"/>
  <c r="J135" i="12" a="1"/>
  <c r="J39" i="12" a="1"/>
  <c r="I103" i="12" a="1"/>
  <c r="H44" i="12" a="1"/>
  <c r="J95" i="12" a="1"/>
  <c r="I109" i="12" a="1"/>
  <c r="H53" i="12" a="1"/>
  <c r="I64" i="12" a="1"/>
  <c r="J26" i="12" a="1"/>
  <c r="H13" i="12" a="1"/>
  <c r="H42" i="12" a="1"/>
  <c r="H96" i="12" a="1"/>
  <c r="L84" i="12" a="1"/>
  <c r="H45" i="12" a="1"/>
  <c r="J110" i="12" a="1"/>
  <c r="I77" i="12" a="1"/>
  <c r="I28" i="12" a="1"/>
  <c r="J98" i="12" a="1"/>
  <c r="I58" i="12" a="1"/>
  <c r="L111" i="12" a="1"/>
  <c r="L53" i="12" a="1"/>
  <c r="I119" i="12" a="1"/>
  <c r="J3" i="12" a="1"/>
  <c r="J61" i="12" a="1"/>
  <c r="H23" i="12" a="1"/>
  <c r="L29" i="12" a="1"/>
  <c r="L35" i="12" a="1"/>
  <c r="I33" i="12" a="1"/>
  <c r="I53" i="12" a="1"/>
  <c r="I23" i="12" a="1"/>
  <c r="J75" i="12" a="1"/>
  <c r="J129" i="12" a="1"/>
  <c r="I17" i="12" a="1"/>
  <c r="H108" i="12" a="1"/>
  <c r="L92" i="12" a="1"/>
  <c r="J116" i="12" a="1"/>
  <c r="J137" i="12" a="1"/>
  <c r="H60" i="12" a="1"/>
  <c r="L47" i="12" a="1"/>
  <c r="J6" i="12" a="1"/>
  <c r="H12" i="12" a="1"/>
  <c r="I128" i="12" a="1"/>
  <c r="I98" i="12" a="1"/>
  <c r="J82" i="12" a="1"/>
  <c r="J105" i="12" a="1"/>
  <c r="J130" i="12" a="1"/>
  <c r="J33" i="12" a="1"/>
  <c r="H131" i="12" a="1"/>
  <c r="H114" i="12" a="1"/>
  <c r="I8" i="12" a="1"/>
  <c r="J7" i="12" a="1"/>
  <c r="I27" i="12" a="1"/>
  <c r="H80" i="12" a="1"/>
  <c r="H26" i="12" a="1"/>
  <c r="J121" i="12" a="1"/>
  <c r="I136" i="12" a="1"/>
  <c r="C82" i="12" a="1"/>
  <c r="H78" i="12" a="1"/>
  <c r="H41" i="12" a="1"/>
  <c r="I57" i="12" a="1"/>
  <c r="I32" i="12" a="1"/>
  <c r="L41" i="12" a="1"/>
  <c r="L17" i="12" a="1"/>
  <c r="L98" i="12" a="1"/>
  <c r="L46" i="12" a="1"/>
  <c r="L83" i="12" a="1"/>
  <c r="L66" i="12" a="1"/>
  <c r="L54" i="12" a="1"/>
  <c r="I18" i="12" a="1"/>
  <c r="I144" i="12" a="1"/>
  <c r="I67" i="12" a="1"/>
  <c r="I76" i="12" a="1"/>
  <c r="L118" i="12" a="1"/>
  <c r="J11" i="12" a="1"/>
  <c r="I60" i="12" a="1"/>
  <c r="L126" i="12" a="1"/>
  <c r="J58" i="12" a="1"/>
  <c r="H102" i="12" a="1"/>
  <c r="J67" i="12" a="1"/>
  <c r="L108" i="12" a="1"/>
  <c r="J133" i="12" a="1"/>
  <c r="L7" i="12" a="1"/>
  <c r="J109" i="12" a="1"/>
  <c r="J92" i="12" a="1"/>
  <c r="L122" i="12" a="1"/>
  <c r="J144" i="12" a="1"/>
  <c r="J42" i="12" a="1"/>
  <c r="L32" i="12" a="1"/>
  <c r="I7" i="12" a="1"/>
  <c r="I127" i="12" a="1"/>
  <c r="L133" i="12" a="1"/>
  <c r="L71" i="12" a="1"/>
  <c r="L74" i="12" a="1"/>
  <c r="I94" i="12" a="1"/>
  <c r="J52" i="12" a="1"/>
  <c r="L137" i="12" a="1"/>
  <c r="I30" i="12" a="1"/>
  <c r="I12" i="12" a="1"/>
  <c r="J131" i="12" a="1"/>
  <c r="L37" i="12" a="1"/>
  <c r="H107" i="12" a="1"/>
  <c r="H33" i="12" a="1"/>
  <c r="L142" i="12" a="1"/>
  <c r="J99" i="12" a="1"/>
  <c r="H97" i="12" a="1"/>
  <c r="L103" i="12" a="1"/>
  <c r="I9" i="12" a="1"/>
  <c r="I34" i="12" a="1"/>
  <c r="L125" i="12" a="1"/>
  <c r="L86" i="12" a="1"/>
  <c r="I69" i="12" a="1"/>
  <c r="H75" i="12" a="1"/>
  <c r="L61" i="12" a="1"/>
  <c r="L51" i="12" a="1"/>
  <c r="H54" i="12" a="1"/>
  <c r="H105" i="12" a="1"/>
  <c r="I92" i="12" a="1"/>
  <c r="G82" i="12" a="1"/>
  <c r="I61" i="12" a="1"/>
  <c r="L27" i="12" a="1"/>
  <c r="I125" i="12" a="1"/>
  <c r="H35" i="12" a="1"/>
  <c r="I41" i="12" a="1"/>
  <c r="H104" i="12" a="1"/>
  <c r="J22" i="12" a="1"/>
  <c r="I21" i="12" a="1"/>
  <c r="H74" i="12" a="1"/>
  <c r="I89" i="12" a="1"/>
  <c r="I113" i="12" a="1"/>
  <c r="J23" i="12" a="1"/>
  <c r="H94" i="12" a="1"/>
  <c r="L57" i="12" a="1"/>
  <c r="H84" i="12" a="1"/>
  <c r="H62" i="12" a="1"/>
  <c r="J83" i="12" a="1"/>
  <c r="I55" i="12" a="1"/>
  <c r="L114" i="12" a="1"/>
  <c r="H34" i="12" a="1"/>
  <c r="I104" i="12" a="1"/>
  <c r="L94" i="12" a="1"/>
  <c r="J46" i="12" a="1"/>
  <c r="H123" i="12" a="1"/>
  <c r="H15" i="12" a="1"/>
  <c r="H103" i="12" a="1"/>
  <c r="I19" i="12" a="1"/>
  <c r="L8" i="12" a="1"/>
  <c r="I22" i="12" a="1"/>
  <c r="I117" i="12" a="1"/>
  <c r="J35" i="12" a="1"/>
  <c r="F36" i="14" a="1"/>
  <c r="F26" i="14" a="1"/>
  <c r="F16" i="14" a="1"/>
  <c r="F6" i="14" a="1"/>
  <c r="F35" i="14" a="1"/>
  <c r="F25" i="14" a="1"/>
  <c r="F15" i="14" a="1"/>
  <c r="F5" i="14" a="1"/>
  <c r="F34" i="14" a="1"/>
  <c r="F24" i="14" a="1"/>
  <c r="F14" i="14" a="1"/>
  <c r="F4" i="14" a="1"/>
  <c r="F33" i="14" a="1"/>
  <c r="F23" i="14" a="1"/>
  <c r="F13" i="14" a="1"/>
  <c r="F3" i="14" a="1"/>
  <c r="F32" i="14" a="1"/>
  <c r="F22" i="14" a="1"/>
  <c r="F12" i="14" a="1"/>
  <c r="F31" i="14" a="1"/>
  <c r="F21" i="14" a="1"/>
  <c r="F11" i="14" a="1"/>
  <c r="F30" i="14" a="1"/>
  <c r="F20" i="14" a="1"/>
  <c r="F10" i="14" a="1"/>
  <c r="F29" i="14" a="1"/>
  <c r="F19" i="14" a="1"/>
  <c r="F9" i="14" a="1"/>
  <c r="F28" i="14" a="1"/>
  <c r="F18" i="14" a="1"/>
  <c r="F8" i="14" a="1"/>
  <c r="F27" i="14" a="1"/>
  <c r="F17" i="14" a="1"/>
  <c r="F7" i="14" a="1"/>
  <c r="C36" i="14" a="1"/>
  <c r="C26" i="14" a="1"/>
  <c r="C16" i="14" a="1"/>
  <c r="C6" i="14" a="1"/>
  <c r="C18" i="14" a="1"/>
  <c r="C17" i="14" a="1"/>
  <c r="C35" i="14" a="1"/>
  <c r="C25" i="14" a="1"/>
  <c r="C15" i="14" a="1"/>
  <c r="C5" i="14" a="1"/>
  <c r="C34" i="14" a="1"/>
  <c r="C24" i="14" a="1"/>
  <c r="C14" i="14" a="1"/>
  <c r="C4" i="14" a="1"/>
  <c r="C33" i="14" a="1"/>
  <c r="C23" i="14" a="1"/>
  <c r="C13" i="14" a="1"/>
  <c r="C3" i="14" a="1"/>
  <c r="C8" i="14" a="1"/>
  <c r="C7" i="14" a="1"/>
  <c r="C32" i="14" a="1"/>
  <c r="C22" i="14" a="1"/>
  <c r="C12" i="14" a="1"/>
  <c r="C31" i="14" a="1"/>
  <c r="C21" i="14" a="1"/>
  <c r="C11" i="14" a="1"/>
  <c r="C30" i="14" a="1"/>
  <c r="C20" i="14" a="1"/>
  <c r="C10" i="14" a="1"/>
  <c r="C29" i="14" a="1"/>
  <c r="C19" i="14" a="1"/>
  <c r="C9" i="14" a="1"/>
  <c r="C28" i="14" a="1"/>
  <c r="C27" i="14" a="1"/>
  <c r="H20" i="11" a="1"/>
  <c r="H10" i="11" a="1"/>
  <c r="H9" i="11" a="1"/>
  <c r="H19" i="11" a="1"/>
  <c r="H18" i="11" a="1"/>
  <c r="H8" i="11" a="1"/>
  <c r="H7" i="11" a="1"/>
  <c r="H16" i="11" a="1"/>
  <c r="H15" i="11" a="1"/>
  <c r="H4" i="11" a="1"/>
  <c r="H13" i="11" a="1"/>
  <c r="H3" i="11" a="1"/>
  <c r="H12" i="11" a="1"/>
  <c r="H11" i="11" a="1"/>
  <c r="H17" i="11" a="1"/>
  <c r="H6" i="11" a="1"/>
  <c r="H5" i="11" a="1"/>
  <c r="H14" i="11" a="1"/>
  <c r="D16" i="17" a="1"/>
  <c r="D6" i="17" a="1"/>
  <c r="D15" i="17" a="1"/>
  <c r="D5" i="17" a="1"/>
  <c r="D14" i="17" a="1"/>
  <c r="D4" i="17" a="1"/>
  <c r="D13" i="17" a="1"/>
  <c r="D3" i="17" a="1"/>
  <c r="D12" i="17" a="1"/>
  <c r="D11" i="17" a="1"/>
  <c r="D20" i="17" a="1"/>
  <c r="D10" i="17" a="1"/>
  <c r="D19" i="17" a="1"/>
  <c r="D9" i="17" a="1"/>
  <c r="D18" i="17" a="1"/>
  <c r="D8" i="17" a="1"/>
  <c r="D17" i="17" a="1"/>
  <c r="D7" i="17" a="1"/>
  <c r="D2" i="17" a="1"/>
  <c r="F2" i="10" a="1"/>
  <c r="E2" i="22" a="1"/>
  <c r="C2" i="22" a="1"/>
  <c r="G4" i="21" a="1"/>
  <c r="E4" i="21" a="1"/>
  <c r="D4" i="21" a="1"/>
  <c r="H3" i="21" a="1"/>
  <c r="G3" i="21" a="1"/>
  <c r="E3" i="21" a="1"/>
  <c r="D3" i="21" a="1"/>
  <c r="H4" i="21" a="1"/>
  <c r="H2" i="21" a="1"/>
  <c r="G2" i="21" a="1"/>
  <c r="E2" i="21" a="1"/>
  <c r="D2" i="21" a="1"/>
  <c r="L149" i="12" a="1"/>
  <c r="J149" i="12" a="1"/>
  <c r="I149" i="12" a="1"/>
  <c r="H149" i="12" a="1"/>
  <c r="G149" i="12" a="1"/>
  <c r="D149" i="12" a="1"/>
  <c r="C149" i="12" a="1"/>
  <c r="L150" i="12" a="1"/>
  <c r="I150" i="12" a="1"/>
  <c r="H150" i="12" a="1"/>
  <c r="L152" i="12" a="1"/>
  <c r="I151" i="12" a="1"/>
  <c r="G150" i="12" a="1"/>
  <c r="J152" i="12" a="1"/>
  <c r="H151" i="12" a="1"/>
  <c r="D150" i="12" a="1"/>
  <c r="I152" i="12" a="1"/>
  <c r="G151" i="12" a="1"/>
  <c r="C150" i="12" a="1"/>
  <c r="H152" i="12" a="1"/>
  <c r="D151" i="12" a="1"/>
  <c r="G152" i="12" a="1"/>
  <c r="C151" i="12" a="1"/>
  <c r="D152" i="12" a="1"/>
  <c r="C152" i="12" a="1"/>
  <c r="J150" i="12" a="1"/>
  <c r="L151" i="12" a="1"/>
  <c r="J151" i="12" a="1"/>
  <c r="J148" i="12" a="1"/>
  <c r="I148" i="12" a="1"/>
  <c r="L148" i="12" a="1"/>
  <c r="G148" i="12" a="1"/>
  <c r="D148" i="12" a="1"/>
  <c r="C148" i="12" a="1"/>
  <c r="H148" i="12" a="1"/>
  <c r="J147" i="12" a="1"/>
  <c r="G146" i="12" a="1"/>
  <c r="G147" i="12" a="1"/>
  <c r="C146" i="12" a="1"/>
  <c r="D147" i="12" a="1"/>
  <c r="L145" i="12" a="1"/>
  <c r="I145" i="12" a="1"/>
  <c r="J146" i="12" a="1"/>
  <c r="L147" i="12" a="1"/>
  <c r="I146" i="12" a="1"/>
  <c r="G145" i="12" a="1"/>
  <c r="H146" i="12" a="1"/>
  <c r="D145" i="12" a="1"/>
  <c r="I147" i="12" a="1"/>
  <c r="C145" i="12" a="1"/>
  <c r="H147" i="12" a="1"/>
  <c r="D146" i="12" a="1"/>
  <c r="C147" i="12" a="1"/>
  <c r="J145" i="12" a="1"/>
  <c r="L146" i="12" a="1"/>
  <c r="H145" i="12" a="1"/>
  <c r="F22" i="17" a="1"/>
  <c r="D22" i="17" a="1"/>
  <c r="C22" i="17" a="1"/>
  <c r="F21" i="17" a="1"/>
  <c r="D21" i="17" a="1"/>
  <c r="C21" i="17" a="1"/>
  <c r="F22" i="11" a="1"/>
  <c r="H22" i="11" a="1"/>
  <c r="H21" i="11" a="1"/>
  <c r="F21" i="11" a="1"/>
  <c r="E2" i="22" l="1"/>
  <c r="C2" i="22"/>
  <c r="H4" i="21"/>
  <c r="D3" i="21"/>
  <c r="E3" i="21"/>
  <c r="G3" i="21"/>
  <c r="H3" i="21"/>
  <c r="D4" i="21"/>
  <c r="E4" i="21"/>
  <c r="G4" i="21"/>
  <c r="G2" i="21"/>
  <c r="H2" i="21"/>
  <c r="E2" i="21"/>
  <c r="D2" i="21"/>
  <c r="B2" i="21" s="1"/>
  <c r="C149" i="12"/>
  <c r="D149" i="12"/>
  <c r="G149" i="12"/>
  <c r="H149" i="12"/>
  <c r="I149" i="12"/>
  <c r="J149" i="12"/>
  <c r="L149" i="12"/>
  <c r="J151" i="12"/>
  <c r="L151" i="12"/>
  <c r="J150" i="12"/>
  <c r="C152" i="12"/>
  <c r="D152" i="12"/>
  <c r="C151" i="12"/>
  <c r="G152" i="12"/>
  <c r="D151" i="12"/>
  <c r="H152" i="12"/>
  <c r="C150" i="12"/>
  <c r="G151" i="12"/>
  <c r="I152" i="12"/>
  <c r="D150" i="12"/>
  <c r="H151" i="12"/>
  <c r="J152" i="12"/>
  <c r="G150" i="12"/>
  <c r="I151" i="12"/>
  <c r="L152" i="12"/>
  <c r="H150" i="12"/>
  <c r="I150" i="12"/>
  <c r="L150" i="12"/>
  <c r="H148" i="12"/>
  <c r="C148" i="12"/>
  <c r="D148" i="12"/>
  <c r="G148" i="12"/>
  <c r="L148" i="12"/>
  <c r="I148" i="12"/>
  <c r="J148" i="12"/>
  <c r="H145" i="12"/>
  <c r="L146" i="12"/>
  <c r="J145" i="12"/>
  <c r="C147" i="12"/>
  <c r="D146" i="12"/>
  <c r="H147" i="12"/>
  <c r="C145" i="12"/>
  <c r="I147" i="12"/>
  <c r="D145" i="12"/>
  <c r="H146" i="12"/>
  <c r="G145" i="12"/>
  <c r="I146" i="12"/>
  <c r="L147" i="12"/>
  <c r="J146" i="12"/>
  <c r="I145" i="12"/>
  <c r="L145" i="12"/>
  <c r="D147" i="12"/>
  <c r="C146" i="12"/>
  <c r="G147" i="12"/>
  <c r="G146" i="12"/>
  <c r="J147" i="12"/>
  <c r="C21" i="17"/>
  <c r="D21" i="17"/>
  <c r="F21" i="17"/>
  <c r="C22" i="17"/>
  <c r="D22" i="17"/>
  <c r="F22" i="17"/>
  <c r="F21" i="11"/>
  <c r="H21" i="11"/>
  <c r="H22" i="11"/>
  <c r="F22" i="11"/>
  <c r="D7" i="17"/>
  <c r="D17" i="17"/>
  <c r="D8" i="17"/>
  <c r="D18" i="17"/>
  <c r="D9" i="17"/>
  <c r="D19" i="17"/>
  <c r="D10" i="17"/>
  <c r="D20" i="17"/>
  <c r="D11" i="17"/>
  <c r="D12" i="17"/>
  <c r="D3" i="17"/>
  <c r="D13" i="17"/>
  <c r="D4" i="17"/>
  <c r="D14" i="17"/>
  <c r="D5" i="17"/>
  <c r="D15" i="17"/>
  <c r="D6" i="17"/>
  <c r="D16" i="17"/>
  <c r="D2" i="17"/>
  <c r="F2" i="10"/>
  <c r="H14" i="11"/>
  <c r="H5" i="11"/>
  <c r="H6" i="11"/>
  <c r="H17" i="11"/>
  <c r="H11" i="11"/>
  <c r="H12" i="11"/>
  <c r="H3" i="11"/>
  <c r="H13" i="11"/>
  <c r="H4" i="11"/>
  <c r="H15" i="11"/>
  <c r="H16" i="11"/>
  <c r="H7" i="11"/>
  <c r="H8" i="11"/>
  <c r="H18" i="11"/>
  <c r="H19" i="11"/>
  <c r="H9" i="11"/>
  <c r="H10" i="11"/>
  <c r="H20" i="11"/>
  <c r="F7" i="14"/>
  <c r="F17" i="14"/>
  <c r="F27" i="14"/>
  <c r="F8" i="14"/>
  <c r="F18" i="14"/>
  <c r="F28" i="14"/>
  <c r="F9" i="14"/>
  <c r="F19" i="14"/>
  <c r="F29" i="14"/>
  <c r="F10" i="14"/>
  <c r="F20" i="14"/>
  <c r="F30" i="14"/>
  <c r="F11" i="14"/>
  <c r="F21" i="14"/>
  <c r="F31" i="14"/>
  <c r="F12" i="14"/>
  <c r="F22" i="14"/>
  <c r="F32" i="14"/>
  <c r="F3" i="14"/>
  <c r="F13" i="14"/>
  <c r="F23" i="14"/>
  <c r="F33" i="14"/>
  <c r="F4" i="14"/>
  <c r="F14" i="14"/>
  <c r="F24" i="14"/>
  <c r="F34" i="14"/>
  <c r="F5" i="14"/>
  <c r="F15" i="14"/>
  <c r="F25" i="14"/>
  <c r="F35" i="14"/>
  <c r="F6" i="14"/>
  <c r="F16" i="14"/>
  <c r="F26" i="14"/>
  <c r="F36" i="14"/>
  <c r="C27" i="14"/>
  <c r="C28" i="14"/>
  <c r="C9" i="14"/>
  <c r="C19" i="14"/>
  <c r="C29" i="14"/>
  <c r="C10" i="14"/>
  <c r="C20" i="14"/>
  <c r="C30" i="14"/>
  <c r="C11" i="14"/>
  <c r="C21" i="14"/>
  <c r="C31" i="14"/>
  <c r="C12" i="14"/>
  <c r="C22" i="14"/>
  <c r="C32" i="14"/>
  <c r="C7" i="14"/>
  <c r="C8" i="14"/>
  <c r="C3" i="14"/>
  <c r="C13" i="14"/>
  <c r="C23" i="14"/>
  <c r="C33" i="14"/>
  <c r="C4" i="14"/>
  <c r="C14" i="14"/>
  <c r="C24" i="14"/>
  <c r="C34" i="14"/>
  <c r="C5" i="14"/>
  <c r="C15" i="14"/>
  <c r="C25" i="14"/>
  <c r="C35" i="14"/>
  <c r="C17" i="14"/>
  <c r="C18" i="14"/>
  <c r="C6" i="14"/>
  <c r="C16" i="14"/>
  <c r="C26" i="14"/>
  <c r="C36" i="14"/>
  <c r="L106" i="12"/>
  <c r="L13" i="12"/>
  <c r="L72" i="12"/>
  <c r="L131" i="12"/>
  <c r="L14" i="12"/>
  <c r="L33" i="12"/>
  <c r="L73" i="12"/>
  <c r="L93" i="12"/>
  <c r="L113" i="12"/>
  <c r="L132" i="12"/>
  <c r="L15" i="12"/>
  <c r="L34" i="12"/>
  <c r="L54" i="12"/>
  <c r="L74" i="12"/>
  <c r="L94" i="12"/>
  <c r="L114" i="12"/>
  <c r="L133" i="12"/>
  <c r="L16" i="12"/>
  <c r="L35" i="12"/>
  <c r="L55" i="12"/>
  <c r="L75" i="12"/>
  <c r="L95" i="12"/>
  <c r="L115" i="12"/>
  <c r="L134" i="12"/>
  <c r="L36" i="12"/>
  <c r="L56" i="12"/>
  <c r="L3" i="12"/>
  <c r="L22" i="12"/>
  <c r="L76" i="12"/>
  <c r="L96" i="12"/>
  <c r="L116" i="12"/>
  <c r="L135" i="12"/>
  <c r="L66" i="12"/>
  <c r="L86" i="12"/>
  <c r="L125" i="12"/>
  <c r="L32" i="12"/>
  <c r="L52" i="12"/>
  <c r="L92" i="12"/>
  <c r="L112" i="12"/>
  <c r="L53" i="12"/>
  <c r="L42" i="12"/>
  <c r="L4" i="12"/>
  <c r="L23" i="12"/>
  <c r="L62" i="12"/>
  <c r="L82" i="12"/>
  <c r="L102" i="12"/>
  <c r="L121" i="12"/>
  <c r="L141" i="12"/>
  <c r="L43" i="12"/>
  <c r="L5" i="12"/>
  <c r="L24" i="12"/>
  <c r="L63" i="12"/>
  <c r="L83" i="12"/>
  <c r="L103" i="12"/>
  <c r="L122" i="12"/>
  <c r="L142" i="12"/>
  <c r="L44" i="12"/>
  <c r="L6" i="12"/>
  <c r="L25" i="12"/>
  <c r="L64" i="12"/>
  <c r="L84" i="12"/>
  <c r="L104" i="12"/>
  <c r="L123" i="12"/>
  <c r="L143" i="12"/>
  <c r="L45" i="12"/>
  <c r="L26" i="12"/>
  <c r="L65" i="12"/>
  <c r="L85" i="12"/>
  <c r="L105" i="12"/>
  <c r="L124" i="12"/>
  <c r="L144" i="12"/>
  <c r="L12" i="12"/>
  <c r="L46" i="12"/>
  <c r="L7" i="12"/>
  <c r="L27" i="12"/>
  <c r="L37" i="12"/>
  <c r="L47" i="12"/>
  <c r="L67" i="12"/>
  <c r="L77" i="12"/>
  <c r="L87" i="12"/>
  <c r="L97" i="12"/>
  <c r="L107" i="12"/>
  <c r="L117" i="12"/>
  <c r="L136" i="12"/>
  <c r="L18" i="12"/>
  <c r="L28" i="12"/>
  <c r="L38" i="12"/>
  <c r="L48" i="12"/>
  <c r="L58" i="12"/>
  <c r="L68" i="12"/>
  <c r="L78" i="12"/>
  <c r="L88" i="12"/>
  <c r="L98" i="12"/>
  <c r="L108" i="12"/>
  <c r="L118" i="12"/>
  <c r="L137" i="12"/>
  <c r="L9" i="12"/>
  <c r="L19" i="12"/>
  <c r="L29" i="12"/>
  <c r="L39" i="12"/>
  <c r="L49" i="12"/>
  <c r="L59" i="12"/>
  <c r="L69" i="12"/>
  <c r="L79" i="12"/>
  <c r="L89" i="12"/>
  <c r="L99" i="12"/>
  <c r="L109" i="12"/>
  <c r="L119" i="12"/>
  <c r="L128" i="12"/>
  <c r="L138" i="12"/>
  <c r="L10" i="12"/>
  <c r="L129" i="12"/>
  <c r="L17" i="12"/>
  <c r="L57" i="12"/>
  <c r="L126" i="12"/>
  <c r="L8" i="12"/>
  <c r="L127" i="12"/>
  <c r="L20" i="12"/>
  <c r="L30" i="12"/>
  <c r="L40" i="12"/>
  <c r="L50" i="12"/>
  <c r="L60" i="12"/>
  <c r="L70" i="12"/>
  <c r="L80" i="12"/>
  <c r="L90" i="12"/>
  <c r="L100" i="12"/>
  <c r="L110" i="12"/>
  <c r="L120" i="12"/>
  <c r="L139" i="12"/>
  <c r="L11" i="12"/>
  <c r="L21" i="12"/>
  <c r="L31" i="12"/>
  <c r="L41" i="12"/>
  <c r="L51" i="12"/>
  <c r="L61" i="12"/>
  <c r="L71" i="12"/>
  <c r="L81" i="12"/>
  <c r="L91" i="12"/>
  <c r="L101" i="12"/>
  <c r="L111" i="12"/>
  <c r="L130" i="12"/>
  <c r="L140" i="12"/>
  <c r="D81" i="12"/>
  <c r="I81" i="12"/>
  <c r="C81" i="12"/>
  <c r="H81" i="12"/>
  <c r="J81" i="12"/>
  <c r="G81" i="12"/>
  <c r="G82" i="12"/>
  <c r="C82" i="12"/>
  <c r="D82" i="12"/>
  <c r="H82" i="12"/>
  <c r="I82" i="12"/>
  <c r="J82" i="12"/>
  <c r="H2" i="9"/>
  <c r="H16" i="12"/>
  <c r="H54" i="12"/>
  <c r="H97" i="12"/>
  <c r="J122" i="12"/>
  <c r="J28" i="12"/>
  <c r="H110" i="12"/>
  <c r="H141" i="12"/>
  <c r="J16" i="12"/>
  <c r="H70" i="12"/>
  <c r="J141" i="12"/>
  <c r="H42" i="12"/>
  <c r="H30" i="12"/>
  <c r="I85" i="12"/>
  <c r="H115" i="12"/>
  <c r="H142" i="12"/>
  <c r="H46" i="12"/>
  <c r="J98" i="12"/>
  <c r="J142" i="12"/>
  <c r="J30" i="12"/>
  <c r="J101" i="12"/>
  <c r="I115" i="12"/>
  <c r="I46" i="12"/>
  <c r="J71" i="12"/>
  <c r="H143" i="12"/>
  <c r="J10" i="12"/>
  <c r="I34" i="12"/>
  <c r="J59" i="12"/>
  <c r="H90" i="12"/>
  <c r="I129" i="12"/>
  <c r="J34" i="12"/>
  <c r="I103" i="12"/>
  <c r="I47" i="12"/>
  <c r="H76" i="12"/>
  <c r="J116" i="12"/>
  <c r="I11" i="12"/>
  <c r="H35" i="12"/>
  <c r="H64" i="12"/>
  <c r="I91" i="12"/>
  <c r="J103" i="12"/>
  <c r="H134" i="12"/>
  <c r="I77" i="12"/>
  <c r="J11" i="12"/>
  <c r="H5" i="12"/>
  <c r="H84" i="12"/>
  <c r="H41" i="12"/>
  <c r="I5" i="12"/>
  <c r="I54" i="12"/>
  <c r="I97" i="12"/>
  <c r="H58" i="12"/>
  <c r="I127" i="12"/>
  <c r="I17" i="12"/>
  <c r="J70" i="12"/>
  <c r="J6" i="12"/>
  <c r="I58" i="12"/>
  <c r="J127" i="12"/>
  <c r="I18" i="12"/>
  <c r="H86" i="12"/>
  <c r="I128" i="12"/>
  <c r="I7" i="12"/>
  <c r="J58" i="12"/>
  <c r="H116" i="12"/>
  <c r="I21" i="12"/>
  <c r="H103" i="12"/>
  <c r="J128" i="12"/>
  <c r="J46" i="12"/>
  <c r="H72" i="12"/>
  <c r="I116" i="12"/>
  <c r="H11" i="12"/>
  <c r="J22" i="12"/>
  <c r="H60" i="12"/>
  <c r="H48" i="12"/>
  <c r="I117" i="12"/>
  <c r="H23" i="12"/>
  <c r="J120" i="12"/>
  <c r="I35" i="12"/>
  <c r="I64" i="12"/>
  <c r="J91" i="12"/>
  <c r="H104" i="12"/>
  <c r="I134" i="12"/>
  <c r="I23" i="12"/>
  <c r="H52" i="12"/>
  <c r="J77" i="12"/>
  <c r="H108" i="12"/>
  <c r="H135" i="12"/>
  <c r="H12" i="12"/>
  <c r="I39" i="12"/>
  <c r="I65" i="12"/>
  <c r="H92" i="12"/>
  <c r="J12" i="12"/>
  <c r="H40" i="12"/>
  <c r="H78" i="12"/>
  <c r="H96" i="12"/>
  <c r="I109" i="12"/>
  <c r="H121" i="12"/>
  <c r="H136" i="12"/>
  <c r="I4" i="12"/>
  <c r="J27" i="12"/>
  <c r="J52" i="12"/>
  <c r="J121" i="12"/>
  <c r="I28" i="12"/>
  <c r="J40" i="12"/>
  <c r="H66" i="12"/>
  <c r="I96" i="12"/>
  <c r="J109" i="12"/>
  <c r="I136" i="12"/>
  <c r="I48" i="12"/>
  <c r="I78" i="12"/>
  <c r="J129" i="12"/>
  <c r="J18" i="12"/>
  <c r="J42" i="12"/>
  <c r="J60" i="12"/>
  <c r="H105" i="12"/>
  <c r="H137" i="12"/>
  <c r="H13" i="12"/>
  <c r="H31" i="12"/>
  <c r="J66" i="12"/>
  <c r="I79" i="12"/>
  <c r="I93" i="12"/>
  <c r="J111" i="12"/>
  <c r="J123" i="12"/>
  <c r="H25" i="12"/>
  <c r="H55" i="12"/>
  <c r="I137" i="12"/>
  <c r="H8" i="12"/>
  <c r="I19" i="12"/>
  <c r="H38" i="12"/>
  <c r="J79" i="12"/>
  <c r="J93" i="12"/>
  <c r="H106" i="12"/>
  <c r="H124" i="12"/>
  <c r="H56" i="12"/>
  <c r="I36" i="12"/>
  <c r="I66" i="12"/>
  <c r="H87" i="12"/>
  <c r="I111" i="12"/>
  <c r="H123" i="12"/>
  <c r="J24" i="12"/>
  <c r="J54" i="12"/>
  <c r="I99" i="12"/>
  <c r="J7" i="12"/>
  <c r="J36" i="12"/>
  <c r="J48" i="12"/>
  <c r="I73" i="12"/>
  <c r="I87" i="12"/>
  <c r="H118" i="12"/>
  <c r="I130" i="12"/>
  <c r="H43" i="12"/>
  <c r="J49" i="12"/>
  <c r="J61" i="12"/>
  <c r="J67" i="12"/>
  <c r="J99" i="12"/>
  <c r="I105" i="12"/>
  <c r="J131" i="12"/>
  <c r="I13" i="12"/>
  <c r="I31" i="12"/>
  <c r="H74" i="12"/>
  <c r="H112" i="12"/>
  <c r="H3" i="12"/>
  <c r="H50" i="12"/>
  <c r="H62" i="12"/>
  <c r="H68" i="12"/>
  <c r="H88" i="12"/>
  <c r="H100" i="12"/>
  <c r="J112" i="12"/>
  <c r="J119" i="12"/>
  <c r="H132" i="12"/>
  <c r="J138" i="12"/>
  <c r="J8" i="12"/>
  <c r="J14" i="12"/>
  <c r="J19" i="12"/>
  <c r="I26" i="12"/>
  <c r="I38" i="12"/>
  <c r="I44" i="12"/>
  <c r="I74" i="12"/>
  <c r="H80" i="12"/>
  <c r="H107" i="12"/>
  <c r="I113" i="12"/>
  <c r="I125" i="12"/>
  <c r="I3" i="12"/>
  <c r="J20" i="12"/>
  <c r="J50" i="12"/>
  <c r="I56" i="12"/>
  <c r="I68" i="12"/>
  <c r="I88" i="12"/>
  <c r="H95" i="12"/>
  <c r="H120" i="12"/>
  <c r="I132" i="12"/>
  <c r="H139" i="12"/>
  <c r="H15" i="12"/>
  <c r="J26" i="12"/>
  <c r="J32" i="12"/>
  <c r="J38" i="12"/>
  <c r="J44" i="12"/>
  <c r="J62" i="12"/>
  <c r="I69" i="12"/>
  <c r="J74" i="12"/>
  <c r="I83" i="12"/>
  <c r="I89" i="12"/>
  <c r="I107" i="12"/>
  <c r="J113" i="12"/>
  <c r="J125" i="12"/>
  <c r="I140" i="12"/>
  <c r="H4" i="12"/>
  <c r="I9" i="12"/>
  <c r="H21" i="12"/>
  <c r="H51" i="12"/>
  <c r="J57" i="12"/>
  <c r="I75" i="12"/>
  <c r="I95" i="12"/>
  <c r="I101" i="12"/>
  <c r="I120" i="12"/>
  <c r="J132" i="12"/>
  <c r="I15" i="12"/>
  <c r="I27" i="12"/>
  <c r="H33" i="12"/>
  <c r="J69" i="12"/>
  <c r="J83" i="12"/>
  <c r="J89" i="12"/>
  <c r="H114" i="12"/>
  <c r="H127" i="12"/>
  <c r="J140" i="12"/>
  <c r="H24" i="12"/>
  <c r="J31" i="12"/>
  <c r="I43" i="12"/>
  <c r="I51" i="12"/>
  <c r="H63" i="12"/>
  <c r="H71" i="12"/>
  <c r="J78" i="12"/>
  <c r="J84" i="12"/>
  <c r="J92" i="12"/>
  <c r="I100" i="12"/>
  <c r="I108" i="12"/>
  <c r="H133" i="12"/>
  <c r="I8" i="12"/>
  <c r="H20" i="12"/>
  <c r="H28" i="12"/>
  <c r="J39" i="12"/>
  <c r="J47" i="12"/>
  <c r="I55" i="12"/>
  <c r="I59" i="12"/>
  <c r="I67" i="12"/>
  <c r="H75" i="12"/>
  <c r="J88" i="12"/>
  <c r="J96" i="12"/>
  <c r="H113" i="12"/>
  <c r="H117" i="12"/>
  <c r="I124" i="12"/>
  <c r="H129" i="12"/>
  <c r="J137" i="12"/>
  <c r="I142" i="12"/>
  <c r="J4" i="12"/>
  <c r="I16" i="12"/>
  <c r="I24" i="12"/>
  <c r="H32" i="12"/>
  <c r="H36" i="12"/>
  <c r="H44" i="12"/>
  <c r="J51" i="12"/>
  <c r="I63" i="12"/>
  <c r="I71" i="12"/>
  <c r="H85" i="12"/>
  <c r="H93" i="12"/>
  <c r="J100" i="12"/>
  <c r="J104" i="12"/>
  <c r="J108" i="12"/>
  <c r="H125" i="12"/>
  <c r="J133" i="12"/>
  <c r="I138" i="12"/>
  <c r="J143" i="12"/>
  <c r="J9" i="12"/>
  <c r="J17" i="12"/>
  <c r="I25" i="12"/>
  <c r="I29" i="12"/>
  <c r="I37" i="12"/>
  <c r="H45" i="12"/>
  <c r="J56" i="12"/>
  <c r="J64" i="12"/>
  <c r="I76" i="12"/>
  <c r="I86" i="12"/>
  <c r="H94" i="12"/>
  <c r="H98" i="12"/>
  <c r="I118" i="12"/>
  <c r="H126" i="12"/>
  <c r="I139" i="12"/>
  <c r="H6" i="12"/>
  <c r="H14" i="12"/>
  <c r="J21" i="12"/>
  <c r="I33" i="12"/>
  <c r="I41" i="12"/>
  <c r="H53" i="12"/>
  <c r="H61" i="12"/>
  <c r="J68" i="12"/>
  <c r="J72" i="12"/>
  <c r="J80" i="12"/>
  <c r="I90" i="12"/>
  <c r="H102" i="12"/>
  <c r="I106" i="12"/>
  <c r="I110" i="12"/>
  <c r="H122" i="12"/>
  <c r="J130" i="12"/>
  <c r="I135" i="12"/>
  <c r="H144" i="12"/>
  <c r="H10" i="12"/>
  <c r="H18" i="12"/>
  <c r="J29" i="12"/>
  <c r="J37" i="12"/>
  <c r="I45" i="12"/>
  <c r="I49" i="12"/>
  <c r="I57" i="12"/>
  <c r="H65" i="12"/>
  <c r="J76" i="12"/>
  <c r="J86" i="12"/>
  <c r="I98" i="12"/>
  <c r="J114" i="12"/>
  <c r="J118" i="12"/>
  <c r="I126" i="12"/>
  <c r="J139" i="12"/>
  <c r="I6" i="12"/>
  <c r="I14" i="12"/>
  <c r="H22" i="12"/>
  <c r="H26" i="12"/>
  <c r="H34" i="12"/>
  <c r="J41" i="12"/>
  <c r="I53" i="12"/>
  <c r="I61" i="12"/>
  <c r="H73" i="12"/>
  <c r="H83" i="12"/>
  <c r="J90" i="12"/>
  <c r="J94" i="12"/>
  <c r="J102" i="12"/>
  <c r="J106" i="12"/>
  <c r="J110" i="12"/>
  <c r="I119" i="12"/>
  <c r="I122" i="12"/>
  <c r="H131" i="12"/>
  <c r="J135" i="12"/>
  <c r="I144" i="12"/>
  <c r="J5" i="12"/>
  <c r="H9" i="12"/>
  <c r="I12" i="12"/>
  <c r="J15" i="12"/>
  <c r="H19" i="12"/>
  <c r="I22" i="12"/>
  <c r="J25" i="12"/>
  <c r="H29" i="12"/>
  <c r="I32" i="12"/>
  <c r="J35" i="12"/>
  <c r="H39" i="12"/>
  <c r="I42" i="12"/>
  <c r="J45" i="12"/>
  <c r="H49" i="12"/>
  <c r="I52" i="12"/>
  <c r="J55" i="12"/>
  <c r="H59" i="12"/>
  <c r="I62" i="12"/>
  <c r="J65" i="12"/>
  <c r="H69" i="12"/>
  <c r="I72" i="12"/>
  <c r="J75" i="12"/>
  <c r="H79" i="12"/>
  <c r="I84" i="12"/>
  <c r="J87" i="12"/>
  <c r="H91" i="12"/>
  <c r="I94" i="12"/>
  <c r="J97" i="12"/>
  <c r="H101" i="12"/>
  <c r="I104" i="12"/>
  <c r="J107" i="12"/>
  <c r="H111" i="12"/>
  <c r="I114" i="12"/>
  <c r="J117" i="12"/>
  <c r="I123" i="12"/>
  <c r="J126" i="12"/>
  <c r="H130" i="12"/>
  <c r="I133" i="12"/>
  <c r="J136" i="12"/>
  <c r="H140" i="12"/>
  <c r="I143" i="12"/>
  <c r="J3" i="12"/>
  <c r="H7" i="12"/>
  <c r="I10" i="12"/>
  <c r="J13" i="12"/>
  <c r="H17" i="12"/>
  <c r="I20" i="12"/>
  <c r="J23" i="12"/>
  <c r="H27" i="12"/>
  <c r="I30" i="12"/>
  <c r="J33" i="12"/>
  <c r="H37" i="12"/>
  <c r="I40" i="12"/>
  <c r="J43" i="12"/>
  <c r="H47" i="12"/>
  <c r="I50" i="12"/>
  <c r="J53" i="12"/>
  <c r="H57" i="12"/>
  <c r="I60" i="12"/>
  <c r="J63" i="12"/>
  <c r="H67" i="12"/>
  <c r="I70" i="12"/>
  <c r="J73" i="12"/>
  <c r="H77" i="12"/>
  <c r="I80" i="12"/>
  <c r="J85" i="12"/>
  <c r="H89" i="12"/>
  <c r="I92" i="12"/>
  <c r="J95" i="12"/>
  <c r="H99" i="12"/>
  <c r="I102" i="12"/>
  <c r="J105" i="12"/>
  <c r="H109" i="12"/>
  <c r="I112" i="12"/>
  <c r="J115" i="12"/>
  <c r="H119" i="12"/>
  <c r="I121" i="12"/>
  <c r="J124" i="12"/>
  <c r="H128" i="12"/>
  <c r="I131" i="12"/>
  <c r="J134" i="12"/>
  <c r="H138" i="12"/>
  <c r="I141" i="12"/>
  <c r="J144" i="12"/>
  <c r="E2" i="4"/>
  <c r="E17" i="4"/>
  <c r="E21" i="4"/>
  <c r="E12" i="4"/>
  <c r="E3" i="4"/>
  <c r="E14" i="4"/>
  <c r="E5" i="4"/>
  <c r="E6" i="4"/>
  <c r="E9" i="4"/>
  <c r="E20" i="4"/>
  <c r="E11" i="4"/>
  <c r="E22" i="4"/>
  <c r="E13" i="4"/>
  <c r="E4" i="4"/>
  <c r="E15" i="4"/>
  <c r="E16" i="4"/>
  <c r="E7" i="4"/>
  <c r="E8" i="4"/>
  <c r="E18" i="4"/>
  <c r="E19" i="4"/>
  <c r="E10" i="4"/>
  <c r="A66" i="12"/>
  <c r="E76" i="12"/>
  <c r="E77" i="12" s="1"/>
  <c r="E78" i="12" s="1"/>
  <c r="E79" i="12" s="1"/>
  <c r="E80" i="12" s="1"/>
  <c r="E81" i="12" s="1"/>
  <c r="E82" i="12" s="1"/>
  <c r="D14" i="4" a="1"/>
  <c r="D4" i="4" a="1"/>
  <c r="D13" i="4" a="1"/>
  <c r="D3" i="4" a="1"/>
  <c r="D22" i="4" a="1"/>
  <c r="D12" i="4" a="1"/>
  <c r="D21" i="4" a="1"/>
  <c r="D11" i="4" a="1"/>
  <c r="D20" i="4" a="1"/>
  <c r="D10" i="4" a="1"/>
  <c r="D19" i="4" a="1"/>
  <c r="D9" i="4" a="1"/>
  <c r="D18" i="4" a="1"/>
  <c r="D8" i="4" a="1"/>
  <c r="D17" i="4" a="1"/>
  <c r="D7" i="4" a="1"/>
  <c r="D16" i="4" a="1"/>
  <c r="D6" i="4" a="1"/>
  <c r="D15" i="4" a="1"/>
  <c r="D5" i="4" a="1"/>
  <c r="F2" i="14" a="1"/>
  <c r="D66" i="12" a="1"/>
  <c r="H2" i="12" a="1"/>
  <c r="G66" i="12" a="1"/>
  <c r="C66" i="12" a="1"/>
  <c r="B3" i="21" l="1"/>
  <c r="B4" i="21"/>
  <c r="G22" i="17"/>
  <c r="G21" i="17"/>
  <c r="H2" i="12"/>
  <c r="D5" i="4"/>
  <c r="D15" i="4"/>
  <c r="D6" i="4"/>
  <c r="D16" i="4"/>
  <c r="D7" i="4"/>
  <c r="D17" i="4"/>
  <c r="D8" i="4"/>
  <c r="D18" i="4"/>
  <c r="D9" i="4"/>
  <c r="D19" i="4"/>
  <c r="D10" i="4"/>
  <c r="D20" i="4"/>
  <c r="D11" i="4"/>
  <c r="D21" i="4"/>
  <c r="D12" i="4"/>
  <c r="D22" i="4"/>
  <c r="D3" i="4"/>
  <c r="D13" i="4"/>
  <c r="D4" i="4"/>
  <c r="D14" i="4"/>
  <c r="G66" i="12"/>
  <c r="C66" i="12"/>
  <c r="D66" i="12"/>
  <c r="F2" i="14"/>
  <c r="A76" i="12"/>
  <c r="A25" i="13"/>
  <c r="A20" i="17"/>
  <c r="A19" i="17"/>
  <c r="A22" i="4"/>
  <c r="C22" i="4" a="1"/>
  <c r="C2" i="14" a="1"/>
  <c r="D76" i="12" a="1"/>
  <c r="G76" i="12" a="1"/>
  <c r="C76" i="12" a="1"/>
  <c r="F20" i="17" a="1"/>
  <c r="F19" i="17" a="1"/>
  <c r="C19" i="17" a="1"/>
  <c r="C20" i="17" a="1"/>
  <c r="C18" i="13" a="1"/>
  <c r="C14" i="13" a="1"/>
  <c r="C15" i="13" a="1"/>
  <c r="C22" i="13" a="1"/>
  <c r="C21" i="13" a="1"/>
  <c r="C20" i="13" a="1"/>
  <c r="C12" i="13" a="1"/>
  <c r="C11" i="13" a="1"/>
  <c r="C10" i="13" a="1"/>
  <c r="C23" i="13" a="1"/>
  <c r="C9" i="13" a="1"/>
  <c r="C4" i="13" a="1"/>
  <c r="C16" i="13" a="1"/>
  <c r="C3" i="13" a="1"/>
  <c r="C6" i="13" a="1"/>
  <c r="C17" i="13" a="1"/>
  <c r="C25" i="13" a="1"/>
  <c r="C19" i="13" a="1"/>
  <c r="C8" i="13" a="1"/>
  <c r="C24" i="13" a="1"/>
  <c r="C13" i="13" a="1"/>
  <c r="C5" i="13" a="1"/>
  <c r="C7" i="13" a="1"/>
  <c r="C76" i="12" l="1"/>
  <c r="D76" i="12"/>
  <c r="G76" i="12"/>
  <c r="C25" i="13"/>
  <c r="C2" i="14"/>
  <c r="C20" i="17"/>
  <c r="F20" i="17"/>
  <c r="F19" i="17"/>
  <c r="C19" i="17"/>
  <c r="G19" i="17" s="1"/>
  <c r="C7" i="13"/>
  <c r="C17" i="13"/>
  <c r="C8" i="13"/>
  <c r="C18" i="13"/>
  <c r="C9" i="13"/>
  <c r="C19" i="13"/>
  <c r="C10" i="13"/>
  <c r="C20" i="13"/>
  <c r="C11" i="13"/>
  <c r="C21" i="13"/>
  <c r="C12" i="13"/>
  <c r="C22" i="13"/>
  <c r="C3" i="13"/>
  <c r="C13" i="13"/>
  <c r="C23" i="13"/>
  <c r="C4" i="13"/>
  <c r="C14" i="13"/>
  <c r="C24" i="13"/>
  <c r="C5" i="13"/>
  <c r="C15" i="13"/>
  <c r="C6" i="13"/>
  <c r="C16" i="13"/>
  <c r="C22" i="4"/>
  <c r="A140" i="12"/>
  <c r="A144" i="12"/>
  <c r="A143" i="12"/>
  <c r="A142" i="12"/>
  <c r="A141" i="12"/>
  <c r="A139" i="12"/>
  <c r="E138" i="12"/>
  <c r="E139" i="12" s="1"/>
  <c r="E140" i="12" s="1"/>
  <c r="E141" i="12" s="1"/>
  <c r="E142" i="12" s="1"/>
  <c r="E143" i="12" s="1"/>
  <c r="E144" i="12" s="1"/>
  <c r="A138" i="12"/>
  <c r="A137" i="12"/>
  <c r="A104" i="12"/>
  <c r="D104" i="12" a="1"/>
  <c r="D143" i="12" a="1"/>
  <c r="C104" i="12" a="1"/>
  <c r="G144" i="12" a="1"/>
  <c r="G121" i="12" a="1"/>
  <c r="C139" i="12" a="1"/>
  <c r="C142" i="12" a="1"/>
  <c r="G138" i="12" a="1"/>
  <c r="G140" i="12" a="1"/>
  <c r="D139" i="12" a="1"/>
  <c r="D141" i="12" a="1"/>
  <c r="D142" i="12" a="1"/>
  <c r="C138" i="12" a="1"/>
  <c r="D138" i="12" a="1"/>
  <c r="C141" i="12" a="1"/>
  <c r="C144" i="12" a="1"/>
  <c r="D137" i="12" a="1"/>
  <c r="D140" i="12" a="1"/>
  <c r="G139" i="12" a="1"/>
  <c r="G142" i="12" a="1"/>
  <c r="C140" i="12" a="1"/>
  <c r="C143" i="12" a="1"/>
  <c r="G141" i="12" a="1"/>
  <c r="G137" i="12" a="1"/>
  <c r="C137" i="12" a="1"/>
  <c r="G104" i="12" a="1"/>
  <c r="G143" i="12" a="1"/>
  <c r="D144" i="12" a="1"/>
  <c r="G20" i="17" l="1"/>
  <c r="G140" i="12"/>
  <c r="C140" i="12"/>
  <c r="D140" i="12"/>
  <c r="C144" i="12"/>
  <c r="D144" i="12"/>
  <c r="C143" i="12"/>
  <c r="G144" i="12"/>
  <c r="D143" i="12"/>
  <c r="G143" i="12"/>
  <c r="C142" i="12"/>
  <c r="D142" i="12"/>
  <c r="C141" i="12"/>
  <c r="G142" i="12"/>
  <c r="D141" i="12"/>
  <c r="G141" i="12"/>
  <c r="C139" i="12"/>
  <c r="D139" i="12"/>
  <c r="C138" i="12"/>
  <c r="G139" i="12"/>
  <c r="D138" i="12"/>
  <c r="C137" i="12"/>
  <c r="G138" i="12"/>
  <c r="D137" i="12"/>
  <c r="G137" i="12"/>
  <c r="C104" i="12"/>
  <c r="D104" i="12"/>
  <c r="G104" i="12"/>
  <c r="G121" i="12"/>
  <c r="A136" i="12"/>
  <c r="E135" i="12"/>
  <c r="E136" i="12" s="1"/>
  <c r="A135" i="12"/>
  <c r="A134" i="12"/>
  <c r="A20" i="11"/>
  <c r="A19" i="11"/>
  <c r="A10" i="17"/>
  <c r="E65" i="12"/>
  <c r="E66" i="12" s="1"/>
  <c r="E67" i="12" s="1"/>
  <c r="E68" i="12" s="1"/>
  <c r="E69" i="12" s="1"/>
  <c r="E70" i="12" s="1"/>
  <c r="E71" i="12" s="1"/>
  <c r="E72" i="12" s="1"/>
  <c r="E73" i="12" s="1"/>
  <c r="E74" i="12" s="1"/>
  <c r="A74" i="12"/>
  <c r="A73" i="12"/>
  <c r="A72" i="12"/>
  <c r="A71" i="12"/>
  <c r="A70" i="12"/>
  <c r="A69" i="12"/>
  <c r="A68" i="12"/>
  <c r="A67" i="12"/>
  <c r="A65" i="12"/>
  <c r="A64" i="12"/>
  <c r="F20" i="11" a="1"/>
  <c r="F19" i="11" a="1"/>
  <c r="F18" i="11" a="1"/>
  <c r="G68" i="12" a="1"/>
  <c r="G70" i="12" a="1"/>
  <c r="G64" i="12" a="1"/>
  <c r="G73" i="12" a="1"/>
  <c r="G72" i="12" a="1"/>
  <c r="G74" i="12" a="1"/>
  <c r="G65" i="12" a="1"/>
  <c r="D69" i="12" a="1"/>
  <c r="G71" i="12" a="1"/>
  <c r="G134" i="12" a="1"/>
  <c r="C134" i="12" a="1"/>
  <c r="D67" i="12" a="1"/>
  <c r="C70" i="12" a="1"/>
  <c r="C74" i="12" a="1"/>
  <c r="C136" i="12" a="1"/>
  <c r="D64" i="12" a="1"/>
  <c r="C72" i="12" a="1"/>
  <c r="D65" i="12" a="1"/>
  <c r="D71" i="12" a="1"/>
  <c r="G135" i="12" a="1"/>
  <c r="D74" i="12" a="1"/>
  <c r="C73" i="12" a="1"/>
  <c r="C71" i="12" a="1"/>
  <c r="D136" i="12" a="1"/>
  <c r="C67" i="12" a="1"/>
  <c r="D73" i="12" a="1"/>
  <c r="C69" i="12" a="1"/>
  <c r="D68" i="12" a="1"/>
  <c r="C64" i="12" a="1"/>
  <c r="D134" i="12" a="1"/>
  <c r="G67" i="12" a="1"/>
  <c r="C135" i="12" a="1"/>
  <c r="D72" i="12" a="1"/>
  <c r="D135" i="12" a="1"/>
  <c r="G69" i="12" a="1"/>
  <c r="G136" i="12" a="1"/>
  <c r="D70" i="12" a="1"/>
  <c r="C65" i="12" a="1"/>
  <c r="C68" i="12" a="1"/>
  <c r="C10" i="17" a="1"/>
  <c r="F10" i="17" a="1"/>
  <c r="F9" i="17" a="1"/>
  <c r="F8" i="17" a="1"/>
  <c r="F18" i="17" a="1"/>
  <c r="F7" i="17" a="1"/>
  <c r="F17" i="17" a="1"/>
  <c r="F6" i="17" a="1"/>
  <c r="F16" i="17" a="1"/>
  <c r="F5" i="17" a="1"/>
  <c r="F15" i="17" a="1"/>
  <c r="F4" i="17" a="1"/>
  <c r="F14" i="17" a="1"/>
  <c r="F3" i="17" a="1"/>
  <c r="F13" i="17" a="1"/>
  <c r="F12" i="17" a="1"/>
  <c r="F11" i="17" a="1"/>
  <c r="C136" i="12" l="1"/>
  <c r="D136" i="12"/>
  <c r="C135" i="12"/>
  <c r="G136" i="12"/>
  <c r="D135" i="12"/>
  <c r="C134" i="12"/>
  <c r="G135" i="12"/>
  <c r="D134" i="12"/>
  <c r="G134" i="12"/>
  <c r="F18" i="11"/>
  <c r="F19" i="11"/>
  <c r="F20" i="11"/>
  <c r="F10" i="17"/>
  <c r="C10" i="17"/>
  <c r="G10" i="17" s="1"/>
  <c r="F11" i="17"/>
  <c r="F12" i="17"/>
  <c r="F13" i="17"/>
  <c r="F3" i="17"/>
  <c r="F14" i="17"/>
  <c r="F4" i="17"/>
  <c r="F15" i="17"/>
  <c r="F5" i="17"/>
  <c r="F16" i="17"/>
  <c r="F6" i="17"/>
  <c r="F17" i="17"/>
  <c r="F7" i="17"/>
  <c r="F18" i="17"/>
  <c r="F8" i="17"/>
  <c r="F9" i="17"/>
  <c r="G70" i="12"/>
  <c r="C72" i="12"/>
  <c r="G73" i="12"/>
  <c r="C69" i="12"/>
  <c r="C67" i="12"/>
  <c r="D72" i="12"/>
  <c r="D69" i="12"/>
  <c r="D67" i="12"/>
  <c r="G72" i="12"/>
  <c r="G69" i="12"/>
  <c r="C74" i="12"/>
  <c r="G67" i="12"/>
  <c r="C71" i="12"/>
  <c r="C68" i="12"/>
  <c r="D74" i="12"/>
  <c r="D71" i="12"/>
  <c r="D68" i="12"/>
  <c r="G74" i="12"/>
  <c r="G71" i="12"/>
  <c r="G68" i="12"/>
  <c r="C73" i="12"/>
  <c r="C70" i="12"/>
  <c r="D73" i="12"/>
  <c r="D70" i="12"/>
  <c r="C65" i="12"/>
  <c r="D65" i="12"/>
  <c r="G65" i="12"/>
  <c r="C64" i="12"/>
  <c r="D64" i="12"/>
  <c r="G64" i="12"/>
  <c r="G17" i="12" a="1"/>
  <c r="G17" i="12" l="1"/>
  <c r="E35" i="2"/>
  <c r="A35" i="2"/>
  <c r="E22" i="2"/>
  <c r="A22" i="2"/>
  <c r="E37" i="2"/>
  <c r="A37" i="2"/>
  <c r="A118" i="12"/>
  <c r="A11" i="12"/>
  <c r="A17" i="12"/>
  <c r="C3" i="8" a="1"/>
  <c r="C5" i="6" a="1"/>
  <c r="C2" i="6" a="1"/>
  <c r="C7" i="6" a="1"/>
  <c r="C4" i="6" a="1"/>
  <c r="C13" i="6" a="1"/>
  <c r="C10" i="6" a="1"/>
  <c r="C35" i="2" a="1"/>
  <c r="C37" i="2" a="1"/>
  <c r="C11" i="6" a="1"/>
  <c r="C2" i="8" a="1"/>
  <c r="C3" i="6" a="1"/>
  <c r="C8" i="6" a="1"/>
  <c r="C6" i="6" a="1"/>
  <c r="C12" i="6" a="1"/>
  <c r="C22" i="2" a="1"/>
  <c r="C9" i="6" a="1"/>
  <c r="G96" i="12" a="1"/>
  <c r="D60" i="12" a="1"/>
  <c r="D109" i="12" a="1"/>
  <c r="D24" i="12" a="1"/>
  <c r="G110" i="12" a="1"/>
  <c r="G45" i="12" a="1"/>
  <c r="D86" i="12" a="1"/>
  <c r="G59" i="12" a="1"/>
  <c r="D29" i="12" a="1"/>
  <c r="D46" i="12" a="1"/>
  <c r="D85" i="12" a="1"/>
  <c r="D47" i="12" a="1"/>
  <c r="G9" i="12" a="1"/>
  <c r="G123" i="12" a="1"/>
  <c r="D27" i="12" a="1"/>
  <c r="D119" i="12" a="1"/>
  <c r="D42" i="12" a="1"/>
  <c r="G115" i="12" a="1"/>
  <c r="D90" i="12" a="1"/>
  <c r="G131" i="12" a="1"/>
  <c r="D114" i="12" a="1"/>
  <c r="G91" i="12" a="1"/>
  <c r="D8" i="12" a="1"/>
  <c r="D128" i="12" a="1"/>
  <c r="D30" i="12" a="1"/>
  <c r="G132" i="12" a="1"/>
  <c r="G15" i="12" a="1"/>
  <c r="D123" i="12" a="1"/>
  <c r="G105" i="12" a="1"/>
  <c r="D105" i="12" a="1"/>
  <c r="G92" i="12" a="1"/>
  <c r="G52" i="12" a="1"/>
  <c r="G128" i="12" a="1"/>
  <c r="G101" i="12" a="1"/>
  <c r="G113" i="12" a="1"/>
  <c r="G26" i="12" a="1"/>
  <c r="D20" i="12" a="1"/>
  <c r="D6" i="12" a="1"/>
  <c r="G63" i="12" a="1"/>
  <c r="G54" i="12" a="1"/>
  <c r="D129" i="12" a="1"/>
  <c r="D94" i="12" a="1"/>
  <c r="G35" i="12" a="1"/>
  <c r="D51" i="12" a="1"/>
  <c r="D106" i="12" a="1"/>
  <c r="G5" i="12" a="1"/>
  <c r="D14" i="12" a="1"/>
  <c r="D130" i="12" a="1"/>
  <c r="D87" i="12" a="1"/>
  <c r="D33" i="12" a="1"/>
  <c r="D84" i="12" a="1"/>
  <c r="D43" i="12" a="1"/>
  <c r="G42" i="12" a="1"/>
  <c r="D35" i="12" a="1"/>
  <c r="D16" i="12" a="1"/>
  <c r="G29" i="12" a="1"/>
  <c r="G122" i="12" a="1"/>
  <c r="D63" i="12" a="1"/>
  <c r="G58" i="12" a="1"/>
  <c r="G119" i="12" a="1"/>
  <c r="G79" i="12" a="1"/>
  <c r="D19" i="12" a="1"/>
  <c r="G129" i="12" a="1"/>
  <c r="G120" i="12" a="1"/>
  <c r="C11" i="12" a="1"/>
  <c r="G107" i="12" a="1"/>
  <c r="D118" i="12" a="1"/>
  <c r="D25" i="12" a="1"/>
  <c r="D58" i="12" a="1"/>
  <c r="D10" i="12" a="1"/>
  <c r="G44" i="12" a="1"/>
  <c r="D54" i="12" a="1"/>
  <c r="G78" i="12" a="1"/>
  <c r="G25" i="12" a="1"/>
  <c r="G99" i="12" a="1"/>
  <c r="G2" i="12" a="1"/>
  <c r="G24" i="12" a="1"/>
  <c r="D23" i="12" a="1"/>
  <c r="D52" i="12" a="1"/>
  <c r="D117" i="12" a="1"/>
  <c r="G87" i="12" a="1"/>
  <c r="G11" i="12" a="1"/>
  <c r="G18" i="12" a="1"/>
  <c r="G83" i="12" a="1"/>
  <c r="D88" i="12" a="1"/>
  <c r="D120" i="12" a="1"/>
  <c r="G116" i="12" a="1"/>
  <c r="D40" i="12" a="1"/>
  <c r="G28" i="12" a="1"/>
  <c r="G49" i="12" a="1"/>
  <c r="D31" i="12" a="1"/>
  <c r="G41" i="12" a="1"/>
  <c r="D113" i="12" a="1"/>
  <c r="G46" i="12" a="1"/>
  <c r="D77" i="12" a="1"/>
  <c r="G95" i="12" a="1"/>
  <c r="D79" i="12" a="1"/>
  <c r="C17" i="12" a="1"/>
  <c r="D132" i="12" a="1"/>
  <c r="G36" i="12" a="1"/>
  <c r="D92" i="12" a="1"/>
  <c r="G13" i="12" a="1"/>
  <c r="D103" i="12" a="1"/>
  <c r="D49" i="12" a="1"/>
  <c r="D50" i="12" a="1"/>
  <c r="D18" i="12" a="1"/>
  <c r="G93" i="12" a="1"/>
  <c r="G100" i="12" a="1"/>
  <c r="G118" i="12" a="1"/>
  <c r="G80" i="12" a="1"/>
  <c r="G40" i="12" a="1"/>
  <c r="D97" i="12" a="1"/>
  <c r="D26" i="12" a="1"/>
  <c r="G6" i="12" a="1"/>
  <c r="D39" i="12" a="1"/>
  <c r="G85" i="12" a="1"/>
  <c r="D98" i="12" a="1"/>
  <c r="G77" i="12" a="1"/>
  <c r="D41" i="12" a="1"/>
  <c r="G60" i="12" a="1"/>
  <c r="D95" i="12" a="1"/>
  <c r="G47" i="12" a="1"/>
  <c r="G94" i="12" a="1"/>
  <c r="G30" i="12" a="1"/>
  <c r="G51" i="12" a="1"/>
  <c r="D9" i="12" a="1"/>
  <c r="D61" i="12" a="1"/>
  <c r="C118" i="12" a="1"/>
  <c r="G125" i="12" a="1"/>
  <c r="G102" i="12" a="1"/>
  <c r="D125" i="12" a="1"/>
  <c r="G62" i="12" a="1"/>
  <c r="G31" i="12" a="1"/>
  <c r="D91" i="12" a="1"/>
  <c r="G127" i="12" a="1"/>
  <c r="D21" i="12" a="1"/>
  <c r="D93" i="12" a="1"/>
  <c r="D48" i="12" a="1"/>
  <c r="D57" i="12" a="1"/>
  <c r="G117" i="12" a="1"/>
  <c r="D55" i="12" a="1"/>
  <c r="G75" i="12" a="1"/>
  <c r="G108" i="12" a="1"/>
  <c r="D115" i="12" a="1"/>
  <c r="D34" i="12" a="1"/>
  <c r="G27" i="12" a="1"/>
  <c r="G12" i="12" a="1"/>
  <c r="D112" i="12" a="1"/>
  <c r="G124" i="12" a="1"/>
  <c r="G14" i="12" a="1"/>
  <c r="G133" i="12" a="1"/>
  <c r="G38" i="12" a="1"/>
  <c r="G106" i="12" a="1"/>
  <c r="D96" i="12" a="1"/>
  <c r="D101" i="12" a="1"/>
  <c r="G50" i="12" a="1"/>
  <c r="G39" i="12" a="1"/>
  <c r="D28" i="12" a="1"/>
  <c r="G53" i="12" a="1"/>
  <c r="D32" i="12" a="1"/>
  <c r="D133" i="12" a="1"/>
  <c r="D83" i="12" a="1"/>
  <c r="D13" i="12" a="1"/>
  <c r="D131" i="12" a="1"/>
  <c r="G86" i="12" a="1"/>
  <c r="G55" i="12" a="1"/>
  <c r="D38" i="12" a="1"/>
  <c r="D127" i="12" a="1"/>
  <c r="D75" i="12" a="1"/>
  <c r="G23" i="12" a="1"/>
  <c r="D59" i="12" a="1"/>
  <c r="G7" i="12" a="1"/>
  <c r="G109" i="12" a="1"/>
  <c r="D37" i="12" a="1"/>
  <c r="G103" i="12" a="1"/>
  <c r="G97" i="12" a="1"/>
  <c r="D78" i="12" a="1"/>
  <c r="D102" i="12" a="1"/>
  <c r="G10" i="12" a="1"/>
  <c r="G61" i="12" a="1"/>
  <c r="D121" i="12" a="1"/>
  <c r="D22" i="12" a="1"/>
  <c r="D107" i="12" a="1"/>
  <c r="G34" i="12" a="1"/>
  <c r="D3" i="12" a="1"/>
  <c r="G22" i="12" a="1"/>
  <c r="D99" i="12" a="1"/>
  <c r="G33" i="12" a="1"/>
  <c r="G112" i="12" a="1"/>
  <c r="D15" i="12" a="1"/>
  <c r="G130" i="12" a="1"/>
  <c r="D12" i="12" a="1"/>
  <c r="G111" i="12" a="1"/>
  <c r="G4" i="12" a="1"/>
  <c r="D110" i="12" a="1"/>
  <c r="G19" i="12" a="1"/>
  <c r="D126" i="12" a="1"/>
  <c r="G114" i="12" a="1"/>
  <c r="G90" i="12" a="1"/>
  <c r="D36" i="12" a="1"/>
  <c r="G21" i="12" a="1"/>
  <c r="D108" i="12" a="1"/>
  <c r="G126" i="12" a="1"/>
  <c r="D116" i="12" a="1"/>
  <c r="G88" i="12" a="1"/>
  <c r="D89" i="12" a="1"/>
  <c r="D53" i="12" a="1"/>
  <c r="D17" i="12" a="1"/>
  <c r="G32" i="12" a="1"/>
  <c r="G56" i="12" a="1"/>
  <c r="G98" i="12" a="1"/>
  <c r="G89" i="12" a="1"/>
  <c r="D44" i="12" a="1"/>
  <c r="D45" i="12" a="1"/>
  <c r="G8" i="12" a="1"/>
  <c r="D56" i="12" a="1"/>
  <c r="D124" i="12" a="1"/>
  <c r="D5" i="12" a="1"/>
  <c r="G84" i="12" a="1"/>
  <c r="G57" i="12" a="1"/>
  <c r="D7" i="12" a="1"/>
  <c r="D122" i="12" a="1"/>
  <c r="G48" i="12" a="1"/>
  <c r="G43" i="12" a="1"/>
  <c r="G37" i="12" a="1"/>
  <c r="D4" i="12" a="1"/>
  <c r="D62" i="12" a="1"/>
  <c r="G3" i="12" a="1"/>
  <c r="G16" i="12" a="1"/>
  <c r="D80" i="12" a="1"/>
  <c r="D100" i="12" a="1"/>
  <c r="D111" i="12" a="1"/>
  <c r="D2" i="12" a="1"/>
  <c r="G20" i="12" a="1"/>
  <c r="D11" i="12" a="1"/>
  <c r="C8" i="17" a="1"/>
  <c r="C13" i="17" a="1"/>
  <c r="C18" i="17" a="1"/>
  <c r="C16" i="17" a="1"/>
  <c r="C2" i="17" a="1"/>
  <c r="C5" i="17" a="1"/>
  <c r="C11" i="17" a="1"/>
  <c r="C14" i="17" a="1"/>
  <c r="C17" i="17" a="1"/>
  <c r="C4" i="17" a="1"/>
  <c r="C15" i="17" a="1"/>
  <c r="C9" i="17" a="1"/>
  <c r="C12" i="17" a="1"/>
  <c r="C6" i="17" a="1"/>
  <c r="C7" i="17" a="1"/>
  <c r="C3" i="17" a="1"/>
  <c r="C2" i="10" a="1"/>
  <c r="G8" i="12" l="1"/>
  <c r="G26" i="12"/>
  <c r="G40" i="12"/>
  <c r="G58" i="12"/>
  <c r="G85" i="12"/>
  <c r="G99" i="12"/>
  <c r="G117" i="12"/>
  <c r="G9" i="12"/>
  <c r="G27" i="12"/>
  <c r="G41" i="12"/>
  <c r="G59" i="12"/>
  <c r="G86" i="12"/>
  <c r="G100" i="12"/>
  <c r="G118" i="12"/>
  <c r="G10" i="12"/>
  <c r="G28" i="12"/>
  <c r="G46" i="12"/>
  <c r="G60" i="12"/>
  <c r="G87" i="12"/>
  <c r="G106" i="12"/>
  <c r="G119" i="12"/>
  <c r="G11" i="12"/>
  <c r="G29" i="12"/>
  <c r="G47" i="12"/>
  <c r="G61" i="12"/>
  <c r="G88" i="12"/>
  <c r="G107" i="12"/>
  <c r="G120" i="12"/>
  <c r="G16" i="12"/>
  <c r="G30" i="12"/>
  <c r="G48" i="12"/>
  <c r="G79" i="12"/>
  <c r="G89" i="12"/>
  <c r="G124" i="12"/>
  <c r="G31" i="12"/>
  <c r="G49" i="12"/>
  <c r="G78" i="12"/>
  <c r="G90" i="12"/>
  <c r="G108" i="12"/>
  <c r="G125" i="12"/>
  <c r="G18" i="12"/>
  <c r="G36" i="12"/>
  <c r="G50" i="12"/>
  <c r="G95" i="12"/>
  <c r="G109" i="12"/>
  <c r="G126" i="12"/>
  <c r="G19" i="12"/>
  <c r="G37" i="12"/>
  <c r="G51" i="12"/>
  <c r="G96" i="12"/>
  <c r="G110" i="12"/>
  <c r="G127" i="12"/>
  <c r="G6" i="12"/>
  <c r="G20" i="12"/>
  <c r="G38" i="12"/>
  <c r="G56" i="12"/>
  <c r="G97" i="12"/>
  <c r="G115" i="12"/>
  <c r="G128" i="12"/>
  <c r="G7" i="12"/>
  <c r="G21" i="12"/>
  <c r="G39" i="12"/>
  <c r="G57" i="12"/>
  <c r="G98" i="12"/>
  <c r="G116" i="12"/>
  <c r="G129" i="12"/>
  <c r="G12" i="12"/>
  <c r="G22" i="12"/>
  <c r="G32" i="12"/>
  <c r="G42" i="12"/>
  <c r="G52" i="12"/>
  <c r="G62" i="12"/>
  <c r="G91" i="12"/>
  <c r="G101" i="12"/>
  <c r="G111" i="12"/>
  <c r="G130" i="12"/>
  <c r="G3" i="12"/>
  <c r="G13" i="12"/>
  <c r="G23" i="12"/>
  <c r="G33" i="12"/>
  <c r="G43" i="12"/>
  <c r="G53" i="12"/>
  <c r="G63" i="12"/>
  <c r="G80" i="12"/>
  <c r="G92" i="12"/>
  <c r="G102" i="12"/>
  <c r="G112" i="12"/>
  <c r="G131" i="12"/>
  <c r="G4" i="12"/>
  <c r="G14" i="12"/>
  <c r="G24" i="12"/>
  <c r="G34" i="12"/>
  <c r="G44" i="12"/>
  <c r="G54" i="12"/>
  <c r="G75" i="12"/>
  <c r="G83" i="12"/>
  <c r="G93" i="12"/>
  <c r="G103" i="12"/>
  <c r="G113" i="12"/>
  <c r="G122" i="12"/>
  <c r="G132" i="12"/>
  <c r="G5" i="12"/>
  <c r="G15" i="12"/>
  <c r="G25" i="12"/>
  <c r="G35" i="12"/>
  <c r="G45" i="12"/>
  <c r="G55" i="12"/>
  <c r="G77" i="12"/>
  <c r="G84" i="12"/>
  <c r="G94" i="12"/>
  <c r="G105" i="12"/>
  <c r="G114" i="12"/>
  <c r="G123" i="12"/>
  <c r="G133" i="12"/>
  <c r="C35" i="2"/>
  <c r="C22" i="2"/>
  <c r="C37" i="2"/>
  <c r="D26" i="12"/>
  <c r="D79" i="12"/>
  <c r="D106" i="12"/>
  <c r="D19" i="12"/>
  <c r="D57" i="12"/>
  <c r="D125" i="12"/>
  <c r="D20" i="12"/>
  <c r="D38" i="12"/>
  <c r="D48" i="12"/>
  <c r="D58" i="12"/>
  <c r="D87" i="12"/>
  <c r="D97" i="12"/>
  <c r="D117" i="12"/>
  <c r="D126" i="12"/>
  <c r="D11" i="12"/>
  <c r="D21" i="12"/>
  <c r="D29" i="12"/>
  <c r="D39" i="12"/>
  <c r="D49" i="12"/>
  <c r="D59" i="12"/>
  <c r="D88" i="12"/>
  <c r="D98" i="12"/>
  <c r="D108" i="12"/>
  <c r="D118" i="12"/>
  <c r="D127" i="12"/>
  <c r="D12" i="12"/>
  <c r="D22" i="12"/>
  <c r="D30" i="12"/>
  <c r="D40" i="12"/>
  <c r="D50" i="12"/>
  <c r="D60" i="12"/>
  <c r="D89" i="12"/>
  <c r="D99" i="12"/>
  <c r="D109" i="12"/>
  <c r="D119" i="12"/>
  <c r="D128" i="12"/>
  <c r="D46" i="12"/>
  <c r="D124" i="12"/>
  <c r="D37" i="12"/>
  <c r="D96" i="12"/>
  <c r="D110" i="12"/>
  <c r="D8" i="12"/>
  <c r="D36" i="12"/>
  <c r="D85" i="12"/>
  <c r="D95" i="12"/>
  <c r="D27" i="12"/>
  <c r="D78" i="12"/>
  <c r="D107" i="12"/>
  <c r="D28" i="12"/>
  <c r="D3" i="12"/>
  <c r="D23" i="12"/>
  <c r="D41" i="12"/>
  <c r="D51" i="12"/>
  <c r="D100" i="12"/>
  <c r="D120" i="12"/>
  <c r="D4" i="12"/>
  <c r="D24" i="12"/>
  <c r="D42" i="12"/>
  <c r="D62" i="12"/>
  <c r="D91" i="12"/>
  <c r="D111" i="12"/>
  <c r="D5" i="12"/>
  <c r="D15" i="12"/>
  <c r="D25" i="12"/>
  <c r="D43" i="12"/>
  <c r="D53" i="12"/>
  <c r="D63" i="12"/>
  <c r="D80" i="12"/>
  <c r="D102" i="12"/>
  <c r="D112" i="12"/>
  <c r="D121" i="12"/>
  <c r="D131" i="12"/>
  <c r="D6" i="12"/>
  <c r="D16" i="12"/>
  <c r="D34" i="12"/>
  <c r="D54" i="12"/>
  <c r="D75" i="12"/>
  <c r="D83" i="12"/>
  <c r="D93" i="12"/>
  <c r="D103" i="12"/>
  <c r="D113" i="12"/>
  <c r="D122" i="12"/>
  <c r="D132" i="12"/>
  <c r="D7" i="12"/>
  <c r="D17" i="12"/>
  <c r="D35" i="12"/>
  <c r="D45" i="12"/>
  <c r="D55" i="12"/>
  <c r="D77" i="12"/>
  <c r="D84" i="12"/>
  <c r="D94" i="12"/>
  <c r="D105" i="12"/>
  <c r="D114" i="12"/>
  <c r="D123" i="12"/>
  <c r="D133" i="12"/>
  <c r="D18" i="12"/>
  <c r="D56" i="12"/>
  <c r="D115" i="12"/>
  <c r="D9" i="12"/>
  <c r="D47" i="12"/>
  <c r="D86" i="12"/>
  <c r="D116" i="12"/>
  <c r="D10" i="12"/>
  <c r="D13" i="12"/>
  <c r="D31" i="12"/>
  <c r="D61" i="12"/>
  <c r="D90" i="12"/>
  <c r="D129" i="12"/>
  <c r="D14" i="12"/>
  <c r="D32" i="12"/>
  <c r="D52" i="12"/>
  <c r="D101" i="12"/>
  <c r="D130" i="12"/>
  <c r="D33" i="12"/>
  <c r="D92" i="12"/>
  <c r="D44" i="12"/>
  <c r="D2" i="12"/>
  <c r="C118" i="12"/>
  <c r="C11" i="12"/>
  <c r="C2" i="6"/>
  <c r="C4" i="6"/>
  <c r="C5" i="6"/>
  <c r="C6" i="6"/>
  <c r="C7" i="6"/>
  <c r="C8" i="6"/>
  <c r="C9" i="6"/>
  <c r="C10" i="6"/>
  <c r="C11" i="6"/>
  <c r="C12" i="6"/>
  <c r="C3" i="6"/>
  <c r="C13" i="6"/>
  <c r="C2" i="17"/>
  <c r="C11" i="17"/>
  <c r="G11" i="17" s="1"/>
  <c r="C13" i="17"/>
  <c r="G13" i="17" s="1"/>
  <c r="C3" i="17"/>
  <c r="G3" i="17" s="1"/>
  <c r="C4" i="17"/>
  <c r="G4" i="17" s="1"/>
  <c r="C18" i="17"/>
  <c r="G18" i="17" s="1"/>
  <c r="C8" i="17"/>
  <c r="G8" i="17" s="1"/>
  <c r="C9" i="17"/>
  <c r="G9" i="17" s="1"/>
  <c r="C12" i="17"/>
  <c r="G12" i="17" s="1"/>
  <c r="C14" i="17"/>
  <c r="G14" i="17" s="1"/>
  <c r="C15" i="17"/>
  <c r="G15" i="17" s="1"/>
  <c r="C5" i="17"/>
  <c r="G5" i="17" s="1"/>
  <c r="C16" i="17"/>
  <c r="G16" i="17" s="1"/>
  <c r="C6" i="17"/>
  <c r="G6" i="17" s="1"/>
  <c r="C17" i="17"/>
  <c r="G17" i="17" s="1"/>
  <c r="C7" i="17"/>
  <c r="G7" i="17" s="1"/>
  <c r="C2" i="10"/>
  <c r="C2" i="8"/>
  <c r="C3" i="8"/>
  <c r="C17" i="12"/>
  <c r="G2" i="12"/>
  <c r="A10" i="14"/>
  <c r="A9" i="14"/>
  <c r="A8" i="13"/>
  <c r="E38" i="2"/>
  <c r="E36" i="2"/>
  <c r="E34" i="2"/>
  <c r="E33" i="2"/>
  <c r="E32" i="2"/>
  <c r="E31" i="2"/>
  <c r="E30" i="2"/>
  <c r="E29" i="2"/>
  <c r="E28" i="2"/>
  <c r="E27" i="2"/>
  <c r="E26" i="2"/>
  <c r="E25" i="2"/>
  <c r="E24" i="2"/>
  <c r="E23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  <c r="E2" i="2"/>
  <c r="A91" i="12"/>
  <c r="E88" i="12"/>
  <c r="I10" i="6" a="1"/>
  <c r="I9" i="6" a="1"/>
  <c r="I12" i="6" a="1"/>
  <c r="I4" i="6" a="1"/>
  <c r="I7" i="6" a="1"/>
  <c r="I13" i="6" a="1"/>
  <c r="I5" i="6" a="1"/>
  <c r="I11" i="6" a="1"/>
  <c r="I2" i="6" a="1"/>
  <c r="I8" i="6" a="1"/>
  <c r="I6" i="6" a="1"/>
  <c r="I3" i="6" a="1"/>
  <c r="I4" i="6" l="1"/>
  <c r="I9" i="6"/>
  <c r="I3" i="6"/>
  <c r="I13" i="6"/>
  <c r="I5" i="6"/>
  <c r="I6" i="6"/>
  <c r="I7" i="6"/>
  <c r="I8" i="6"/>
  <c r="I10" i="6"/>
  <c r="I11" i="6"/>
  <c r="I12" i="6"/>
  <c r="I2" i="6"/>
  <c r="A46" i="12"/>
  <c r="E89" i="12"/>
  <c r="E90" i="12" s="1"/>
  <c r="E91" i="12" s="1"/>
  <c r="E92" i="12" s="1"/>
  <c r="E93" i="12" s="1"/>
  <c r="G18" i="4" a="1"/>
  <c r="G5" i="4" a="1"/>
  <c r="G9" i="4" a="1"/>
  <c r="G17" i="4" a="1"/>
  <c r="G11" i="4" a="1"/>
  <c r="G3" i="4" a="1"/>
  <c r="G13" i="4" a="1"/>
  <c r="G6" i="4" a="1"/>
  <c r="G7" i="4" a="1"/>
  <c r="G16" i="4" a="1"/>
  <c r="G19" i="4" a="1"/>
  <c r="G4" i="4" a="1"/>
  <c r="G21" i="4" a="1"/>
  <c r="G14" i="4" a="1"/>
  <c r="G8" i="4" a="1"/>
  <c r="G12" i="4" a="1"/>
  <c r="G15" i="4" a="1"/>
  <c r="G10" i="4" a="1"/>
  <c r="G20" i="4" a="1"/>
  <c r="G2" i="4" a="1"/>
  <c r="C91" i="12" a="1"/>
  <c r="C46" i="12" a="1"/>
  <c r="C2" i="12" a="1"/>
  <c r="C91" i="12" l="1"/>
  <c r="G21" i="4"/>
  <c r="G15" i="4"/>
  <c r="G5" i="4"/>
  <c r="G3" i="4"/>
  <c r="G20" i="4"/>
  <c r="G10" i="4"/>
  <c r="G18" i="4"/>
  <c r="G4" i="4"/>
  <c r="G13" i="4"/>
  <c r="G2" i="4"/>
  <c r="G14" i="4"/>
  <c r="G12" i="4"/>
  <c r="G11" i="4"/>
  <c r="G17" i="4"/>
  <c r="G7" i="4"/>
  <c r="G19" i="4"/>
  <c r="G16" i="4"/>
  <c r="G9" i="4"/>
  <c r="G6" i="4"/>
  <c r="C2" i="12"/>
  <c r="G8" i="4"/>
  <c r="C46" i="12"/>
  <c r="A3" i="7" l="1"/>
  <c r="A3" i="8"/>
  <c r="A132" i="12"/>
  <c r="A36" i="14"/>
  <c r="A35" i="14"/>
  <c r="A34" i="14"/>
  <c r="A19" i="13"/>
  <c r="A15" i="13"/>
  <c r="A11" i="13"/>
  <c r="A97" i="12"/>
  <c r="A86" i="12"/>
  <c r="A63" i="12"/>
  <c r="E14" i="12"/>
  <c r="E15" i="12" s="1"/>
  <c r="E16" i="12" s="1"/>
  <c r="E17" i="12" s="1"/>
  <c r="E18" i="12" s="1"/>
  <c r="E19" i="12" s="1"/>
  <c r="E20" i="12" s="1"/>
  <c r="E21" i="12" s="1"/>
  <c r="E22" i="12" s="1"/>
  <c r="E23" i="12" s="1"/>
  <c r="E24" i="12" s="1"/>
  <c r="E25" i="12" s="1"/>
  <c r="E26" i="12" s="1"/>
  <c r="A33" i="14"/>
  <c r="A32" i="14"/>
  <c r="A31" i="14"/>
  <c r="A21" i="14"/>
  <c r="A20" i="14"/>
  <c r="A18" i="13"/>
  <c r="A96" i="12"/>
  <c r="E95" i="12"/>
  <c r="E96" i="12" s="1"/>
  <c r="E97" i="12" s="1"/>
  <c r="A95" i="12"/>
  <c r="A94" i="12"/>
  <c r="A18" i="17"/>
  <c r="A17" i="17"/>
  <c r="A16" i="17"/>
  <c r="A15" i="17"/>
  <c r="A14" i="17"/>
  <c r="A13" i="17"/>
  <c r="A12" i="17"/>
  <c r="A11" i="17"/>
  <c r="A9" i="17"/>
  <c r="A8" i="17"/>
  <c r="A7" i="17"/>
  <c r="A6" i="17"/>
  <c r="A5" i="17"/>
  <c r="A4" i="17"/>
  <c r="A3" i="17"/>
  <c r="A14" i="11"/>
  <c r="A2" i="17"/>
  <c r="A2" i="7"/>
  <c r="A92" i="12"/>
  <c r="A15" i="14"/>
  <c r="A14" i="14"/>
  <c r="A30" i="14"/>
  <c r="A29" i="14"/>
  <c r="A28" i="14"/>
  <c r="A27" i="14"/>
  <c r="A26" i="14"/>
  <c r="A25" i="14"/>
  <c r="A24" i="14"/>
  <c r="A23" i="14"/>
  <c r="A22" i="14"/>
  <c r="A19" i="14"/>
  <c r="A18" i="14"/>
  <c r="A17" i="14"/>
  <c r="A16" i="14"/>
  <c r="A13" i="14"/>
  <c r="A12" i="14"/>
  <c r="A11" i="14"/>
  <c r="A8" i="14"/>
  <c r="A7" i="14"/>
  <c r="A6" i="14"/>
  <c r="A5" i="14"/>
  <c r="A4" i="14"/>
  <c r="A3" i="14"/>
  <c r="A2" i="14"/>
  <c r="A21" i="4"/>
  <c r="A20" i="4"/>
  <c r="A19" i="4"/>
  <c r="A2" i="13"/>
  <c r="A24" i="13"/>
  <c r="A23" i="13"/>
  <c r="A22" i="13"/>
  <c r="A21" i="13"/>
  <c r="A20" i="13"/>
  <c r="A17" i="13"/>
  <c r="A16" i="13"/>
  <c r="A14" i="13"/>
  <c r="A13" i="13"/>
  <c r="A12" i="13"/>
  <c r="A10" i="13"/>
  <c r="A9" i="13"/>
  <c r="A7" i="13"/>
  <c r="A6" i="13"/>
  <c r="A4" i="13"/>
  <c r="A5" i="13"/>
  <c r="A3" i="13"/>
  <c r="A133" i="12"/>
  <c r="A131" i="12"/>
  <c r="E130" i="12"/>
  <c r="E131" i="12" s="1"/>
  <c r="E132" i="12" s="1"/>
  <c r="E133" i="12" s="1"/>
  <c r="A130" i="12"/>
  <c r="A129" i="12"/>
  <c r="A12" i="12"/>
  <c r="A10" i="12"/>
  <c r="A9" i="12"/>
  <c r="A8" i="12"/>
  <c r="A7" i="12"/>
  <c r="A6" i="12"/>
  <c r="A5" i="12"/>
  <c r="A4" i="12"/>
  <c r="E3" i="12"/>
  <c r="E4" i="12" s="1"/>
  <c r="E5" i="12" s="1"/>
  <c r="E6" i="12" s="1"/>
  <c r="E7" i="12" s="1"/>
  <c r="E8" i="12" s="1"/>
  <c r="E9" i="12" s="1"/>
  <c r="E10" i="12" s="1"/>
  <c r="E11" i="12" s="1"/>
  <c r="E12" i="12" s="1"/>
  <c r="A3" i="12"/>
  <c r="A2" i="12"/>
  <c r="A128" i="12"/>
  <c r="A127" i="12"/>
  <c r="A126" i="12"/>
  <c r="E125" i="12"/>
  <c r="E126" i="12" s="1"/>
  <c r="E127" i="12" s="1"/>
  <c r="E128" i="12" s="1"/>
  <c r="A125" i="12"/>
  <c r="A124" i="12"/>
  <c r="A123" i="12"/>
  <c r="A122" i="12"/>
  <c r="A121" i="12"/>
  <c r="E122" i="12"/>
  <c r="E123" i="12" s="1"/>
  <c r="A120" i="12"/>
  <c r="A119" i="12"/>
  <c r="A117" i="12"/>
  <c r="A116" i="12"/>
  <c r="A115" i="12"/>
  <c r="A114" i="12"/>
  <c r="A113" i="12"/>
  <c r="A112" i="12"/>
  <c r="A111" i="12"/>
  <c r="A110" i="12"/>
  <c r="A109" i="12"/>
  <c r="A108" i="12"/>
  <c r="A107" i="12"/>
  <c r="A106" i="12"/>
  <c r="A105" i="12"/>
  <c r="A103" i="12"/>
  <c r="A102" i="12"/>
  <c r="A101" i="12"/>
  <c r="A100" i="12"/>
  <c r="E99" i="12"/>
  <c r="E100" i="12" s="1"/>
  <c r="E101" i="12" s="1"/>
  <c r="E102" i="12" s="1"/>
  <c r="E103" i="12" s="1"/>
  <c r="E104" i="12" s="1"/>
  <c r="E105" i="12" s="1"/>
  <c r="E106" i="12" s="1"/>
  <c r="E107" i="12" s="1"/>
  <c r="E108" i="12" s="1"/>
  <c r="E109" i="12" s="1"/>
  <c r="E110" i="12" s="1"/>
  <c r="E111" i="12" s="1"/>
  <c r="E112" i="12" s="1"/>
  <c r="E113" i="12" s="1"/>
  <c r="E114" i="12" s="1"/>
  <c r="E115" i="12" s="1"/>
  <c r="E116" i="12" s="1"/>
  <c r="E117" i="12" s="1"/>
  <c r="E118" i="12" s="1"/>
  <c r="E119" i="12" s="1"/>
  <c r="A99" i="12"/>
  <c r="A98" i="12"/>
  <c r="A93" i="12"/>
  <c r="A90" i="12"/>
  <c r="A89" i="12"/>
  <c r="A88" i="12"/>
  <c r="A87" i="12"/>
  <c r="A85" i="12"/>
  <c r="E84" i="12"/>
  <c r="E85" i="12" s="1"/>
  <c r="E86" i="12" s="1"/>
  <c r="A84" i="12"/>
  <c r="A83" i="12"/>
  <c r="A80" i="12"/>
  <c r="A78" i="12"/>
  <c r="A79" i="12"/>
  <c r="A77" i="12"/>
  <c r="A75" i="12"/>
  <c r="A62" i="12"/>
  <c r="E61" i="12"/>
  <c r="E62" i="12" s="1"/>
  <c r="E63" i="12" s="1"/>
  <c r="A61" i="12"/>
  <c r="A60" i="12"/>
  <c r="A59" i="12"/>
  <c r="A58" i="12"/>
  <c r="A57" i="12"/>
  <c r="A56" i="12"/>
  <c r="E55" i="12"/>
  <c r="E56" i="12" s="1"/>
  <c r="E57" i="12" s="1"/>
  <c r="E58" i="12" s="1"/>
  <c r="E59" i="12" s="1"/>
  <c r="A55" i="12"/>
  <c r="A54" i="12"/>
  <c r="A53" i="12"/>
  <c r="A52" i="12"/>
  <c r="A51" i="12"/>
  <c r="A50" i="12"/>
  <c r="A49" i="12"/>
  <c r="E48" i="12"/>
  <c r="E49" i="12" s="1"/>
  <c r="E50" i="12" s="1"/>
  <c r="E51" i="12" s="1"/>
  <c r="E52" i="12" s="1"/>
  <c r="E53" i="12" s="1"/>
  <c r="A48" i="12"/>
  <c r="A47" i="12"/>
  <c r="A45" i="12"/>
  <c r="A44" i="12"/>
  <c r="A43" i="12"/>
  <c r="E42" i="12"/>
  <c r="E43" i="12" s="1"/>
  <c r="E44" i="12" s="1"/>
  <c r="E45" i="12" s="1"/>
  <c r="E46" i="12" s="1"/>
  <c r="A42" i="12"/>
  <c r="A41" i="12"/>
  <c r="A29" i="12"/>
  <c r="E28" i="12"/>
  <c r="E29" i="12" s="1"/>
  <c r="A28" i="12"/>
  <c r="A27" i="12"/>
  <c r="A36" i="12"/>
  <c r="A40" i="12"/>
  <c r="A39" i="12"/>
  <c r="A38" i="12"/>
  <c r="A37" i="12"/>
  <c r="A35" i="12"/>
  <c r="A34" i="12"/>
  <c r="A33" i="12"/>
  <c r="A32" i="12"/>
  <c r="E31" i="12"/>
  <c r="E32" i="12" s="1"/>
  <c r="E33" i="12" s="1"/>
  <c r="E34" i="12" s="1"/>
  <c r="E35" i="12" s="1"/>
  <c r="E36" i="12" s="1"/>
  <c r="E37" i="12" s="1"/>
  <c r="E38" i="12" s="1"/>
  <c r="E39" i="12" s="1"/>
  <c r="E40" i="12" s="1"/>
  <c r="A31" i="12"/>
  <c r="A30" i="12"/>
  <c r="A26" i="12"/>
  <c r="A25" i="12"/>
  <c r="A24" i="12"/>
  <c r="A23" i="12"/>
  <c r="A22" i="12"/>
  <c r="A21" i="12"/>
  <c r="A20" i="12"/>
  <c r="A19" i="12"/>
  <c r="A18" i="12"/>
  <c r="A16" i="12"/>
  <c r="A14" i="12"/>
  <c r="A15" i="12"/>
  <c r="A13" i="12"/>
  <c r="A18" i="11"/>
  <c r="A2" i="11"/>
  <c r="A17" i="11"/>
  <c r="A16" i="11"/>
  <c r="A15" i="11"/>
  <c r="A13" i="11"/>
  <c r="A12" i="11"/>
  <c r="A11" i="11"/>
  <c r="A9" i="11"/>
  <c r="A8" i="11"/>
  <c r="A7" i="11"/>
  <c r="A6" i="11"/>
  <c r="A4" i="11"/>
  <c r="A5" i="11"/>
  <c r="A3" i="11"/>
  <c r="A2" i="10"/>
  <c r="A2" i="9"/>
  <c r="A2" i="8"/>
  <c r="A13" i="6"/>
  <c r="A12" i="6"/>
  <c r="A11" i="6"/>
  <c r="A10" i="6"/>
  <c r="A8" i="6"/>
  <c r="A7" i="6"/>
  <c r="A6" i="6"/>
  <c r="A5" i="6"/>
  <c r="A4" i="6"/>
  <c r="A3" i="6"/>
  <c r="A9" i="6"/>
  <c r="A2" i="6"/>
  <c r="A2" i="5"/>
  <c r="A7" i="3"/>
  <c r="A6" i="3"/>
  <c r="A5" i="3"/>
  <c r="A4" i="3"/>
  <c r="A3" i="3"/>
  <c r="A2" i="3"/>
  <c r="A16" i="4"/>
  <c r="A18" i="4"/>
  <c r="A17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38" i="2"/>
  <c r="A36" i="2"/>
  <c r="A34" i="2"/>
  <c r="A33" i="2"/>
  <c r="A32" i="2"/>
  <c r="A31" i="2"/>
  <c r="A30" i="2"/>
  <c r="A29" i="2"/>
  <c r="A28" i="2"/>
  <c r="A27" i="2"/>
  <c r="A26" i="2"/>
  <c r="A25" i="2"/>
  <c r="A24" i="2"/>
  <c r="A23" i="2"/>
  <c r="A21" i="2"/>
  <c r="A20" i="2"/>
  <c r="A19" i="2"/>
  <c r="A18" i="2"/>
  <c r="A17" i="2"/>
  <c r="A16" i="2"/>
  <c r="A15" i="2"/>
  <c r="A14" i="2"/>
  <c r="A13" i="2"/>
  <c r="A12" i="2"/>
  <c r="A11" i="2"/>
  <c r="A10" i="2"/>
  <c r="A9" i="2"/>
  <c r="A8" i="2"/>
  <c r="A7" i="2"/>
  <c r="A6" i="2"/>
  <c r="A5" i="2"/>
  <c r="A4" i="2"/>
  <c r="A3" i="2"/>
  <c r="A2" i="2"/>
  <c r="A11" i="1"/>
  <c r="A9" i="1"/>
  <c r="A8" i="1"/>
  <c r="A7" i="1"/>
  <c r="A6" i="1"/>
  <c r="A5" i="1"/>
  <c r="A4" i="1"/>
  <c r="A3" i="1"/>
  <c r="A2" i="1"/>
  <c r="C30" i="2" a="1"/>
  <c r="C20" i="2" a="1"/>
  <c r="C2" i="2" a="1"/>
  <c r="C27" i="2" a="1"/>
  <c r="C12" i="2" a="1"/>
  <c r="C9" i="2" a="1"/>
  <c r="C26" i="2" a="1"/>
  <c r="C5" i="2" a="1"/>
  <c r="C34" i="2" a="1"/>
  <c r="C19" i="2" a="1"/>
  <c r="C31" i="2" a="1"/>
  <c r="C18" i="2" a="1"/>
  <c r="C4" i="2" a="1"/>
  <c r="C10" i="2" a="1"/>
  <c r="C29" i="2" a="1"/>
  <c r="C36" i="2" a="1"/>
  <c r="C21" i="2" a="1"/>
  <c r="C32" i="2" a="1"/>
  <c r="C11" i="2" a="1"/>
  <c r="C33" i="2" a="1"/>
  <c r="C23" i="2" a="1"/>
  <c r="C13" i="2" a="1"/>
  <c r="E2" i="8" a="1"/>
  <c r="C38" i="2" a="1"/>
  <c r="C6" i="2" a="1"/>
  <c r="E3" i="8" a="1"/>
  <c r="C14" i="2" a="1"/>
  <c r="C7" i="2" a="1"/>
  <c r="C15" i="2" a="1"/>
  <c r="C17" i="2" a="1"/>
  <c r="C16" i="2" a="1"/>
  <c r="C24" i="2" a="1"/>
  <c r="C25" i="2" a="1"/>
  <c r="C8" i="2" a="1"/>
  <c r="C28" i="2" a="1"/>
  <c r="C3" i="2" a="1"/>
  <c r="C11" i="4" a="1"/>
  <c r="C14" i="4" a="1"/>
  <c r="C3" i="4" a="1"/>
  <c r="C6" i="4" a="1"/>
  <c r="C21" i="4" a="1"/>
  <c r="C7" i="4" a="1"/>
  <c r="C8" i="4" a="1"/>
  <c r="C12" i="4" a="1"/>
  <c r="C13" i="4" a="1"/>
  <c r="C17" i="4" a="1"/>
  <c r="C18" i="4" a="1"/>
  <c r="C4" i="4" a="1"/>
  <c r="C10" i="4" a="1"/>
  <c r="C20" i="4" a="1"/>
  <c r="C9" i="4" a="1"/>
  <c r="C15" i="4" a="1"/>
  <c r="C19" i="4" a="1"/>
  <c r="C5" i="4" a="1"/>
  <c r="C16" i="4" a="1"/>
  <c r="C2" i="4" a="1"/>
  <c r="F7" i="11" a="1"/>
  <c r="F12" i="11" a="1"/>
  <c r="F9" i="11" a="1"/>
  <c r="F6" i="11" a="1"/>
  <c r="F4" i="11" a="1"/>
  <c r="F8" i="11" a="1"/>
  <c r="H2" i="11" a="1"/>
  <c r="F11" i="11" a="1"/>
  <c r="F2" i="11" a="1"/>
  <c r="F3" i="11" a="1"/>
  <c r="F5" i="11" a="1"/>
  <c r="F14" i="11" a="1"/>
  <c r="F13" i="11" a="1"/>
  <c r="F17" i="11" a="1"/>
  <c r="F16" i="11" a="1"/>
  <c r="F15" i="11" a="1"/>
  <c r="F2" i="17" a="1"/>
  <c r="E2" i="10" a="1"/>
  <c r="C2" i="13" a="1"/>
  <c r="H2" i="11" l="1"/>
  <c r="F15" i="11"/>
  <c r="F14" i="11"/>
  <c r="F13" i="11"/>
  <c r="F17" i="11"/>
  <c r="F16" i="11"/>
  <c r="C5" i="4"/>
  <c r="C20" i="4"/>
  <c r="C10" i="4"/>
  <c r="C19" i="4"/>
  <c r="C4" i="4"/>
  <c r="C3" i="4"/>
  <c r="C18" i="4"/>
  <c r="C8" i="4"/>
  <c r="C17" i="4"/>
  <c r="C7" i="4"/>
  <c r="C14" i="4"/>
  <c r="C13" i="4"/>
  <c r="C2" i="4"/>
  <c r="C12" i="4"/>
  <c r="C21" i="4"/>
  <c r="C11" i="4"/>
  <c r="C16" i="4"/>
  <c r="C6" i="4"/>
  <c r="C15" i="4"/>
  <c r="C9" i="4"/>
  <c r="C19" i="2"/>
  <c r="C20" i="2"/>
  <c r="C30" i="2"/>
  <c r="C10" i="2"/>
  <c r="C18" i="2"/>
  <c r="C6" i="2"/>
  <c r="C2" i="2"/>
  <c r="C27" i="2"/>
  <c r="C11" i="2"/>
  <c r="C13" i="2"/>
  <c r="C16" i="2"/>
  <c r="C7" i="2"/>
  <c r="C28" i="2"/>
  <c r="E3" i="8"/>
  <c r="C34" i="2"/>
  <c r="C31" i="2"/>
  <c r="E2" i="8"/>
  <c r="C38" i="2"/>
  <c r="C5" i="2"/>
  <c r="C36" i="2"/>
  <c r="C26" i="2"/>
  <c r="E2" i="10"/>
  <c r="G2" i="10" s="1"/>
  <c r="C25" i="2"/>
  <c r="C23" i="2"/>
  <c r="C17" i="2"/>
  <c r="C32" i="2"/>
  <c r="C12" i="2"/>
  <c r="C24" i="2"/>
  <c r="C9" i="2"/>
  <c r="C21" i="2"/>
  <c r="C33" i="2"/>
  <c r="C4" i="2"/>
  <c r="F2" i="17"/>
  <c r="G2" i="17" s="1"/>
  <c r="C29" i="2"/>
  <c r="C14" i="2"/>
  <c r="C15" i="2"/>
  <c r="C8" i="2"/>
  <c r="C3" i="2"/>
  <c r="C2" i="13"/>
  <c r="F11" i="11"/>
  <c r="F12" i="11"/>
  <c r="F3" i="11"/>
  <c r="F9" i="11"/>
  <c r="F2" i="11"/>
  <c r="F7" i="11"/>
  <c r="F8" i="11"/>
  <c r="F6" i="11"/>
  <c r="F4" i="11"/>
  <c r="F5" i="11"/>
  <c r="D2" i="4" a="1"/>
  <c r="C50" i="12" a="1"/>
  <c r="C120" i="12" a="1"/>
  <c r="C13" i="12" a="1"/>
  <c r="C59" i="12" a="1"/>
  <c r="C55" i="12" a="1"/>
  <c r="C130" i="12" a="1"/>
  <c r="C80" i="12" a="1"/>
  <c r="C42" i="12" a="1"/>
  <c r="C14" i="12" a="1"/>
  <c r="C78" i="12" a="1"/>
  <c r="C37" i="12" a="1"/>
  <c r="C86" i="12" a="1"/>
  <c r="C18" i="12" a="1"/>
  <c r="C28" i="12" a="1"/>
  <c r="C124" i="12" a="1"/>
  <c r="C61" i="12" a="1"/>
  <c r="C108" i="12" a="1"/>
  <c r="C30" i="12" a="1"/>
  <c r="C10" i="12" a="1"/>
  <c r="C53" i="12" a="1"/>
  <c r="L2" i="12" a="1"/>
  <c r="C131" i="12" a="1"/>
  <c r="C103" i="12" a="1"/>
  <c r="C77" i="12" a="1"/>
  <c r="C33" i="12" a="1"/>
  <c r="C121" i="12" a="1"/>
  <c r="C107" i="12" a="1"/>
  <c r="C114" i="12" a="1"/>
  <c r="C101" i="12" a="1"/>
  <c r="C99" i="12" a="1"/>
  <c r="C19" i="12" a="1"/>
  <c r="C63" i="12" a="1"/>
  <c r="C60" i="12" a="1"/>
  <c r="C20" i="12" a="1"/>
  <c r="C88" i="12" a="1"/>
  <c r="C112" i="12" a="1"/>
  <c r="C127" i="12" a="1"/>
  <c r="C113" i="12" a="1"/>
  <c r="C52" i="12" a="1"/>
  <c r="C98" i="12" a="1"/>
  <c r="C22" i="12" a="1"/>
  <c r="C129" i="12" a="1"/>
  <c r="C49" i="12" a="1"/>
  <c r="C102" i="12" a="1"/>
  <c r="C79" i="12" a="1"/>
  <c r="C6" i="12" a="1"/>
  <c r="C31" i="12" a="1"/>
  <c r="C100" i="12" a="1"/>
  <c r="C85" i="12" a="1"/>
  <c r="C56" i="12" a="1"/>
  <c r="C40" i="12" a="1"/>
  <c r="C116" i="12" a="1"/>
  <c r="C57" i="12" a="1"/>
  <c r="C119" i="12" a="1"/>
  <c r="C115" i="12" a="1"/>
  <c r="C96" i="12" a="1"/>
  <c r="C54" i="12" a="1"/>
  <c r="C16" i="12" a="1"/>
  <c r="C58" i="12" a="1"/>
  <c r="C34" i="12" a="1"/>
  <c r="C89" i="12" a="1"/>
  <c r="C21" i="12" a="1"/>
  <c r="C41" i="12" a="1"/>
  <c r="C94" i="12" a="1"/>
  <c r="C133" i="12" a="1"/>
  <c r="C23" i="12" a="1"/>
  <c r="C92" i="12" a="1"/>
  <c r="C128" i="12" a="1"/>
  <c r="C126" i="12" a="1"/>
  <c r="C109" i="12" a="1"/>
  <c r="C24" i="12" a="1"/>
  <c r="C75" i="12" a="1"/>
  <c r="C35" i="12" a="1"/>
  <c r="C8" i="12" a="1"/>
  <c r="C125" i="12" a="1"/>
  <c r="C83" i="12" a="1"/>
  <c r="C111" i="12" a="1"/>
  <c r="C7" i="12" a="1"/>
  <c r="C93" i="12" a="1"/>
  <c r="C84" i="12" a="1"/>
  <c r="C26" i="12" a="1"/>
  <c r="C4" i="12" a="1"/>
  <c r="C9" i="12" a="1"/>
  <c r="C47" i="12" a="1"/>
  <c r="C97" i="12" a="1"/>
  <c r="C39" i="12" a="1"/>
  <c r="C29" i="12" a="1"/>
  <c r="C25" i="12" a="1"/>
  <c r="C12" i="12" a="1"/>
  <c r="C5" i="12" a="1"/>
  <c r="C15" i="12" a="1"/>
  <c r="C51" i="12" a="1"/>
  <c r="C105" i="12" a="1"/>
  <c r="C122" i="12" a="1"/>
  <c r="C48" i="12" a="1"/>
  <c r="C3" i="12" a="1"/>
  <c r="C36" i="12" a="1"/>
  <c r="C87" i="12" a="1"/>
  <c r="C106" i="12" a="1"/>
  <c r="J2" i="12" a="1"/>
  <c r="C45" i="12" a="1"/>
  <c r="C117" i="12" a="1"/>
  <c r="C43" i="12" a="1"/>
  <c r="C32" i="12" a="1"/>
  <c r="I2" i="12" a="1"/>
  <c r="C95" i="12" a="1"/>
  <c r="C62" i="12" a="1"/>
  <c r="C44" i="12" a="1"/>
  <c r="C110" i="12" a="1"/>
  <c r="C132" i="12" a="1"/>
  <c r="C123" i="12" a="1"/>
  <c r="C90" i="12" a="1"/>
  <c r="C38" i="12" a="1"/>
  <c r="C27" i="12" a="1"/>
  <c r="J2" i="12" l="1"/>
  <c r="I2" i="12"/>
  <c r="C101" i="12"/>
  <c r="C6" i="12"/>
  <c r="C85" i="12"/>
  <c r="C123" i="12"/>
  <c r="C5" i="12"/>
  <c r="C117" i="12"/>
  <c r="C130" i="12"/>
  <c r="C33" i="12"/>
  <c r="C4" i="12"/>
  <c r="C133" i="12"/>
  <c r="C83" i="12"/>
  <c r="C86" i="12"/>
  <c r="C36" i="12"/>
  <c r="C35" i="12"/>
  <c r="C29" i="12"/>
  <c r="C126" i="12"/>
  <c r="C119" i="12"/>
  <c r="C108" i="12"/>
  <c r="C62" i="12"/>
  <c r="C57" i="12"/>
  <c r="C34" i="12"/>
  <c r="C48" i="12"/>
  <c r="C63" i="12"/>
  <c r="C13" i="12"/>
  <c r="C128" i="12"/>
  <c r="C39" i="12"/>
  <c r="C125" i="12"/>
  <c r="C96" i="12"/>
  <c r="C132" i="12"/>
  <c r="C121" i="12"/>
  <c r="C80" i="12"/>
  <c r="C41" i="12"/>
  <c r="C112" i="12"/>
  <c r="C31" i="12"/>
  <c r="C44" i="12"/>
  <c r="C32" i="12"/>
  <c r="C3" i="12"/>
  <c r="C30" i="12"/>
  <c r="C79" i="12"/>
  <c r="C42" i="12"/>
  <c r="C60" i="12"/>
  <c r="C124" i="12"/>
  <c r="C61" i="12"/>
  <c r="C131" i="12"/>
  <c r="C100" i="12"/>
  <c r="C127" i="12"/>
  <c r="C49" i="12"/>
  <c r="C77" i="12"/>
  <c r="C115" i="12"/>
  <c r="C28" i="12"/>
  <c r="C8" i="12"/>
  <c r="C52" i="12"/>
  <c r="C75" i="12"/>
  <c r="C24" i="12"/>
  <c r="C109" i="12"/>
  <c r="C102" i="12"/>
  <c r="C92" i="12"/>
  <c r="C122" i="12"/>
  <c r="C23" i="12"/>
  <c r="C106" i="12"/>
  <c r="C103" i="12"/>
  <c r="C54" i="12"/>
  <c r="C94" i="12"/>
  <c r="C37" i="12"/>
  <c r="C21" i="12"/>
  <c r="C25" i="12"/>
  <c r="C51" i="12"/>
  <c r="C88" i="12"/>
  <c r="C99" i="12"/>
  <c r="C47" i="12"/>
  <c r="C87" i="12"/>
  <c r="C38" i="12"/>
  <c r="C84" i="12"/>
  <c r="C22" i="12"/>
  <c r="C10" i="12"/>
  <c r="C129" i="12"/>
  <c r="C98" i="12"/>
  <c r="C120" i="12"/>
  <c r="C45" i="12"/>
  <c r="C58" i="12"/>
  <c r="C56" i="12"/>
  <c r="L2" i="12"/>
  <c r="C114" i="12"/>
  <c r="C97" i="12"/>
  <c r="C15" i="12"/>
  <c r="C55" i="12"/>
  <c r="C19" i="12"/>
  <c r="C20" i="12"/>
  <c r="C116" i="12"/>
  <c r="C90" i="12"/>
  <c r="C95" i="12"/>
  <c r="C113" i="12"/>
  <c r="C43" i="12"/>
  <c r="C12" i="12"/>
  <c r="C16" i="12"/>
  <c r="C18" i="12"/>
  <c r="C9" i="12"/>
  <c r="C89" i="12"/>
  <c r="C27" i="12"/>
  <c r="C78" i="12"/>
  <c r="C26" i="12"/>
  <c r="C59" i="12"/>
  <c r="C107" i="12"/>
  <c r="C40" i="12"/>
  <c r="C7" i="12"/>
  <c r="C110" i="12"/>
  <c r="C53" i="12"/>
  <c r="C111" i="12"/>
  <c r="C50" i="12"/>
  <c r="C93" i="12"/>
  <c r="C105" i="12"/>
  <c r="C14" i="12"/>
  <c r="D2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<sst xmlns="http://schemas.openxmlformats.org/spreadsheetml/2006/main" count="1159" uniqueCount="550">
  <si>
    <t>Id</t>
  </si>
  <si>
    <t>Name</t>
  </si>
  <si>
    <t>HtmlInputType</t>
  </si>
  <si>
    <t>HtmlInputAlign</t>
  </si>
  <si>
    <t>AskEncrypted</t>
  </si>
  <si>
    <t>AskMask</t>
  </si>
  <si>
    <t>AskListable</t>
  </si>
  <si>
    <t>AskDefault</t>
  </si>
  <si>
    <t>AskMinimum</t>
  </si>
  <si>
    <t>AskMaximum</t>
  </si>
  <si>
    <t>string</t>
  </si>
  <si>
    <t>text</t>
  </si>
  <si>
    <t>left</t>
  </si>
  <si>
    <t>numeric</t>
  </si>
  <si>
    <t>right</t>
  </si>
  <si>
    <t>date</t>
  </si>
  <si>
    <t>datetime</t>
  </si>
  <si>
    <t>boolean</t>
  </si>
  <si>
    <t>checkbox</t>
  </si>
  <si>
    <t>center</t>
  </si>
  <si>
    <t>time</t>
  </si>
  <si>
    <t>textarea</t>
  </si>
  <si>
    <t>image</t>
  </si>
  <si>
    <t>binary</t>
  </si>
  <si>
    <t>undefined</t>
  </si>
  <si>
    <t>CategoryId</t>
  </si>
  <si>
    <t>Minimum</t>
  </si>
  <si>
    <t>Maximum</t>
  </si>
  <si>
    <t>AskLength</t>
  </si>
  <si>
    <t>AskDecimals</t>
  </si>
  <si>
    <t>AskPrimarykey</t>
  </si>
  <si>
    <t>AskAutoincrement</t>
  </si>
  <si>
    <t>AskFilterable</t>
  </si>
  <si>
    <t>IsActive</t>
  </si>
  <si>
    <t>bigint</t>
  </si>
  <si>
    <t/>
  </si>
  <si>
    <t>bit</t>
  </si>
  <si>
    <t>char</t>
  </si>
  <si>
    <t>datetime2</t>
  </si>
  <si>
    <t>datetimeoffset</t>
  </si>
  <si>
    <t>decimal</t>
  </si>
  <si>
    <t>float</t>
  </si>
  <si>
    <t>geography</t>
  </si>
  <si>
    <t>geometry</t>
  </si>
  <si>
    <t>hierarchyid</t>
  </si>
  <si>
    <t>int</t>
  </si>
  <si>
    <t>money</t>
  </si>
  <si>
    <t>nchar</t>
  </si>
  <si>
    <t>ntext</t>
  </si>
  <si>
    <t>nvarchar</t>
  </si>
  <si>
    <t>real</t>
  </si>
  <si>
    <t>smalldatetime</t>
  </si>
  <si>
    <t>smallint</t>
  </si>
  <si>
    <t>smallmoney</t>
  </si>
  <si>
    <t>sql_variant</t>
  </si>
  <si>
    <t>sysname</t>
  </si>
  <si>
    <t>timestamp</t>
  </si>
  <si>
    <t>tinyint</t>
  </si>
  <si>
    <t>uniqueidentifier</t>
  </si>
  <si>
    <t>varbinary</t>
  </si>
  <si>
    <t>varchar</t>
  </si>
  <si>
    <t>xml</t>
  </si>
  <si>
    <t>TypeId</t>
  </si>
  <si>
    <t>MaskId</t>
  </si>
  <si>
    <t>Length</t>
  </si>
  <si>
    <t>Decimals</t>
  </si>
  <si>
    <t>Default</t>
  </si>
  <si>
    <t>BigInteger</t>
  </si>
  <si>
    <t>Integer</t>
  </si>
  <si>
    <t>ShortInteger</t>
  </si>
  <si>
    <t>SmallInteger</t>
  </si>
  <si>
    <t>TinyInteger</t>
  </si>
  <si>
    <t>Boolean</t>
  </si>
  <si>
    <t>JavaScript</t>
  </si>
  <si>
    <t>SQL</t>
  </si>
  <si>
    <t>DateTime</t>
  </si>
  <si>
    <t>Variant</t>
  </si>
  <si>
    <t>Mask</t>
  </si>
  <si>
    <t>#.###.###.###.###.###</t>
  </si>
  <si>
    <t>#.###.###.###</t>
  </si>
  <si>
    <t>##.###</t>
  </si>
  <si>
    <t>###</t>
  </si>
  <si>
    <t>dd/MM/yyyy hh:mm:ss</t>
  </si>
  <si>
    <t>JSON</t>
  </si>
  <si>
    <t>Description</t>
  </si>
  <si>
    <t>ClientName</t>
  </si>
  <si>
    <t>MaxRetryLogins</t>
  </si>
  <si>
    <t>SystemId</t>
  </si>
  <si>
    <t>Sequence</t>
  </si>
  <si>
    <t>Caption</t>
  </si>
  <si>
    <t>Message</t>
  </si>
  <si>
    <t>Action</t>
  </si>
  <si>
    <t>ParentMenuId</t>
  </si>
  <si>
    <t>Cadastros</t>
  </si>
  <si>
    <t>Tipos</t>
  </si>
  <si>
    <t>Cadastro de tipos</t>
  </si>
  <si>
    <t>Usuários</t>
  </si>
  <si>
    <t>Cadastro de Usuários</t>
  </si>
  <si>
    <t>Tabelas</t>
  </si>
  <si>
    <t>Cadastro de tabelas</t>
  </si>
  <si>
    <t>Menus</t>
  </si>
  <si>
    <t>Cadastro de menus</t>
  </si>
  <si>
    <t>Sistemas</t>
  </si>
  <si>
    <t>Cadastro de sistemas</t>
  </si>
  <si>
    <t>Banco de Dados</t>
  </si>
  <si>
    <t>Cadastro de bancos de dados</t>
  </si>
  <si>
    <t>Colunas</t>
  </si>
  <si>
    <t>Cadastro de colunas de tabelas</t>
  </si>
  <si>
    <t>Associações</t>
  </si>
  <si>
    <t>Associações entre tabelas</t>
  </si>
  <si>
    <t>Sistemas x BD</t>
  </si>
  <si>
    <t>Associação entre sistemas e bancos de dados</t>
  </si>
  <si>
    <t>Usuários x Sistemas</t>
  </si>
  <si>
    <t>Associação entre usuários e sistemas</t>
  </si>
  <si>
    <t>Sair</t>
  </si>
  <si>
    <t>Retornar ao login</t>
  </si>
  <si>
    <t>exit/login</t>
  </si>
  <si>
    <t>Password</t>
  </si>
  <si>
    <t>FullName</t>
  </si>
  <si>
    <t>RetryLogins</t>
  </si>
  <si>
    <t>diva</t>
  </si>
  <si>
    <t>UserId</t>
  </si>
  <si>
    <t>Alias</t>
  </si>
  <si>
    <t>HostName</t>
  </si>
  <si>
    <t>Port</t>
  </si>
  <si>
    <t>Folder</t>
  </si>
  <si>
    <t>localhost</t>
  </si>
  <si>
    <t>sa</t>
  </si>
  <si>
    <t>DatabaseId</t>
  </si>
  <si>
    <t>ParentTableId</t>
  </si>
  <si>
    <t>Types</t>
  </si>
  <si>
    <t>Domains</t>
  </si>
  <si>
    <t>Masks</t>
  </si>
  <si>
    <t>Máscaras de Edição</t>
  </si>
  <si>
    <t>Systems</t>
  </si>
  <si>
    <t>Users</t>
  </si>
  <si>
    <t>SystemsUsers</t>
  </si>
  <si>
    <t>Sistemas x Usuários</t>
  </si>
  <si>
    <t>Databases</t>
  </si>
  <si>
    <t>Bancos-de-Dados</t>
  </si>
  <si>
    <t>SystemsDatabases</t>
  </si>
  <si>
    <t>Sistemas x Bancos-de-Dados</t>
  </si>
  <si>
    <t>Tables</t>
  </si>
  <si>
    <t>Columns</t>
  </si>
  <si>
    <t>Indexes</t>
  </si>
  <si>
    <t>Chaves de índices</t>
  </si>
  <si>
    <t>Categories</t>
  </si>
  <si>
    <t>Categorias de tipos de dados</t>
  </si>
  <si>
    <t>TableId</t>
  </si>
  <si>
    <t>DomainId</t>
  </si>
  <si>
    <t>ReferenceTableId</t>
  </si>
  <si>
    <t>Title</t>
  </si>
  <si>
    <t>IsPrimarykey</t>
  </si>
  <si>
    <t>IsAutoIncrement</t>
  </si>
  <si>
    <t>IsRequired</t>
  </si>
  <si>
    <t>IsListable</t>
  </si>
  <si>
    <t>IsFilterable</t>
  </si>
  <si>
    <t>IsEditable</t>
  </si>
  <si>
    <t>IsEncrypted</t>
  </si>
  <si>
    <t>ID do tipo</t>
  </si>
  <si>
    <t>ID</t>
  </si>
  <si>
    <t>Nome do tipo</t>
  </si>
  <si>
    <t>Nome</t>
  </si>
  <si>
    <t>Categoria do tipo</t>
  </si>
  <si>
    <t>Categoria</t>
  </si>
  <si>
    <t>Valor mínimo do tipo</t>
  </si>
  <si>
    <t>Mínimo</t>
  </si>
  <si>
    <t>Valor máximo do tipo</t>
  </si>
  <si>
    <t>Máximo</t>
  </si>
  <si>
    <t>Tipo pede tamanho?</t>
  </si>
  <si>
    <t>Pede Tamanho?</t>
  </si>
  <si>
    <t>Tipo pede decimais?</t>
  </si>
  <si>
    <t>Pede decimais?</t>
  </si>
  <si>
    <t>Tipo pede chave-primária?</t>
  </si>
  <si>
    <t>Pede chave-primária?</t>
  </si>
  <si>
    <t>Tipo pede autoincremento?</t>
  </si>
  <si>
    <t>Pede autoincremento?</t>
  </si>
  <si>
    <t>Tipo pede filtrável?</t>
  </si>
  <si>
    <t>Pede filtrável?</t>
  </si>
  <si>
    <t>Tipo é ativo?</t>
  </si>
  <si>
    <t>É ativo?</t>
  </si>
  <si>
    <t>ID do domínio</t>
  </si>
  <si>
    <t>ID do tipo do domínio</t>
  </si>
  <si>
    <t>Tipo</t>
  </si>
  <si>
    <t>Id da máscara de edição do domínio</t>
  </si>
  <si>
    <t>Máscara</t>
  </si>
  <si>
    <t>Nome do domínio</t>
  </si>
  <si>
    <t>Tamanho do domínio</t>
  </si>
  <si>
    <t>Tamanho</t>
  </si>
  <si>
    <t>Decimais do domínio</t>
  </si>
  <si>
    <t>Decimais</t>
  </si>
  <si>
    <t>Valor mínimo do domínio</t>
  </si>
  <si>
    <t>Valor máximo do domínio</t>
  </si>
  <si>
    <t>Valor padrão do domínio</t>
  </si>
  <si>
    <t>ID da máscara de edição</t>
  </si>
  <si>
    <t>Nome da máscara</t>
  </si>
  <si>
    <t>Máscara de edição</t>
  </si>
  <si>
    <t>ID do sistema</t>
  </si>
  <si>
    <t>Nome do sistema</t>
  </si>
  <si>
    <t>Descrição do sistema</t>
  </si>
  <si>
    <t>Descrição</t>
  </si>
  <si>
    <t>Cliente do sistema</t>
  </si>
  <si>
    <t>Cliente</t>
  </si>
  <si>
    <t>Máximo de tentativas de logins</t>
  </si>
  <si>
    <t>Máximo de logins</t>
  </si>
  <si>
    <t>ID do menu</t>
  </si>
  <si>
    <t>ID do sistema do menu</t>
  </si>
  <si>
    <t>Sistema</t>
  </si>
  <si>
    <t>Sequência do menu</t>
  </si>
  <si>
    <t>Sequência</t>
  </si>
  <si>
    <t>Opção do menu</t>
  </si>
  <si>
    <t>Opção</t>
  </si>
  <si>
    <t>Mensagem do menu</t>
  </si>
  <si>
    <t>Mensagem</t>
  </si>
  <si>
    <t>Ação do menu</t>
  </si>
  <si>
    <t>Ação</t>
  </si>
  <si>
    <t>ID do menu-pai</t>
  </si>
  <si>
    <t>Menu-pai</t>
  </si>
  <si>
    <t>ID do usuário</t>
  </si>
  <si>
    <t>Nome do usuário</t>
  </si>
  <si>
    <t>Senha do usuário</t>
  </si>
  <si>
    <t>Senha</t>
  </si>
  <si>
    <t>Nome completo do usuário</t>
  </si>
  <si>
    <t>Nome completo</t>
  </si>
  <si>
    <t>Tentativas de login</t>
  </si>
  <si>
    <t>Ativo?</t>
  </si>
  <si>
    <t>ID do sistema x usuário</t>
  </si>
  <si>
    <t>Usuário</t>
  </si>
  <si>
    <t>ID do banco-de-dados</t>
  </si>
  <si>
    <t>Nome do banco-de-dados</t>
  </si>
  <si>
    <t>Descrição do banco-de-dados</t>
  </si>
  <si>
    <t>Alias  do banco-de-dados</t>
  </si>
  <si>
    <t>Porta TCP/IP</t>
  </si>
  <si>
    <t>Pasta diretório do banco-de-dados</t>
  </si>
  <si>
    <t>Pasta</t>
  </si>
  <si>
    <t>ID do sistema x banco-de-dados</t>
  </si>
  <si>
    <t>Banco-de-dados</t>
  </si>
  <si>
    <t>ID da tabela</t>
  </si>
  <si>
    <t>Nome da tabela</t>
  </si>
  <si>
    <t>Alias da tabela</t>
  </si>
  <si>
    <t>Descrição da tabela</t>
  </si>
  <si>
    <t>ID da coluna</t>
  </si>
  <si>
    <t>Tabela</t>
  </si>
  <si>
    <t>Domínio da coluna</t>
  </si>
  <si>
    <t>Domínio</t>
  </si>
  <si>
    <t>Tabela-referência</t>
  </si>
  <si>
    <t>Referência</t>
  </si>
  <si>
    <t>Nome da coluna</t>
  </si>
  <si>
    <t>Descrição da Coluna</t>
  </si>
  <si>
    <t>Título da Coluna</t>
  </si>
  <si>
    <t>Título</t>
  </si>
  <si>
    <t>Legenda da Coluna</t>
  </si>
  <si>
    <t>Legenda</t>
  </si>
  <si>
    <t>Valor padrão da coluna</t>
  </si>
  <si>
    <t>Padrão</t>
  </si>
  <si>
    <t>Valor mínimo da coluna</t>
  </si>
  <si>
    <t>Valor máximo da coluna</t>
  </si>
  <si>
    <t>Coluna é chave-primária?</t>
  </si>
  <si>
    <t>Coluna é autoincremento?</t>
  </si>
  <si>
    <t>Coluna é requerida?</t>
  </si>
  <si>
    <t>Coluna é listável?</t>
  </si>
  <si>
    <t>Coluna é filtrável?</t>
  </si>
  <si>
    <t>Coluna é editável?</t>
  </si>
  <si>
    <t>Coluna é encriptada?</t>
  </si>
  <si>
    <t>ID do índice</t>
  </si>
  <si>
    <t>ID da tabela do índice</t>
  </si>
  <si>
    <t>Nome do índice</t>
  </si>
  <si>
    <t>IsUnique</t>
  </si>
  <si>
    <t>É índice único?</t>
  </si>
  <si>
    <t>É único?</t>
  </si>
  <si>
    <t>ID da chave de índice</t>
  </si>
  <si>
    <t>IndexId</t>
  </si>
  <si>
    <t>ID do índice da chave</t>
  </si>
  <si>
    <t>Índice</t>
  </si>
  <si>
    <t>Sequência da chave</t>
  </si>
  <si>
    <t>ColumnId</t>
  </si>
  <si>
    <t>ID da coluna-chave do índice</t>
  </si>
  <si>
    <t>Coluna</t>
  </si>
  <si>
    <t>IsDescending</t>
  </si>
  <si>
    <t>Ordem descedente da chave?</t>
  </si>
  <si>
    <t>Descendente?</t>
  </si>
  <si>
    <t>Id da categoria</t>
  </si>
  <si>
    <t>Nome da categoria</t>
  </si>
  <si>
    <t>Tipo do input HTML</t>
  </si>
  <si>
    <t>Tipo input HTML</t>
  </si>
  <si>
    <t>Alinhamento do input HTML</t>
  </si>
  <si>
    <t>Alinhamento input HTML</t>
  </si>
  <si>
    <t>Pede criptografia?</t>
  </si>
  <si>
    <t>Pede máscara?</t>
  </si>
  <si>
    <t>Pede listável?</t>
  </si>
  <si>
    <t>Pede valor padrão?</t>
  </si>
  <si>
    <t>Pede valor mínimo?</t>
  </si>
  <si>
    <t>Pede valor máximo?</t>
  </si>
  <si>
    <t>ID do Sistema</t>
  </si>
  <si>
    <t>Logado?</t>
  </si>
  <si>
    <t>UNQ_Types_Name</t>
  </si>
  <si>
    <t>UNQ_Domains_Name</t>
  </si>
  <si>
    <t>UNQ_Masks_Name</t>
  </si>
  <si>
    <t>UNQ_Systems_Name</t>
  </si>
  <si>
    <t>UNQ_Users_Name</t>
  </si>
  <si>
    <t>UNQ_Databases_Name</t>
  </si>
  <si>
    <t>UNQ_Databases_Alias</t>
  </si>
  <si>
    <t>UNQ_Tables_Alias</t>
  </si>
  <si>
    <t>UNQ_Categories_Name</t>
  </si>
  <si>
    <t>AskCodification</t>
  </si>
  <si>
    <t>Codification</t>
  </si>
  <si>
    <t>file</t>
  </si>
  <si>
    <t>text;checkbox;textarea;image;file</t>
  </si>
  <si>
    <t>Indexkeys</t>
  </si>
  <si>
    <t>Tipo pede codificação?</t>
  </si>
  <si>
    <t>Pede codificação?</t>
  </si>
  <si>
    <t>JS</t>
  </si>
  <si>
    <t>Codificação</t>
  </si>
  <si>
    <t>Valores válidos</t>
  </si>
  <si>
    <t>ValidValues</t>
  </si>
  <si>
    <t>adm</t>
  </si>
  <si>
    <t>Administrador</t>
  </si>
  <si>
    <t>DatabasesTables</t>
  </si>
  <si>
    <t>Bancos-de-Dados x Tabelas</t>
  </si>
  <si>
    <t>UNQ_Tables_Name</t>
  </si>
  <si>
    <t>cruda x adm</t>
  </si>
  <si>
    <t>ID do banco-de-dados x tabela</t>
  </si>
  <si>
    <t>Category</t>
  </si>
  <si>
    <t>Type</t>
  </si>
  <si>
    <t>Domain</t>
  </si>
  <si>
    <t>System</t>
  </si>
  <si>
    <t>Menu</t>
  </si>
  <si>
    <t>User</t>
  </si>
  <si>
    <t>SystemUser</t>
  </si>
  <si>
    <t>Database</t>
  </si>
  <si>
    <t>SystemDatabase</t>
  </si>
  <si>
    <t>Table</t>
  </si>
  <si>
    <t>DatabaseTable</t>
  </si>
  <si>
    <t>Column</t>
  </si>
  <si>
    <t>Index</t>
  </si>
  <si>
    <t>Indexkey</t>
  </si>
  <si>
    <t>Logins</t>
  </si>
  <si>
    <t>Login</t>
  </si>
  <si>
    <t>ID do Login de Acesso</t>
  </si>
  <si>
    <t>PublicKey</t>
  </si>
  <si>
    <t>Chave pública</t>
  </si>
  <si>
    <t>Chave pública do usuário</t>
  </si>
  <si>
    <t>labrego</t>
  </si>
  <si>
    <t>João da Rocha Labrego</t>
  </si>
  <si>
    <t>cruda x labrego</t>
  </si>
  <si>
    <t>JSON;JS;SQL</t>
  </si>
  <si>
    <t>left;center;right</t>
  </si>
  <si>
    <t>IsLogged</t>
  </si>
  <si>
    <t>#CategoryName</t>
  </si>
  <si>
    <t>#TypeName</t>
  </si>
  <si>
    <t>#MaskName</t>
  </si>
  <si>
    <t>#UserName</t>
  </si>
  <si>
    <t>#SystemName</t>
  </si>
  <si>
    <t>#DatabaseName</t>
  </si>
  <si>
    <t>#TableName</t>
  </si>
  <si>
    <t>#DomainName</t>
  </si>
  <si>
    <t>#ReferenceTableName</t>
  </si>
  <si>
    <t>#IndexName</t>
  </si>
  <si>
    <t>#ColumnName</t>
  </si>
  <si>
    <t>UNQ_Menus_SystemId_Sequence</t>
  </si>
  <si>
    <t>UNQ_SystemsDatabases_SystemId_DatabaseId</t>
  </si>
  <si>
    <t>UNQ_DatabasesTables_DatabaseId_TableId</t>
  </si>
  <si>
    <t>UNQ_Columns_TableId_Name</t>
  </si>
  <si>
    <t>UNQ_Columns_TableId_Sequence</t>
  </si>
  <si>
    <t>UNQ_Indexkeys_IndexId_Sequence</t>
  </si>
  <si>
    <t>UNQ_SystemsUsers_SystemId_UserId</t>
  </si>
  <si>
    <t>01/01/0001</t>
  </si>
  <si>
    <t>01/01/1753 00:00:00.000</t>
  </si>
  <si>
    <t>01/01/0001 00:00:00.0000000</t>
  </si>
  <si>
    <t>01/01/1900</t>
  </si>
  <si>
    <t>00:00:00.0000000</t>
  </si>
  <si>
    <t>31/12/9999</t>
  </si>
  <si>
    <t>31/12/9999 23:59:59.997</t>
  </si>
  <si>
    <t>31/12/9999 23:59:59.9999999</t>
  </si>
  <si>
    <t>06/06/2079</t>
  </si>
  <si>
    <t>23:59:59.9999999</t>
  </si>
  <si>
    <t>#ParentTableName</t>
  </si>
  <si>
    <t>CurrentId</t>
  </si>
  <si>
    <t>Id atual</t>
  </si>
  <si>
    <t>IsOffAir</t>
  </si>
  <si>
    <t>Sistema fora-do-ar</t>
  </si>
  <si>
    <t>Fora-do-ar</t>
  </si>
  <si>
    <t>UNQ_Indexkeys_IndexId_ColumnId</t>
  </si>
  <si>
    <t>#DataType</t>
  </si>
  <si>
    <t>Codificação do domínio</t>
  </si>
  <si>
    <t>Tabela-pai</t>
  </si>
  <si>
    <t>Id da tabela-pai</t>
  </si>
  <si>
    <t>#ParentMenuCaption</t>
  </si>
  <si>
    <t>UNQ_Menus_SystemId_Caption</t>
  </si>
  <si>
    <t>AskGridable</t>
  </si>
  <si>
    <t>IsGridable</t>
  </si>
  <si>
    <t>Tipo pede exibível em grade?</t>
  </si>
  <si>
    <t>Pede exibível em grade?</t>
  </si>
  <si>
    <t>Coluna é exibível em grade?</t>
  </si>
  <si>
    <t>Chave-primária?</t>
  </si>
  <si>
    <t>Autoincremento?</t>
  </si>
  <si>
    <t>Requerida?</t>
  </si>
  <si>
    <t>Listável?</t>
  </si>
  <si>
    <t>Filtrável?</t>
  </si>
  <si>
    <t>Editável?</t>
  </si>
  <si>
    <t>Exibível em grade?</t>
  </si>
  <si>
    <t>Encriptada?</t>
  </si>
  <si>
    <t>datetime-local</t>
  </si>
  <si>
    <t>MaxLength</t>
  </si>
  <si>
    <t>Tamanho máximo</t>
  </si>
  <si>
    <t>crudex</t>
  </si>
  <si>
    <t>CRUD Express</t>
  </si>
  <si>
    <t>grid/crudex/Users</t>
  </si>
  <si>
    <t>grid/crudex/Tables</t>
  </si>
  <si>
    <t>grid/crudex/Menus</t>
  </si>
  <si>
    <t>grid/crudex/Systems</t>
  </si>
  <si>
    <t>grid/crudex/Databases</t>
  </si>
  <si>
    <t>grid/crudex/Columns</t>
  </si>
  <si>
    <t>grid/crudex/Types</t>
  </si>
  <si>
    <t>grid/crudex/SystemsDatabases</t>
  </si>
  <si>
    <t>grid/crudex/SystemsUsers</t>
  </si>
  <si>
    <t>D:\CRUDEX-C#\CRUDEX\CRUDEX\db\</t>
  </si>
  <si>
    <t>AskInWords</t>
  </si>
  <si>
    <t>Pede extenso?</t>
  </si>
  <si>
    <t>Categoria de tipo pede extenso?</t>
  </si>
  <si>
    <t>Categoria de tipo pede valor máximo?</t>
  </si>
  <si>
    <t>Categoria de tipo pede valor mínimo?</t>
  </si>
  <si>
    <t>Categoria de tipo pede valor padrão?</t>
  </si>
  <si>
    <t>Categoria de tipo pede listável?</t>
  </si>
  <si>
    <t>Categoria de tipo pede máscara?</t>
  </si>
  <si>
    <t>Categoria de tipo pede criptografia?</t>
  </si>
  <si>
    <t>Valor da coluna por extenso?</t>
  </si>
  <si>
    <t>IsInWords</t>
  </si>
  <si>
    <t>softlab</t>
  </si>
  <si>
    <t>Valor por extenso?</t>
  </si>
  <si>
    <t>#TableAlias</t>
  </si>
  <si>
    <t>varchar(max)</t>
  </si>
  <si>
    <t>nvarchar(max)</t>
  </si>
  <si>
    <t>varbinary(max)</t>
  </si>
  <si>
    <t>Nvarchar(15)</t>
  </si>
  <si>
    <t>Nvarchar(20)</t>
  </si>
  <si>
    <t>Nvarchar(25)</t>
  </si>
  <si>
    <t>Nvarchar(50)</t>
  </si>
  <si>
    <t>Nvarchar(256)</t>
  </si>
  <si>
    <t>Nvarchar(MAX)</t>
  </si>
  <si>
    <t>Nome do sistema x usuário</t>
  </si>
  <si>
    <t>UNQ_SystemsDatabases_Name</t>
  </si>
  <si>
    <t>UNQ_SystemsUsers_Name</t>
  </si>
  <si>
    <t>Nome do sistema x banco-de-dados</t>
  </si>
  <si>
    <t>Nome do banco-de-dados x tabela</t>
  </si>
  <si>
    <t>UNQ_DatabasesTables_Name</t>
  </si>
  <si>
    <t>Provider</t>
  </si>
  <si>
    <t>IntegratedSecurity</t>
  </si>
  <si>
    <t>ConnectionTimeout</t>
  </si>
  <si>
    <t>ExtendedProperties</t>
  </si>
  <si>
    <t>UserID</t>
  </si>
  <si>
    <t>PersistSecurityInfo</t>
  </si>
  <si>
    <t>AdditionalParameters</t>
  </si>
  <si>
    <t>MSOLEDBSQL</t>
  </si>
  <si>
    <t>Connections</t>
  </si>
  <si>
    <t>Connection</t>
  </si>
  <si>
    <t>ID de conexões</t>
  </si>
  <si>
    <t xml:space="preserve">Provedor OleDb </t>
  </si>
  <si>
    <t>Provedor</t>
  </si>
  <si>
    <t>Porta</t>
  </si>
  <si>
    <t>Segurança integrada?</t>
  </si>
  <si>
    <t>Timeout de conexão</t>
  </si>
  <si>
    <t>Timeout</t>
  </si>
  <si>
    <t>Propriedades extendidas</t>
  </si>
  <si>
    <t>Propriedades</t>
  </si>
  <si>
    <t>Usuário ID</t>
  </si>
  <si>
    <t>Persiste informação de segurança?</t>
  </si>
  <si>
    <t>Persiste info?</t>
  </si>
  <si>
    <t>Parâmetros adicionais</t>
  </si>
  <si>
    <t>Parâmetros</t>
  </si>
  <si>
    <t>Colunas de tabelas</t>
  </si>
  <si>
    <t>Índices de tabelas</t>
  </si>
  <si>
    <t>Conexões de bancos-de-dados</t>
  </si>
  <si>
    <t>Usuários de sistemas</t>
  </si>
  <si>
    <t>Menus de sistemas</t>
  </si>
  <si>
    <t>Tipos de dados</t>
  </si>
  <si>
    <t>Domínios de colunas</t>
  </si>
  <si>
    <t>Tabelas de bancos-de-dados</t>
  </si>
  <si>
    <t>Transactions</t>
  </si>
  <si>
    <t>Transaction</t>
  </si>
  <si>
    <t>Transações de bancos-de-dados</t>
  </si>
  <si>
    <t>Logins de acesso aos sistemas</t>
  </si>
  <si>
    <t>IsLegacy</t>
  </si>
  <si>
    <t>Legada?</t>
  </si>
  <si>
    <t>É tabela legada?</t>
  </si>
  <si>
    <t>Operations</t>
  </si>
  <si>
    <t>Operation</t>
  </si>
  <si>
    <t>Operações de transações</t>
  </si>
  <si>
    <t>LoginId</t>
  </si>
  <si>
    <t>IsConfirmed</t>
  </si>
  <si>
    <t>TransactionId</t>
  </si>
  <si>
    <t>TableName</t>
  </si>
  <si>
    <t>ActualRecord</t>
  </si>
  <si>
    <t>Login do usuário</t>
  </si>
  <si>
    <t>É confirmado?</t>
  </si>
  <si>
    <t>Confirmado?</t>
  </si>
  <si>
    <t>Alias da coluna</t>
  </si>
  <si>
    <t>ID da transação</t>
  </si>
  <si>
    <t>ID da operação</t>
  </si>
  <si>
    <t>Transação</t>
  </si>
  <si>
    <t>Ação da operação</t>
  </si>
  <si>
    <t>OriginalRecord</t>
  </si>
  <si>
    <t>Registro original</t>
  </si>
  <si>
    <t>Registro atual</t>
  </si>
  <si>
    <t>ParentOperationId</t>
  </si>
  <si>
    <t>ID da operação-pai</t>
  </si>
  <si>
    <t>Operação-pai</t>
  </si>
  <si>
    <t>CurrentOperationId</t>
  </si>
  <si>
    <t>OperationAction</t>
  </si>
  <si>
    <t>create;update;delete</t>
  </si>
  <si>
    <t>UNQ_Logins_SystemId_UserId_IsLogged</t>
  </si>
  <si>
    <t>ConnectionId</t>
  </si>
  <si>
    <t>ID da conexão</t>
  </si>
  <si>
    <t>Conexão</t>
  </si>
  <si>
    <t>Nome da Hospedagem</t>
  </si>
  <si>
    <t>Hospedagem</t>
  </si>
  <si>
    <t>Operação atual</t>
  </si>
  <si>
    <t>ID da Operação atual</t>
  </si>
  <si>
    <t>É banco-de-dados legado?</t>
  </si>
  <si>
    <t>Legado?</t>
  </si>
  <si>
    <t>UNQ_Indexes_Name</t>
  </si>
  <si>
    <t>#ConnectionId</t>
  </si>
  <si>
    <t>IsBidirectional</t>
  </si>
  <si>
    <t>Associations</t>
  </si>
  <si>
    <t>Association</t>
  </si>
  <si>
    <t>Uniques</t>
  </si>
  <si>
    <t>Unique</t>
  </si>
  <si>
    <t>Unicidades cruzadas</t>
  </si>
  <si>
    <t>ID da tabela 1</t>
  </si>
  <si>
    <t>TableId1</t>
  </si>
  <si>
    <t>TableId2</t>
  </si>
  <si>
    <t>ID da tabela 2</t>
  </si>
  <si>
    <t>Tabela 1</t>
  </si>
  <si>
    <t>Tabela 2</t>
  </si>
  <si>
    <t>ID da unicidade cruzada</t>
  </si>
  <si>
    <t>ColumnId1</t>
  </si>
  <si>
    <t>ColumnId2</t>
  </si>
  <si>
    <t>ID da coluna 1</t>
  </si>
  <si>
    <t>ID da coluna 2</t>
  </si>
  <si>
    <t>Coluna 1</t>
  </si>
  <si>
    <t>Coluna 2</t>
  </si>
  <si>
    <t>#TableName1</t>
  </si>
  <si>
    <t>#TableName2</t>
  </si>
  <si>
    <t>#TableAlias2</t>
  </si>
  <si>
    <t>#TableAlias1</t>
  </si>
  <si>
    <t>#Name</t>
  </si>
  <si>
    <t>#ColumnName1</t>
  </si>
  <si>
    <t>#ColumnName2</t>
  </si>
  <si>
    <t>É bidirecional?</t>
  </si>
  <si>
    <t>Bidirecional?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</si>
</sst>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1" fillId="0" borderId="0" xfId="0" applyFont="1" applyAlignment="1">
      <alignment horizontal="center"/>
    </xf>
    <xf numFmtId="3" fontId="1" fillId="0" borderId="0" xfId="0" applyNumberFormat="1" applyFont="1" applyAlignment="1">
      <alignment horizontal="center"/>
    </xf>
    <xf numFmtId="0" fontId="0" fillId="0" borderId="0" xfId="0" applyAlignment="1">
      <alignment horizontal="left"/>
    </xf>
    <xf numFmtId="3" fontId="0" fillId="0" borderId="0" xfId="0" applyNumberFormat="1" applyAlignment="1">
      <alignment horizontal="left"/>
    </xf>
    <xf numFmtId="3" fontId="0" fillId="0" borderId="0" xfId="0" applyNumberFormat="1"/>
    <xf numFmtId="0" fontId="0" fillId="0" borderId="0" xfId="0" quotePrefix="1" applyAlignment="1">
      <alignment horizontal="left"/>
    </xf>
    <xf numFmtId="0" fontId="0" fillId="2" borderId="1" xfId="0" applyFill="1" applyBorder="1"/>
    <xf numFmtId="0" fontId="0" fillId="2" borderId="1" xfId="0" quotePrefix="1" applyFill="1" applyBorder="1"/>
    <xf numFmtId="0" fontId="0" fillId="3" borderId="1" xfId="0" applyFill="1" applyBorder="1"/>
    <xf numFmtId="0" fontId="1" fillId="0" borderId="1" xfId="0" applyFont="1" applyBorder="1" applyAlignment="1">
      <alignment horizontal="center"/>
    </xf>
    <xf numFmtId="1" fontId="0" fillId="0" borderId="0" xfId="0" applyNumberFormat="1" applyAlignment="1">
      <alignment horizontal="left"/>
    </xf>
    <xf numFmtId="3" fontId="1" fillId="0" borderId="1" xfId="0" applyNumberFormat="1" applyFont="1" applyBorder="1" applyAlignment="1">
      <alignment horizontal="left"/>
    </xf>
    <xf numFmtId="3" fontId="0" fillId="2" borderId="1" xfId="0" applyNumberFormat="1" applyFill="1" applyBorder="1" applyAlignment="1">
      <alignment horizontal="left"/>
    </xf>
    <xf numFmtId="0" fontId="0" fillId="2" borderId="1" xfId="0" applyFill="1" applyBorder="1" applyAlignment="1">
      <alignment horizontal="left"/>
    </xf>
    <xf numFmtId="0" fontId="0" fillId="3" borderId="1" xfId="0" applyFill="1" applyBorder="1" applyAlignment="1">
      <alignment horizontal="left"/>
    </xf>
    <xf numFmtId="3" fontId="0" fillId="3" borderId="1" xfId="0" applyNumberFormat="1" applyFill="1" applyBorder="1" applyAlignment="1">
      <alignment horizontal="left"/>
    </xf>
    <xf numFmtId="0" fontId="1" fillId="0" borderId="1" xfId="0" applyFont="1" applyBorder="1" applyAlignment="1">
      <alignment horizontal="left"/>
    </xf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eetMetadata" Target="metadata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Relationship Id="rId27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94128F-0540-4A14-86D5-4B63388C5B19}">
  <sheetPr codeName="Planilha1"/>
  <dimension ref="A1:K11"/>
  <sheetViews>
    <sheetView workbookViewId="0">
      <pane ySplit="1" topLeftCell="A2" activePane="bottomLeft" state="frozen"/>
      <selection pane="bottomLeft" activeCell="C21" sqref="C21"/>
    </sheetView>
  </sheetViews>
  <sheetFormatPr defaultRowHeight="14.4" x14ac:dyDescent="0.3"/>
  <cols>
    <col min="1" max="1" width="3" bestFit="1" customWidth="1"/>
    <col min="2" max="2" width="9.109375" bestFit="1" customWidth="1"/>
    <col min="3" max="3" width="13.77734375" bestFit="1" customWidth="1"/>
    <col min="4" max="4" width="13.88671875" bestFit="1" customWidth="1"/>
    <col min="5" max="5" width="12.5546875" bestFit="1" customWidth="1"/>
    <col min="6" max="8" width="11.77734375" bestFit="1" customWidth="1"/>
    <col min="9" max="9" width="12.21875" bestFit="1" customWidth="1"/>
    <col min="10" max="10" width="12.5546875" bestFit="1" customWidth="1"/>
    <col min="11" max="11" width="11.77734375" bestFit="1" customWidth="1"/>
  </cols>
  <sheetData>
    <row r="1" spans="1:11" s="1" customFormat="1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417</v>
      </c>
    </row>
    <row r="2" spans="1:11" x14ac:dyDescent="0.3">
      <c r="A2">
        <f>ROW(A2)-1</f>
        <v>1</v>
      </c>
      <c r="B2" t="s">
        <v>10</v>
      </c>
      <c r="C2" t="s">
        <v>11</v>
      </c>
      <c r="D2" t="s">
        <v>12</v>
      </c>
      <c r="E2" t="b">
        <v>1</v>
      </c>
      <c r="F2" t="b">
        <v>1</v>
      </c>
      <c r="G2" t="b">
        <v>1</v>
      </c>
      <c r="H2" t="b">
        <v>1</v>
      </c>
      <c r="I2" t="b">
        <v>1</v>
      </c>
      <c r="J2" t="b">
        <v>1</v>
      </c>
      <c r="K2" t="b">
        <v>0</v>
      </c>
    </row>
    <row r="3" spans="1:11" x14ac:dyDescent="0.3">
      <c r="A3">
        <f t="shared" ref="A3:A11" si="0">ROW(A3)-1</f>
        <v>2</v>
      </c>
      <c r="B3" t="s">
        <v>13</v>
      </c>
      <c r="C3" t="s">
        <v>11</v>
      </c>
      <c r="D3" t="s">
        <v>14</v>
      </c>
      <c r="E3" t="b">
        <v>0</v>
      </c>
      <c r="F3" t="b">
        <v>1</v>
      </c>
      <c r="G3" t="b">
        <v>0</v>
      </c>
      <c r="H3" t="b">
        <v>1</v>
      </c>
      <c r="I3" t="b">
        <v>1</v>
      </c>
      <c r="J3" t="b">
        <v>1</v>
      </c>
      <c r="K3" t="b">
        <v>1</v>
      </c>
    </row>
    <row r="4" spans="1:11" x14ac:dyDescent="0.3">
      <c r="A4">
        <f t="shared" si="0"/>
        <v>3</v>
      </c>
      <c r="B4" t="s">
        <v>15</v>
      </c>
      <c r="C4" t="s">
        <v>15</v>
      </c>
      <c r="D4" t="s">
        <v>14</v>
      </c>
      <c r="E4" t="b">
        <v>0</v>
      </c>
      <c r="F4" t="b">
        <v>1</v>
      </c>
      <c r="G4" t="b">
        <v>0</v>
      </c>
      <c r="H4" t="b">
        <v>1</v>
      </c>
      <c r="I4" t="b">
        <v>1</v>
      </c>
      <c r="J4" t="b">
        <v>1</v>
      </c>
      <c r="K4" t="b">
        <v>0</v>
      </c>
    </row>
    <row r="5" spans="1:11" x14ac:dyDescent="0.3">
      <c r="A5">
        <f t="shared" si="0"/>
        <v>4</v>
      </c>
      <c r="B5" t="s">
        <v>16</v>
      </c>
      <c r="C5" t="s">
        <v>402</v>
      </c>
      <c r="D5" t="s">
        <v>14</v>
      </c>
      <c r="E5" t="b">
        <v>0</v>
      </c>
      <c r="F5" t="b">
        <v>1</v>
      </c>
      <c r="G5" t="b">
        <v>0</v>
      </c>
      <c r="H5" t="b">
        <v>1</v>
      </c>
      <c r="I5" t="b">
        <v>1</v>
      </c>
      <c r="J5" t="b">
        <v>1</v>
      </c>
      <c r="K5" t="b">
        <v>0</v>
      </c>
    </row>
    <row r="6" spans="1:11" x14ac:dyDescent="0.3">
      <c r="A6">
        <f t="shared" si="0"/>
        <v>5</v>
      </c>
      <c r="B6" t="s">
        <v>17</v>
      </c>
      <c r="C6" t="s">
        <v>18</v>
      </c>
      <c r="D6" t="s">
        <v>19</v>
      </c>
      <c r="E6" t="b">
        <v>0</v>
      </c>
      <c r="F6" t="b">
        <v>0</v>
      </c>
      <c r="G6" t="b">
        <v>0</v>
      </c>
      <c r="H6" t="b">
        <v>1</v>
      </c>
      <c r="I6" t="b">
        <v>0</v>
      </c>
      <c r="J6" t="b">
        <v>0</v>
      </c>
      <c r="K6" t="b">
        <v>0</v>
      </c>
    </row>
    <row r="7" spans="1:11" x14ac:dyDescent="0.3">
      <c r="A7">
        <f t="shared" si="0"/>
        <v>6</v>
      </c>
      <c r="B7" t="s">
        <v>20</v>
      </c>
      <c r="C7" t="s">
        <v>20</v>
      </c>
      <c r="D7" t="s">
        <v>14</v>
      </c>
      <c r="E7" t="b">
        <v>0</v>
      </c>
      <c r="F7" t="b">
        <v>1</v>
      </c>
      <c r="G7" t="b">
        <v>0</v>
      </c>
      <c r="H7" t="b">
        <v>1</v>
      </c>
      <c r="I7" t="b">
        <v>1</v>
      </c>
      <c r="J7" t="b">
        <v>1</v>
      </c>
      <c r="K7" t="b">
        <v>0</v>
      </c>
    </row>
    <row r="8" spans="1:11" x14ac:dyDescent="0.3">
      <c r="A8">
        <f t="shared" si="0"/>
        <v>7</v>
      </c>
      <c r="B8" t="s">
        <v>11</v>
      </c>
      <c r="C8" t="s">
        <v>21</v>
      </c>
      <c r="D8" t="s">
        <v>12</v>
      </c>
      <c r="E8" t="b">
        <v>0</v>
      </c>
      <c r="F8" t="b">
        <v>0</v>
      </c>
      <c r="G8" t="b">
        <v>0</v>
      </c>
      <c r="H8" t="b">
        <v>0</v>
      </c>
      <c r="I8" t="b">
        <v>0</v>
      </c>
      <c r="J8" t="b">
        <v>0</v>
      </c>
      <c r="K8" t="b">
        <v>0</v>
      </c>
    </row>
    <row r="9" spans="1:11" x14ac:dyDescent="0.3">
      <c r="A9">
        <f t="shared" si="0"/>
        <v>8</v>
      </c>
      <c r="B9" t="s">
        <v>22</v>
      </c>
      <c r="C9" t="s">
        <v>22</v>
      </c>
      <c r="D9" t="s">
        <v>12</v>
      </c>
      <c r="E9" t="b">
        <v>0</v>
      </c>
      <c r="F9" t="b">
        <v>0</v>
      </c>
      <c r="G9" t="b">
        <v>0</v>
      </c>
      <c r="H9" t="b">
        <v>0</v>
      </c>
      <c r="I9" t="b">
        <v>0</v>
      </c>
      <c r="J9" t="b">
        <v>0</v>
      </c>
      <c r="K9" t="b">
        <v>0</v>
      </c>
    </row>
    <row r="10" spans="1:11" x14ac:dyDescent="0.3">
      <c r="A10">
        <v>9</v>
      </c>
      <c r="B10" t="s">
        <v>23</v>
      </c>
      <c r="C10" t="s">
        <v>306</v>
      </c>
      <c r="E10" t="b">
        <v>0</v>
      </c>
      <c r="F10" t="b">
        <v>0</v>
      </c>
      <c r="G10" t="b">
        <v>0</v>
      </c>
      <c r="H10" t="b">
        <v>0</v>
      </c>
      <c r="I10" t="b">
        <v>0</v>
      </c>
      <c r="J10" t="b">
        <v>0</v>
      </c>
      <c r="K10" t="b">
        <v>0</v>
      </c>
    </row>
    <row r="11" spans="1:11" x14ac:dyDescent="0.3">
      <c r="A11">
        <f t="shared" si="0"/>
        <v>10</v>
      </c>
      <c r="B11" t="s">
        <v>24</v>
      </c>
      <c r="C11" t="s">
        <v>21</v>
      </c>
      <c r="D11" t="s">
        <v>12</v>
      </c>
      <c r="E11" t="b">
        <v>0</v>
      </c>
      <c r="F11" t="b">
        <v>0</v>
      </c>
      <c r="G11" t="b">
        <v>0</v>
      </c>
      <c r="H11" t="b">
        <v>0</v>
      </c>
      <c r="I11" t="b">
        <v>0</v>
      </c>
      <c r="J11" t="b">
        <v>0</v>
      </c>
      <c r="K11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E46044-3AC9-4077-B77F-D29225EABD28}">
  <sheetPr codeName="planTypes"/>
  <dimension ref="A1:P38"/>
  <sheetViews>
    <sheetView workbookViewId="0">
      <pane ySplit="1" topLeftCell="A14" activePane="bottomLeft" state="frozen"/>
      <selection pane="bottomLeft" activeCell="K33" sqref="K33"/>
    </sheetView>
  </sheetViews>
  <sheetFormatPr defaultRowHeight="14.4" x14ac:dyDescent="0.3"/>
  <cols>
    <col min="1" max="1" width="3" bestFit="1" customWidth="1"/>
    <col min="2" max="2" width="10.21875" bestFit="1" customWidth="1"/>
    <col min="3" max="3" width="14.6640625" bestFit="1" customWidth="1"/>
    <col min="4" max="5" width="13.88671875" bestFit="1" customWidth="1"/>
    <col min="6" max="6" width="10.44140625" bestFit="1" customWidth="1"/>
    <col min="7" max="8" width="26.109375" style="3" bestFit="1" customWidth="1"/>
    <col min="9" max="10" width="11.77734375" bestFit="1" customWidth="1"/>
    <col min="11" max="11" width="13.6640625" bestFit="1" customWidth="1"/>
    <col min="12" max="12" width="16.77734375" bestFit="1" customWidth="1"/>
    <col min="13" max="14" width="11.77734375" bestFit="1" customWidth="1"/>
    <col min="15" max="15" width="14.21875" bestFit="1" customWidth="1"/>
    <col min="16" max="16" width="11.77734375" style="5" bestFit="1" customWidth="1"/>
  </cols>
  <sheetData>
    <row r="1" spans="1:16" s="1" customFormat="1" x14ac:dyDescent="0.3">
      <c r="A1" s="1" t="s">
        <v>0</v>
      </c>
      <c r="B1" s="1" t="s">
        <v>25</v>
      </c>
      <c r="C1" s="1" t="s">
        <v>348</v>
      </c>
      <c r="D1" s="1" t="s">
        <v>1</v>
      </c>
      <c r="E1" s="1" t="s">
        <v>383</v>
      </c>
      <c r="F1" s="1" t="s">
        <v>403</v>
      </c>
      <c r="G1" s="1" t="s">
        <v>26</v>
      </c>
      <c r="H1" s="1" t="s">
        <v>27</v>
      </c>
      <c r="I1" s="1" t="s">
        <v>28</v>
      </c>
      <c r="J1" s="1" t="s">
        <v>29</v>
      </c>
      <c r="K1" s="1" t="s">
        <v>30</v>
      </c>
      <c r="L1" s="1" t="s">
        <v>31</v>
      </c>
      <c r="M1" s="1" t="s">
        <v>32</v>
      </c>
      <c r="N1" s="1" t="s">
        <v>389</v>
      </c>
      <c r="O1" s="1" t="s">
        <v>304</v>
      </c>
      <c r="P1" s="2" t="s">
        <v>33</v>
      </c>
    </row>
    <row r="2" spans="1:16" x14ac:dyDescent="0.3">
      <c r="A2">
        <f>ROW(A2)-1</f>
        <v>1</v>
      </c>
      <c r="B2">
        <v>2</v>
      </c>
      <c r="C2" t="str">
        <f t="array" ref="C2">GetValue("Categories",B2,"Name")</f>
        <v>numeric</v>
      </c>
      <c r="D2" t="s">
        <v>34</v>
      </c>
      <c r="E2" t="str">
        <f>D2</f>
        <v>bigint</v>
      </c>
      <c r="F2">
        <v>15</v>
      </c>
      <c r="G2" s="11">
        <v>-9007199254740990</v>
      </c>
      <c r="H2" s="11">
        <v>9007199254740990</v>
      </c>
      <c r="I2" t="b">
        <v>0</v>
      </c>
      <c r="J2" t="b">
        <v>0</v>
      </c>
      <c r="K2" t="b">
        <v>1</v>
      </c>
      <c r="L2" t="b">
        <v>1</v>
      </c>
      <c r="M2" t="b">
        <v>1</v>
      </c>
      <c r="N2" t="b">
        <v>1</v>
      </c>
      <c r="O2" t="b">
        <v>0</v>
      </c>
      <c r="P2" s="5" t="b">
        <v>1</v>
      </c>
    </row>
    <row r="3" spans="1:16" x14ac:dyDescent="0.3">
      <c r="A3">
        <f t="shared" ref="A3:A28" si="0">ROW(A3)-1</f>
        <v>2</v>
      </c>
      <c r="B3">
        <v>9</v>
      </c>
      <c r="C3" t="str">
        <f t="array" ref="C3">GetValue("Categories",B3,"Name")</f>
        <v>binary</v>
      </c>
      <c r="D3" t="s">
        <v>23</v>
      </c>
      <c r="E3" t="str">
        <f t="shared" ref="E3:E38" si="1">D3</f>
        <v>binary</v>
      </c>
      <c r="G3" s="3" t="s">
        <v>35</v>
      </c>
      <c r="H3" s="3" t="s">
        <v>35</v>
      </c>
      <c r="I3" t="b">
        <v>0</v>
      </c>
      <c r="J3" t="b">
        <v>0</v>
      </c>
      <c r="K3" t="b">
        <v>0</v>
      </c>
      <c r="L3" t="b">
        <v>0</v>
      </c>
      <c r="M3" t="b">
        <v>0</v>
      </c>
      <c r="N3" t="b">
        <v>0</v>
      </c>
      <c r="O3" t="b">
        <v>0</v>
      </c>
      <c r="P3" s="5" t="b">
        <v>0</v>
      </c>
    </row>
    <row r="4" spans="1:16" x14ac:dyDescent="0.3">
      <c r="A4">
        <f t="shared" si="0"/>
        <v>3</v>
      </c>
      <c r="B4">
        <v>5</v>
      </c>
      <c r="C4" t="str">
        <f t="array" ref="C4">GetValue("Categories",B4,"Name")</f>
        <v>boolean</v>
      </c>
      <c r="D4" t="s">
        <v>36</v>
      </c>
      <c r="E4" t="str">
        <f t="shared" si="1"/>
        <v>bit</v>
      </c>
      <c r="G4" s="3" t="s">
        <v>35</v>
      </c>
      <c r="H4" s="3" t="s">
        <v>35</v>
      </c>
      <c r="I4" t="b">
        <v>0</v>
      </c>
      <c r="J4" t="b">
        <v>0</v>
      </c>
      <c r="K4" t="b">
        <v>0</v>
      </c>
      <c r="L4" t="b">
        <v>0</v>
      </c>
      <c r="M4" t="b">
        <v>1</v>
      </c>
      <c r="N4" t="b">
        <v>1</v>
      </c>
      <c r="O4" t="b">
        <v>0</v>
      </c>
      <c r="P4" s="5" t="b">
        <v>1</v>
      </c>
    </row>
    <row r="5" spans="1:16" x14ac:dyDescent="0.3">
      <c r="A5">
        <f t="shared" si="0"/>
        <v>4</v>
      </c>
      <c r="B5">
        <v>1</v>
      </c>
      <c r="C5" t="str">
        <f t="array" ref="C5">GetValue("Categories",B5,"Name")</f>
        <v>string</v>
      </c>
      <c r="D5" t="s">
        <v>37</v>
      </c>
      <c r="E5" t="str">
        <f t="shared" si="1"/>
        <v>char</v>
      </c>
      <c r="G5" s="3" t="s">
        <v>35</v>
      </c>
      <c r="H5" s="3" t="s">
        <v>35</v>
      </c>
      <c r="I5" t="b">
        <v>1</v>
      </c>
      <c r="J5" t="b">
        <v>0</v>
      </c>
      <c r="K5" t="b">
        <v>0</v>
      </c>
      <c r="L5" t="b">
        <v>0</v>
      </c>
      <c r="M5" t="b">
        <v>1</v>
      </c>
      <c r="N5" t="b">
        <v>1</v>
      </c>
      <c r="O5" t="b">
        <v>0</v>
      </c>
      <c r="P5" s="5" t="b">
        <v>1</v>
      </c>
    </row>
    <row r="6" spans="1:16" x14ac:dyDescent="0.3">
      <c r="A6">
        <f t="shared" si="0"/>
        <v>5</v>
      </c>
      <c r="B6">
        <v>3</v>
      </c>
      <c r="C6" t="str">
        <f t="array" ref="C6">GetValue("Categories",B6,"Name")</f>
        <v>date</v>
      </c>
      <c r="D6" t="s">
        <v>15</v>
      </c>
      <c r="E6" t="str">
        <f t="shared" si="1"/>
        <v>date</v>
      </c>
      <c r="F6">
        <v>10</v>
      </c>
      <c r="G6" s="6" t="s">
        <v>366</v>
      </c>
      <c r="H6" s="6" t="s">
        <v>371</v>
      </c>
      <c r="I6" t="b">
        <v>0</v>
      </c>
      <c r="J6" t="b">
        <v>0</v>
      </c>
      <c r="K6" t="b">
        <v>0</v>
      </c>
      <c r="L6" t="b">
        <v>0</v>
      </c>
      <c r="M6" t="b">
        <v>1</v>
      </c>
      <c r="N6" t="b">
        <v>1</v>
      </c>
      <c r="O6" t="b">
        <v>0</v>
      </c>
      <c r="P6" s="5" t="b">
        <v>1</v>
      </c>
    </row>
    <row r="7" spans="1:16" x14ac:dyDescent="0.3">
      <c r="A7">
        <f t="shared" si="0"/>
        <v>6</v>
      </c>
      <c r="B7">
        <v>4</v>
      </c>
      <c r="C7" t="str">
        <f t="array" ref="C7">GetValue("Categories",B7,"Name")</f>
        <v>datetime</v>
      </c>
      <c r="D7" t="s">
        <v>16</v>
      </c>
      <c r="E7" t="str">
        <f t="shared" si="1"/>
        <v>datetime</v>
      </c>
      <c r="F7">
        <v>20</v>
      </c>
      <c r="G7" s="6" t="s">
        <v>367</v>
      </c>
      <c r="H7" s="6" t="s">
        <v>372</v>
      </c>
      <c r="I7" t="b">
        <v>0</v>
      </c>
      <c r="J7" t="b">
        <v>0</v>
      </c>
      <c r="K7" t="b">
        <v>0</v>
      </c>
      <c r="L7" t="b">
        <v>0</v>
      </c>
      <c r="M7" t="b">
        <v>1</v>
      </c>
      <c r="N7" t="b">
        <v>1</v>
      </c>
      <c r="O7" t="b">
        <v>0</v>
      </c>
      <c r="P7" s="5" t="b">
        <v>1</v>
      </c>
    </row>
    <row r="8" spans="1:16" x14ac:dyDescent="0.3">
      <c r="A8">
        <f t="shared" si="0"/>
        <v>7</v>
      </c>
      <c r="B8">
        <v>4</v>
      </c>
      <c r="C8" t="str">
        <f t="array" ref="C8">GetValue("Categories",B8,"Name")</f>
        <v>datetime</v>
      </c>
      <c r="D8" t="s">
        <v>38</v>
      </c>
      <c r="E8" t="str">
        <f t="shared" si="1"/>
        <v>datetime2</v>
      </c>
      <c r="F8">
        <v>25</v>
      </c>
      <c r="G8" s="6" t="s">
        <v>368</v>
      </c>
      <c r="H8" s="6" t="s">
        <v>373</v>
      </c>
      <c r="I8" t="b">
        <v>0</v>
      </c>
      <c r="J8" t="b">
        <v>0</v>
      </c>
      <c r="K8" t="b">
        <v>0</v>
      </c>
      <c r="L8" t="b">
        <v>0</v>
      </c>
      <c r="M8" t="b">
        <v>1</v>
      </c>
      <c r="N8" t="b">
        <v>1</v>
      </c>
      <c r="O8" t="b">
        <v>0</v>
      </c>
      <c r="P8" s="5" t="b">
        <v>0</v>
      </c>
    </row>
    <row r="9" spans="1:16" x14ac:dyDescent="0.3">
      <c r="A9">
        <f t="shared" si="0"/>
        <v>8</v>
      </c>
      <c r="B9">
        <v>4</v>
      </c>
      <c r="C9" t="str">
        <f t="array" ref="C9">GetValue("Categories",B9,"Name")</f>
        <v>datetime</v>
      </c>
      <c r="D9" t="s">
        <v>39</v>
      </c>
      <c r="E9" t="str">
        <f t="shared" si="1"/>
        <v>datetimeoffset</v>
      </c>
      <c r="F9">
        <v>25</v>
      </c>
      <c r="G9" s="6" t="s">
        <v>368</v>
      </c>
      <c r="H9" s="6" t="s">
        <v>373</v>
      </c>
      <c r="I9" t="b">
        <v>0</v>
      </c>
      <c r="J9" t="b">
        <v>0</v>
      </c>
      <c r="K9" t="b">
        <v>0</v>
      </c>
      <c r="L9" t="b">
        <v>0</v>
      </c>
      <c r="M9" t="b">
        <v>1</v>
      </c>
      <c r="N9" t="b">
        <v>1</v>
      </c>
      <c r="O9" t="b">
        <v>0</v>
      </c>
      <c r="P9" s="5" t="b">
        <v>0</v>
      </c>
    </row>
    <row r="10" spans="1:16" x14ac:dyDescent="0.3">
      <c r="A10">
        <f t="shared" si="0"/>
        <v>9</v>
      </c>
      <c r="B10">
        <v>2</v>
      </c>
      <c r="C10" t="str">
        <f t="array" ref="C10">GetValue("Categories",B10,"Name")</f>
        <v>numeric</v>
      </c>
      <c r="D10" t="s">
        <v>40</v>
      </c>
      <c r="E10" t="str">
        <f t="shared" si="1"/>
        <v>decimal</v>
      </c>
      <c r="F10">
        <v>15</v>
      </c>
      <c r="G10" s="11">
        <v>-9007199254740990</v>
      </c>
      <c r="H10" s="11">
        <v>9007199254740990</v>
      </c>
      <c r="I10" t="b">
        <v>1</v>
      </c>
      <c r="J10" t="b">
        <v>1</v>
      </c>
      <c r="K10" t="b">
        <v>0</v>
      </c>
      <c r="L10" t="b">
        <v>0</v>
      </c>
      <c r="M10" t="b">
        <v>0</v>
      </c>
      <c r="N10" t="b">
        <v>1</v>
      </c>
      <c r="O10" t="b">
        <v>0</v>
      </c>
      <c r="P10" s="5" t="b">
        <v>1</v>
      </c>
    </row>
    <row r="11" spans="1:16" x14ac:dyDescent="0.3">
      <c r="A11">
        <f t="shared" si="0"/>
        <v>10</v>
      </c>
      <c r="B11">
        <v>2</v>
      </c>
      <c r="C11" t="str">
        <f t="array" ref="C11">GetValue("Categories",B11,"Name")</f>
        <v>numeric</v>
      </c>
      <c r="D11" t="s">
        <v>41</v>
      </c>
      <c r="E11" t="str">
        <f t="shared" si="1"/>
        <v>float</v>
      </c>
      <c r="F11">
        <v>15</v>
      </c>
      <c r="G11" s="11">
        <v>-9007199254740990</v>
      </c>
      <c r="H11" s="11">
        <v>9007199254740990</v>
      </c>
      <c r="I11" t="b">
        <v>0</v>
      </c>
      <c r="J11" t="b">
        <v>0</v>
      </c>
      <c r="K11" t="b">
        <v>0</v>
      </c>
      <c r="L11" t="b">
        <v>0</v>
      </c>
      <c r="M11" t="b">
        <v>0</v>
      </c>
      <c r="N11" t="b">
        <v>1</v>
      </c>
      <c r="O11" t="b">
        <v>0</v>
      </c>
      <c r="P11" s="5" t="b">
        <v>0</v>
      </c>
    </row>
    <row r="12" spans="1:16" x14ac:dyDescent="0.3">
      <c r="A12">
        <f t="shared" si="0"/>
        <v>11</v>
      </c>
      <c r="B12">
        <v>7</v>
      </c>
      <c r="C12" t="str">
        <f t="array" ref="C12">GetValue("Categories",B12,"Name")</f>
        <v>text</v>
      </c>
      <c r="D12" t="s">
        <v>42</v>
      </c>
      <c r="E12" t="str">
        <f t="shared" si="1"/>
        <v>geography</v>
      </c>
      <c r="G12" s="3" t="s">
        <v>35</v>
      </c>
      <c r="H12" s="3" t="s">
        <v>35</v>
      </c>
      <c r="I12" t="b">
        <v>0</v>
      </c>
      <c r="J12" t="b">
        <v>0</v>
      </c>
      <c r="K12" t="b">
        <v>0</v>
      </c>
      <c r="L12" t="b">
        <v>0</v>
      </c>
      <c r="M12" t="b">
        <v>0</v>
      </c>
      <c r="N12" t="b">
        <v>0</v>
      </c>
      <c r="O12" t="b">
        <v>0</v>
      </c>
      <c r="P12" s="5" t="b">
        <v>0</v>
      </c>
    </row>
    <row r="13" spans="1:16" x14ac:dyDescent="0.3">
      <c r="A13">
        <f t="shared" si="0"/>
        <v>12</v>
      </c>
      <c r="B13">
        <v>7</v>
      </c>
      <c r="C13" t="str">
        <f t="array" ref="C13">GetValue("Categories",B13,"Name")</f>
        <v>text</v>
      </c>
      <c r="D13" t="s">
        <v>43</v>
      </c>
      <c r="E13" t="str">
        <f t="shared" si="1"/>
        <v>geometry</v>
      </c>
      <c r="G13" s="3" t="s">
        <v>35</v>
      </c>
      <c r="H13" s="3" t="s">
        <v>35</v>
      </c>
      <c r="I13" t="b">
        <v>0</v>
      </c>
      <c r="J13" t="b">
        <v>0</v>
      </c>
      <c r="K13" t="b">
        <v>0</v>
      </c>
      <c r="L13" t="b">
        <v>0</v>
      </c>
      <c r="M13" t="b">
        <v>0</v>
      </c>
      <c r="N13" t="b">
        <v>0</v>
      </c>
      <c r="O13" t="b">
        <v>0</v>
      </c>
      <c r="P13" s="5" t="b">
        <v>0</v>
      </c>
    </row>
    <row r="14" spans="1:16" x14ac:dyDescent="0.3">
      <c r="A14">
        <f t="shared" si="0"/>
        <v>13</v>
      </c>
      <c r="B14">
        <v>1</v>
      </c>
      <c r="C14" t="str">
        <f t="array" ref="C14">GetValue("Categories",B14,"Name")</f>
        <v>string</v>
      </c>
      <c r="D14" t="s">
        <v>44</v>
      </c>
      <c r="E14" t="str">
        <f t="shared" si="1"/>
        <v>hierarchyid</v>
      </c>
      <c r="G14" s="3" t="s">
        <v>35</v>
      </c>
      <c r="H14" s="3" t="s">
        <v>35</v>
      </c>
      <c r="I14" t="b">
        <v>0</v>
      </c>
      <c r="J14" t="b">
        <v>0</v>
      </c>
      <c r="K14" t="b">
        <v>0</v>
      </c>
      <c r="L14" t="b">
        <v>0</v>
      </c>
      <c r="M14" t="b">
        <v>0</v>
      </c>
      <c r="N14" t="b">
        <v>0</v>
      </c>
      <c r="O14" t="b">
        <v>0</v>
      </c>
      <c r="P14" s="5" t="b">
        <v>0</v>
      </c>
    </row>
    <row r="15" spans="1:16" x14ac:dyDescent="0.3">
      <c r="A15">
        <f t="shared" si="0"/>
        <v>14</v>
      </c>
      <c r="B15">
        <v>8</v>
      </c>
      <c r="C15" t="str">
        <f t="array" ref="C15">GetValue("Categories",B15,"Name")</f>
        <v>image</v>
      </c>
      <c r="D15" t="s">
        <v>22</v>
      </c>
      <c r="E15" t="str">
        <f t="shared" si="1"/>
        <v>image</v>
      </c>
      <c r="G15" s="3" t="s">
        <v>35</v>
      </c>
      <c r="H15" s="3" t="s">
        <v>35</v>
      </c>
      <c r="I15" t="b">
        <v>0</v>
      </c>
      <c r="J15" t="b">
        <v>0</v>
      </c>
      <c r="K15" t="b">
        <v>0</v>
      </c>
      <c r="L15" t="b">
        <v>0</v>
      </c>
      <c r="M15" t="b">
        <v>0</v>
      </c>
      <c r="N15" t="b">
        <v>0</v>
      </c>
      <c r="O15" t="b">
        <v>0</v>
      </c>
      <c r="P15" s="5" t="b">
        <v>1</v>
      </c>
    </row>
    <row r="16" spans="1:16" x14ac:dyDescent="0.3">
      <c r="A16">
        <f t="shared" si="0"/>
        <v>15</v>
      </c>
      <c r="B16">
        <v>2</v>
      </c>
      <c r="C16" t="str">
        <f t="array" ref="C16">GetValue("Categories",B16,"Name")</f>
        <v>numeric</v>
      </c>
      <c r="D16" t="s">
        <v>45</v>
      </c>
      <c r="E16" t="str">
        <f t="shared" si="1"/>
        <v>int</v>
      </c>
      <c r="F16">
        <v>10</v>
      </c>
      <c r="G16" s="3">
        <v>-2147483648</v>
      </c>
      <c r="H16" s="3">
        <v>2147483647</v>
      </c>
      <c r="I16" t="b">
        <v>0</v>
      </c>
      <c r="J16" t="b">
        <v>0</v>
      </c>
      <c r="K16" t="b">
        <v>1</v>
      </c>
      <c r="L16" t="b">
        <v>1</v>
      </c>
      <c r="M16" t="b">
        <v>1</v>
      </c>
      <c r="N16" t="b">
        <v>1</v>
      </c>
      <c r="O16" t="b">
        <v>0</v>
      </c>
      <c r="P16" s="5" t="b">
        <v>1</v>
      </c>
    </row>
    <row r="17" spans="1:16" x14ac:dyDescent="0.3">
      <c r="A17">
        <f t="shared" si="0"/>
        <v>16</v>
      </c>
      <c r="B17">
        <v>2</v>
      </c>
      <c r="C17" t="str">
        <f t="array" ref="C17">GetValue("Categories",B17,"Name")</f>
        <v>numeric</v>
      </c>
      <c r="D17" t="s">
        <v>46</v>
      </c>
      <c r="E17" t="str">
        <f t="shared" si="1"/>
        <v>money</v>
      </c>
      <c r="F17">
        <v>15</v>
      </c>
      <c r="G17" s="11">
        <v>-922337203685477</v>
      </c>
      <c r="H17" s="11">
        <v>922337203685477</v>
      </c>
      <c r="I17" t="b">
        <v>0</v>
      </c>
      <c r="J17" t="b">
        <v>0</v>
      </c>
      <c r="K17" t="b">
        <v>0</v>
      </c>
      <c r="L17" t="b">
        <v>0</v>
      </c>
      <c r="M17" t="b">
        <v>0</v>
      </c>
      <c r="N17" t="b">
        <v>1</v>
      </c>
      <c r="O17" t="b">
        <v>0</v>
      </c>
      <c r="P17" s="5" t="b">
        <v>1</v>
      </c>
    </row>
    <row r="18" spans="1:16" x14ac:dyDescent="0.3">
      <c r="A18">
        <f t="shared" si="0"/>
        <v>17</v>
      </c>
      <c r="B18">
        <v>1</v>
      </c>
      <c r="C18" t="str">
        <f t="array" ref="C18">GetValue("Categories",B18,"Name")</f>
        <v>string</v>
      </c>
      <c r="D18" t="s">
        <v>47</v>
      </c>
      <c r="E18" t="str">
        <f t="shared" si="1"/>
        <v>nchar</v>
      </c>
      <c r="G18" s="3" t="s">
        <v>35</v>
      </c>
      <c r="H18" s="3" t="s">
        <v>35</v>
      </c>
      <c r="I18" t="b">
        <v>1</v>
      </c>
      <c r="J18" t="b">
        <v>0</v>
      </c>
      <c r="K18" t="b">
        <v>0</v>
      </c>
      <c r="L18" t="b">
        <v>0</v>
      </c>
      <c r="M18" t="b">
        <v>1</v>
      </c>
      <c r="N18" t="b">
        <v>1</v>
      </c>
      <c r="O18" t="b">
        <v>0</v>
      </c>
      <c r="P18" s="5" t="b">
        <v>0</v>
      </c>
    </row>
    <row r="19" spans="1:16" x14ac:dyDescent="0.3">
      <c r="A19">
        <f t="shared" si="0"/>
        <v>18</v>
      </c>
      <c r="B19">
        <v>7</v>
      </c>
      <c r="C19" t="str">
        <f t="array" ref="C19">GetValue("Categories",B19,"Name")</f>
        <v>text</v>
      </c>
      <c r="D19" t="s">
        <v>48</v>
      </c>
      <c r="E19" t="str">
        <f t="shared" si="1"/>
        <v>ntext</v>
      </c>
      <c r="G19" s="3" t="s">
        <v>35</v>
      </c>
      <c r="H19" s="3" t="s">
        <v>35</v>
      </c>
      <c r="I19" t="b">
        <v>0</v>
      </c>
      <c r="J19" t="b">
        <v>0</v>
      </c>
      <c r="K19" t="b">
        <v>0</v>
      </c>
      <c r="L19" t="b">
        <v>0</v>
      </c>
      <c r="M19" t="b">
        <v>0</v>
      </c>
      <c r="N19" t="b">
        <v>1</v>
      </c>
      <c r="O19" t="b">
        <v>0</v>
      </c>
      <c r="P19" s="5" t="b">
        <v>0</v>
      </c>
    </row>
    <row r="20" spans="1:16" x14ac:dyDescent="0.3">
      <c r="A20">
        <f t="shared" si="0"/>
        <v>19</v>
      </c>
      <c r="B20">
        <v>2</v>
      </c>
      <c r="C20" t="str">
        <f t="array" ref="C20">GetValue("Categories",B20,"Name")</f>
        <v>numeric</v>
      </c>
      <c r="D20" t="s">
        <v>13</v>
      </c>
      <c r="E20" t="str">
        <f t="shared" si="1"/>
        <v>numeric</v>
      </c>
      <c r="F20">
        <v>15</v>
      </c>
      <c r="G20" s="11">
        <v>-9007199254740990</v>
      </c>
      <c r="H20" s="11">
        <v>9007199254740990</v>
      </c>
      <c r="I20" t="b">
        <v>1</v>
      </c>
      <c r="J20" t="b">
        <v>1</v>
      </c>
      <c r="K20" t="b">
        <v>0</v>
      </c>
      <c r="L20" t="b">
        <v>0</v>
      </c>
      <c r="M20" t="b">
        <v>0</v>
      </c>
      <c r="N20" t="b">
        <v>1</v>
      </c>
      <c r="O20" t="b">
        <v>0</v>
      </c>
      <c r="P20" s="5" t="b">
        <v>1</v>
      </c>
    </row>
    <row r="21" spans="1:16" x14ac:dyDescent="0.3">
      <c r="A21">
        <f t="shared" si="0"/>
        <v>20</v>
      </c>
      <c r="B21">
        <v>1</v>
      </c>
      <c r="C21" t="str">
        <f t="array" ref="C21">GetValue("Categories",B21,"Name")</f>
        <v>string</v>
      </c>
      <c r="D21" t="s">
        <v>49</v>
      </c>
      <c r="E21" t="str">
        <f t="shared" si="1"/>
        <v>nvarchar</v>
      </c>
      <c r="G21" s="3" t="s">
        <v>35</v>
      </c>
      <c r="H21" s="3" t="s">
        <v>35</v>
      </c>
      <c r="I21" t="b">
        <v>1</v>
      </c>
      <c r="J21" t="b">
        <v>0</v>
      </c>
      <c r="K21" t="b">
        <v>0</v>
      </c>
      <c r="L21" t="b">
        <v>0</v>
      </c>
      <c r="M21" t="b">
        <v>1</v>
      </c>
      <c r="N21" t="b">
        <v>1</v>
      </c>
      <c r="O21" t="b">
        <v>1</v>
      </c>
      <c r="P21" s="5" t="b">
        <v>1</v>
      </c>
    </row>
    <row r="22" spans="1:16" x14ac:dyDescent="0.3">
      <c r="A22">
        <f t="shared" si="0"/>
        <v>21</v>
      </c>
      <c r="B22">
        <v>7</v>
      </c>
      <c r="C22" t="str">
        <f t="array" ref="C22">GetValue("Categories",B22,"Name")</f>
        <v>text</v>
      </c>
      <c r="D22" t="s">
        <v>432</v>
      </c>
      <c r="E22" t="str">
        <f t="shared" ref="E22" si="2">D22</f>
        <v>nvarchar(max)</v>
      </c>
      <c r="G22" s="3" t="s">
        <v>35</v>
      </c>
      <c r="H22" s="3" t="s">
        <v>35</v>
      </c>
      <c r="I22" t="b">
        <v>0</v>
      </c>
      <c r="J22" t="b">
        <v>0</v>
      </c>
      <c r="K22" t="b">
        <v>0</v>
      </c>
      <c r="L22" t="b">
        <v>0</v>
      </c>
      <c r="M22" t="b">
        <v>0</v>
      </c>
      <c r="N22" t="b">
        <v>0</v>
      </c>
      <c r="O22" t="b">
        <v>1</v>
      </c>
      <c r="P22" s="5" t="b">
        <v>1</v>
      </c>
    </row>
    <row r="23" spans="1:16" x14ac:dyDescent="0.3">
      <c r="A23">
        <f t="shared" si="0"/>
        <v>22</v>
      </c>
      <c r="B23">
        <v>2</v>
      </c>
      <c r="C23" t="str">
        <f t="array" ref="C23">GetValue("Categories",B23,"Name")</f>
        <v>numeric</v>
      </c>
      <c r="D23" t="s">
        <v>50</v>
      </c>
      <c r="E23" t="str">
        <f t="shared" si="1"/>
        <v>real</v>
      </c>
      <c r="F23">
        <v>15</v>
      </c>
      <c r="G23" s="11">
        <v>-9007199254740990</v>
      </c>
      <c r="H23" s="11">
        <v>9007199254740990</v>
      </c>
      <c r="I23" t="b">
        <v>0</v>
      </c>
      <c r="J23" t="b">
        <v>0</v>
      </c>
      <c r="K23" t="b">
        <v>0</v>
      </c>
      <c r="L23" t="b">
        <v>0</v>
      </c>
      <c r="M23" t="b">
        <v>0</v>
      </c>
      <c r="N23" t="b">
        <v>1</v>
      </c>
      <c r="O23" t="b">
        <v>0</v>
      </c>
      <c r="P23" s="5" t="b">
        <v>0</v>
      </c>
    </row>
    <row r="24" spans="1:16" x14ac:dyDescent="0.3">
      <c r="A24">
        <f t="shared" si="0"/>
        <v>23</v>
      </c>
      <c r="B24">
        <v>4</v>
      </c>
      <c r="C24" t="str">
        <f t="array" ref="C24">GetValue("Categories",B24,"Name")</f>
        <v>datetime</v>
      </c>
      <c r="D24" t="s">
        <v>51</v>
      </c>
      <c r="E24" t="str">
        <f t="shared" si="1"/>
        <v>smalldatetime</v>
      </c>
      <c r="F24">
        <v>10</v>
      </c>
      <c r="G24" s="6" t="s">
        <v>369</v>
      </c>
      <c r="H24" s="6" t="s">
        <v>374</v>
      </c>
      <c r="I24" t="b">
        <v>0</v>
      </c>
      <c r="J24" t="b">
        <v>0</v>
      </c>
      <c r="K24" t="b">
        <v>0</v>
      </c>
      <c r="L24" t="b">
        <v>0</v>
      </c>
      <c r="M24" t="b">
        <v>1</v>
      </c>
      <c r="N24" t="b">
        <v>1</v>
      </c>
      <c r="O24" t="b">
        <v>0</v>
      </c>
      <c r="P24" s="5" t="b">
        <v>0</v>
      </c>
    </row>
    <row r="25" spans="1:16" x14ac:dyDescent="0.3">
      <c r="A25">
        <f t="shared" si="0"/>
        <v>24</v>
      </c>
      <c r="B25">
        <v>2</v>
      </c>
      <c r="C25" t="str">
        <f t="array" ref="C25">GetValue("Categories",B25,"Name")</f>
        <v>numeric</v>
      </c>
      <c r="D25" t="s">
        <v>52</v>
      </c>
      <c r="E25" t="str">
        <f t="shared" si="1"/>
        <v>smallint</v>
      </c>
      <c r="F25">
        <v>5</v>
      </c>
      <c r="G25" s="3">
        <v>-32768</v>
      </c>
      <c r="H25" s="3">
        <v>32767</v>
      </c>
      <c r="I25" t="b">
        <v>0</v>
      </c>
      <c r="J25" t="b">
        <v>0</v>
      </c>
      <c r="K25" t="b">
        <v>1</v>
      </c>
      <c r="L25" t="b">
        <v>1</v>
      </c>
      <c r="M25" t="b">
        <v>1</v>
      </c>
      <c r="N25" t="b">
        <v>1</v>
      </c>
      <c r="O25" t="b">
        <v>0</v>
      </c>
      <c r="P25" s="5" t="b">
        <v>1</v>
      </c>
    </row>
    <row r="26" spans="1:16" x14ac:dyDescent="0.3">
      <c r="A26">
        <f t="shared" si="0"/>
        <v>25</v>
      </c>
      <c r="B26">
        <v>2</v>
      </c>
      <c r="C26" t="str">
        <f t="array" ref="C26">GetValue("Categories",B26,"Name")</f>
        <v>numeric</v>
      </c>
      <c r="D26" t="s">
        <v>53</v>
      </c>
      <c r="E26" t="str">
        <f t="shared" si="1"/>
        <v>smallmoney</v>
      </c>
      <c r="F26">
        <v>5</v>
      </c>
      <c r="G26" s="3">
        <v>214748</v>
      </c>
      <c r="H26" s="3">
        <v>214748</v>
      </c>
      <c r="I26" t="b">
        <v>0</v>
      </c>
      <c r="J26" t="b">
        <v>0</v>
      </c>
      <c r="K26" t="b">
        <v>0</v>
      </c>
      <c r="L26" t="b">
        <v>0</v>
      </c>
      <c r="M26" t="b">
        <v>0</v>
      </c>
      <c r="N26" t="b">
        <v>1</v>
      </c>
      <c r="O26" t="b">
        <v>0</v>
      </c>
      <c r="P26" s="5" t="b">
        <v>1</v>
      </c>
    </row>
    <row r="27" spans="1:16" x14ac:dyDescent="0.3">
      <c r="A27">
        <f t="shared" si="0"/>
        <v>26</v>
      </c>
      <c r="B27">
        <v>10</v>
      </c>
      <c r="C27" t="str">
        <f t="array" ref="C27">GetValue("Categories",B27,"Name")</f>
        <v>undefined</v>
      </c>
      <c r="D27" t="s">
        <v>54</v>
      </c>
      <c r="E27" t="str">
        <f t="shared" si="1"/>
        <v>sql_variant</v>
      </c>
      <c r="G27" s="3" t="s">
        <v>35</v>
      </c>
      <c r="H27" s="3" t="s">
        <v>35</v>
      </c>
      <c r="I27" t="b">
        <v>0</v>
      </c>
      <c r="J27" t="b">
        <v>0</v>
      </c>
      <c r="K27" t="b">
        <v>0</v>
      </c>
      <c r="L27" t="b">
        <v>0</v>
      </c>
      <c r="M27" t="b">
        <v>0</v>
      </c>
      <c r="N27" t="b">
        <v>1</v>
      </c>
      <c r="O27" t="b">
        <v>0</v>
      </c>
      <c r="P27" s="5" t="b">
        <v>0</v>
      </c>
    </row>
    <row r="28" spans="1:16" x14ac:dyDescent="0.3">
      <c r="A28">
        <f t="shared" si="0"/>
        <v>27</v>
      </c>
      <c r="B28">
        <v>1</v>
      </c>
      <c r="C28" t="str">
        <f t="array" ref="C28">GetValue("Categories",B28,"Name")</f>
        <v>string</v>
      </c>
      <c r="D28" t="s">
        <v>55</v>
      </c>
      <c r="E28" t="str">
        <f t="shared" si="1"/>
        <v>sysname</v>
      </c>
      <c r="G28" s="3" t="s">
        <v>35</v>
      </c>
      <c r="H28" s="3" t="s">
        <v>35</v>
      </c>
      <c r="I28" t="b">
        <v>0</v>
      </c>
      <c r="J28" t="b">
        <v>0</v>
      </c>
      <c r="K28" t="b">
        <v>0</v>
      </c>
      <c r="L28" t="b">
        <v>0</v>
      </c>
      <c r="M28" t="b">
        <v>1</v>
      </c>
      <c r="N28" t="b">
        <v>0</v>
      </c>
      <c r="O28" t="b">
        <v>0</v>
      </c>
      <c r="P28" s="5" t="b">
        <v>0</v>
      </c>
    </row>
    <row r="29" spans="1:16" x14ac:dyDescent="0.3">
      <c r="A29">
        <f>ROW(A29)-1</f>
        <v>28</v>
      </c>
      <c r="B29">
        <v>7</v>
      </c>
      <c r="C29" t="str">
        <f t="array" ref="C29">GetValue("Categories",B29,"Name")</f>
        <v>text</v>
      </c>
      <c r="D29" t="s">
        <v>11</v>
      </c>
      <c r="E29" t="str">
        <f t="shared" si="1"/>
        <v>text</v>
      </c>
      <c r="G29" s="3" t="s">
        <v>35</v>
      </c>
      <c r="H29" s="3" t="s">
        <v>35</v>
      </c>
      <c r="I29" t="b">
        <v>0</v>
      </c>
      <c r="J29" t="b">
        <v>0</v>
      </c>
      <c r="K29" t="b">
        <v>0</v>
      </c>
      <c r="L29" t="b">
        <v>0</v>
      </c>
      <c r="M29" t="b">
        <v>0</v>
      </c>
      <c r="N29" t="b">
        <v>1</v>
      </c>
      <c r="O29" t="b">
        <v>0</v>
      </c>
      <c r="P29" s="5" t="b">
        <v>1</v>
      </c>
    </row>
    <row r="30" spans="1:16" x14ac:dyDescent="0.3">
      <c r="A30">
        <f t="shared" ref="A30:A38" si="3">ROW(A30)-1</f>
        <v>29</v>
      </c>
      <c r="B30">
        <v>6</v>
      </c>
      <c r="C30" t="str">
        <f t="array" ref="C30">GetValue("Categories",B30,"Name")</f>
        <v>time</v>
      </c>
      <c r="D30" t="s">
        <v>20</v>
      </c>
      <c r="E30" t="str">
        <f t="shared" si="1"/>
        <v>time</v>
      </c>
      <c r="F30">
        <v>15</v>
      </c>
      <c r="G30" s="6" t="s">
        <v>370</v>
      </c>
      <c r="H30" s="6" t="s">
        <v>375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b">
        <v>0</v>
      </c>
      <c r="O30" t="b">
        <v>0</v>
      </c>
      <c r="P30" s="5" t="b">
        <v>1</v>
      </c>
    </row>
    <row r="31" spans="1:16" x14ac:dyDescent="0.3">
      <c r="A31">
        <f t="shared" si="3"/>
        <v>30</v>
      </c>
      <c r="B31">
        <v>4</v>
      </c>
      <c r="C31" t="str">
        <f t="array" ref="C31">GetValue("Categories",B31,"Name")</f>
        <v>datetime</v>
      </c>
      <c r="D31" t="s">
        <v>56</v>
      </c>
      <c r="E31" t="str">
        <f t="shared" si="1"/>
        <v>timestamp</v>
      </c>
      <c r="G31" s="6" t="s">
        <v>35</v>
      </c>
      <c r="H31" s="6"/>
      <c r="I31" t="b">
        <v>0</v>
      </c>
      <c r="J31" t="b">
        <v>0</v>
      </c>
      <c r="K31" t="b">
        <v>0</v>
      </c>
      <c r="L31" t="b">
        <v>0</v>
      </c>
      <c r="M31" t="b">
        <v>1</v>
      </c>
      <c r="N31" t="b">
        <v>1</v>
      </c>
      <c r="O31" t="b">
        <v>0</v>
      </c>
      <c r="P31" s="5" t="b">
        <v>0</v>
      </c>
    </row>
    <row r="32" spans="1:16" x14ac:dyDescent="0.3">
      <c r="A32">
        <f t="shared" si="3"/>
        <v>31</v>
      </c>
      <c r="B32">
        <v>2</v>
      </c>
      <c r="C32" t="str">
        <f t="array" ref="C32">GetValue("Categories",B32,"Name")</f>
        <v>numeric</v>
      </c>
      <c r="D32" t="s">
        <v>57</v>
      </c>
      <c r="E32" t="str">
        <f t="shared" si="1"/>
        <v>tinyint</v>
      </c>
      <c r="F32">
        <v>3</v>
      </c>
      <c r="G32" s="3">
        <v>0</v>
      </c>
      <c r="H32" s="3">
        <v>255</v>
      </c>
      <c r="I32" t="b">
        <v>0</v>
      </c>
      <c r="J32" t="b">
        <v>0</v>
      </c>
      <c r="K32" t="b">
        <v>1</v>
      </c>
      <c r="L32" t="b">
        <v>1</v>
      </c>
      <c r="M32" t="b">
        <v>1</v>
      </c>
      <c r="N32" t="b">
        <v>1</v>
      </c>
      <c r="O32" t="b">
        <v>0</v>
      </c>
      <c r="P32" s="5" t="b">
        <v>1</v>
      </c>
    </row>
    <row r="33" spans="1:16" x14ac:dyDescent="0.3">
      <c r="A33">
        <f t="shared" si="3"/>
        <v>32</v>
      </c>
      <c r="B33">
        <v>1</v>
      </c>
      <c r="C33" t="str">
        <f t="array" ref="C33">GetValue("Categories",B33,"Name")</f>
        <v>string</v>
      </c>
      <c r="D33" t="s">
        <v>58</v>
      </c>
      <c r="E33" t="str">
        <f t="shared" si="1"/>
        <v>uniqueidentifier</v>
      </c>
      <c r="G33" s="3" t="s">
        <v>35</v>
      </c>
      <c r="H33" s="3" t="s">
        <v>35</v>
      </c>
      <c r="I33" t="b">
        <v>0</v>
      </c>
      <c r="J33" t="b">
        <v>0</v>
      </c>
      <c r="K33" t="b">
        <v>1</v>
      </c>
      <c r="L33" t="b">
        <v>0</v>
      </c>
      <c r="M33" t="b">
        <v>0</v>
      </c>
      <c r="N33" t="b">
        <v>1</v>
      </c>
      <c r="O33" t="b">
        <v>0</v>
      </c>
      <c r="P33" s="5" t="b">
        <v>1</v>
      </c>
    </row>
    <row r="34" spans="1:16" x14ac:dyDescent="0.3">
      <c r="A34">
        <f t="shared" si="3"/>
        <v>33</v>
      </c>
      <c r="B34">
        <v>9</v>
      </c>
      <c r="C34" t="str">
        <f t="array" ref="C34">GetValue("Categories",B34,"Name")</f>
        <v>binary</v>
      </c>
      <c r="D34" t="s">
        <v>59</v>
      </c>
      <c r="E34" t="str">
        <f t="shared" si="1"/>
        <v>varbinary</v>
      </c>
      <c r="G34" s="3" t="s">
        <v>35</v>
      </c>
      <c r="H34" s="3" t="s">
        <v>35</v>
      </c>
      <c r="I34" t="b">
        <v>1</v>
      </c>
      <c r="J34" t="b">
        <v>0</v>
      </c>
      <c r="K34" t="b">
        <v>0</v>
      </c>
      <c r="L34" t="b">
        <v>0</v>
      </c>
      <c r="M34" t="b">
        <v>0</v>
      </c>
      <c r="N34" t="b">
        <v>0</v>
      </c>
      <c r="O34" t="b">
        <v>0</v>
      </c>
      <c r="P34" s="5" t="b">
        <v>0</v>
      </c>
    </row>
    <row r="35" spans="1:16" x14ac:dyDescent="0.3">
      <c r="A35">
        <f t="shared" si="3"/>
        <v>34</v>
      </c>
      <c r="B35">
        <v>9</v>
      </c>
      <c r="C35" t="str">
        <f t="array" ref="C35">GetValue("Categories",B35,"Name")</f>
        <v>binary</v>
      </c>
      <c r="D35" t="s">
        <v>433</v>
      </c>
      <c r="E35" t="str">
        <f t="shared" ref="E35" si="4">D35</f>
        <v>varbinary(max)</v>
      </c>
      <c r="G35" s="3" t="s">
        <v>35</v>
      </c>
      <c r="H35" s="3" t="s">
        <v>35</v>
      </c>
      <c r="I35" t="b">
        <v>0</v>
      </c>
      <c r="J35" t="b">
        <v>0</v>
      </c>
      <c r="K35" t="b">
        <v>0</v>
      </c>
      <c r="L35" t="b">
        <v>0</v>
      </c>
      <c r="M35" t="b">
        <v>0</v>
      </c>
      <c r="N35" t="b">
        <v>0</v>
      </c>
      <c r="O35" t="b">
        <v>0</v>
      </c>
      <c r="P35" s="5" t="b">
        <v>0</v>
      </c>
    </row>
    <row r="36" spans="1:16" x14ac:dyDescent="0.3">
      <c r="A36">
        <f t="shared" si="3"/>
        <v>35</v>
      </c>
      <c r="B36">
        <v>1</v>
      </c>
      <c r="C36" t="str">
        <f t="array" ref="C36">GetValue("Categories",B36,"Name")</f>
        <v>string</v>
      </c>
      <c r="D36" t="s">
        <v>60</v>
      </c>
      <c r="E36" t="str">
        <f t="shared" si="1"/>
        <v>varchar</v>
      </c>
      <c r="G36" s="3" t="s">
        <v>35</v>
      </c>
      <c r="H36" s="3" t="s">
        <v>35</v>
      </c>
      <c r="I36" t="b">
        <v>1</v>
      </c>
      <c r="J36" t="b">
        <v>0</v>
      </c>
      <c r="K36" t="b">
        <v>0</v>
      </c>
      <c r="L36" t="b">
        <v>0</v>
      </c>
      <c r="M36" t="b">
        <v>1</v>
      </c>
      <c r="N36" t="b">
        <v>1</v>
      </c>
      <c r="O36" t="b">
        <v>1</v>
      </c>
      <c r="P36" s="5" t="b">
        <v>1</v>
      </c>
    </row>
    <row r="37" spans="1:16" x14ac:dyDescent="0.3">
      <c r="A37">
        <f t="shared" si="3"/>
        <v>36</v>
      </c>
      <c r="B37">
        <v>7</v>
      </c>
      <c r="C37" t="str">
        <f t="array" ref="C37">GetValue("Categories",B37,"Name")</f>
        <v>text</v>
      </c>
      <c r="D37" t="s">
        <v>431</v>
      </c>
      <c r="E37" t="str">
        <f t="shared" ref="E37" si="5">D37</f>
        <v>varchar(max)</v>
      </c>
      <c r="G37" s="3" t="s">
        <v>35</v>
      </c>
      <c r="H37" s="3" t="s">
        <v>35</v>
      </c>
      <c r="I37" t="b">
        <v>0</v>
      </c>
      <c r="J37" t="b">
        <v>0</v>
      </c>
      <c r="K37" t="b">
        <v>0</v>
      </c>
      <c r="L37" t="b">
        <v>0</v>
      </c>
      <c r="M37" t="b">
        <v>0</v>
      </c>
      <c r="N37" t="b">
        <v>0</v>
      </c>
      <c r="O37" t="b">
        <v>1</v>
      </c>
      <c r="P37" s="5" t="b">
        <v>1</v>
      </c>
    </row>
    <row r="38" spans="1:16" x14ac:dyDescent="0.3">
      <c r="A38">
        <f t="shared" si="3"/>
        <v>37</v>
      </c>
      <c r="B38">
        <v>7</v>
      </c>
      <c r="C38" t="str">
        <f t="array" ref="C38">GetValue("Categories",B38,"Name")</f>
        <v>text</v>
      </c>
      <c r="D38" t="s">
        <v>61</v>
      </c>
      <c r="E38" t="str">
        <f t="shared" si="1"/>
        <v>xml</v>
      </c>
      <c r="G38" s="3" t="s">
        <v>35</v>
      </c>
      <c r="H38" s="3" t="s">
        <v>35</v>
      </c>
      <c r="I38" t="b">
        <v>0</v>
      </c>
      <c r="J38" t="b">
        <v>0</v>
      </c>
      <c r="K38" t="b">
        <v>0</v>
      </c>
      <c r="L38" t="b">
        <v>0</v>
      </c>
      <c r="M38" t="b">
        <v>0</v>
      </c>
      <c r="N38" t="b">
        <v>0</v>
      </c>
      <c r="O38" t="b">
        <v>0</v>
      </c>
      <c r="P38" s="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D08707-C55C-4E4D-93EC-B0C65670F9FC}">
  <sheetPr codeName="Planilha3"/>
  <dimension ref="A1:C7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1.109375" bestFit="1" customWidth="1"/>
    <col min="3" max="3" width="20" bestFit="1" customWidth="1"/>
  </cols>
  <sheetData>
    <row r="1" spans="1:3" s="1" customFormat="1" x14ac:dyDescent="0.3">
      <c r="A1" s="1" t="s">
        <v>0</v>
      </c>
      <c r="B1" s="1" t="s">
        <v>1</v>
      </c>
      <c r="C1" s="1" t="s">
        <v>77</v>
      </c>
    </row>
    <row r="2" spans="1:3" x14ac:dyDescent="0.3">
      <c r="A2">
        <f t="shared" ref="A2:A7" si="0">ROW(A2)-1</f>
        <v>1</v>
      </c>
      <c r="B2" t="s">
        <v>67</v>
      </c>
      <c r="C2" t="s">
        <v>78</v>
      </c>
    </row>
    <row r="3" spans="1:3" x14ac:dyDescent="0.3">
      <c r="A3">
        <f t="shared" si="0"/>
        <v>2</v>
      </c>
      <c r="B3" t="s">
        <v>68</v>
      </c>
      <c r="C3" t="s">
        <v>79</v>
      </c>
    </row>
    <row r="4" spans="1:3" x14ac:dyDescent="0.3">
      <c r="A4">
        <f t="shared" si="0"/>
        <v>3</v>
      </c>
      <c r="B4" t="s">
        <v>70</v>
      </c>
      <c r="C4" t="s">
        <v>80</v>
      </c>
    </row>
    <row r="5" spans="1:3" x14ac:dyDescent="0.3">
      <c r="A5">
        <f t="shared" si="0"/>
        <v>4</v>
      </c>
      <c r="B5" t="s">
        <v>71</v>
      </c>
      <c r="C5" t="s">
        <v>81</v>
      </c>
    </row>
    <row r="6" spans="1:3" x14ac:dyDescent="0.3">
      <c r="A6">
        <f t="shared" si="0"/>
        <v>5</v>
      </c>
      <c r="B6" t="s">
        <v>69</v>
      </c>
      <c r="C6" t="s">
        <v>80</v>
      </c>
    </row>
    <row r="7" spans="1:3" x14ac:dyDescent="0.3">
      <c r="A7">
        <f t="shared" si="0"/>
        <v>6</v>
      </c>
      <c r="B7" t="s">
        <v>75</v>
      </c>
      <c r="C7" t="s">
        <v>82</v>
      </c>
    </row>
  </sheetData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35DC5-E5BB-49A9-898A-A8031B139200}">
  <sheetPr codeName="planDomains"/>
  <dimension ref="A1:O22"/>
  <sheetViews>
    <sheetView workbookViewId="0">
      <pane ySplit="1" topLeftCell="A2" activePane="bottomLeft" state="frozen"/>
      <selection pane="bottomLeft" activeCell="I7" sqref="I7"/>
    </sheetView>
  </sheetViews>
  <sheetFormatPr defaultRowHeight="14.4" x14ac:dyDescent="0.3"/>
  <cols>
    <col min="1" max="1" width="3" bestFit="1" customWidth="1"/>
    <col min="2" max="2" width="6.77734375" bestFit="1" customWidth="1"/>
    <col min="3" max="3" width="12.6640625" bestFit="1" customWidth="1"/>
    <col min="4" max="4" width="14.6640625" bestFit="1" customWidth="1"/>
    <col min="5" max="5" width="13.109375" bestFit="1" customWidth="1"/>
    <col min="6" max="6" width="7.21875" bestFit="1" customWidth="1"/>
    <col min="7" max="7" width="11.5546875" bestFit="1" customWidth="1"/>
    <col min="8" max="8" width="14.5546875" bestFit="1" customWidth="1"/>
    <col min="9" max="9" width="6.77734375" bestFit="1" customWidth="1"/>
    <col min="10" max="10" width="8.44140625" bestFit="1" customWidth="1"/>
    <col min="11" max="11" width="28.88671875" bestFit="1" customWidth="1"/>
    <col min="12" max="12" width="7.109375" bestFit="1" customWidth="1"/>
    <col min="13" max="13" width="9.21875" bestFit="1" customWidth="1"/>
    <col min="14" max="14" width="9.5546875" bestFit="1" customWidth="1"/>
    <col min="15" max="15" width="11.109375" bestFit="1" customWidth="1"/>
  </cols>
  <sheetData>
    <row r="1" spans="1:15" s="1" customFormat="1" x14ac:dyDescent="0.3">
      <c r="A1" s="1" t="s">
        <v>0</v>
      </c>
      <c r="B1" s="1" t="s">
        <v>62</v>
      </c>
      <c r="C1" s="1" t="s">
        <v>349</v>
      </c>
      <c r="D1" s="1" t="s">
        <v>348</v>
      </c>
      <c r="E1" s="1" t="s">
        <v>383</v>
      </c>
      <c r="F1" s="1" t="s">
        <v>63</v>
      </c>
      <c r="G1" s="1" t="s">
        <v>350</v>
      </c>
      <c r="H1" s="1" t="s">
        <v>1</v>
      </c>
      <c r="I1" s="1" t="s">
        <v>64</v>
      </c>
      <c r="J1" s="1" t="s">
        <v>65</v>
      </c>
      <c r="K1" s="1" t="s">
        <v>314</v>
      </c>
      <c r="L1" s="1" t="s">
        <v>66</v>
      </c>
      <c r="M1" s="1" t="s">
        <v>26</v>
      </c>
      <c r="N1" s="1" t="s">
        <v>27</v>
      </c>
      <c r="O1" s="1" t="s">
        <v>305</v>
      </c>
    </row>
    <row r="2" spans="1:15" x14ac:dyDescent="0.3">
      <c r="A2">
        <f t="shared" ref="A2:A13" si="0">ROW(A2)-1</f>
        <v>1</v>
      </c>
      <c r="B2">
        <v>1</v>
      </c>
      <c r="C2" t="str">
        <f t="array" ref="C2">GetValue("Types",B2,"Name")</f>
        <v>bigint</v>
      </c>
      <c r="D2" t="str" cm="1">
        <f t="array" ref="D2">GetValue("Types",B2,"#CategoryName")</f>
        <v>numeric</v>
      </c>
      <c r="E2" t="str" cm="1">
        <f t="array" ref="E2">GetDataType(A2)</f>
        <v>bigint</v>
      </c>
      <c r="F2">
        <v>1</v>
      </c>
      <c r="G2" t="str">
        <f t="array" ref="G2">GetValue("Masks",F2,"Name")</f>
        <v>BigInteger</v>
      </c>
      <c r="H2" t="s">
        <v>67</v>
      </c>
      <c r="M2" s="5"/>
      <c r="N2" s="5"/>
    </row>
    <row r="3" spans="1:15" x14ac:dyDescent="0.3">
      <c r="A3">
        <f t="shared" si="0"/>
        <v>2</v>
      </c>
      <c r="B3">
        <v>15</v>
      </c>
      <c r="C3" t="str">
        <f t="array" ref="C3">GetValue("Types",B3,"Name")</f>
        <v>int</v>
      </c>
      <c r="D3" t="str" cm="1">
        <f t="array" ref="D3">GetValue("Types",B3,"#CategoryName")</f>
        <v>numeric</v>
      </c>
      <c r="E3" t="str" cm="1">
        <f t="array" ref="E3">GetDataType(A3)</f>
        <v>int</v>
      </c>
      <c r="F3">
        <v>2</v>
      </c>
      <c r="G3" t="str">
        <f t="array" ref="G3">GetValue("Masks",F3,"Name")</f>
        <v>Integer</v>
      </c>
      <c r="H3" t="s">
        <v>68</v>
      </c>
    </row>
    <row r="4" spans="1:15" x14ac:dyDescent="0.3">
      <c r="A4">
        <f t="shared" si="0"/>
        <v>3</v>
      </c>
      <c r="B4">
        <v>15</v>
      </c>
      <c r="C4" t="str">
        <f t="array" ref="C4">GetValue("Types",B4,"Name")</f>
        <v>int</v>
      </c>
      <c r="D4" t="str" cm="1">
        <f t="array" ref="D4">GetValue("Types",B4,"#CategoryName")</f>
        <v>numeric</v>
      </c>
      <c r="E4" t="str" cm="1">
        <f t="array" ref="E4">GetDataType(A4)</f>
        <v>int</v>
      </c>
      <c r="F4">
        <v>5</v>
      </c>
      <c r="G4" t="str">
        <f t="array" ref="G4">GetValue("Masks",F4,"Name")</f>
        <v>ShortInteger</v>
      </c>
      <c r="H4" t="s">
        <v>69</v>
      </c>
      <c r="M4">
        <v>-65536</v>
      </c>
      <c r="N4">
        <v>65535</v>
      </c>
    </row>
    <row r="5" spans="1:15" x14ac:dyDescent="0.3">
      <c r="A5">
        <f t="shared" si="0"/>
        <v>4</v>
      </c>
      <c r="B5">
        <v>24</v>
      </c>
      <c r="C5" t="str">
        <f t="array" ref="C5">GetValue("Types",B5,"Name")</f>
        <v>smallint</v>
      </c>
      <c r="D5" t="str" cm="1">
        <f t="array" ref="D5">GetValue("Types",B5,"#CategoryName")</f>
        <v>numeric</v>
      </c>
      <c r="E5" t="str" cm="1">
        <f t="array" ref="E5">GetDataType(A5)</f>
        <v>smallint</v>
      </c>
      <c r="F5">
        <v>3</v>
      </c>
      <c r="G5" t="str">
        <f t="array" ref="G5">GetValue("Masks",F5,"Name")</f>
        <v>SmallInteger</v>
      </c>
      <c r="H5" t="s">
        <v>70</v>
      </c>
    </row>
    <row r="6" spans="1:15" x14ac:dyDescent="0.3">
      <c r="A6">
        <f t="shared" si="0"/>
        <v>5</v>
      </c>
      <c r="B6">
        <v>31</v>
      </c>
      <c r="C6" t="str">
        <f t="array" ref="C6">GetValue("Types",B6,"Name")</f>
        <v>tinyint</v>
      </c>
      <c r="D6" t="str" cm="1">
        <f t="array" ref="D6">GetValue("Types",B6,"#CategoryName")</f>
        <v>numeric</v>
      </c>
      <c r="E6" t="str" cm="1">
        <f t="array" ref="E6">GetDataType(A6)</f>
        <v>tinyint</v>
      </c>
      <c r="F6">
        <v>4</v>
      </c>
      <c r="G6" t="str">
        <f t="array" ref="G6">GetValue("Masks",F6,"Name")</f>
        <v>TinyInteger</v>
      </c>
      <c r="H6" t="s">
        <v>71</v>
      </c>
    </row>
    <row r="7" spans="1:15" x14ac:dyDescent="0.3">
      <c r="A7">
        <f t="shared" si="0"/>
        <v>6</v>
      </c>
      <c r="B7">
        <v>3</v>
      </c>
      <c r="C7" t="str">
        <f t="array" ref="C7">GetValue("Types",B7,"Name")</f>
        <v>bit</v>
      </c>
      <c r="D7" t="str" cm="1">
        <f t="array" ref="D7">GetValue("Types",B7,"#CategoryName")</f>
        <v>boolean</v>
      </c>
      <c r="E7" t="str" cm="1">
        <f t="array" ref="E7">GetDataType(A7)</f>
        <v>bit</v>
      </c>
      <c r="G7" t="str">
        <f t="array" ref="G7">GetValue("Masks",F7,"Name")</f>
        <v/>
      </c>
      <c r="H7" t="s">
        <v>72</v>
      </c>
    </row>
    <row r="8" spans="1:15" x14ac:dyDescent="0.3">
      <c r="A8">
        <f t="shared" si="0"/>
        <v>7</v>
      </c>
      <c r="B8">
        <v>20</v>
      </c>
      <c r="C8" t="str">
        <f t="array" ref="C8">GetValue("Types",B8,"Name")</f>
        <v>nvarchar</v>
      </c>
      <c r="D8" t="str" cm="1">
        <f t="array" ref="D8">GetValue("Types",B8,"#CategoryName")</f>
        <v>string</v>
      </c>
      <c r="E8" t="str" cm="1">
        <f t="array" ref="E8">GetDataType(A8)</f>
        <v>nvarchar(15)</v>
      </c>
      <c r="G8" t="str">
        <f t="array" ref="G8">GetValue("Masks",F8,"Name")</f>
        <v/>
      </c>
      <c r="H8" t="s">
        <v>434</v>
      </c>
      <c r="I8">
        <v>15</v>
      </c>
    </row>
    <row r="9" spans="1:15" x14ac:dyDescent="0.3">
      <c r="A9">
        <f t="shared" si="0"/>
        <v>8</v>
      </c>
      <c r="B9">
        <v>20</v>
      </c>
      <c r="C9" t="str">
        <f t="array" ref="C9">GetValue("Types",B9,"Name")</f>
        <v>nvarchar</v>
      </c>
      <c r="D9" t="str" cm="1">
        <f t="array" ref="D9">GetValue("Types",B9,"#CategoryName")</f>
        <v>string</v>
      </c>
      <c r="E9" t="str" cm="1">
        <f t="array" ref="E9">GetDataType(A9)</f>
        <v>nvarchar(20)</v>
      </c>
      <c r="G9" t="str">
        <f t="array" ref="G9">GetValue("Masks",F9,"Name")</f>
        <v/>
      </c>
      <c r="H9" t="s">
        <v>435</v>
      </c>
      <c r="I9">
        <v>20</v>
      </c>
    </row>
    <row r="10" spans="1:15" x14ac:dyDescent="0.3">
      <c r="A10">
        <f t="shared" si="0"/>
        <v>9</v>
      </c>
      <c r="B10">
        <v>20</v>
      </c>
      <c r="C10" t="str">
        <f t="array" ref="C10">GetValue("Types",B10,"Name")</f>
        <v>nvarchar</v>
      </c>
      <c r="D10" t="str" cm="1">
        <f t="array" ref="D10">GetValue("Types",B10,"#CategoryName")</f>
        <v>string</v>
      </c>
      <c r="E10" t="str" cm="1">
        <f t="array" ref="E10">GetDataType(A10)</f>
        <v>nvarchar(25)</v>
      </c>
      <c r="G10" t="str">
        <f t="array" ref="G10">GetValue("Masks",F10,"Name")</f>
        <v/>
      </c>
      <c r="H10" t="s">
        <v>436</v>
      </c>
      <c r="I10">
        <v>25</v>
      </c>
    </row>
    <row r="11" spans="1:15" x14ac:dyDescent="0.3">
      <c r="A11">
        <f t="shared" si="0"/>
        <v>10</v>
      </c>
      <c r="B11">
        <v>20</v>
      </c>
      <c r="C11" t="str">
        <f t="array" ref="C11">GetValue("Types",B11,"Name")</f>
        <v>nvarchar</v>
      </c>
      <c r="D11" t="str" cm="1">
        <f t="array" ref="D11">GetValue("Types",B11,"#CategoryName")</f>
        <v>string</v>
      </c>
      <c r="E11" t="str" cm="1">
        <f t="array" ref="E11">GetDataType(A11)</f>
        <v>nvarchar(50)</v>
      </c>
      <c r="G11" t="str">
        <f t="array" ref="G11">GetValue("Masks",F11,"Name")</f>
        <v/>
      </c>
      <c r="H11" t="s">
        <v>437</v>
      </c>
      <c r="I11">
        <v>50</v>
      </c>
    </row>
    <row r="12" spans="1:15" x14ac:dyDescent="0.3">
      <c r="A12">
        <f t="shared" si="0"/>
        <v>11</v>
      </c>
      <c r="B12">
        <v>20</v>
      </c>
      <c r="C12" t="str">
        <f t="array" ref="C12">GetValue("Types",B12,"Name")</f>
        <v>nvarchar</v>
      </c>
      <c r="D12" t="str" cm="1">
        <f t="array" ref="D12">GetValue("Types",B12,"#CategoryName")</f>
        <v>string</v>
      </c>
      <c r="E12" t="str" cm="1">
        <f t="array" ref="E12">GetDataType(A12)</f>
        <v>nvarchar(256)</v>
      </c>
      <c r="G12" t="str">
        <f t="array" ref="G12">GetValue("Masks",F12,"Name")</f>
        <v/>
      </c>
      <c r="H12" t="s">
        <v>438</v>
      </c>
      <c r="I12">
        <v>256</v>
      </c>
    </row>
    <row r="13" spans="1:15" x14ac:dyDescent="0.3">
      <c r="A13">
        <f t="shared" si="0"/>
        <v>12</v>
      </c>
      <c r="B13">
        <v>21</v>
      </c>
      <c r="C13" t="str">
        <f t="array" ref="C13">GetValue("Types",B13,"Name")</f>
        <v>nvarchar(max)</v>
      </c>
      <c r="D13" t="str" cm="1">
        <f t="array" ref="D13">GetValue("Types",B13,"#CategoryName")</f>
        <v>text</v>
      </c>
      <c r="E13" t="str" cm="1">
        <f t="array" ref="E13">GetDataType(A13)</f>
        <v>nvarchar(max)</v>
      </c>
      <c r="G13" t="str">
        <f t="array" ref="G13">GetValue("Masks",F13,"Name")</f>
        <v/>
      </c>
      <c r="H13" t="s">
        <v>439</v>
      </c>
    </row>
    <row r="14" spans="1:15" x14ac:dyDescent="0.3">
      <c r="A14">
        <f t="shared" ref="A14:A22" si="1">ROW(A14)-1</f>
        <v>13</v>
      </c>
      <c r="B14">
        <v>21</v>
      </c>
      <c r="C14" t="str">
        <f t="array" ref="C14">GetValue("Types",B14,"Name")</f>
        <v>nvarchar(max)</v>
      </c>
      <c r="D14" t="str" cm="1">
        <f t="array" ref="D14">GetValue("Types",B14,"#CategoryName")</f>
        <v>text</v>
      </c>
      <c r="E14" t="str" cm="1">
        <f t="array" ref="E14">GetDataType(A14)</f>
        <v>nvarchar(max)</v>
      </c>
      <c r="G14" t="str">
        <f t="array" ref="G14">GetValue("Masks",F14,"Name")</f>
        <v/>
      </c>
      <c r="H14" t="s">
        <v>73</v>
      </c>
      <c r="O14" t="s">
        <v>311</v>
      </c>
    </row>
    <row r="15" spans="1:15" x14ac:dyDescent="0.3">
      <c r="A15">
        <f t="shared" si="1"/>
        <v>14</v>
      </c>
      <c r="B15">
        <v>21</v>
      </c>
      <c r="C15" t="str">
        <f t="array" ref="C15">GetValue("Types",B15,"Name")</f>
        <v>nvarchar(max)</v>
      </c>
      <c r="D15" t="str" cm="1">
        <f t="array" ref="D15">GetValue("Types",B15,"#CategoryName")</f>
        <v>text</v>
      </c>
      <c r="E15" t="str" cm="1">
        <f t="array" ref="E15">GetDataType(A15)</f>
        <v>nvarchar(max)</v>
      </c>
      <c r="G15" t="str">
        <f t="array" ref="G15">GetValue("Masks",F15,"Name")</f>
        <v/>
      </c>
      <c r="H15" t="s">
        <v>74</v>
      </c>
      <c r="O15" t="s">
        <v>74</v>
      </c>
    </row>
    <row r="16" spans="1:15" x14ac:dyDescent="0.3">
      <c r="A16">
        <f>ROW(A16)-1</f>
        <v>15</v>
      </c>
      <c r="B16">
        <v>21</v>
      </c>
      <c r="C16" t="str">
        <f t="array" ref="C16">GetValue("Types",B16,"Name")</f>
        <v>nvarchar(max)</v>
      </c>
      <c r="D16" t="str" cm="1">
        <f t="array" ref="D16">GetValue("Types",B16,"#CategoryName")</f>
        <v>text</v>
      </c>
      <c r="E16" t="str" cm="1">
        <f t="array" ref="E16">GetDataType(A16)</f>
        <v>nvarchar(max)</v>
      </c>
      <c r="G16" t="str">
        <f t="array" ref="G16">GetValue("Masks",F16,"Name")</f>
        <v/>
      </c>
      <c r="H16" t="s">
        <v>83</v>
      </c>
      <c r="O16" t="s">
        <v>83</v>
      </c>
    </row>
    <row r="17" spans="1:11" x14ac:dyDescent="0.3">
      <c r="A17">
        <f t="shared" si="1"/>
        <v>16</v>
      </c>
      <c r="B17">
        <v>6</v>
      </c>
      <c r="C17" t="str">
        <f t="array" ref="C17">GetValue("Types",B17,"Name")</f>
        <v>datetime</v>
      </c>
      <c r="D17" t="str" cm="1">
        <f t="array" ref="D17">GetValue("Types",B17,"#CategoryName")</f>
        <v>datetime</v>
      </c>
      <c r="E17" t="str" cm="1">
        <f t="array" ref="E17">GetDataType(A17)</f>
        <v>datetime</v>
      </c>
      <c r="F17">
        <v>6</v>
      </c>
      <c r="G17" t="str">
        <f t="array" ref="G17">GetValue("Masks",F17,"Name")</f>
        <v>DateTime</v>
      </c>
      <c r="H17" t="s">
        <v>75</v>
      </c>
    </row>
    <row r="18" spans="1:11" x14ac:dyDescent="0.3">
      <c r="A18">
        <f t="shared" si="1"/>
        <v>17</v>
      </c>
      <c r="B18">
        <v>21</v>
      </c>
      <c r="C18" t="str">
        <f t="array" ref="C18">GetValue("Types",B18,"Name")</f>
        <v>nvarchar(max)</v>
      </c>
      <c r="D18" t="str" cm="1">
        <f t="array" ref="D18">GetValue("Types",B18,"#CategoryName")</f>
        <v>text</v>
      </c>
      <c r="E18" t="str" cm="1">
        <f t="array" ref="E18">GetDataType(A18)</f>
        <v>nvarchar(max)</v>
      </c>
      <c r="G18" t="str">
        <f t="array" ref="G18">GetValue("Masks",F18,"Name")</f>
        <v/>
      </c>
      <c r="H18" t="s">
        <v>76</v>
      </c>
    </row>
    <row r="19" spans="1:11" x14ac:dyDescent="0.3">
      <c r="A19">
        <f t="shared" si="1"/>
        <v>18</v>
      </c>
      <c r="B19">
        <v>20</v>
      </c>
      <c r="C19" t="str">
        <f t="array" ref="C19">GetValue("Types",B19,"Name")</f>
        <v>nvarchar</v>
      </c>
      <c r="D19" t="str" cm="1">
        <f t="array" ref="D19">GetValue("Types",B19,"#CategoryName")</f>
        <v>string</v>
      </c>
      <c r="E19" t="str" cm="1">
        <f t="array" ref="E19">GetDataType(A19)</f>
        <v>nvarchar(5)</v>
      </c>
      <c r="G19" t="str">
        <f t="array" ref="G19">GetValue("Masks",F19,"Name")</f>
        <v/>
      </c>
      <c r="H19" t="s">
        <v>305</v>
      </c>
      <c r="I19">
        <v>5</v>
      </c>
      <c r="K19" t="s">
        <v>345</v>
      </c>
    </row>
    <row r="20" spans="1:11" x14ac:dyDescent="0.3">
      <c r="A20">
        <f t="shared" si="1"/>
        <v>19</v>
      </c>
      <c r="B20">
        <v>20</v>
      </c>
      <c r="C20" t="str">
        <f t="array" ref="C20">GetValue("Types",B20,"Name")</f>
        <v>nvarchar</v>
      </c>
      <c r="D20" t="str" cm="1">
        <f t="array" ref="D20">GetValue("Types",B20,"#CategoryName")</f>
        <v>string</v>
      </c>
      <c r="E20" t="str" cm="1">
        <f t="array" ref="E20">GetDataType(A20)</f>
        <v>nvarchar(10)</v>
      </c>
      <c r="G20" t="str">
        <f t="array" ref="G20">GetValue("Masks",F20,"Name")</f>
        <v/>
      </c>
      <c r="H20" t="s">
        <v>2</v>
      </c>
      <c r="I20">
        <v>10</v>
      </c>
      <c r="K20" t="s">
        <v>307</v>
      </c>
    </row>
    <row r="21" spans="1:11" x14ac:dyDescent="0.3">
      <c r="A21">
        <f t="shared" si="1"/>
        <v>20</v>
      </c>
      <c r="B21">
        <v>20</v>
      </c>
      <c r="C21" t="str">
        <f t="array" ref="C21">GetValue("Types",B21,"Name")</f>
        <v>nvarchar</v>
      </c>
      <c r="D21" t="str" cm="1">
        <f t="array" ref="D21">GetValue("Types",B21,"#CategoryName")</f>
        <v>string</v>
      </c>
      <c r="E21" t="str" cm="1">
        <f t="array" ref="E21">GetDataType(A21)</f>
        <v>nvarchar(6)</v>
      </c>
      <c r="G21" t="str">
        <f t="array" ref="G21">GetValue("Masks",F21,"Name")</f>
        <v/>
      </c>
      <c r="H21" t="s">
        <v>3</v>
      </c>
      <c r="I21">
        <v>6</v>
      </c>
      <c r="K21" t="s">
        <v>346</v>
      </c>
    </row>
    <row r="22" spans="1:11" x14ac:dyDescent="0.3">
      <c r="A22">
        <f t="shared" si="1"/>
        <v>21</v>
      </c>
      <c r="B22">
        <v>20</v>
      </c>
      <c r="C22" t="str">
        <f t="array" ref="C22">GetValue("Types",B22,"Name")</f>
        <v>nvarchar</v>
      </c>
      <c r="D22" t="str" cm="1">
        <f t="array" ref="D22">GetValue("Types",B22,"#CategoryName")</f>
        <v>string</v>
      </c>
      <c r="E22" t="str" cm="1">
        <f t="array" ref="E22">GetDataType(A22)</f>
        <v>nvarchar(15)</v>
      </c>
      <c r="H22" t="s">
        <v>508</v>
      </c>
      <c r="I22">
        <v>15</v>
      </c>
      <c r="K22" t="s">
        <v>509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C2FD4C-CA9F-4DEF-890B-3A1445ED515A}">
  <sheetPr codeName="Planilha5"/>
  <dimension ref="A1:F2"/>
  <sheetViews>
    <sheetView workbookViewId="0">
      <pane ySplit="1" topLeftCell="A2" activePane="bottomLeft" state="frozen"/>
      <selection pane="bottomLeft" activeCell="D3" sqref="D3"/>
    </sheetView>
  </sheetViews>
  <sheetFormatPr defaultRowHeight="14.4" x14ac:dyDescent="0.3"/>
  <cols>
    <col min="1" max="1" width="2.6640625" bestFit="1" customWidth="1"/>
    <col min="2" max="2" width="6" bestFit="1" customWidth="1"/>
    <col min="3" max="3" width="12.33203125" bestFit="1" customWidth="1"/>
    <col min="4" max="4" width="10.77734375" bestFit="1" customWidth="1"/>
    <col min="5" max="5" width="14.5546875" bestFit="1" customWidth="1"/>
    <col min="6" max="6" width="7.3320312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84</v>
      </c>
      <c r="D1" s="1" t="s">
        <v>85</v>
      </c>
      <c r="E1" s="1" t="s">
        <v>86</v>
      </c>
      <c r="F1" s="1" t="s">
        <v>379</v>
      </c>
    </row>
    <row r="2" spans="1:6" x14ac:dyDescent="0.3">
      <c r="A2">
        <f>ROW(A2)-1</f>
        <v>1</v>
      </c>
      <c r="B2" t="s">
        <v>405</v>
      </c>
      <c r="C2" t="s">
        <v>406</v>
      </c>
      <c r="D2" t="s">
        <v>428</v>
      </c>
      <c r="E2">
        <v>5</v>
      </c>
      <c r="F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B355A-002E-482B-A482-345E89FFFD83}">
  <sheetPr codeName="Planilha6"/>
  <dimension ref="A1:I13"/>
  <sheetViews>
    <sheetView workbookViewId="0">
      <pane ySplit="1" topLeftCell="A2" activePane="bottomLeft" state="frozen"/>
      <selection pane="bottomLeft" activeCell="F16" sqref="F16"/>
    </sheetView>
  </sheetViews>
  <sheetFormatPr defaultRowHeight="14.4" x14ac:dyDescent="0.3"/>
  <cols>
    <col min="1" max="1" width="3" bestFit="1" customWidth="1"/>
    <col min="2" max="2" width="8.77734375" bestFit="1" customWidth="1"/>
    <col min="3" max="3" width="13.21875" bestFit="1" customWidth="1"/>
    <col min="4" max="4" width="9.21875" bestFit="1" customWidth="1"/>
    <col min="5" max="5" width="17.21875" bestFit="1" customWidth="1"/>
    <col min="6" max="6" width="38.5546875" bestFit="1" customWidth="1"/>
    <col min="7" max="7" width="28.5546875" bestFit="1" customWidth="1"/>
    <col min="8" max="8" width="13.33203125" bestFit="1" customWidth="1"/>
    <col min="9" max="9" width="19.33203125" bestFit="1" customWidth="1"/>
  </cols>
  <sheetData>
    <row r="1" spans="1:9" s="1" customFormat="1" x14ac:dyDescent="0.3">
      <c r="A1" s="1" t="s">
        <v>0</v>
      </c>
      <c r="B1" s="1" t="s">
        <v>87</v>
      </c>
      <c r="C1" s="1" t="s">
        <v>352</v>
      </c>
      <c r="D1" s="1" t="s">
        <v>88</v>
      </c>
      <c r="E1" s="1" t="s">
        <v>89</v>
      </c>
      <c r="F1" s="1" t="s">
        <v>90</v>
      </c>
      <c r="G1" s="1" t="s">
        <v>91</v>
      </c>
      <c r="H1" s="1" t="s">
        <v>92</v>
      </c>
      <c r="I1" s="1" t="s">
        <v>387</v>
      </c>
    </row>
    <row r="2" spans="1:9" x14ac:dyDescent="0.3">
      <c r="A2">
        <f>ROW(A2)-1</f>
        <v>1</v>
      </c>
      <c r="B2">
        <v>1</v>
      </c>
      <c r="C2" t="str" cm="1">
        <f t="array" ref="C2">GetValue("Systems",B2,"Name")</f>
        <v>crudex</v>
      </c>
      <c r="D2">
        <v>5</v>
      </c>
      <c r="E2" t="s">
        <v>93</v>
      </c>
      <c r="F2" t="s">
        <v>93</v>
      </c>
      <c r="I2" t="str" cm="1">
        <f t="array" ref="I2">GetValue("Menus",H2,"Caption")</f>
        <v/>
      </c>
    </row>
    <row r="3" spans="1:9" x14ac:dyDescent="0.3">
      <c r="A3">
        <f t="shared" ref="A3:A13" si="0">ROW(A3)-1</f>
        <v>2</v>
      </c>
      <c r="B3">
        <v>1</v>
      </c>
      <c r="C3" t="str" cm="1">
        <f t="array" ref="C3">GetValue("Systems",B3,"Name")</f>
        <v>crudex</v>
      </c>
      <c r="D3">
        <v>10</v>
      </c>
      <c r="E3" t="s">
        <v>96</v>
      </c>
      <c r="F3" t="s">
        <v>97</v>
      </c>
      <c r="G3" t="s">
        <v>407</v>
      </c>
      <c r="H3">
        <v>1</v>
      </c>
      <c r="I3" t="str" cm="1">
        <f t="array" ref="I3">GetValue("Menus",H3,"Caption")</f>
        <v>Cadastros</v>
      </c>
    </row>
    <row r="4" spans="1:9" x14ac:dyDescent="0.3">
      <c r="A4">
        <f t="shared" si="0"/>
        <v>3</v>
      </c>
      <c r="B4">
        <v>1</v>
      </c>
      <c r="C4" t="str" cm="1">
        <f t="array" ref="C4">GetValue("Systems",B4,"Name")</f>
        <v>crudex</v>
      </c>
      <c r="D4">
        <v>15</v>
      </c>
      <c r="E4" t="s">
        <v>98</v>
      </c>
      <c r="F4" t="s">
        <v>99</v>
      </c>
      <c r="G4" t="s">
        <v>408</v>
      </c>
      <c r="H4">
        <v>1</v>
      </c>
      <c r="I4" t="str" cm="1">
        <f t="array" ref="I4">GetValue("Menus",H4,"Caption")</f>
        <v>Cadastros</v>
      </c>
    </row>
    <row r="5" spans="1:9" x14ac:dyDescent="0.3">
      <c r="A5">
        <f t="shared" si="0"/>
        <v>4</v>
      </c>
      <c r="B5">
        <v>1</v>
      </c>
      <c r="C5" t="str" cm="1">
        <f t="array" ref="C5">GetValue("Systems",B5,"Name")</f>
        <v>crudex</v>
      </c>
      <c r="D5">
        <v>20</v>
      </c>
      <c r="E5" t="s">
        <v>100</v>
      </c>
      <c r="F5" t="s">
        <v>101</v>
      </c>
      <c r="G5" t="s">
        <v>409</v>
      </c>
      <c r="H5">
        <v>1</v>
      </c>
      <c r="I5" t="str" cm="1">
        <f t="array" ref="I5">GetValue("Menus",H5,"Caption")</f>
        <v>Cadastros</v>
      </c>
    </row>
    <row r="6" spans="1:9" x14ac:dyDescent="0.3">
      <c r="A6">
        <f t="shared" si="0"/>
        <v>5</v>
      </c>
      <c r="B6">
        <v>1</v>
      </c>
      <c r="C6" t="str" cm="1">
        <f t="array" ref="C6">GetValue("Systems",B6,"Name")</f>
        <v>crudex</v>
      </c>
      <c r="D6">
        <v>25</v>
      </c>
      <c r="E6" t="s">
        <v>102</v>
      </c>
      <c r="F6" t="s">
        <v>103</v>
      </c>
      <c r="G6" t="s">
        <v>410</v>
      </c>
      <c r="H6">
        <v>3</v>
      </c>
      <c r="I6" t="str" cm="1">
        <f t="array" ref="I6">GetValue("Menus",H6,"Caption")</f>
        <v>Tabelas</v>
      </c>
    </row>
    <row r="7" spans="1:9" x14ac:dyDescent="0.3">
      <c r="A7">
        <f t="shared" si="0"/>
        <v>6</v>
      </c>
      <c r="B7">
        <v>1</v>
      </c>
      <c r="C7" t="str" cm="1">
        <f t="array" ref="C7">GetValue("Systems",B7,"Name")</f>
        <v>crudex</v>
      </c>
      <c r="D7">
        <v>30</v>
      </c>
      <c r="E7" t="s">
        <v>104</v>
      </c>
      <c r="F7" t="s">
        <v>105</v>
      </c>
      <c r="G7" t="s">
        <v>411</v>
      </c>
      <c r="H7">
        <v>3</v>
      </c>
      <c r="I7" t="str" cm="1">
        <f t="array" ref="I7">GetValue("Menus",H7,"Caption")</f>
        <v>Tabelas</v>
      </c>
    </row>
    <row r="8" spans="1:9" x14ac:dyDescent="0.3">
      <c r="A8">
        <f t="shared" si="0"/>
        <v>7</v>
      </c>
      <c r="B8">
        <v>1</v>
      </c>
      <c r="C8" t="str" cm="1">
        <f t="array" ref="C8">GetValue("Systems",B8,"Name")</f>
        <v>crudex</v>
      </c>
      <c r="D8">
        <v>35</v>
      </c>
      <c r="E8" t="s">
        <v>106</v>
      </c>
      <c r="F8" t="s">
        <v>107</v>
      </c>
      <c r="G8" t="s">
        <v>412</v>
      </c>
      <c r="H8">
        <v>6</v>
      </c>
      <c r="I8" t="str" cm="1">
        <f t="array" ref="I8">GetValue("Menus",H8,"Caption")</f>
        <v>Banco de Dados</v>
      </c>
    </row>
    <row r="9" spans="1:9" x14ac:dyDescent="0.3">
      <c r="A9">
        <f>ROW(A9)-1</f>
        <v>8</v>
      </c>
      <c r="B9">
        <v>1</v>
      </c>
      <c r="C9" t="str" cm="1">
        <f t="array" ref="C9">GetValue("Systems",B9,"Name")</f>
        <v>crudex</v>
      </c>
      <c r="D9">
        <v>40</v>
      </c>
      <c r="E9" t="s">
        <v>94</v>
      </c>
      <c r="F9" t="s">
        <v>95</v>
      </c>
      <c r="G9" t="s">
        <v>413</v>
      </c>
      <c r="H9">
        <v>6</v>
      </c>
      <c r="I9" t="str" cm="1">
        <f t="array" ref="I9">GetValue("Menus",H9,"Caption")</f>
        <v>Banco de Dados</v>
      </c>
    </row>
    <row r="10" spans="1:9" x14ac:dyDescent="0.3">
      <c r="A10">
        <f t="shared" si="0"/>
        <v>9</v>
      </c>
      <c r="B10">
        <v>1</v>
      </c>
      <c r="C10" t="str" cm="1">
        <f t="array" ref="C10">GetValue("Systems",B10,"Name")</f>
        <v>crudex</v>
      </c>
      <c r="D10">
        <v>45</v>
      </c>
      <c r="E10" t="s">
        <v>108</v>
      </c>
      <c r="F10" t="s">
        <v>109</v>
      </c>
      <c r="I10" t="str" cm="1">
        <f t="array" ref="I10">GetValue("Menus",H10,"Caption")</f>
        <v/>
      </c>
    </row>
    <row r="11" spans="1:9" x14ac:dyDescent="0.3">
      <c r="A11">
        <f t="shared" si="0"/>
        <v>10</v>
      </c>
      <c r="B11">
        <v>1</v>
      </c>
      <c r="C11" t="str" cm="1">
        <f t="array" ref="C11">GetValue("Systems",B11,"Name")</f>
        <v>crudex</v>
      </c>
      <c r="D11">
        <v>50</v>
      </c>
      <c r="E11" t="s">
        <v>110</v>
      </c>
      <c r="F11" t="s">
        <v>111</v>
      </c>
      <c r="G11" t="s">
        <v>414</v>
      </c>
      <c r="H11">
        <v>9</v>
      </c>
      <c r="I11" t="str" cm="1">
        <f t="array" ref="I11">GetValue("Menus",H11,"Caption")</f>
        <v>Associações</v>
      </c>
    </row>
    <row r="12" spans="1:9" x14ac:dyDescent="0.3">
      <c r="A12">
        <f t="shared" si="0"/>
        <v>11</v>
      </c>
      <c r="B12">
        <v>1</v>
      </c>
      <c r="C12" t="str" cm="1">
        <f t="array" ref="C12">GetValue("Systems",B12,"Name")</f>
        <v>crudex</v>
      </c>
      <c r="D12">
        <v>55</v>
      </c>
      <c r="E12" t="s">
        <v>112</v>
      </c>
      <c r="F12" t="s">
        <v>113</v>
      </c>
      <c r="G12" t="s">
        <v>415</v>
      </c>
      <c r="H12">
        <v>9</v>
      </c>
      <c r="I12" t="str" cm="1">
        <f t="array" ref="I12">GetValue("Menus",H12,"Caption")</f>
        <v>Associações</v>
      </c>
    </row>
    <row r="13" spans="1:9" x14ac:dyDescent="0.3">
      <c r="A13">
        <f t="shared" si="0"/>
        <v>12</v>
      </c>
      <c r="B13">
        <v>1</v>
      </c>
      <c r="C13" t="str" cm="1">
        <f t="array" ref="C13">GetValue("Systems",B13,"Name")</f>
        <v>crudex</v>
      </c>
      <c r="D13">
        <v>60</v>
      </c>
      <c r="E13" t="s">
        <v>114</v>
      </c>
      <c r="F13" t="s">
        <v>115</v>
      </c>
      <c r="G13" t="s">
        <v>116</v>
      </c>
      <c r="I13" t="str" cm="1">
        <f t="array" ref="I13">GetValue("Menus",H13,"Caption")</f>
        <v/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B753F-83C4-4E22-880E-41D9E274C865}">
  <sheetPr codeName="Planilha7"/>
  <dimension ref="A1:F3"/>
  <sheetViews>
    <sheetView workbookViewId="0">
      <pane ySplit="1" topLeftCell="A2" activePane="bottomLeft" state="frozen"/>
      <selection pane="bottomLeft" activeCell="D9" sqref="D9"/>
    </sheetView>
  </sheetViews>
  <sheetFormatPr defaultRowHeight="14.4" x14ac:dyDescent="0.3"/>
  <cols>
    <col min="1" max="1" width="3" bestFit="1" customWidth="1"/>
    <col min="2" max="2" width="10.77734375" bestFit="1" customWidth="1"/>
    <col min="3" max="3" width="9" bestFit="1" customWidth="1"/>
    <col min="4" max="4" width="20.109375" bestFit="1" customWidth="1"/>
    <col min="5" max="5" width="10.77734375" bestFit="1" customWidth="1"/>
    <col min="6" max="6" width="11.77734375" bestFit="1" customWidth="1"/>
  </cols>
  <sheetData>
    <row r="1" spans="1:6" s="1" customFormat="1" x14ac:dyDescent="0.3">
      <c r="A1" s="1" t="s">
        <v>0</v>
      </c>
      <c r="B1" s="1" t="s">
        <v>1</v>
      </c>
      <c r="C1" s="1" t="s">
        <v>117</v>
      </c>
      <c r="D1" s="1" t="s">
        <v>118</v>
      </c>
      <c r="E1" s="1" t="s">
        <v>119</v>
      </c>
      <c r="F1" s="1" t="s">
        <v>33</v>
      </c>
    </row>
    <row r="2" spans="1:6" x14ac:dyDescent="0.3">
      <c r="A2">
        <f>ROW(A2)-1</f>
        <v>1</v>
      </c>
      <c r="B2" t="s">
        <v>315</v>
      </c>
      <c r="C2" t="s">
        <v>315</v>
      </c>
      <c r="D2" t="s">
        <v>316</v>
      </c>
      <c r="E2">
        <v>0</v>
      </c>
      <c r="F2" t="b">
        <v>1</v>
      </c>
    </row>
    <row r="3" spans="1:6" x14ac:dyDescent="0.3">
      <c r="A3">
        <f>ROW(A3)-1</f>
        <v>2</v>
      </c>
      <c r="B3" t="s">
        <v>342</v>
      </c>
      <c r="C3" t="s">
        <v>120</v>
      </c>
      <c r="D3" t="s">
        <v>343</v>
      </c>
      <c r="E3">
        <v>0</v>
      </c>
      <c r="F3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D788E9-1E24-480A-93A5-78F9900D6CA3}">
  <sheetPr codeName="Planilha8"/>
  <dimension ref="A1:F3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6.44140625" bestFit="1" customWidth="1"/>
    <col min="5" max="5" width="10.77734375" bestFit="1" customWidth="1"/>
    <col min="6" max="6" width="13.5546875" bestFit="1" customWidth="1"/>
  </cols>
  <sheetData>
    <row r="1" spans="1:6" s="1" customFormat="1" x14ac:dyDescent="0.3">
      <c r="A1" s="1" t="s">
        <v>0</v>
      </c>
      <c r="B1" s="1" t="s">
        <v>87</v>
      </c>
      <c r="C1" s="1" t="s">
        <v>352</v>
      </c>
      <c r="D1" s="1" t="s">
        <v>121</v>
      </c>
      <c r="E1" s="1" t="s">
        <v>351</v>
      </c>
      <c r="F1" s="1" t="s">
        <v>1</v>
      </c>
    </row>
    <row r="2" spans="1:6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GetValue("Users",D2,"Name")</f>
        <v>adm</v>
      </c>
      <c r="F2" t="s">
        <v>320</v>
      </c>
    </row>
    <row r="3" spans="1:6" x14ac:dyDescent="0.3">
      <c r="A3">
        <f>ROW(A3)-1</f>
        <v>2</v>
      </c>
      <c r="B3">
        <v>1</v>
      </c>
      <c r="C3" t="str">
        <f t="array" ref="C3">GetValue("Systems",B3,"Name")</f>
        <v>crudex</v>
      </c>
      <c r="D3">
        <v>2</v>
      </c>
      <c r="E3" t="str">
        <f t="array" ref="E3">GetValue("Users",D3,"Name")</f>
        <v>labrego</v>
      </c>
      <c r="F3" t="s">
        <v>344</v>
      </c>
    </row>
  </sheetData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C4123-D698-405D-870E-9CDC50875EFD}">
  <sheetPr codeName="Planilha2"/>
  <dimension ref="A1:K2"/>
  <sheetViews>
    <sheetView workbookViewId="0">
      <selection activeCell="F2" sqref="F2"/>
    </sheetView>
  </sheetViews>
  <sheetFormatPr defaultRowHeight="14.4" x14ac:dyDescent="0.3"/>
  <cols>
    <col min="1" max="1" width="2.6640625" bestFit="1" customWidth="1"/>
    <col min="2" max="2" width="12.21875" bestFit="1" customWidth="1"/>
    <col min="3" max="3" width="10.44140625" bestFit="1" customWidth="1"/>
    <col min="4" max="4" width="5" bestFit="1" customWidth="1"/>
    <col min="5" max="5" width="16.6640625" bestFit="1" customWidth="1"/>
    <col min="6" max="6" width="17.88671875" bestFit="1" customWidth="1"/>
    <col min="7" max="7" width="17.6640625" bestFit="1" customWidth="1"/>
    <col min="8" max="8" width="6.21875" bestFit="1" customWidth="1"/>
    <col min="9" max="9" width="9" bestFit="1" customWidth="1"/>
    <col min="10" max="10" width="16.77734375" bestFit="1" customWidth="1"/>
    <col min="11" max="11" width="19.44140625" bestFit="1" customWidth="1"/>
  </cols>
  <sheetData>
    <row r="1" spans="1:11" s="1" customFormat="1" x14ac:dyDescent="0.3">
      <c r="A1" s="1" t="s">
        <v>0</v>
      </c>
      <c r="B1" s="1" t="s">
        <v>446</v>
      </c>
      <c r="C1" s="1" t="s">
        <v>123</v>
      </c>
      <c r="D1" s="1" t="s">
        <v>124</v>
      </c>
      <c r="E1" s="1" t="s">
        <v>447</v>
      </c>
      <c r="F1" s="1" t="s">
        <v>448</v>
      </c>
      <c r="G1" s="1" t="s">
        <v>449</v>
      </c>
      <c r="H1" s="1" t="s">
        <v>450</v>
      </c>
      <c r="I1" s="1" t="s">
        <v>117</v>
      </c>
      <c r="J1" s="1" t="s">
        <v>451</v>
      </c>
      <c r="K1" s="1" t="s">
        <v>452</v>
      </c>
    </row>
    <row r="2" spans="1:11" x14ac:dyDescent="0.3">
      <c r="A2">
        <v>1</v>
      </c>
      <c r="B2" t="s">
        <v>453</v>
      </c>
      <c r="C2" t="s">
        <v>126</v>
      </c>
      <c r="D2">
        <v>1433</v>
      </c>
      <c r="E2" t="b">
        <v>0</v>
      </c>
      <c r="F2">
        <v>30</v>
      </c>
      <c r="H2" t="s">
        <v>127</v>
      </c>
      <c r="I2" t="s">
        <v>120</v>
      </c>
      <c r="J2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26EDB-15B6-45CA-833D-7B53402A0881}">
  <sheetPr codeName="Planilha9"/>
  <dimension ref="A1:H4"/>
  <sheetViews>
    <sheetView workbookViewId="0">
      <pane ySplit="1" topLeftCell="A2" activePane="bottomLeft" state="frozen"/>
      <selection pane="bottomLeft" activeCell="B2" sqref="B2"/>
    </sheetView>
  </sheetViews>
  <sheetFormatPr defaultRowHeight="14.4" x14ac:dyDescent="0.3"/>
  <cols>
    <col min="1" max="1" width="2.6640625" bestFit="1" customWidth="1"/>
    <col min="2" max="2" width="12.33203125" customWidth="1"/>
    <col min="3" max="4" width="6.44140625" bestFit="1" customWidth="1"/>
    <col min="5" max="5" width="12.33203125" bestFit="1" customWidth="1"/>
    <col min="6" max="6" width="32.33203125" bestFit="1" customWidth="1"/>
    <col min="7" max="7" width="8.109375" bestFit="1" customWidth="1"/>
    <col min="8" max="8" width="17.6640625" bestFit="1" customWidth="1"/>
  </cols>
  <sheetData>
    <row r="1" spans="1:8" s="1" customFormat="1" x14ac:dyDescent="0.3">
      <c r="A1" s="1" t="s">
        <v>0</v>
      </c>
      <c r="B1" s="1" t="s">
        <v>511</v>
      </c>
      <c r="C1" s="1" t="s">
        <v>1</v>
      </c>
      <c r="D1" s="1" t="s">
        <v>122</v>
      </c>
      <c r="E1" s="1" t="s">
        <v>84</v>
      </c>
      <c r="F1" s="1" t="s">
        <v>125</v>
      </c>
      <c r="G1" s="1" t="s">
        <v>482</v>
      </c>
      <c r="H1" s="1" t="s">
        <v>507</v>
      </c>
    </row>
    <row r="2" spans="1:8" x14ac:dyDescent="0.3">
      <c r="A2">
        <f>ROW(A2)-1</f>
        <v>1</v>
      </c>
      <c r="B2">
        <v>1</v>
      </c>
      <c r="C2" t="s">
        <v>405</v>
      </c>
      <c r="D2" t="s">
        <v>405</v>
      </c>
      <c r="E2" t="s">
        <v>406</v>
      </c>
      <c r="F2" t="s">
        <v>416</v>
      </c>
      <c r="G2" t="b">
        <v>0</v>
      </c>
      <c r="H2" cm="1">
        <f t="array" ref="H2">GetLastId(19)</f>
        <v>0</v>
      </c>
    </row>
    <row r="4" spans="1:8" x14ac:dyDescent="0.3">
      <c r="F4" s="18"/>
    </row>
  </sheetData>
  <pageMargins left="0.511811024" right="0.511811024" top="0.78740157499999996" bottom="0.78740157499999996" header="0.31496062000000002" footer="0.3149606200000000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EEB31-C7A7-4D28-909F-12B5BDE78F13}">
  <sheetPr codeName="Planilha10"/>
  <dimension ref="A1:G2"/>
  <sheetViews>
    <sheetView workbookViewId="0">
      <pane ySplit="1" topLeftCell="A2" activePane="bottomLeft" state="frozen"/>
      <selection pane="bottomLeft" activeCell="F2" sqref="F2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13.21875" bestFit="1" customWidth="1"/>
    <col min="4" max="4" width="10.44140625" bestFit="1" customWidth="1"/>
    <col min="5" max="5" width="14.88671875" bestFit="1" customWidth="1"/>
    <col min="6" max="6" width="14.88671875" customWidth="1"/>
    <col min="7" max="7" width="13.77734375" bestFit="1" customWidth="1"/>
  </cols>
  <sheetData>
    <row r="1" spans="1:7" s="1" customFormat="1" x14ac:dyDescent="0.3">
      <c r="A1" s="1" t="s">
        <v>0</v>
      </c>
      <c r="B1" s="1" t="s">
        <v>87</v>
      </c>
      <c r="C1" s="1" t="s">
        <v>352</v>
      </c>
      <c r="D1" s="1" t="s">
        <v>128</v>
      </c>
      <c r="E1" s="1" t="s">
        <v>353</v>
      </c>
      <c r="F1" s="1" t="s">
        <v>521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GetValue("Systems",B2,"Name")</f>
        <v>crudex</v>
      </c>
      <c r="D2">
        <v>1</v>
      </c>
      <c r="E2" t="str">
        <f t="array" ref="E2">GetValue("Databases",D2,"Name")</f>
        <v>crudex</v>
      </c>
      <c r="F2" cm="1">
        <f t="array" ref="F2">GetValue("Databases",D2,"ConnectionId")</f>
        <v>1</v>
      </c>
      <c r="G2" t="str">
        <f>_xlfn.CONCAT(C2," x ",E2)</f>
        <v>crudex x crudex</v>
      </c>
    </row>
  </sheetData>
  <pageMargins left="0.511811024" right="0.511811024" top="0.78740157499999996" bottom="0.78740157499999996" header="0.31496062000000002" footer="0.3149606200000000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74F3B4-9AEE-49A0-9C92-3C34E29F332D}">
  <sheetPr codeName="planTables"/>
  <dimension ref="A1:H22"/>
  <sheetViews>
    <sheetView workbookViewId="0">
      <pane ySplit="1" topLeftCell="A2" activePane="bottomLeft" state="frozen"/>
      <selection pane="bottomLeft" activeCell="B12" sqref="B12"/>
    </sheetView>
  </sheetViews>
  <sheetFormatPr defaultRowHeight="14.4" x14ac:dyDescent="0.3"/>
  <cols>
    <col min="1" max="1" width="3" bestFit="1" customWidth="1"/>
    <col min="2" max="2" width="16.109375" bestFit="1" customWidth="1"/>
    <col min="3" max="3" width="14.5546875" bestFit="1" customWidth="1"/>
    <col min="4" max="4" width="28.44140625" bestFit="1" customWidth="1"/>
    <col min="5" max="5" width="12.77734375" bestFit="1" customWidth="1"/>
    <col min="6" max="6" width="17.33203125" bestFit="1" customWidth="1"/>
    <col min="7" max="7" width="8.109375" bestFit="1" customWidth="1"/>
    <col min="8" max="8" width="9" bestFit="1" customWidth="1"/>
  </cols>
  <sheetData>
    <row r="1" spans="1:8" s="1" customFormat="1" x14ac:dyDescent="0.3">
      <c r="A1" s="1" t="s">
        <v>0</v>
      </c>
      <c r="B1" s="1" t="s">
        <v>1</v>
      </c>
      <c r="C1" s="1" t="s">
        <v>122</v>
      </c>
      <c r="D1" s="1" t="s">
        <v>84</v>
      </c>
      <c r="E1" s="1" t="s">
        <v>129</v>
      </c>
      <c r="F1" s="1" t="s">
        <v>376</v>
      </c>
      <c r="G1" s="1" t="s">
        <v>482</v>
      </c>
      <c r="H1" s="1" t="s">
        <v>377</v>
      </c>
    </row>
    <row r="2" spans="1:8" x14ac:dyDescent="0.3">
      <c r="A2">
        <f t="shared" ref="A2:A9" si="0">ROW(A2)-1</f>
        <v>1</v>
      </c>
      <c r="B2" t="s">
        <v>146</v>
      </c>
      <c r="C2" t="s">
        <v>322</v>
      </c>
      <c r="D2" t="s">
        <v>147</v>
      </c>
      <c r="F2" t="str">
        <f t="array" ref="F2">GetValue("Tables",E2,"Name")</f>
        <v/>
      </c>
      <c r="G2" t="b">
        <v>0</v>
      </c>
      <c r="H2" cm="1">
        <f t="array" ref="H2">GetLastId(A2)</f>
        <v>10</v>
      </c>
    </row>
    <row r="3" spans="1:8" x14ac:dyDescent="0.3">
      <c r="A3">
        <f t="shared" si="0"/>
        <v>2</v>
      </c>
      <c r="B3" t="s">
        <v>130</v>
      </c>
      <c r="C3" t="s">
        <v>323</v>
      </c>
      <c r="D3" t="s">
        <v>475</v>
      </c>
      <c r="F3" t="str">
        <f t="array" ref="F3">GetValue("Tables",E3,"Name")</f>
        <v/>
      </c>
      <c r="G3" t="b">
        <v>0</v>
      </c>
      <c r="H3" cm="1">
        <f t="array" ref="H3">GetLastId(A3)</f>
        <v>37</v>
      </c>
    </row>
    <row r="4" spans="1:8" x14ac:dyDescent="0.3">
      <c r="A4">
        <f t="shared" si="0"/>
        <v>3</v>
      </c>
      <c r="B4" t="s">
        <v>132</v>
      </c>
      <c r="C4" t="s">
        <v>77</v>
      </c>
      <c r="D4" t="s">
        <v>133</v>
      </c>
      <c r="F4" t="str">
        <f t="array" ref="F4">GetValue("Tables",E4,"Name")</f>
        <v/>
      </c>
      <c r="G4" t="b">
        <v>0</v>
      </c>
      <c r="H4" cm="1">
        <f t="array" ref="H4">GetLastId(A4)</f>
        <v>6</v>
      </c>
    </row>
    <row r="5" spans="1:8" x14ac:dyDescent="0.3">
      <c r="A5">
        <f t="shared" si="0"/>
        <v>4</v>
      </c>
      <c r="B5" t="s">
        <v>131</v>
      </c>
      <c r="C5" t="s">
        <v>324</v>
      </c>
      <c r="D5" t="s">
        <v>476</v>
      </c>
      <c r="F5" t="str">
        <f t="array" ref="F5">GetValue("Tables",E5,"Name")</f>
        <v/>
      </c>
      <c r="G5" t="b">
        <v>0</v>
      </c>
      <c r="H5" cm="1">
        <f t="array" ref="H5">GetLastId(A5)</f>
        <v>21</v>
      </c>
    </row>
    <row r="6" spans="1:8" x14ac:dyDescent="0.3">
      <c r="A6">
        <f t="shared" si="0"/>
        <v>5</v>
      </c>
      <c r="B6" t="s">
        <v>134</v>
      </c>
      <c r="C6" t="s">
        <v>325</v>
      </c>
      <c r="D6" t="s">
        <v>102</v>
      </c>
      <c r="F6" t="str">
        <f t="array" ref="F6">GetValue("Tables",E6,"Name")</f>
        <v/>
      </c>
      <c r="G6" t="b">
        <v>0</v>
      </c>
      <c r="H6" cm="1">
        <f t="array" ref="H6">GetLastId(A6)</f>
        <v>1</v>
      </c>
    </row>
    <row r="7" spans="1:8" x14ac:dyDescent="0.3">
      <c r="A7">
        <f t="shared" si="0"/>
        <v>6</v>
      </c>
      <c r="B7" t="s">
        <v>100</v>
      </c>
      <c r="C7" t="s">
        <v>326</v>
      </c>
      <c r="D7" t="s">
        <v>474</v>
      </c>
      <c r="E7">
        <v>5</v>
      </c>
      <c r="F7" t="str">
        <f t="array" ref="F7">GetValue("Tables",E7,"Name")</f>
        <v>Systems</v>
      </c>
      <c r="G7" t="b">
        <v>0</v>
      </c>
      <c r="H7" cm="1">
        <f t="array" ref="H7">GetLastId(A7)</f>
        <v>12</v>
      </c>
    </row>
    <row r="8" spans="1:8" x14ac:dyDescent="0.3">
      <c r="A8">
        <f t="shared" si="0"/>
        <v>7</v>
      </c>
      <c r="B8" t="s">
        <v>135</v>
      </c>
      <c r="C8" t="s">
        <v>327</v>
      </c>
      <c r="D8" t="s">
        <v>473</v>
      </c>
      <c r="F8" t="str">
        <f t="array" ref="F8">GetValue("Tables",E8,"Name")</f>
        <v/>
      </c>
      <c r="G8" t="b">
        <v>0</v>
      </c>
      <c r="H8" cm="1">
        <f t="array" ref="H8">GetLastId(A8)</f>
        <v>2</v>
      </c>
    </row>
    <row r="9" spans="1:8" x14ac:dyDescent="0.3">
      <c r="A9">
        <f t="shared" si="0"/>
        <v>8</v>
      </c>
      <c r="B9" t="s">
        <v>136</v>
      </c>
      <c r="C9" t="s">
        <v>328</v>
      </c>
      <c r="D9" t="s">
        <v>137</v>
      </c>
      <c r="E9">
        <v>5</v>
      </c>
      <c r="F9" t="str">
        <f t="array" ref="F9">GetValue("Tables",E9,"Name")</f>
        <v>Systems</v>
      </c>
      <c r="G9" t="b">
        <v>0</v>
      </c>
      <c r="H9" cm="1">
        <f t="array" ref="H9">GetLastId(A9)</f>
        <v>2</v>
      </c>
    </row>
    <row r="10" spans="1:8" x14ac:dyDescent="0.3">
      <c r="A10">
        <v>9</v>
      </c>
      <c r="B10" t="s">
        <v>454</v>
      </c>
      <c r="C10" t="s">
        <v>455</v>
      </c>
      <c r="D10" t="s">
        <v>472</v>
      </c>
      <c r="G10" t="b">
        <v>0</v>
      </c>
      <c r="H10" cm="1">
        <f t="array" ref="H10">GetLastId(A10)</f>
        <v>1</v>
      </c>
    </row>
    <row r="11" spans="1:8" x14ac:dyDescent="0.3">
      <c r="A11">
        <f t="shared" ref="A11:A22" si="1">ROW(A11)-1</f>
        <v>10</v>
      </c>
      <c r="B11" t="s">
        <v>138</v>
      </c>
      <c r="C11" t="s">
        <v>329</v>
      </c>
      <c r="D11" t="s">
        <v>139</v>
      </c>
      <c r="F11" t="str">
        <f t="array" ref="F11">GetValue("Tables",E11,"Name")</f>
        <v/>
      </c>
      <c r="G11" t="b">
        <v>0</v>
      </c>
      <c r="H11" cm="1">
        <f t="array" ref="H11">GetLastId(A11)</f>
        <v>1</v>
      </c>
    </row>
    <row r="12" spans="1:8" x14ac:dyDescent="0.3">
      <c r="A12">
        <f t="shared" si="1"/>
        <v>11</v>
      </c>
      <c r="B12" t="s">
        <v>140</v>
      </c>
      <c r="C12" t="s">
        <v>330</v>
      </c>
      <c r="D12" t="s">
        <v>141</v>
      </c>
      <c r="E12">
        <v>5</v>
      </c>
      <c r="F12" t="str">
        <f t="array" ref="F12">GetValue("Tables",E12,"Name")</f>
        <v>Systems</v>
      </c>
      <c r="G12" t="b">
        <v>0</v>
      </c>
      <c r="H12" cm="1">
        <f t="array" ref="H12">GetLastId(A12)</f>
        <v>1</v>
      </c>
    </row>
    <row r="13" spans="1:8" x14ac:dyDescent="0.3">
      <c r="A13">
        <f t="shared" si="1"/>
        <v>12</v>
      </c>
      <c r="B13" t="s">
        <v>142</v>
      </c>
      <c r="C13" t="s">
        <v>331</v>
      </c>
      <c r="D13" t="s">
        <v>477</v>
      </c>
      <c r="E13">
        <v>10</v>
      </c>
      <c r="F13" t="str">
        <f t="array" ref="F13">GetValue("Tables",E13,"Name")</f>
        <v>Databases</v>
      </c>
      <c r="G13" t="b">
        <v>0</v>
      </c>
      <c r="H13" cm="1">
        <f t="array" ref="H13">GetLastId(A13)</f>
        <v>19</v>
      </c>
    </row>
    <row r="14" spans="1:8" x14ac:dyDescent="0.3">
      <c r="A14">
        <f t="shared" si="1"/>
        <v>13</v>
      </c>
      <c r="B14" t="s">
        <v>317</v>
      </c>
      <c r="C14" t="s">
        <v>332</v>
      </c>
      <c r="D14" t="s">
        <v>318</v>
      </c>
      <c r="E14">
        <v>10</v>
      </c>
      <c r="F14" t="str">
        <f t="array" ref="F14">GetValue("Tables",E14,"Name")</f>
        <v>Databases</v>
      </c>
      <c r="G14" t="b">
        <v>0</v>
      </c>
      <c r="H14" cm="1">
        <f t="array" ref="H14">GetLastId(A14)</f>
        <v>19</v>
      </c>
    </row>
    <row r="15" spans="1:8" x14ac:dyDescent="0.3">
      <c r="A15">
        <f t="shared" si="1"/>
        <v>14</v>
      </c>
      <c r="B15" t="s">
        <v>143</v>
      </c>
      <c r="C15" t="s">
        <v>333</v>
      </c>
      <c r="D15" t="s">
        <v>470</v>
      </c>
      <c r="E15">
        <v>12</v>
      </c>
      <c r="F15" t="str">
        <f t="array" ref="F15">GetValue("Tables",E15,"Name")</f>
        <v>Tables</v>
      </c>
      <c r="G15" t="b">
        <v>0</v>
      </c>
      <c r="H15" cm="1">
        <f t="array" ref="H15">GetLastId(A15)</f>
        <v>143</v>
      </c>
    </row>
    <row r="16" spans="1:8" x14ac:dyDescent="0.3">
      <c r="A16">
        <f t="shared" si="1"/>
        <v>15</v>
      </c>
      <c r="B16" t="s">
        <v>144</v>
      </c>
      <c r="C16" t="s">
        <v>334</v>
      </c>
      <c r="D16" t="s">
        <v>471</v>
      </c>
      <c r="E16">
        <v>12</v>
      </c>
      <c r="F16" t="str">
        <f t="array" ref="F16">GetValue("Tables",E16,"Name")</f>
        <v>Tables</v>
      </c>
      <c r="G16" t="b">
        <v>0</v>
      </c>
      <c r="H16" cm="1">
        <f t="array" ref="H16">GetLastId(A16)</f>
        <v>24</v>
      </c>
    </row>
    <row r="17" spans="1:8" x14ac:dyDescent="0.3">
      <c r="A17">
        <f t="shared" si="1"/>
        <v>16</v>
      </c>
      <c r="B17" t="s">
        <v>308</v>
      </c>
      <c r="C17" t="s">
        <v>335</v>
      </c>
      <c r="D17" t="s">
        <v>145</v>
      </c>
      <c r="E17">
        <v>15</v>
      </c>
      <c r="F17" t="str">
        <f t="array" ref="F17">GetValue("Tables",E17,"Name")</f>
        <v>Indexes</v>
      </c>
      <c r="G17" t="b">
        <v>0</v>
      </c>
      <c r="H17" cm="1">
        <f t="array" ref="H17">GetLastId(A17)</f>
        <v>35</v>
      </c>
    </row>
    <row r="18" spans="1:8" x14ac:dyDescent="0.3">
      <c r="A18">
        <f t="shared" si="1"/>
        <v>17</v>
      </c>
      <c r="B18" t="s">
        <v>336</v>
      </c>
      <c r="C18" t="s">
        <v>337</v>
      </c>
      <c r="D18" t="s">
        <v>481</v>
      </c>
      <c r="F18" t="str">
        <f t="array" ref="F18">GetValue("Tables",E18,"Name")</f>
        <v/>
      </c>
      <c r="G18" t="b">
        <v>0</v>
      </c>
      <c r="H18" cm="1">
        <f t="array" ref="H18">GetLastId(A18)</f>
        <v>0</v>
      </c>
    </row>
    <row r="19" spans="1:8" x14ac:dyDescent="0.3">
      <c r="A19">
        <f t="shared" si="1"/>
        <v>18</v>
      </c>
      <c r="B19" t="s">
        <v>478</v>
      </c>
      <c r="C19" t="s">
        <v>479</v>
      </c>
      <c r="D19" t="s">
        <v>480</v>
      </c>
      <c r="F19" t="str">
        <f t="array" ref="F19">GetValue("Tables",E19,"Name")</f>
        <v/>
      </c>
      <c r="G19" t="b">
        <v>0</v>
      </c>
      <c r="H19" cm="1">
        <f t="array" ref="H19">GetLastId(A19)</f>
        <v>0</v>
      </c>
    </row>
    <row r="20" spans="1:8" x14ac:dyDescent="0.3">
      <c r="A20">
        <f t="shared" si="1"/>
        <v>19</v>
      </c>
      <c r="B20" t="s">
        <v>485</v>
      </c>
      <c r="C20" t="s">
        <v>486</v>
      </c>
      <c r="D20" t="s">
        <v>487</v>
      </c>
      <c r="F20" t="str">
        <f t="array" ref="F20">GetValue("Tables",E20,"Name")</f>
        <v/>
      </c>
      <c r="G20" t="b">
        <v>0</v>
      </c>
      <c r="H20" cm="1">
        <f t="array" ref="H20">GetLastId(A20)</f>
        <v>0</v>
      </c>
    </row>
    <row r="21" spans="1:8" x14ac:dyDescent="0.3">
      <c r="A21">
        <f t="shared" si="1"/>
        <v>20</v>
      </c>
      <c r="B21" t="s">
        <v>523</v>
      </c>
      <c r="C21" t="s">
        <v>524</v>
      </c>
      <c r="D21" t="s">
        <v>109</v>
      </c>
      <c r="F21" t="str">
        <f t="array" ref="F21">GetValue("Tables",E21,"Name")</f>
        <v/>
      </c>
      <c r="G21" t="b">
        <v>0</v>
      </c>
      <c r="H21" cm="1">
        <f t="array" ref="H21">GetLastId(A21)</f>
        <v>0</v>
      </c>
    </row>
    <row r="22" spans="1:8" x14ac:dyDescent="0.3">
      <c r="A22">
        <f t="shared" si="1"/>
        <v>21</v>
      </c>
      <c r="B22" t="s">
        <v>525</v>
      </c>
      <c r="C22" t="s">
        <v>526</v>
      </c>
      <c r="D22" t="s">
        <v>527</v>
      </c>
      <c r="F22" t="str">
        <f t="array" ref="F22">GetValue("Tables",E22,"Name")</f>
        <v/>
      </c>
      <c r="G22" t="b">
        <v>0</v>
      </c>
      <c r="H22" cm="1">
        <f t="array" ref="H22">GetLastId(A22)</f>
        <v>0</v>
      </c>
    </row>
  </sheetData>
  <pageMargins left="0.511811024" right="0.511811024" top="0.78740157499999996" bottom="0.78740157499999996" header="0.31496062000000002" footer="0.3149606200000000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4BCEF9-019A-4B56-996B-6D9EC84238FC}">
  <sheetPr codeName="planDatabasesTables"/>
  <dimension ref="A1:G22"/>
  <sheetViews>
    <sheetView workbookViewId="0">
      <selection activeCell="E23" sqref="E23"/>
    </sheetView>
  </sheetViews>
  <sheetFormatPr defaultRowHeight="14.4" x14ac:dyDescent="0.3"/>
  <cols>
    <col min="1" max="1" width="3" bestFit="1" customWidth="1"/>
    <col min="2" max="2" width="10.44140625" bestFit="1" customWidth="1"/>
    <col min="3" max="3" width="14.88671875" bestFit="1" customWidth="1"/>
    <col min="4" max="4" width="14.88671875" customWidth="1"/>
    <col min="5" max="5" width="7.21875" bestFit="1" customWidth="1"/>
    <col min="6" max="6" width="16.109375" bestFit="1" customWidth="1"/>
    <col min="7" max="7" width="22.6640625" bestFit="1" customWidth="1"/>
  </cols>
  <sheetData>
    <row r="1" spans="1:7" s="1" customFormat="1" x14ac:dyDescent="0.3">
      <c r="A1" s="1" t="s">
        <v>0</v>
      </c>
      <c r="B1" s="1" t="s">
        <v>128</v>
      </c>
      <c r="C1" s="1" t="s">
        <v>353</v>
      </c>
      <c r="D1" s="1" t="s">
        <v>521</v>
      </c>
      <c r="E1" s="1" t="s">
        <v>148</v>
      </c>
      <c r="F1" s="1" t="s">
        <v>354</v>
      </c>
      <c r="G1" s="1" t="s">
        <v>1</v>
      </c>
    </row>
    <row r="2" spans="1:7" x14ac:dyDescent="0.3">
      <c r="A2">
        <f>ROW(A2)-1</f>
        <v>1</v>
      </c>
      <c r="B2">
        <v>1</v>
      </c>
      <c r="C2" t="str">
        <f t="array" ref="C2">GetValue("Databases",B2,"Name")</f>
        <v>crudex</v>
      </c>
      <c r="D2" cm="1">
        <f t="array" ref="D2">GetValue("Databases",B2,"ConnectionId")</f>
        <v>1</v>
      </c>
      <c r="E2">
        <v>1</v>
      </c>
      <c r="F2" t="str">
        <f t="array" ref="F2">GetValue("Tables",E2,"Name")</f>
        <v>Categories</v>
      </c>
      <c r="G2" t="str">
        <f t="shared" ref="G2:G20" si="0">_xlfn.CONCAT(C2," x ",F2)</f>
        <v>crudex x Categories</v>
      </c>
    </row>
    <row r="3" spans="1:7" x14ac:dyDescent="0.3">
      <c r="A3">
        <f t="shared" ref="A3:A22" si="1">ROW(A3)-1</f>
        <v>2</v>
      </c>
      <c r="B3">
        <v>1</v>
      </c>
      <c r="C3" t="str">
        <f t="array" ref="C3">GetValue("Databases",B3,"Name")</f>
        <v>crudex</v>
      </c>
      <c r="D3" cm="1">
        <f t="array" ref="D3">GetValue("Databases",B3,"ConnectionId")</f>
        <v>1</v>
      </c>
      <c r="E3">
        <v>2</v>
      </c>
      <c r="F3" t="str">
        <f t="array" ref="F3">GetValue("Tables",E3,"Name")</f>
        <v>Types</v>
      </c>
      <c r="G3" t="str">
        <f t="shared" si="0"/>
        <v>crudex x Types</v>
      </c>
    </row>
    <row r="4" spans="1:7" x14ac:dyDescent="0.3">
      <c r="A4">
        <f t="shared" si="1"/>
        <v>3</v>
      </c>
      <c r="B4">
        <v>1</v>
      </c>
      <c r="C4" t="str">
        <f t="array" ref="C4">GetValue("Databases",B4,"Name")</f>
        <v>crudex</v>
      </c>
      <c r="D4" cm="1">
        <f t="array" ref="D4">GetValue("Databases",B4,"ConnectionId")</f>
        <v>1</v>
      </c>
      <c r="E4">
        <v>3</v>
      </c>
      <c r="F4" t="str">
        <f t="array" ref="F4">GetValue("Tables",E4,"Name")</f>
        <v>Masks</v>
      </c>
      <c r="G4" t="str">
        <f t="shared" si="0"/>
        <v>crudex x Masks</v>
      </c>
    </row>
    <row r="5" spans="1:7" x14ac:dyDescent="0.3">
      <c r="A5">
        <f t="shared" si="1"/>
        <v>4</v>
      </c>
      <c r="B5">
        <v>1</v>
      </c>
      <c r="C5" t="str">
        <f t="array" ref="C5">GetValue("Databases",B5,"Name")</f>
        <v>crudex</v>
      </c>
      <c r="D5" cm="1">
        <f t="array" ref="D5">GetValue("Databases",B5,"ConnectionId")</f>
        <v>1</v>
      </c>
      <c r="E5">
        <v>4</v>
      </c>
      <c r="F5" t="str">
        <f t="array" ref="F5">GetValue("Tables",E5,"Name")</f>
        <v>Domains</v>
      </c>
      <c r="G5" t="str">
        <f t="shared" si="0"/>
        <v>crudex x Domains</v>
      </c>
    </row>
    <row r="6" spans="1:7" x14ac:dyDescent="0.3">
      <c r="A6">
        <f t="shared" si="1"/>
        <v>5</v>
      </c>
      <c r="B6">
        <v>1</v>
      </c>
      <c r="C6" t="str">
        <f t="array" ref="C6">GetValue("Databases",B6,"Name")</f>
        <v>crudex</v>
      </c>
      <c r="D6" cm="1">
        <f t="array" ref="D6">GetValue("Databases",B6,"ConnectionId")</f>
        <v>1</v>
      </c>
      <c r="E6">
        <v>5</v>
      </c>
      <c r="F6" t="str">
        <f t="array" ref="F6">GetValue("Tables",E6,"Name")</f>
        <v>Systems</v>
      </c>
      <c r="G6" t="str">
        <f t="shared" si="0"/>
        <v>crudex x Systems</v>
      </c>
    </row>
    <row r="7" spans="1:7" x14ac:dyDescent="0.3">
      <c r="A7">
        <f t="shared" si="1"/>
        <v>6</v>
      </c>
      <c r="B7">
        <v>1</v>
      </c>
      <c r="C7" t="str">
        <f t="array" ref="C7">GetValue("Databases",B7,"Name")</f>
        <v>crudex</v>
      </c>
      <c r="D7" cm="1">
        <f t="array" ref="D7">GetValue("Databases",B7,"ConnectionId")</f>
        <v>1</v>
      </c>
      <c r="E7">
        <v>6</v>
      </c>
      <c r="F7" t="str">
        <f t="array" ref="F7">GetValue("Tables",E7,"Name")</f>
        <v>Menus</v>
      </c>
      <c r="G7" t="str">
        <f t="shared" si="0"/>
        <v>crudex x Menus</v>
      </c>
    </row>
    <row r="8" spans="1:7" x14ac:dyDescent="0.3">
      <c r="A8">
        <f t="shared" si="1"/>
        <v>7</v>
      </c>
      <c r="B8">
        <v>1</v>
      </c>
      <c r="C8" t="str">
        <f t="array" ref="C8">GetValue("Databases",B8,"Name")</f>
        <v>crudex</v>
      </c>
      <c r="D8" cm="1">
        <f t="array" ref="D8">GetValue("Databases",B8,"ConnectionId")</f>
        <v>1</v>
      </c>
      <c r="E8">
        <v>7</v>
      </c>
      <c r="F8" t="str">
        <f t="array" ref="F8">GetValue("Tables",E8,"Name")</f>
        <v>Users</v>
      </c>
      <c r="G8" t="str">
        <f t="shared" si="0"/>
        <v>crudex x Users</v>
      </c>
    </row>
    <row r="9" spans="1:7" x14ac:dyDescent="0.3">
      <c r="A9">
        <f t="shared" si="1"/>
        <v>8</v>
      </c>
      <c r="B9">
        <v>1</v>
      </c>
      <c r="C9" t="str">
        <f t="array" ref="C9">GetValue("Databases",B9,"Name")</f>
        <v>crudex</v>
      </c>
      <c r="D9" cm="1">
        <f t="array" ref="D9">GetValue("Databases",B9,"ConnectionId")</f>
        <v>1</v>
      </c>
      <c r="E9">
        <v>8</v>
      </c>
      <c r="F9" t="str">
        <f t="array" ref="F9">GetValue("Tables",E9,"Name")</f>
        <v>SystemsUsers</v>
      </c>
      <c r="G9" t="str">
        <f t="shared" si="0"/>
        <v>crudex x SystemsUsers</v>
      </c>
    </row>
    <row r="10" spans="1:7" x14ac:dyDescent="0.3">
      <c r="A10">
        <f t="shared" si="1"/>
        <v>9</v>
      </c>
      <c r="B10">
        <v>1</v>
      </c>
      <c r="C10" t="str">
        <f t="array" ref="C10">GetValue("Databases",B10,"Name")</f>
        <v>crudex</v>
      </c>
      <c r="D10" cm="1">
        <f t="array" ref="D10">GetValue("Databases",B10,"ConnectionId")</f>
        <v>1</v>
      </c>
      <c r="E10">
        <v>9</v>
      </c>
      <c r="F10" t="str">
        <f t="array" ref="F10">GetValue("Tables",E10,"Name")</f>
        <v>Connections</v>
      </c>
      <c r="G10" t="str">
        <f t="shared" si="0"/>
        <v>crudex x Connections</v>
      </c>
    </row>
    <row r="11" spans="1:7" x14ac:dyDescent="0.3">
      <c r="A11">
        <f t="shared" si="1"/>
        <v>10</v>
      </c>
      <c r="B11">
        <v>1</v>
      </c>
      <c r="C11" t="str">
        <f t="array" ref="C11">GetValue("Databases",B11,"Name")</f>
        <v>crudex</v>
      </c>
      <c r="D11" cm="1">
        <f t="array" ref="D11">GetValue("Databases",B11,"ConnectionId")</f>
        <v>1</v>
      </c>
      <c r="E11">
        <v>10</v>
      </c>
      <c r="F11" t="str">
        <f t="array" ref="F11">GetValue("Tables",E11,"Name")</f>
        <v>Databases</v>
      </c>
      <c r="G11" t="str">
        <f t="shared" si="0"/>
        <v>crudex x Databases</v>
      </c>
    </row>
    <row r="12" spans="1:7" x14ac:dyDescent="0.3">
      <c r="A12">
        <f t="shared" si="1"/>
        <v>11</v>
      </c>
      <c r="B12">
        <v>1</v>
      </c>
      <c r="C12" t="str">
        <f t="array" ref="C12">GetValue("Databases",B12,"Name")</f>
        <v>crudex</v>
      </c>
      <c r="D12" cm="1">
        <f t="array" ref="D12">GetValue("Databases",B12,"ConnectionId")</f>
        <v>1</v>
      </c>
      <c r="E12">
        <v>11</v>
      </c>
      <c r="F12" t="str">
        <f t="array" ref="F12">GetValue("Tables",E12,"Name")</f>
        <v>SystemsDatabases</v>
      </c>
      <c r="G12" t="str">
        <f t="shared" si="0"/>
        <v>crudex x SystemsDatabases</v>
      </c>
    </row>
    <row r="13" spans="1:7" x14ac:dyDescent="0.3">
      <c r="A13">
        <f t="shared" si="1"/>
        <v>12</v>
      </c>
      <c r="B13">
        <v>1</v>
      </c>
      <c r="C13" t="str">
        <f t="array" ref="C13">GetValue("Databases",B13,"Name")</f>
        <v>crudex</v>
      </c>
      <c r="D13" cm="1">
        <f t="array" ref="D13">GetValue("Databases",B13,"ConnectionId")</f>
        <v>1</v>
      </c>
      <c r="E13">
        <v>12</v>
      </c>
      <c r="F13" t="str">
        <f t="array" ref="F13">GetValue("Tables",E13,"Name")</f>
        <v>Tables</v>
      </c>
      <c r="G13" t="str">
        <f t="shared" si="0"/>
        <v>crudex x Tables</v>
      </c>
    </row>
    <row r="14" spans="1:7" x14ac:dyDescent="0.3">
      <c r="A14">
        <f>ROW(A14)-1</f>
        <v>13</v>
      </c>
      <c r="B14">
        <v>1</v>
      </c>
      <c r="C14" t="str">
        <f t="array" ref="C14">GetValue("Databases",B14,"Name")</f>
        <v>crudex</v>
      </c>
      <c r="D14" cm="1">
        <f t="array" ref="D14">GetValue("Databases",B14,"ConnectionId")</f>
        <v>1</v>
      </c>
      <c r="E14">
        <v>13</v>
      </c>
      <c r="F14" t="str">
        <f t="array" ref="F14">GetValue("Tables",E14,"Name")</f>
        <v>DatabasesTables</v>
      </c>
      <c r="G14" t="str">
        <f t="shared" si="0"/>
        <v>crudex x DatabasesTables</v>
      </c>
    </row>
    <row r="15" spans="1:7" x14ac:dyDescent="0.3">
      <c r="A15">
        <f t="shared" si="1"/>
        <v>14</v>
      </c>
      <c r="B15">
        <v>1</v>
      </c>
      <c r="C15" t="str">
        <f t="array" ref="C15">GetValue("Databases",B15,"Name")</f>
        <v>crudex</v>
      </c>
      <c r="D15" cm="1">
        <f t="array" ref="D15">GetValue("Databases",B15,"ConnectionId")</f>
        <v>1</v>
      </c>
      <c r="E15">
        <v>14</v>
      </c>
      <c r="F15" t="str">
        <f t="array" ref="F15">GetValue("Tables",E15,"Name")</f>
        <v>Columns</v>
      </c>
      <c r="G15" t="str">
        <f t="shared" si="0"/>
        <v>crudex x Columns</v>
      </c>
    </row>
    <row r="16" spans="1:7" x14ac:dyDescent="0.3">
      <c r="A16">
        <f t="shared" si="1"/>
        <v>15</v>
      </c>
      <c r="B16">
        <v>1</v>
      </c>
      <c r="C16" t="str">
        <f t="array" ref="C16">GetValue("Databases",B16,"Name")</f>
        <v>crudex</v>
      </c>
      <c r="D16" cm="1">
        <f t="array" ref="D16">GetValue("Databases",B16,"ConnectionId")</f>
        <v>1</v>
      </c>
      <c r="E16">
        <v>15</v>
      </c>
      <c r="F16" t="str">
        <f t="array" ref="F16">GetValue("Tables",E16,"Name")</f>
        <v>Indexes</v>
      </c>
      <c r="G16" t="str">
        <f t="shared" si="0"/>
        <v>crudex x Indexes</v>
      </c>
    </row>
    <row r="17" spans="1:7" x14ac:dyDescent="0.3">
      <c r="A17">
        <f t="shared" si="1"/>
        <v>16</v>
      </c>
      <c r="B17">
        <v>1</v>
      </c>
      <c r="C17" t="str">
        <f t="array" ref="C17">GetValue("Databases",B17,"Name")</f>
        <v>crudex</v>
      </c>
      <c r="D17" cm="1">
        <f t="array" ref="D17">GetValue("Databases",B17,"ConnectionId")</f>
        <v>1</v>
      </c>
      <c r="E17">
        <v>16</v>
      </c>
      <c r="F17" t="str">
        <f t="array" ref="F17">GetValue("Tables",E17,"Name")</f>
        <v>Indexkeys</v>
      </c>
      <c r="G17" t="str">
        <f t="shared" si="0"/>
        <v>crudex x Indexkeys</v>
      </c>
    </row>
    <row r="18" spans="1:7" x14ac:dyDescent="0.3">
      <c r="A18">
        <f t="shared" si="1"/>
        <v>17</v>
      </c>
      <c r="B18">
        <v>1</v>
      </c>
      <c r="C18" t="str">
        <f t="array" ref="C18">GetValue("Databases",B18,"Name")</f>
        <v>crudex</v>
      </c>
      <c r="D18" cm="1">
        <f t="array" ref="D18">GetValue("Databases",B18,"ConnectionId")</f>
        <v>1</v>
      </c>
      <c r="E18">
        <v>17</v>
      </c>
      <c r="F18" t="str">
        <f t="array" ref="F18">GetValue("Tables",E18,"Name")</f>
        <v>Logins</v>
      </c>
      <c r="G18" t="str">
        <f t="shared" si="0"/>
        <v>crudex x Logins</v>
      </c>
    </row>
    <row r="19" spans="1:7" x14ac:dyDescent="0.3">
      <c r="A19">
        <f t="shared" si="1"/>
        <v>18</v>
      </c>
      <c r="B19">
        <v>1</v>
      </c>
      <c r="C19" t="str">
        <f t="array" ref="C19">GetValue("Databases",B19,"Name")</f>
        <v>crudex</v>
      </c>
      <c r="D19" cm="1">
        <f t="array" ref="D19">GetValue("Databases",B19,"ConnectionId")</f>
        <v>1</v>
      </c>
      <c r="E19">
        <v>18</v>
      </c>
      <c r="F19" t="str">
        <f t="array" ref="F19">GetValue("Tables",E19,"Name")</f>
        <v>Transactions</v>
      </c>
      <c r="G19" t="str">
        <f t="shared" si="0"/>
        <v>crudex x Transactions</v>
      </c>
    </row>
    <row r="20" spans="1:7" x14ac:dyDescent="0.3">
      <c r="A20">
        <f t="shared" si="1"/>
        <v>19</v>
      </c>
      <c r="B20">
        <v>1</v>
      </c>
      <c r="C20" t="str">
        <f t="array" ref="C20">GetValue("Databases",B20,"Name")</f>
        <v>crudex</v>
      </c>
      <c r="D20" cm="1">
        <f t="array" ref="D20">GetValue("Databases",B20,"ConnectionId")</f>
        <v>1</v>
      </c>
      <c r="E20">
        <v>19</v>
      </c>
      <c r="F20" t="str">
        <f t="array" ref="F20">GetValue("Tables",E20,"Name")</f>
        <v>Operations</v>
      </c>
      <c r="G20" t="str">
        <f t="shared" si="0"/>
        <v>crudex x Operations</v>
      </c>
    </row>
    <row r="21" spans="1:7" x14ac:dyDescent="0.3">
      <c r="A21">
        <f t="shared" si="1"/>
        <v>20</v>
      </c>
      <c r="B21">
        <v>1</v>
      </c>
      <c r="C21" t="str">
        <f t="array" ref="C21">GetValue("Databases",B21,"Name")</f>
        <v>crudex</v>
      </c>
      <c r="D21" cm="1">
        <f t="array" ref="D21">GetValue("Databases",B21,"ConnectionId")</f>
        <v>1</v>
      </c>
      <c r="E21">
        <v>20</v>
      </c>
      <c r="F21" t="str">
        <f t="array" ref="F21">GetValue("Tables",E21,"Name")</f>
        <v>Associations</v>
      </c>
      <c r="G21" t="str">
        <f t="shared" ref="G21:G22" si="2">_xlfn.CONCAT(C21," x ",F21)</f>
        <v>crudex x Associations</v>
      </c>
    </row>
    <row r="22" spans="1:7" x14ac:dyDescent="0.3">
      <c r="A22">
        <f t="shared" si="1"/>
        <v>21</v>
      </c>
      <c r="B22">
        <v>1</v>
      </c>
      <c r="C22" t="str">
        <f t="array" ref="C22">GetValue("Databases",B22,"Name")</f>
        <v>crudex</v>
      </c>
      <c r="D22" cm="1">
        <f t="array" ref="D22">GetValue("Databases",B22,"ConnectionId")</f>
        <v>1</v>
      </c>
      <c r="E22">
        <v>21</v>
      </c>
      <c r="F22" t="str">
        <f t="array" ref="F22">GetValue("Tables",E22,"Name")</f>
        <v>Uniques</v>
      </c>
      <c r="G22" t="str">
        <f t="shared" si="2"/>
        <v>crudex x Uniques</v>
      </c>
    </row>
  </sheetData>
  <pageMargins left="0.511811024" right="0.511811024" top="0.78740157499999996" bottom="0.78740157499999996" header="0.31496062000000002" footer="0.3149606200000000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DFE00-DE64-4A94-9BDE-C20DE7BA3DCF}">
  <sheetPr codeName="Planilha11"/>
  <dimension ref="A1:AC152"/>
  <sheetViews>
    <sheetView tabSelected="1" topLeftCell="F1" zoomScaleNormal="100" workbookViewId="0">
      <pane ySplit="1" topLeftCell="A128" activePane="bottomLeft" state="frozen"/>
      <selection pane="bottomLeft" activeCell="O149" sqref="O149"/>
    </sheetView>
  </sheetViews>
  <sheetFormatPr defaultRowHeight="14.4" x14ac:dyDescent="0.3"/>
  <cols>
    <col min="1" max="1" width="4" customWidth="1"/>
    <col min="2" max="2" width="7.21875" bestFit="1" customWidth="1"/>
    <col min="3" max="3" width="16.109375" bestFit="1" customWidth="1"/>
    <col min="4" max="4" width="14.5546875" bestFit="1" customWidth="1"/>
    <col min="5" max="6" width="9.21875" bestFit="1" customWidth="1"/>
    <col min="7" max="7" width="14.5546875" bestFit="1" customWidth="1"/>
    <col min="8" max="8" width="14.6640625" bestFit="1" customWidth="1"/>
    <col min="9" max="10" width="12.6640625" bestFit="1" customWidth="1"/>
    <col min="11" max="11" width="15.77734375" bestFit="1" customWidth="1"/>
    <col min="12" max="12" width="20.21875" bestFit="1" customWidth="1"/>
    <col min="13" max="13" width="18.77734375" bestFit="1" customWidth="1"/>
    <col min="14" max="14" width="4.88671875" bestFit="1" customWidth="1"/>
    <col min="15" max="15" width="33.88671875" bestFit="1" customWidth="1"/>
    <col min="16" max="17" width="21.44140625" bestFit="1" customWidth="1"/>
    <col min="18" max="18" width="7.109375" style="3" bestFit="1" customWidth="1"/>
    <col min="19" max="19" width="9.21875" style="4" bestFit="1" customWidth="1"/>
    <col min="20" max="20" width="9.5546875" style="3" bestFit="1" customWidth="1"/>
    <col min="21" max="21" width="11.88671875" bestFit="1" customWidth="1"/>
    <col min="22" max="22" width="15.21875" bestFit="1" customWidth="1"/>
    <col min="23" max="28" width="11.77734375" bestFit="1" customWidth="1"/>
    <col min="29" max="29" width="9.44140625" bestFit="1" customWidth="1"/>
  </cols>
  <sheetData>
    <row r="1" spans="1:29" s="1" customFormat="1" x14ac:dyDescent="0.3">
      <c r="A1" s="10" t="s">
        <v>0</v>
      </c>
      <c r="B1" s="10" t="s">
        <v>148</v>
      </c>
      <c r="C1" s="10" t="s">
        <v>354</v>
      </c>
      <c r="D1" s="10" t="s">
        <v>430</v>
      </c>
      <c r="E1" s="10" t="s">
        <v>88</v>
      </c>
      <c r="F1" s="10" t="s">
        <v>149</v>
      </c>
      <c r="G1" s="10" t="s">
        <v>355</v>
      </c>
      <c r="H1" s="10" t="s">
        <v>348</v>
      </c>
      <c r="I1" s="10" t="s">
        <v>349</v>
      </c>
      <c r="J1" s="10" t="s">
        <v>383</v>
      </c>
      <c r="K1" s="10" t="s">
        <v>150</v>
      </c>
      <c r="L1" s="10" t="s">
        <v>356</v>
      </c>
      <c r="M1" s="10" t="s">
        <v>1</v>
      </c>
      <c r="N1" s="10" t="s">
        <v>122</v>
      </c>
      <c r="O1" s="10" t="s">
        <v>84</v>
      </c>
      <c r="P1" s="10" t="s">
        <v>151</v>
      </c>
      <c r="Q1" s="10" t="s">
        <v>89</v>
      </c>
      <c r="R1" s="17" t="s">
        <v>66</v>
      </c>
      <c r="S1" s="12" t="s">
        <v>26</v>
      </c>
      <c r="T1" s="17" t="s">
        <v>27</v>
      </c>
      <c r="U1" s="10" t="s">
        <v>152</v>
      </c>
      <c r="V1" s="10" t="s">
        <v>153</v>
      </c>
      <c r="W1" s="10" t="s">
        <v>154</v>
      </c>
      <c r="X1" s="10" t="s">
        <v>155</v>
      </c>
      <c r="Y1" s="10" t="s">
        <v>156</v>
      </c>
      <c r="Z1" s="10" t="s">
        <v>157</v>
      </c>
      <c r="AA1" s="10" t="s">
        <v>390</v>
      </c>
      <c r="AB1" s="10" t="s">
        <v>158</v>
      </c>
      <c r="AC1" s="10" t="s">
        <v>427</v>
      </c>
    </row>
    <row r="2" spans="1:29" x14ac:dyDescent="0.3">
      <c r="A2" s="7">
        <f t="shared" ref="A2:A13" si="0">ROW(A2)-1</f>
        <v>1</v>
      </c>
      <c r="B2" s="8">
        <v>1</v>
      </c>
      <c r="C2" s="8" t="str" cm="1">
        <f t="array" ref="C2">GetValue("Tables",B2,"Name")</f>
        <v>Categories</v>
      </c>
      <c r="D2" s="8" t="str" cm="1">
        <f t="array" ref="D2">GetValue("Tables",B2,"Alias")</f>
        <v>Category</v>
      </c>
      <c r="E2" s="7">
        <v>5</v>
      </c>
      <c r="F2" s="7">
        <v>5</v>
      </c>
      <c r="G2" s="7" t="str">
        <f t="array" ref="G2">GetValue("Domains",F2,"Name")</f>
        <v>TinyInteger</v>
      </c>
      <c r="H2" s="7" t="str" cm="1">
        <f t="array" ref="H2">GetValue("Domains",F2,"#CategoryName")</f>
        <v>numeric</v>
      </c>
      <c r="I2" s="7" t="str" cm="1">
        <f t="array" ref="I2">GetValue("Domains",F2,"#TypeName")</f>
        <v>tinyint</v>
      </c>
      <c r="J2" s="7" t="str" cm="1">
        <f t="array" ref="J2">GetValue("Domains",F2,"#DataType")</f>
        <v>tinyint</v>
      </c>
      <c r="K2" s="7"/>
      <c r="L2" s="7" t="str">
        <f t="array" ref="L2">GetValue("Tables",K2,"Name")</f>
        <v/>
      </c>
      <c r="M2" s="7" t="s">
        <v>0</v>
      </c>
      <c r="N2" s="7"/>
      <c r="O2" s="7" t="s">
        <v>281</v>
      </c>
      <c r="P2" s="7" t="s">
        <v>164</v>
      </c>
      <c r="Q2" s="7" t="s">
        <v>164</v>
      </c>
      <c r="R2" s="14"/>
      <c r="S2" s="13">
        <v>1</v>
      </c>
      <c r="T2" s="14"/>
      <c r="U2" s="7" t="b">
        <v>1</v>
      </c>
      <c r="V2" s="7" t="b">
        <v>1</v>
      </c>
      <c r="W2" s="7" t="b">
        <v>1</v>
      </c>
      <c r="X2" s="7"/>
      <c r="Y2" s="7" t="b">
        <v>1</v>
      </c>
      <c r="Z2" s="7" t="b">
        <v>0</v>
      </c>
      <c r="AA2" s="7" t="b">
        <v>0</v>
      </c>
      <c r="AB2" s="7"/>
      <c r="AC2" s="7" t="b">
        <v>0</v>
      </c>
    </row>
    <row r="3" spans="1:29" x14ac:dyDescent="0.3">
      <c r="A3" s="7">
        <f t="shared" si="0"/>
        <v>2</v>
      </c>
      <c r="B3" s="8">
        <v>1</v>
      </c>
      <c r="C3" s="8" t="str">
        <f t="array" ref="C3">GetValue("Tables",B3,"Name")</f>
        <v>Categories</v>
      </c>
      <c r="D3" s="8" t="str" cm="1">
        <f t="array" ref="D3">GetValue("Tables",B3,"Alias")</f>
        <v>Category</v>
      </c>
      <c r="E3" s="7">
        <f>E2+5</f>
        <v>10</v>
      </c>
      <c r="F3" s="7">
        <v>9</v>
      </c>
      <c r="G3" s="7" t="str">
        <f t="array" ref="G3">GetValue("Domains",F3,"Name")</f>
        <v>Nvarchar(25)</v>
      </c>
      <c r="H3" s="7" t="str" cm="1">
        <f t="array" ref="H3">GetValue("Domains",F3,"#CategoryName")</f>
        <v>string</v>
      </c>
      <c r="I3" s="7" t="str" cm="1">
        <f t="array" ref="I3">GetValue("Domains",F3,"#TypeName")</f>
        <v>nvarchar</v>
      </c>
      <c r="J3" s="7" t="str" cm="1">
        <f t="array" ref="J3">GetValue("Domains",F3,"#DataType")</f>
        <v>nvarchar(25)</v>
      </c>
      <c r="K3" s="7"/>
      <c r="L3" s="7" t="str">
        <f t="array" ref="L3">GetValue("Tables",K3,"Name")</f>
        <v/>
      </c>
      <c r="M3" s="7" t="s">
        <v>1</v>
      </c>
      <c r="N3" s="7"/>
      <c r="O3" s="7" t="s">
        <v>282</v>
      </c>
      <c r="P3" s="7" t="s">
        <v>162</v>
      </c>
      <c r="Q3" s="7" t="s">
        <v>162</v>
      </c>
      <c r="R3" s="14"/>
      <c r="S3" s="13" t="s">
        <v>35</v>
      </c>
      <c r="T3" s="14"/>
      <c r="U3" s="7" t="b">
        <v>0</v>
      </c>
      <c r="V3" s="7"/>
      <c r="W3" s="7" t="b">
        <v>1</v>
      </c>
      <c r="X3" s="7" t="b">
        <v>1</v>
      </c>
      <c r="Y3" s="7" t="b">
        <v>1</v>
      </c>
      <c r="Z3" s="7" t="b">
        <v>1</v>
      </c>
      <c r="AA3" s="7" t="b">
        <v>1</v>
      </c>
      <c r="AB3" s="7" t="b">
        <v>0</v>
      </c>
      <c r="AC3" s="7"/>
    </row>
    <row r="4" spans="1:29" x14ac:dyDescent="0.3">
      <c r="A4" s="7">
        <f t="shared" si="0"/>
        <v>3</v>
      </c>
      <c r="B4" s="8">
        <v>1</v>
      </c>
      <c r="C4" s="7" t="str">
        <f t="array" ref="C4">GetValue("Tables",B4,"Name")</f>
        <v>Categories</v>
      </c>
      <c r="D4" s="8" t="str" cm="1">
        <f t="array" ref="D4">GetValue("Tables",B4,"Alias")</f>
        <v>Category</v>
      </c>
      <c r="E4" s="7">
        <f t="shared" ref="E4:E12" si="1">E3+5</f>
        <v>15</v>
      </c>
      <c r="F4" s="7">
        <v>19</v>
      </c>
      <c r="G4" s="7" t="str">
        <f t="array" ref="G4">GetValue("Domains",F4,"Name")</f>
        <v>HtmlInputType</v>
      </c>
      <c r="H4" s="7" t="str" cm="1">
        <f t="array" ref="H4">GetValue("Domains",F4,"#CategoryName")</f>
        <v>string</v>
      </c>
      <c r="I4" s="7" t="str" cm="1">
        <f t="array" ref="I4">GetValue("Domains",F4,"#TypeName")</f>
        <v>nvarchar</v>
      </c>
      <c r="J4" s="7" t="str" cm="1">
        <f t="array" ref="J4">GetValue("Domains",F4,"#DataType")</f>
        <v>nvarchar(10)</v>
      </c>
      <c r="K4" s="7"/>
      <c r="L4" s="7" t="str">
        <f t="array" ref="L4">GetValue("Tables",K4,"Name")</f>
        <v/>
      </c>
      <c r="M4" s="7" t="s">
        <v>2</v>
      </c>
      <c r="N4" s="7"/>
      <c r="O4" s="7" t="s">
        <v>283</v>
      </c>
      <c r="P4" s="7" t="s">
        <v>284</v>
      </c>
      <c r="Q4" s="7" t="s">
        <v>284</v>
      </c>
      <c r="R4" s="14"/>
      <c r="S4" s="14" t="s">
        <v>35</v>
      </c>
      <c r="T4" s="14"/>
      <c r="U4" s="7" t="b">
        <v>0</v>
      </c>
      <c r="V4" s="7"/>
      <c r="W4" s="7" t="b">
        <v>0</v>
      </c>
      <c r="X4" s="7" t="b">
        <v>0</v>
      </c>
      <c r="Y4" s="7" t="b">
        <v>0</v>
      </c>
      <c r="Z4" s="7" t="b">
        <v>1</v>
      </c>
      <c r="AA4" s="7" t="b">
        <v>1</v>
      </c>
      <c r="AB4" s="7" t="b">
        <v>0</v>
      </c>
      <c r="AC4" s="7"/>
    </row>
    <row r="5" spans="1:29" x14ac:dyDescent="0.3">
      <c r="A5" s="7">
        <f t="shared" si="0"/>
        <v>4</v>
      </c>
      <c r="B5" s="8">
        <v>1</v>
      </c>
      <c r="C5" s="7" t="str">
        <f t="array" ref="C5">GetValue("Tables",B5,"Name")</f>
        <v>Categories</v>
      </c>
      <c r="D5" s="8" t="str" cm="1">
        <f t="array" ref="D5">GetValue("Tables",B5,"Alias")</f>
        <v>Category</v>
      </c>
      <c r="E5" s="7">
        <f t="shared" si="1"/>
        <v>20</v>
      </c>
      <c r="F5" s="7">
        <v>20</v>
      </c>
      <c r="G5" s="7" t="str">
        <f t="array" ref="G5">GetValue("Domains",F5,"Name")</f>
        <v>HtmlInputAlign</v>
      </c>
      <c r="H5" s="7" t="str" cm="1">
        <f t="array" ref="H5">GetValue("Domains",F5,"#CategoryName")</f>
        <v>string</v>
      </c>
      <c r="I5" s="7" t="str" cm="1">
        <f t="array" ref="I5">GetValue("Domains",F5,"#TypeName")</f>
        <v>nvarchar</v>
      </c>
      <c r="J5" s="7" t="str" cm="1">
        <f t="array" ref="J5">GetValue("Domains",F5,"#DataType")</f>
        <v>nvarchar(6)</v>
      </c>
      <c r="K5" s="7"/>
      <c r="L5" s="7" t="str">
        <f t="array" ref="L5">GetValue("Tables",K5,"Name")</f>
        <v/>
      </c>
      <c r="M5" s="7" t="s">
        <v>3</v>
      </c>
      <c r="N5" s="7"/>
      <c r="O5" s="7" t="s">
        <v>285</v>
      </c>
      <c r="P5" s="7" t="s">
        <v>286</v>
      </c>
      <c r="Q5" s="7" t="s">
        <v>286</v>
      </c>
      <c r="R5" s="14"/>
      <c r="S5" s="14" t="s">
        <v>35</v>
      </c>
      <c r="T5" s="14"/>
      <c r="U5" s="7" t="b">
        <v>0</v>
      </c>
      <c r="V5" s="7"/>
      <c r="W5" s="7" t="b">
        <v>0</v>
      </c>
      <c r="X5" s="7" t="b">
        <v>0</v>
      </c>
      <c r="Y5" s="7" t="b">
        <v>0</v>
      </c>
      <c r="Z5" s="7" t="b">
        <v>1</v>
      </c>
      <c r="AA5" s="7" t="b">
        <v>1</v>
      </c>
      <c r="AB5" s="7" t="b">
        <v>0</v>
      </c>
      <c r="AC5" s="7"/>
    </row>
    <row r="6" spans="1:29" x14ac:dyDescent="0.3">
      <c r="A6" s="7">
        <f t="shared" si="0"/>
        <v>5</v>
      </c>
      <c r="B6" s="8">
        <v>1</v>
      </c>
      <c r="C6" s="7" t="str">
        <f t="array" ref="C6">GetValue("Tables",B6,"Name")</f>
        <v>Categories</v>
      </c>
      <c r="D6" s="8" t="str" cm="1">
        <f t="array" ref="D6">GetValue("Tables",B6,"Alias")</f>
        <v>Category</v>
      </c>
      <c r="E6" s="7">
        <f t="shared" si="1"/>
        <v>25</v>
      </c>
      <c r="F6" s="7">
        <v>6</v>
      </c>
      <c r="G6" s="7" t="str">
        <f t="array" ref="G6">GetValue("Domains",F6,"Name")</f>
        <v>Boolean</v>
      </c>
      <c r="H6" s="7" t="str" cm="1">
        <f t="array" ref="H6">GetValue("Domains",F6,"#CategoryName")</f>
        <v>boolean</v>
      </c>
      <c r="I6" s="7" t="str" cm="1">
        <f t="array" ref="I6">GetValue("Domains",F6,"#TypeName")</f>
        <v>bit</v>
      </c>
      <c r="J6" s="7" t="str" cm="1">
        <f t="array" ref="J6">GetValue("Domains",F6,"#DataType")</f>
        <v>bit</v>
      </c>
      <c r="K6" s="7"/>
      <c r="L6" s="7" t="str">
        <f t="array" ref="L6">GetValue("Tables",K6,"Name")</f>
        <v/>
      </c>
      <c r="M6" s="7" t="s">
        <v>4</v>
      </c>
      <c r="N6" s="7"/>
      <c r="O6" s="7" t="s">
        <v>425</v>
      </c>
      <c r="P6" s="7" t="s">
        <v>287</v>
      </c>
      <c r="Q6" s="7" t="s">
        <v>287</v>
      </c>
      <c r="R6" s="14"/>
      <c r="S6" s="14" t="s">
        <v>35</v>
      </c>
      <c r="T6" s="14"/>
      <c r="U6" s="7"/>
      <c r="V6" s="7"/>
      <c r="W6" s="7" t="b">
        <v>1</v>
      </c>
      <c r="X6" s="7"/>
      <c r="Y6" s="7" t="b">
        <v>1</v>
      </c>
      <c r="Z6" s="7" t="b">
        <v>1</v>
      </c>
      <c r="AA6" s="7" t="b">
        <v>1</v>
      </c>
      <c r="AB6" s="7"/>
      <c r="AC6" s="7"/>
    </row>
    <row r="7" spans="1:29" x14ac:dyDescent="0.3">
      <c r="A7" s="7">
        <f t="shared" si="0"/>
        <v>6</v>
      </c>
      <c r="B7" s="8">
        <v>1</v>
      </c>
      <c r="C7" s="7" t="str">
        <f t="array" ref="C7">GetValue("Tables",B7,"Name")</f>
        <v>Categories</v>
      </c>
      <c r="D7" s="8" t="str" cm="1">
        <f t="array" ref="D7">GetValue("Tables",B7,"Alias")</f>
        <v>Category</v>
      </c>
      <c r="E7" s="7">
        <f t="shared" si="1"/>
        <v>30</v>
      </c>
      <c r="F7" s="7">
        <v>6</v>
      </c>
      <c r="G7" s="7" t="str">
        <f t="array" ref="G7">GetValue("Domains",F7,"Name")</f>
        <v>Boolean</v>
      </c>
      <c r="H7" s="7" t="str" cm="1">
        <f t="array" ref="H7">GetValue("Domains",F7,"#CategoryName")</f>
        <v>boolean</v>
      </c>
      <c r="I7" s="7" t="str" cm="1">
        <f t="array" ref="I7">GetValue("Domains",F7,"#TypeName")</f>
        <v>bit</v>
      </c>
      <c r="J7" s="7" t="str" cm="1">
        <f t="array" ref="J7">GetValue("Domains",F7,"#DataType")</f>
        <v>bit</v>
      </c>
      <c r="K7" s="7"/>
      <c r="L7" s="7" t="str">
        <f t="array" ref="L7">GetValue("Tables",K7,"Name")</f>
        <v/>
      </c>
      <c r="M7" s="7" t="s">
        <v>5</v>
      </c>
      <c r="N7" s="7"/>
      <c r="O7" s="7" t="s">
        <v>424</v>
      </c>
      <c r="P7" s="7" t="s">
        <v>288</v>
      </c>
      <c r="Q7" s="7" t="s">
        <v>288</v>
      </c>
      <c r="R7" s="14"/>
      <c r="S7" s="14" t="s">
        <v>35</v>
      </c>
      <c r="T7" s="14"/>
      <c r="U7" s="7"/>
      <c r="V7" s="7"/>
      <c r="W7" s="7" t="b">
        <v>1</v>
      </c>
      <c r="X7" s="7"/>
      <c r="Y7" s="7" t="b">
        <v>1</v>
      </c>
      <c r="Z7" s="7" t="b">
        <v>1</v>
      </c>
      <c r="AA7" s="7" t="b">
        <v>1</v>
      </c>
      <c r="AB7" s="7"/>
      <c r="AC7" s="7"/>
    </row>
    <row r="8" spans="1:29" x14ac:dyDescent="0.3">
      <c r="A8" s="7">
        <f t="shared" si="0"/>
        <v>7</v>
      </c>
      <c r="B8" s="8">
        <v>1</v>
      </c>
      <c r="C8" s="7" t="str">
        <f t="array" ref="C8">GetValue("Tables",B8,"Name")</f>
        <v>Categories</v>
      </c>
      <c r="D8" s="8" t="str" cm="1">
        <f t="array" ref="D8">GetValue("Tables",B8,"Alias")</f>
        <v>Category</v>
      </c>
      <c r="E8" s="7">
        <f t="shared" si="1"/>
        <v>35</v>
      </c>
      <c r="F8" s="7">
        <v>6</v>
      </c>
      <c r="G8" s="7" t="str">
        <f t="array" ref="G8">GetValue("Domains",F8,"Name")</f>
        <v>Boolean</v>
      </c>
      <c r="H8" s="7" t="str" cm="1">
        <f t="array" ref="H8">GetValue("Domains",F8,"#CategoryName")</f>
        <v>boolean</v>
      </c>
      <c r="I8" s="7" t="str" cm="1">
        <f t="array" ref="I8">GetValue("Domains",F8,"#TypeName")</f>
        <v>bit</v>
      </c>
      <c r="J8" s="7" t="str" cm="1">
        <f t="array" ref="J8">GetValue("Domains",F8,"#DataType")</f>
        <v>bit</v>
      </c>
      <c r="K8" s="7"/>
      <c r="L8" s="7" t="str">
        <f t="array" ref="L8">GetValue("Tables",K8,"Name")</f>
        <v/>
      </c>
      <c r="M8" s="7" t="s">
        <v>6</v>
      </c>
      <c r="N8" s="7"/>
      <c r="O8" s="7" t="s">
        <v>423</v>
      </c>
      <c r="P8" s="7" t="s">
        <v>289</v>
      </c>
      <c r="Q8" s="7" t="s">
        <v>289</v>
      </c>
      <c r="R8" s="14"/>
      <c r="S8" s="14" t="s">
        <v>35</v>
      </c>
      <c r="T8" s="14"/>
      <c r="U8" s="7"/>
      <c r="V8" s="7"/>
      <c r="W8" s="7" t="b">
        <v>1</v>
      </c>
      <c r="X8" s="7"/>
      <c r="Y8" s="7" t="b">
        <v>1</v>
      </c>
      <c r="Z8" s="7" t="b">
        <v>1</v>
      </c>
      <c r="AA8" s="7" t="b">
        <v>1</v>
      </c>
      <c r="AB8" s="7"/>
      <c r="AC8" s="7"/>
    </row>
    <row r="9" spans="1:29" x14ac:dyDescent="0.3">
      <c r="A9" s="7">
        <f t="shared" si="0"/>
        <v>8</v>
      </c>
      <c r="B9" s="8">
        <v>1</v>
      </c>
      <c r="C9" s="7" t="str">
        <f t="array" ref="C9">GetValue("Tables",B9,"Name")</f>
        <v>Categories</v>
      </c>
      <c r="D9" s="8" t="str" cm="1">
        <f t="array" ref="D9">GetValue("Tables",B9,"Alias")</f>
        <v>Category</v>
      </c>
      <c r="E9" s="7">
        <f t="shared" si="1"/>
        <v>40</v>
      </c>
      <c r="F9" s="7">
        <v>6</v>
      </c>
      <c r="G9" s="7" t="str">
        <f t="array" ref="G9">GetValue("Domains",F9,"Name")</f>
        <v>Boolean</v>
      </c>
      <c r="H9" s="7" t="str" cm="1">
        <f t="array" ref="H9">GetValue("Domains",F9,"#CategoryName")</f>
        <v>boolean</v>
      </c>
      <c r="I9" s="7" t="str" cm="1">
        <f t="array" ref="I9">GetValue("Domains",F9,"#TypeName")</f>
        <v>bit</v>
      </c>
      <c r="J9" s="7" t="str" cm="1">
        <f t="array" ref="J9">GetValue("Domains",F9,"#DataType")</f>
        <v>bit</v>
      </c>
      <c r="K9" s="7"/>
      <c r="L9" s="7" t="str">
        <f t="array" ref="L9">GetValue("Tables",K9,"Name")</f>
        <v/>
      </c>
      <c r="M9" s="7" t="s">
        <v>7</v>
      </c>
      <c r="N9" s="7"/>
      <c r="O9" s="7" t="s">
        <v>422</v>
      </c>
      <c r="P9" s="7" t="s">
        <v>290</v>
      </c>
      <c r="Q9" s="7" t="s">
        <v>290</v>
      </c>
      <c r="R9" s="14"/>
      <c r="S9" s="14" t="s">
        <v>35</v>
      </c>
      <c r="T9" s="14"/>
      <c r="U9" s="7"/>
      <c r="V9" s="7"/>
      <c r="W9" s="7" t="b">
        <v>1</v>
      </c>
      <c r="X9" s="7"/>
      <c r="Y9" s="7" t="b">
        <v>1</v>
      </c>
      <c r="Z9" s="7" t="b">
        <v>1</v>
      </c>
      <c r="AA9" s="7" t="b">
        <v>1</v>
      </c>
      <c r="AB9" s="7"/>
      <c r="AC9" s="7"/>
    </row>
    <row r="10" spans="1:29" x14ac:dyDescent="0.3">
      <c r="A10" s="7">
        <f t="shared" si="0"/>
        <v>9</v>
      </c>
      <c r="B10" s="8">
        <v>1</v>
      </c>
      <c r="C10" s="7" t="str">
        <f t="array" ref="C10">GetValue("Tables",B10,"Name")</f>
        <v>Categories</v>
      </c>
      <c r="D10" s="8" t="str" cm="1">
        <f t="array" ref="D10">GetValue("Tables",B10,"Alias")</f>
        <v>Category</v>
      </c>
      <c r="E10" s="7">
        <f t="shared" si="1"/>
        <v>45</v>
      </c>
      <c r="F10" s="7">
        <v>6</v>
      </c>
      <c r="G10" s="7" t="str">
        <f t="array" ref="G10">GetValue("Domains",F10,"Name")</f>
        <v>Boolean</v>
      </c>
      <c r="H10" s="7" t="str" cm="1">
        <f t="array" ref="H10">GetValue("Domains",F10,"#CategoryName")</f>
        <v>boolean</v>
      </c>
      <c r="I10" s="7" t="str" cm="1">
        <f t="array" ref="I10">GetValue("Domains",F10,"#TypeName")</f>
        <v>bit</v>
      </c>
      <c r="J10" s="7" t="str" cm="1">
        <f t="array" ref="J10">GetValue("Domains",F10,"#DataType")</f>
        <v>bit</v>
      </c>
      <c r="K10" s="7"/>
      <c r="L10" s="7" t="str">
        <f t="array" ref="L10">GetValue("Tables",K10,"Name")</f>
        <v/>
      </c>
      <c r="M10" s="7" t="s">
        <v>8</v>
      </c>
      <c r="N10" s="7"/>
      <c r="O10" s="7" t="s">
        <v>421</v>
      </c>
      <c r="P10" s="7" t="s">
        <v>291</v>
      </c>
      <c r="Q10" s="7" t="s">
        <v>291</v>
      </c>
      <c r="R10" s="14"/>
      <c r="S10" s="14" t="s">
        <v>35</v>
      </c>
      <c r="T10" s="14"/>
      <c r="U10" s="7"/>
      <c r="V10" s="7"/>
      <c r="W10" s="7" t="b">
        <v>1</v>
      </c>
      <c r="X10" s="7"/>
      <c r="Y10" s="7" t="b">
        <v>1</v>
      </c>
      <c r="Z10" s="7" t="b">
        <v>1</v>
      </c>
      <c r="AA10" s="7" t="b">
        <v>1</v>
      </c>
      <c r="AB10" s="7"/>
      <c r="AC10" s="7"/>
    </row>
    <row r="11" spans="1:29" x14ac:dyDescent="0.3">
      <c r="A11" s="7">
        <f t="shared" si="0"/>
        <v>10</v>
      </c>
      <c r="B11" s="8">
        <v>1</v>
      </c>
      <c r="C11" s="7" t="str">
        <f t="array" ref="C11">GetValue("Tables",B11,"Name")</f>
        <v>Categories</v>
      </c>
      <c r="D11" s="8" t="str" cm="1">
        <f t="array" ref="D11">GetValue("Tables",B11,"Alias")</f>
        <v>Category</v>
      </c>
      <c r="E11" s="7">
        <f t="shared" si="1"/>
        <v>50</v>
      </c>
      <c r="F11" s="7">
        <v>6</v>
      </c>
      <c r="G11" s="7" t="str">
        <f t="array" ref="G11">GetValue("Domains",F11,"Name")</f>
        <v>Boolean</v>
      </c>
      <c r="H11" s="7" t="str" cm="1">
        <f t="array" ref="H11">GetValue("Domains",F11,"#CategoryName")</f>
        <v>boolean</v>
      </c>
      <c r="I11" s="7" t="str" cm="1">
        <f t="array" ref="I11">GetValue("Domains",F11,"#TypeName")</f>
        <v>bit</v>
      </c>
      <c r="J11" s="7" t="str" cm="1">
        <f t="array" ref="J11">GetValue("Domains",F11,"#DataType")</f>
        <v>bit</v>
      </c>
      <c r="K11" s="7"/>
      <c r="L11" s="7" t="str">
        <f t="array" ref="L11">GetValue("Tables",K11,"Name")</f>
        <v/>
      </c>
      <c r="M11" s="7" t="s">
        <v>9</v>
      </c>
      <c r="N11" s="7"/>
      <c r="O11" s="7" t="s">
        <v>420</v>
      </c>
      <c r="P11" s="7" t="s">
        <v>292</v>
      </c>
      <c r="Q11" s="7" t="s">
        <v>292</v>
      </c>
      <c r="R11" s="14"/>
      <c r="S11" s="14" t="s">
        <v>35</v>
      </c>
      <c r="T11" s="14"/>
      <c r="U11" s="7"/>
      <c r="V11" s="7"/>
      <c r="W11" s="7" t="b">
        <v>1</v>
      </c>
      <c r="X11" s="7"/>
      <c r="Y11" s="7" t="b">
        <v>1</v>
      </c>
      <c r="Z11" s="7" t="b">
        <v>1</v>
      </c>
      <c r="AA11" s="7" t="b">
        <v>1</v>
      </c>
      <c r="AB11" s="7"/>
      <c r="AC11" s="7"/>
    </row>
    <row r="12" spans="1:29" x14ac:dyDescent="0.3">
      <c r="A12" s="7">
        <f t="shared" si="0"/>
        <v>11</v>
      </c>
      <c r="B12" s="8">
        <v>1</v>
      </c>
      <c r="C12" s="7" t="str">
        <f t="array" ref="C12">GetValue("Tables",B12,"Name")</f>
        <v>Categories</v>
      </c>
      <c r="D12" s="8" t="str" cm="1">
        <f t="array" ref="D12">GetValue("Tables",B12,"Alias")</f>
        <v>Category</v>
      </c>
      <c r="E12" s="7">
        <f t="shared" si="1"/>
        <v>55</v>
      </c>
      <c r="F12" s="7">
        <v>6</v>
      </c>
      <c r="G12" s="7" t="str">
        <f t="array" ref="G12">GetValue("Domains",F12,"Name")</f>
        <v>Boolean</v>
      </c>
      <c r="H12" s="7" t="str" cm="1">
        <f t="array" ref="H12">GetValue("Domains",F12,"#CategoryName")</f>
        <v>boolean</v>
      </c>
      <c r="I12" s="7" t="str" cm="1">
        <f t="array" ref="I12">GetValue("Domains",F12,"#TypeName")</f>
        <v>bit</v>
      </c>
      <c r="J12" s="7" t="str" cm="1">
        <f t="array" ref="J12">GetValue("Domains",F12,"#DataType")</f>
        <v>bit</v>
      </c>
      <c r="K12" s="7"/>
      <c r="L12" s="7" t="str">
        <f t="array" ref="L12">GetValue("Tables",K12,"Name")</f>
        <v/>
      </c>
      <c r="M12" s="7" t="s">
        <v>417</v>
      </c>
      <c r="N12" s="7"/>
      <c r="O12" s="7" t="s">
        <v>419</v>
      </c>
      <c r="P12" s="7" t="s">
        <v>418</v>
      </c>
      <c r="Q12" s="7" t="s">
        <v>418</v>
      </c>
      <c r="R12" s="14"/>
      <c r="S12" s="14" t="s">
        <v>35</v>
      </c>
      <c r="T12" s="14"/>
      <c r="U12" s="7"/>
      <c r="V12" s="7"/>
      <c r="W12" s="7" t="b">
        <v>1</v>
      </c>
      <c r="X12" s="7"/>
      <c r="Y12" s="7" t="b">
        <v>1</v>
      </c>
      <c r="Z12" s="7" t="b">
        <v>1</v>
      </c>
      <c r="AA12" s="7" t="b">
        <v>1</v>
      </c>
      <c r="AB12" s="7"/>
      <c r="AC12" s="7"/>
    </row>
    <row r="13" spans="1:29" x14ac:dyDescent="0.3">
      <c r="A13" s="9">
        <f t="shared" si="0"/>
        <v>12</v>
      </c>
      <c r="B13" s="9">
        <v>2</v>
      </c>
      <c r="C13" s="9" t="str">
        <f t="array" ref="C13">GetValue("Tables",B13,"Name")</f>
        <v>Types</v>
      </c>
      <c r="D13" s="9" t="str" cm="1">
        <f t="array" ref="D13">GetValue("Tables",B13,"Alias")</f>
        <v>Type</v>
      </c>
      <c r="E13" s="9">
        <v>5</v>
      </c>
      <c r="F13" s="9">
        <v>5</v>
      </c>
      <c r="G13" s="9" t="str">
        <f t="array" ref="G13">GetValue("Domains",F13,"Name")</f>
        <v>TinyInteger</v>
      </c>
      <c r="H13" s="9" t="str" cm="1">
        <f t="array" ref="H13">GetValue("Domains",F13,"#CategoryName")</f>
        <v>numeric</v>
      </c>
      <c r="I13" s="9" t="str" cm="1">
        <f t="array" ref="I13">GetValue("Domains",F13,"#TypeName")</f>
        <v>tinyint</v>
      </c>
      <c r="J13" s="9" t="str" cm="1">
        <f t="array" ref="J13">GetValue("Domains",F13,"#DataType")</f>
        <v>tinyint</v>
      </c>
      <c r="K13" s="9"/>
      <c r="L13" s="9" t="str">
        <f t="array" ref="L13">GetValue("Tables",K13,"Name")</f>
        <v/>
      </c>
      <c r="M13" s="9" t="s">
        <v>0</v>
      </c>
      <c r="N13" s="9"/>
      <c r="O13" s="9" t="s">
        <v>159</v>
      </c>
      <c r="P13" s="9" t="s">
        <v>160</v>
      </c>
      <c r="Q13" s="9" t="s">
        <v>160</v>
      </c>
      <c r="R13" s="15"/>
      <c r="S13" s="15">
        <v>1</v>
      </c>
      <c r="T13" s="15"/>
      <c r="U13" s="9" t="b">
        <v>1</v>
      </c>
      <c r="V13" s="9" t="b">
        <v>1</v>
      </c>
      <c r="W13" s="9" t="b">
        <v>1</v>
      </c>
      <c r="X13" s="9"/>
      <c r="Y13" s="9" t="b">
        <v>1</v>
      </c>
      <c r="Z13" s="9" t="b">
        <v>0</v>
      </c>
      <c r="AA13" s="9" t="b">
        <v>0</v>
      </c>
      <c r="AB13" s="9"/>
      <c r="AC13" s="9" t="b">
        <v>0</v>
      </c>
    </row>
    <row r="14" spans="1:29" x14ac:dyDescent="0.3">
      <c r="A14" s="9">
        <f>ROW(A14)-1</f>
        <v>13</v>
      </c>
      <c r="B14" s="9">
        <v>2</v>
      </c>
      <c r="C14" s="9" t="str">
        <f t="array" ref="C14">GetValue("Tables",B14,"Name")</f>
        <v>Types</v>
      </c>
      <c r="D14" s="9" t="str" cm="1">
        <f t="array" ref="D14">GetValue("Tables",B14,"Alias")</f>
        <v>Type</v>
      </c>
      <c r="E14" s="9">
        <f>E13+5</f>
        <v>10</v>
      </c>
      <c r="F14" s="9">
        <v>5</v>
      </c>
      <c r="G14" s="9" t="str">
        <f t="array" ref="G14">GetValue("Domains",F14,"Name")</f>
        <v>TinyInteger</v>
      </c>
      <c r="H14" s="9" t="str" cm="1">
        <f t="array" ref="H14">GetValue("Domains",F14,"#CategoryName")</f>
        <v>numeric</v>
      </c>
      <c r="I14" s="9" t="str" cm="1">
        <f t="array" ref="I14">GetValue("Domains",F14,"#TypeName")</f>
        <v>tinyint</v>
      </c>
      <c r="J14" s="9" t="str" cm="1">
        <f t="array" ref="J14">GetValue("Domains",F14,"#DataType")</f>
        <v>tinyint</v>
      </c>
      <c r="K14" s="9">
        <v>1</v>
      </c>
      <c r="L14" s="9" t="str">
        <f t="array" ref="L14">GetValue("Tables",K14,"Name")</f>
        <v>Categories</v>
      </c>
      <c r="M14" s="9" t="s">
        <v>25</v>
      </c>
      <c r="N14" s="9"/>
      <c r="O14" s="9" t="s">
        <v>163</v>
      </c>
      <c r="P14" s="9" t="s">
        <v>164</v>
      </c>
      <c r="Q14" s="9" t="s">
        <v>164</v>
      </c>
      <c r="R14" s="15"/>
      <c r="S14" s="15" t="s">
        <v>35</v>
      </c>
      <c r="T14" s="15"/>
      <c r="U14" s="9" t="b">
        <v>0</v>
      </c>
      <c r="V14" s="9"/>
      <c r="W14" s="9" t="b">
        <v>1</v>
      </c>
      <c r="X14" s="9" t="b">
        <v>0</v>
      </c>
      <c r="Y14" s="9" t="b">
        <v>0</v>
      </c>
      <c r="Z14" s="9" t="b">
        <v>1</v>
      </c>
      <c r="AA14" s="9" t="b">
        <v>1</v>
      </c>
      <c r="AB14" s="9" t="b">
        <v>0</v>
      </c>
      <c r="AC14" s="9"/>
    </row>
    <row r="15" spans="1:29" x14ac:dyDescent="0.3">
      <c r="A15" s="9">
        <f t="shared" ref="A15:A89" si="2">ROW(A15)-1</f>
        <v>14</v>
      </c>
      <c r="B15" s="9">
        <v>2</v>
      </c>
      <c r="C15" s="9" t="str">
        <f t="array" ref="C15">GetValue("Tables",B15,"Name")</f>
        <v>Types</v>
      </c>
      <c r="D15" s="9" t="str" cm="1">
        <f t="array" ref="D15">GetValue("Tables",B15,"Alias")</f>
        <v>Type</v>
      </c>
      <c r="E15" s="9">
        <f t="shared" ref="E15:E26" si="3">E14+5</f>
        <v>15</v>
      </c>
      <c r="F15" s="9">
        <v>9</v>
      </c>
      <c r="G15" s="9" t="str">
        <f t="array" ref="G15">GetValue("Domains",F15,"Name")</f>
        <v>Nvarchar(25)</v>
      </c>
      <c r="H15" s="9" t="str" cm="1">
        <f t="array" ref="H15">GetValue("Domains",F15,"#CategoryName")</f>
        <v>string</v>
      </c>
      <c r="I15" s="9" t="str" cm="1">
        <f t="array" ref="I15">GetValue("Domains",F15,"#TypeName")</f>
        <v>nvarchar</v>
      </c>
      <c r="J15" s="9" t="str" cm="1">
        <f t="array" ref="J15">GetValue("Domains",F15,"#DataType")</f>
        <v>nvarchar(25)</v>
      </c>
      <c r="K15" s="9"/>
      <c r="L15" s="9" t="str">
        <f t="array" ref="L15">GetValue("Tables",K15,"Name")</f>
        <v/>
      </c>
      <c r="M15" s="9" t="s">
        <v>1</v>
      </c>
      <c r="N15" s="9"/>
      <c r="O15" s="9" t="s">
        <v>161</v>
      </c>
      <c r="P15" s="9" t="s">
        <v>162</v>
      </c>
      <c r="Q15" s="9" t="s">
        <v>162</v>
      </c>
      <c r="R15" s="15"/>
      <c r="S15" s="15" t="s">
        <v>35</v>
      </c>
      <c r="T15" s="15"/>
      <c r="U15" s="9" t="b">
        <v>0</v>
      </c>
      <c r="V15" s="9"/>
      <c r="W15" s="9" t="b">
        <v>1</v>
      </c>
      <c r="X15" s="9" t="b">
        <v>1</v>
      </c>
      <c r="Y15" s="9" t="b">
        <v>1</v>
      </c>
      <c r="Z15" s="9" t="b">
        <v>1</v>
      </c>
      <c r="AA15" s="9" t="b">
        <v>1</v>
      </c>
      <c r="AB15" s="9" t="b">
        <v>0</v>
      </c>
      <c r="AC15" s="9"/>
    </row>
    <row r="16" spans="1:29" x14ac:dyDescent="0.3">
      <c r="A16" s="9">
        <f t="shared" si="2"/>
        <v>15</v>
      </c>
      <c r="B16" s="9">
        <v>2</v>
      </c>
      <c r="C16" s="9" t="str">
        <f t="array" ref="C16">GetValue("Tables",B16,"Name")</f>
        <v>Types</v>
      </c>
      <c r="D16" s="9" t="str" cm="1">
        <f t="array" ref="D16">GetValue("Tables",B16,"Alias")</f>
        <v>Type</v>
      </c>
      <c r="E16" s="9">
        <f t="shared" si="3"/>
        <v>20</v>
      </c>
      <c r="F16" s="9">
        <v>2</v>
      </c>
      <c r="G16" s="9" t="str">
        <f t="array" ref="G16">GetValue("Domains",F16,"Name")</f>
        <v>Integer</v>
      </c>
      <c r="H16" s="9" t="str" cm="1">
        <f t="array" ref="H16">GetValue("Domains",F16,"#CategoryName")</f>
        <v>numeric</v>
      </c>
      <c r="I16" s="9" t="str" cm="1">
        <f t="array" ref="I16">GetValue("Domains",F16,"#TypeName")</f>
        <v>int</v>
      </c>
      <c r="J16" s="9" t="str" cm="1">
        <f t="array" ref="J16">GetValue("Domains",F16,"#DataType")</f>
        <v>int</v>
      </c>
      <c r="K16" s="9"/>
      <c r="L16" s="9" t="str">
        <f t="array" ref="L16">GetValue("Tables",K16,"Name")</f>
        <v/>
      </c>
      <c r="M16" s="9" t="s">
        <v>403</v>
      </c>
      <c r="N16" s="9"/>
      <c r="O16" s="9" t="s">
        <v>404</v>
      </c>
      <c r="P16" s="9" t="s">
        <v>404</v>
      </c>
      <c r="Q16" s="9" t="s">
        <v>404</v>
      </c>
      <c r="R16" s="15"/>
      <c r="S16" s="15">
        <v>1</v>
      </c>
      <c r="T16" s="15"/>
      <c r="U16" s="9" t="b">
        <v>0</v>
      </c>
      <c r="V16" s="9" t="b">
        <v>0</v>
      </c>
      <c r="W16" s="9" t="b">
        <v>0</v>
      </c>
      <c r="X16" s="9"/>
      <c r="Y16" s="9" t="b">
        <v>0</v>
      </c>
      <c r="Z16" s="9" t="b">
        <v>1</v>
      </c>
      <c r="AA16" s="9" t="b">
        <v>0</v>
      </c>
      <c r="AB16" s="9"/>
      <c r="AC16" s="9" t="b">
        <v>0</v>
      </c>
    </row>
    <row r="17" spans="1:29" x14ac:dyDescent="0.3">
      <c r="A17" s="9">
        <f t="shared" si="2"/>
        <v>16</v>
      </c>
      <c r="B17" s="9">
        <v>2</v>
      </c>
      <c r="C17" s="9" t="str">
        <f t="array" ref="C17">GetValue("Tables",B17,"Name")</f>
        <v>Types</v>
      </c>
      <c r="D17" s="9" t="str" cm="1">
        <f t="array" ref="D17">GetValue("Tables",B17,"Alias")</f>
        <v>Type</v>
      </c>
      <c r="E17" s="9">
        <f t="shared" si="3"/>
        <v>25</v>
      </c>
      <c r="F17" s="9">
        <v>17</v>
      </c>
      <c r="G17" s="9" t="str">
        <f t="array" ref="G17">GetValue("Domains",F17,"Name")</f>
        <v>Variant</v>
      </c>
      <c r="H17" s="9" t="str" cm="1">
        <f t="array" ref="H17">GetValue("Domains",F17,"#CategoryName")</f>
        <v>text</v>
      </c>
      <c r="I17" s="9" t="str" cm="1">
        <f t="array" ref="I17">GetValue("Domains",F17,"#TypeName")</f>
        <v>nvarchar(max)</v>
      </c>
      <c r="J17" s="9" t="str" cm="1">
        <f t="array" ref="J17">GetValue("Domains",F17,"#DataType")</f>
        <v>nvarchar(max)</v>
      </c>
      <c r="K17" s="9"/>
      <c r="L17" s="9" t="str">
        <f t="array" ref="L17">GetValue("Tables",K17,"Name")</f>
        <v/>
      </c>
      <c r="M17" s="9" t="s">
        <v>26</v>
      </c>
      <c r="N17" s="9"/>
      <c r="O17" s="9" t="s">
        <v>165</v>
      </c>
      <c r="P17" s="9" t="s">
        <v>166</v>
      </c>
      <c r="Q17" s="9" t="s">
        <v>166</v>
      </c>
      <c r="R17" s="15"/>
      <c r="S17" s="15" t="s">
        <v>35</v>
      </c>
      <c r="T17" s="15"/>
      <c r="U17" s="9"/>
      <c r="V17" s="9"/>
      <c r="W17" s="9" t="b">
        <v>0</v>
      </c>
      <c r="X17" s="9"/>
      <c r="Y17" s="9" t="b">
        <v>0</v>
      </c>
      <c r="Z17" s="9" t="b">
        <v>1</v>
      </c>
      <c r="AA17" s="9" t="b">
        <v>1</v>
      </c>
      <c r="AB17" s="9"/>
      <c r="AC17" s="9"/>
    </row>
    <row r="18" spans="1:29" x14ac:dyDescent="0.3">
      <c r="A18" s="9">
        <f t="shared" si="2"/>
        <v>17</v>
      </c>
      <c r="B18" s="9">
        <v>2</v>
      </c>
      <c r="C18" s="9" t="str">
        <f t="array" ref="C18">GetValue("Tables",B18,"Name")</f>
        <v>Types</v>
      </c>
      <c r="D18" s="9" t="str" cm="1">
        <f t="array" ref="D18">GetValue("Tables",B18,"Alias")</f>
        <v>Type</v>
      </c>
      <c r="E18" s="9">
        <f t="shared" si="3"/>
        <v>30</v>
      </c>
      <c r="F18" s="9">
        <v>17</v>
      </c>
      <c r="G18" s="9" t="str">
        <f t="array" ref="G18">GetValue("Domains",F18,"Name")</f>
        <v>Variant</v>
      </c>
      <c r="H18" s="9" t="str" cm="1">
        <f t="array" ref="H18">GetValue("Domains",F18,"#CategoryName")</f>
        <v>text</v>
      </c>
      <c r="I18" s="9" t="str" cm="1">
        <f t="array" ref="I18">GetValue("Domains",F18,"#TypeName")</f>
        <v>nvarchar(max)</v>
      </c>
      <c r="J18" s="9" t="str" cm="1">
        <f t="array" ref="J18">GetValue("Domains",F18,"#DataType")</f>
        <v>nvarchar(max)</v>
      </c>
      <c r="K18" s="9"/>
      <c r="L18" s="9" t="str">
        <f t="array" ref="L18">GetValue("Tables",K18,"Name")</f>
        <v/>
      </c>
      <c r="M18" s="9" t="s">
        <v>27</v>
      </c>
      <c r="N18" s="9"/>
      <c r="O18" s="9" t="s">
        <v>167</v>
      </c>
      <c r="P18" s="9" t="s">
        <v>168</v>
      </c>
      <c r="Q18" s="9" t="s">
        <v>168</v>
      </c>
      <c r="R18" s="15"/>
      <c r="S18" s="15" t="s">
        <v>35</v>
      </c>
      <c r="T18" s="15"/>
      <c r="U18" s="9"/>
      <c r="V18" s="9"/>
      <c r="W18" s="9" t="b">
        <v>0</v>
      </c>
      <c r="X18" s="9"/>
      <c r="Y18" s="9" t="b">
        <v>0</v>
      </c>
      <c r="Z18" s="9" t="b">
        <v>1</v>
      </c>
      <c r="AA18" s="9" t="b">
        <v>1</v>
      </c>
      <c r="AB18" s="9"/>
      <c r="AC18" s="9"/>
    </row>
    <row r="19" spans="1:29" x14ac:dyDescent="0.3">
      <c r="A19" s="9">
        <f t="shared" si="2"/>
        <v>18</v>
      </c>
      <c r="B19" s="9">
        <v>2</v>
      </c>
      <c r="C19" s="9" t="str">
        <f t="array" ref="C19">GetValue("Tables",B19,"Name")</f>
        <v>Types</v>
      </c>
      <c r="D19" s="9" t="str" cm="1">
        <f t="array" ref="D19">GetValue("Tables",B19,"Alias")</f>
        <v>Type</v>
      </c>
      <c r="E19" s="9">
        <f t="shared" si="3"/>
        <v>35</v>
      </c>
      <c r="F19" s="9">
        <v>6</v>
      </c>
      <c r="G19" s="9" t="str">
        <f t="array" ref="G19">GetValue("Domains",F19,"Name")</f>
        <v>Boolean</v>
      </c>
      <c r="H19" s="9" t="str" cm="1">
        <f t="array" ref="H19">GetValue("Domains",F19,"#CategoryName")</f>
        <v>boolean</v>
      </c>
      <c r="I19" s="9" t="str" cm="1">
        <f t="array" ref="I19">GetValue("Domains",F19,"#TypeName")</f>
        <v>bit</v>
      </c>
      <c r="J19" s="9" t="str" cm="1">
        <f t="array" ref="J19">GetValue("Domains",F19,"#DataType")</f>
        <v>bit</v>
      </c>
      <c r="K19" s="9"/>
      <c r="L19" s="9" t="str">
        <f t="array" ref="L19">GetValue("Tables",K19,"Name")</f>
        <v/>
      </c>
      <c r="M19" s="9" t="s">
        <v>28</v>
      </c>
      <c r="N19" s="9"/>
      <c r="O19" s="9" t="s">
        <v>169</v>
      </c>
      <c r="P19" s="9" t="s">
        <v>170</v>
      </c>
      <c r="Q19" s="9" t="s">
        <v>170</v>
      </c>
      <c r="R19" s="15"/>
      <c r="S19" s="15" t="s">
        <v>35</v>
      </c>
      <c r="T19" s="15"/>
      <c r="U19" s="9"/>
      <c r="V19" s="9"/>
      <c r="W19" s="9" t="b">
        <v>1</v>
      </c>
      <c r="X19" s="9"/>
      <c r="Y19" s="9" t="b">
        <v>1</v>
      </c>
      <c r="Z19" s="9" t="b">
        <v>1</v>
      </c>
      <c r="AA19" s="9" t="b">
        <v>1</v>
      </c>
      <c r="AB19" s="9"/>
      <c r="AC19" s="9"/>
    </row>
    <row r="20" spans="1:29" x14ac:dyDescent="0.3">
      <c r="A20" s="9">
        <f t="shared" si="2"/>
        <v>19</v>
      </c>
      <c r="B20" s="9">
        <v>2</v>
      </c>
      <c r="C20" s="9" t="str">
        <f t="array" ref="C20">GetValue("Tables",B20,"Name")</f>
        <v>Types</v>
      </c>
      <c r="D20" s="9" t="str" cm="1">
        <f t="array" ref="D20">GetValue("Tables",B20,"Alias")</f>
        <v>Type</v>
      </c>
      <c r="E20" s="9">
        <f t="shared" si="3"/>
        <v>40</v>
      </c>
      <c r="F20" s="9">
        <v>6</v>
      </c>
      <c r="G20" s="9" t="str">
        <f t="array" ref="G20">GetValue("Domains",F20,"Name")</f>
        <v>Boolean</v>
      </c>
      <c r="H20" s="9" t="str" cm="1">
        <f t="array" ref="H20">GetValue("Domains",F20,"#CategoryName")</f>
        <v>boolean</v>
      </c>
      <c r="I20" s="9" t="str" cm="1">
        <f t="array" ref="I20">GetValue("Domains",F20,"#TypeName")</f>
        <v>bit</v>
      </c>
      <c r="J20" s="9" t="str" cm="1">
        <f t="array" ref="J20">GetValue("Domains",F20,"#DataType")</f>
        <v>bit</v>
      </c>
      <c r="K20" s="9"/>
      <c r="L20" s="9" t="str">
        <f t="array" ref="L20">GetValue("Tables",K20,"Name")</f>
        <v/>
      </c>
      <c r="M20" s="9" t="s">
        <v>29</v>
      </c>
      <c r="N20" s="9"/>
      <c r="O20" s="9" t="s">
        <v>171</v>
      </c>
      <c r="P20" s="9" t="s">
        <v>172</v>
      </c>
      <c r="Q20" s="9" t="s">
        <v>172</v>
      </c>
      <c r="R20" s="15"/>
      <c r="S20" s="15" t="s">
        <v>35</v>
      </c>
      <c r="T20" s="15"/>
      <c r="U20" s="9"/>
      <c r="V20" s="9"/>
      <c r="W20" s="9" t="b">
        <v>1</v>
      </c>
      <c r="X20" s="9"/>
      <c r="Y20" s="9" t="b">
        <v>1</v>
      </c>
      <c r="Z20" s="9" t="b">
        <v>1</v>
      </c>
      <c r="AA20" s="9" t="b">
        <v>1</v>
      </c>
      <c r="AB20" s="9"/>
      <c r="AC20" s="9"/>
    </row>
    <row r="21" spans="1:29" x14ac:dyDescent="0.3">
      <c r="A21" s="9">
        <f t="shared" si="2"/>
        <v>20</v>
      </c>
      <c r="B21" s="9">
        <v>2</v>
      </c>
      <c r="C21" s="9" t="str">
        <f t="array" ref="C21">GetValue("Tables",B21,"Name")</f>
        <v>Types</v>
      </c>
      <c r="D21" s="9" t="str" cm="1">
        <f t="array" ref="D21">GetValue("Tables",B21,"Alias")</f>
        <v>Type</v>
      </c>
      <c r="E21" s="9">
        <f t="shared" si="3"/>
        <v>45</v>
      </c>
      <c r="F21" s="9">
        <v>6</v>
      </c>
      <c r="G21" s="9" t="str">
        <f t="array" ref="G21">GetValue("Domains",F21,"Name")</f>
        <v>Boolean</v>
      </c>
      <c r="H21" s="9" t="str" cm="1">
        <f t="array" ref="H21">GetValue("Domains",F21,"#CategoryName")</f>
        <v>boolean</v>
      </c>
      <c r="I21" s="9" t="str" cm="1">
        <f t="array" ref="I21">GetValue("Domains",F21,"#TypeName")</f>
        <v>bit</v>
      </c>
      <c r="J21" s="9" t="str" cm="1">
        <f t="array" ref="J21">GetValue("Domains",F21,"#DataType")</f>
        <v>bit</v>
      </c>
      <c r="K21" s="9"/>
      <c r="L21" s="9" t="str">
        <f t="array" ref="L21">GetValue("Tables",K21,"Name")</f>
        <v/>
      </c>
      <c r="M21" s="9" t="s">
        <v>30</v>
      </c>
      <c r="N21" s="9"/>
      <c r="O21" s="9" t="s">
        <v>173</v>
      </c>
      <c r="P21" s="9" t="s">
        <v>174</v>
      </c>
      <c r="Q21" s="9" t="s">
        <v>174</v>
      </c>
      <c r="R21" s="15"/>
      <c r="S21" s="15" t="s">
        <v>35</v>
      </c>
      <c r="T21" s="15"/>
      <c r="U21" s="9"/>
      <c r="V21" s="9"/>
      <c r="W21" s="9" t="b">
        <v>1</v>
      </c>
      <c r="X21" s="9"/>
      <c r="Y21" s="9" t="b">
        <v>1</v>
      </c>
      <c r="Z21" s="9" t="b">
        <v>1</v>
      </c>
      <c r="AA21" s="9" t="b">
        <v>1</v>
      </c>
      <c r="AB21" s="9"/>
      <c r="AC21" s="9"/>
    </row>
    <row r="22" spans="1:29" x14ac:dyDescent="0.3">
      <c r="A22" s="9">
        <f t="shared" si="2"/>
        <v>21</v>
      </c>
      <c r="B22" s="9">
        <v>2</v>
      </c>
      <c r="C22" s="9" t="str">
        <f t="array" ref="C22">GetValue("Tables",B22,"Name")</f>
        <v>Types</v>
      </c>
      <c r="D22" s="9" t="str" cm="1">
        <f t="array" ref="D22">GetValue("Tables",B22,"Alias")</f>
        <v>Type</v>
      </c>
      <c r="E22" s="9">
        <f t="shared" si="3"/>
        <v>50</v>
      </c>
      <c r="F22" s="9">
        <v>6</v>
      </c>
      <c r="G22" s="9" t="str">
        <f t="array" ref="G22">GetValue("Domains",F22,"Name")</f>
        <v>Boolean</v>
      </c>
      <c r="H22" s="9" t="str" cm="1">
        <f t="array" ref="H22">GetValue("Domains",F22,"#CategoryName")</f>
        <v>boolean</v>
      </c>
      <c r="I22" s="9" t="str" cm="1">
        <f t="array" ref="I22">GetValue("Domains",F22,"#TypeName")</f>
        <v>bit</v>
      </c>
      <c r="J22" s="9" t="str" cm="1">
        <f t="array" ref="J22">GetValue("Domains",F22,"#DataType")</f>
        <v>bit</v>
      </c>
      <c r="K22" s="9"/>
      <c r="L22" s="9" t="str">
        <f t="array" ref="L22">GetValue("Tables",K22,"Name")</f>
        <v/>
      </c>
      <c r="M22" s="9" t="s">
        <v>31</v>
      </c>
      <c r="N22" s="9"/>
      <c r="O22" s="9" t="s">
        <v>175</v>
      </c>
      <c r="P22" s="9" t="s">
        <v>176</v>
      </c>
      <c r="Q22" s="9" t="s">
        <v>176</v>
      </c>
      <c r="R22" s="15"/>
      <c r="S22" s="15" t="s">
        <v>35</v>
      </c>
      <c r="T22" s="15"/>
      <c r="U22" s="9"/>
      <c r="V22" s="9"/>
      <c r="W22" s="9" t="b">
        <v>1</v>
      </c>
      <c r="X22" s="9"/>
      <c r="Y22" s="9" t="b">
        <v>1</v>
      </c>
      <c r="Z22" s="9" t="b">
        <v>1</v>
      </c>
      <c r="AA22" s="9" t="b">
        <v>1</v>
      </c>
      <c r="AB22" s="9"/>
      <c r="AC22" s="9"/>
    </row>
    <row r="23" spans="1:29" x14ac:dyDescent="0.3">
      <c r="A23" s="9">
        <f t="shared" si="2"/>
        <v>22</v>
      </c>
      <c r="B23" s="9">
        <v>2</v>
      </c>
      <c r="C23" s="9" t="str">
        <f t="array" ref="C23">GetValue("Tables",B23,"Name")</f>
        <v>Types</v>
      </c>
      <c r="D23" s="9" t="str" cm="1">
        <f t="array" ref="D23">GetValue("Tables",B23,"Alias")</f>
        <v>Type</v>
      </c>
      <c r="E23" s="9">
        <f t="shared" si="3"/>
        <v>55</v>
      </c>
      <c r="F23" s="9">
        <v>6</v>
      </c>
      <c r="G23" s="9" t="str">
        <f t="array" ref="G23">GetValue("Domains",F23,"Name")</f>
        <v>Boolean</v>
      </c>
      <c r="H23" s="9" t="str" cm="1">
        <f t="array" ref="H23">GetValue("Domains",F23,"#CategoryName")</f>
        <v>boolean</v>
      </c>
      <c r="I23" s="9" t="str" cm="1">
        <f t="array" ref="I23">GetValue("Domains",F23,"#TypeName")</f>
        <v>bit</v>
      </c>
      <c r="J23" s="9" t="str" cm="1">
        <f t="array" ref="J23">GetValue("Domains",F23,"#DataType")</f>
        <v>bit</v>
      </c>
      <c r="K23" s="9"/>
      <c r="L23" s="9" t="str">
        <f t="array" ref="L23">GetValue("Tables",K23,"Name")</f>
        <v/>
      </c>
      <c r="M23" s="9" t="s">
        <v>32</v>
      </c>
      <c r="N23" s="9"/>
      <c r="O23" s="9" t="s">
        <v>177</v>
      </c>
      <c r="P23" s="9" t="s">
        <v>178</v>
      </c>
      <c r="Q23" s="9" t="s">
        <v>178</v>
      </c>
      <c r="R23" s="15"/>
      <c r="S23" s="15" t="s">
        <v>35</v>
      </c>
      <c r="T23" s="15"/>
      <c r="U23" s="9"/>
      <c r="V23" s="9"/>
      <c r="W23" s="9" t="b">
        <v>1</v>
      </c>
      <c r="X23" s="9"/>
      <c r="Y23" s="9" t="b">
        <v>1</v>
      </c>
      <c r="Z23" s="9" t="b">
        <v>1</v>
      </c>
      <c r="AA23" s="9" t="b">
        <v>1</v>
      </c>
      <c r="AB23" s="9"/>
      <c r="AC23" s="9"/>
    </row>
    <row r="24" spans="1:29" x14ac:dyDescent="0.3">
      <c r="A24" s="9">
        <f t="shared" si="2"/>
        <v>23</v>
      </c>
      <c r="B24" s="9">
        <v>2</v>
      </c>
      <c r="C24" s="9" t="str">
        <f t="array" ref="C24">GetValue("Tables",B24,"Name")</f>
        <v>Types</v>
      </c>
      <c r="D24" s="9" t="str" cm="1">
        <f t="array" ref="D24">GetValue("Tables",B24,"Alias")</f>
        <v>Type</v>
      </c>
      <c r="E24" s="9">
        <f t="shared" si="3"/>
        <v>60</v>
      </c>
      <c r="F24" s="9">
        <v>6</v>
      </c>
      <c r="G24" s="9" t="str">
        <f t="array" ref="G24">GetValue("Domains",F24,"Name")</f>
        <v>Boolean</v>
      </c>
      <c r="H24" s="9" t="str" cm="1">
        <f t="array" ref="H24">GetValue("Domains",F24,"#CategoryName")</f>
        <v>boolean</v>
      </c>
      <c r="I24" s="9" t="str" cm="1">
        <f t="array" ref="I24">GetValue("Domains",F24,"#TypeName")</f>
        <v>bit</v>
      </c>
      <c r="J24" s="9" t="str" cm="1">
        <f t="array" ref="J24">GetValue("Domains",F24,"#DataType")</f>
        <v>bit</v>
      </c>
      <c r="K24" s="9"/>
      <c r="L24" s="9" t="str">
        <f t="array" ref="L24">GetValue("Tables",K24,"Name")</f>
        <v/>
      </c>
      <c r="M24" s="9" t="s">
        <v>389</v>
      </c>
      <c r="N24" s="9"/>
      <c r="O24" s="9" t="s">
        <v>391</v>
      </c>
      <c r="P24" s="9" t="s">
        <v>392</v>
      </c>
      <c r="Q24" s="9" t="s">
        <v>392</v>
      </c>
      <c r="R24" s="15"/>
      <c r="S24" s="15" t="s">
        <v>35</v>
      </c>
      <c r="T24" s="15"/>
      <c r="U24" s="9"/>
      <c r="V24" s="9"/>
      <c r="W24" s="9" t="b">
        <v>1</v>
      </c>
      <c r="X24" s="9"/>
      <c r="Y24" s="9" t="b">
        <v>1</v>
      </c>
      <c r="Z24" s="9" t="b">
        <v>1</v>
      </c>
      <c r="AA24" s="9" t="b">
        <v>1</v>
      </c>
      <c r="AB24" s="9"/>
      <c r="AC24" s="9"/>
    </row>
    <row r="25" spans="1:29" x14ac:dyDescent="0.3">
      <c r="A25" s="9">
        <f t="shared" si="2"/>
        <v>24</v>
      </c>
      <c r="B25" s="9">
        <v>2</v>
      </c>
      <c r="C25" s="9" t="str">
        <f t="array" ref="C25">GetValue("Tables",B25,"Name")</f>
        <v>Types</v>
      </c>
      <c r="D25" s="9" t="str" cm="1">
        <f t="array" ref="D25">GetValue("Tables",B25,"Alias")</f>
        <v>Type</v>
      </c>
      <c r="E25" s="9">
        <f t="shared" si="3"/>
        <v>65</v>
      </c>
      <c r="F25" s="9">
        <v>6</v>
      </c>
      <c r="G25" s="9" t="str">
        <f t="array" ref="G25">GetValue("Domains",F25,"Name")</f>
        <v>Boolean</v>
      </c>
      <c r="H25" s="9" t="str" cm="1">
        <f t="array" ref="H25">GetValue("Domains",F25,"#CategoryName")</f>
        <v>boolean</v>
      </c>
      <c r="I25" s="9" t="str" cm="1">
        <f t="array" ref="I25">GetValue("Domains",F25,"#TypeName")</f>
        <v>bit</v>
      </c>
      <c r="J25" s="9" t="str" cm="1">
        <f t="array" ref="J25">GetValue("Domains",F25,"#DataType")</f>
        <v>bit</v>
      </c>
      <c r="K25" s="9"/>
      <c r="L25" s="9" t="str">
        <f t="array" ref="L25">GetValue("Tables",K25,"Name")</f>
        <v/>
      </c>
      <c r="M25" s="9" t="s">
        <v>304</v>
      </c>
      <c r="N25" s="9"/>
      <c r="O25" s="9" t="s">
        <v>309</v>
      </c>
      <c r="P25" s="9" t="s">
        <v>310</v>
      </c>
      <c r="Q25" s="9" t="s">
        <v>310</v>
      </c>
      <c r="R25" s="15"/>
      <c r="S25" s="15" t="s">
        <v>35</v>
      </c>
      <c r="T25" s="15"/>
      <c r="U25" s="9"/>
      <c r="V25" s="9"/>
      <c r="W25" s="9" t="b">
        <v>1</v>
      </c>
      <c r="X25" s="9"/>
      <c r="Y25" s="9" t="b">
        <v>1</v>
      </c>
      <c r="Z25" s="9" t="b">
        <v>1</v>
      </c>
      <c r="AA25" s="9" t="b">
        <v>0</v>
      </c>
      <c r="AB25" s="9"/>
      <c r="AC25" s="9"/>
    </row>
    <row r="26" spans="1:29" x14ac:dyDescent="0.3">
      <c r="A26" s="9">
        <f t="shared" si="2"/>
        <v>25</v>
      </c>
      <c r="B26" s="9">
        <v>2</v>
      </c>
      <c r="C26" s="9" t="str">
        <f t="array" ref="C26">GetValue("Tables",B26,"Name")</f>
        <v>Types</v>
      </c>
      <c r="D26" s="9" t="str" cm="1">
        <f t="array" ref="D26">GetValue("Tables",B26,"Alias")</f>
        <v>Type</v>
      </c>
      <c r="E26" s="9">
        <f t="shared" si="3"/>
        <v>70</v>
      </c>
      <c r="F26" s="9">
        <v>6</v>
      </c>
      <c r="G26" s="9" t="str">
        <f t="array" ref="G26">GetValue("Domains",F26,"Name")</f>
        <v>Boolean</v>
      </c>
      <c r="H26" s="9" t="str" cm="1">
        <f t="array" ref="H26">GetValue("Domains",F26,"#CategoryName")</f>
        <v>boolean</v>
      </c>
      <c r="I26" s="9" t="str" cm="1">
        <f t="array" ref="I26">GetValue("Domains",F26,"#TypeName")</f>
        <v>bit</v>
      </c>
      <c r="J26" s="9" t="str" cm="1">
        <f t="array" ref="J26">GetValue("Domains",F26,"#DataType")</f>
        <v>bit</v>
      </c>
      <c r="K26" s="9"/>
      <c r="L26" s="9" t="str">
        <f t="array" ref="L26">GetValue("Tables",K26,"Name")</f>
        <v/>
      </c>
      <c r="M26" s="9" t="s">
        <v>33</v>
      </c>
      <c r="N26" s="9"/>
      <c r="O26" s="9" t="s">
        <v>179</v>
      </c>
      <c r="P26" s="9" t="s">
        <v>180</v>
      </c>
      <c r="Q26" s="9" t="s">
        <v>180</v>
      </c>
      <c r="R26" s="15"/>
      <c r="S26" s="15" t="s">
        <v>35</v>
      </c>
      <c r="T26" s="15"/>
      <c r="U26" s="9"/>
      <c r="V26" s="9"/>
      <c r="W26" s="9" t="b">
        <v>1</v>
      </c>
      <c r="X26" s="9"/>
      <c r="Y26" s="9" t="b">
        <v>1</v>
      </c>
      <c r="Z26" s="9" t="b">
        <v>1</v>
      </c>
      <c r="AA26" s="9" t="b">
        <v>0</v>
      </c>
      <c r="AB26" s="9"/>
      <c r="AC26" s="9"/>
    </row>
    <row r="27" spans="1:29" x14ac:dyDescent="0.3">
      <c r="A27" s="7">
        <f>ROW(A27)-1</f>
        <v>26</v>
      </c>
      <c r="B27" s="7">
        <v>3</v>
      </c>
      <c r="C27" s="7" t="str">
        <f t="array" ref="C27">GetValue("Tables",B27,"Name")</f>
        <v>Masks</v>
      </c>
      <c r="D27" s="8" t="str" cm="1">
        <f t="array" ref="D27">GetValue("Tables",B27,"Alias")</f>
        <v>Mask</v>
      </c>
      <c r="E27" s="7">
        <v>5</v>
      </c>
      <c r="F27" s="7">
        <v>1</v>
      </c>
      <c r="G27" s="7" t="str">
        <f t="array" ref="G27">GetValue("Domains",F27,"Name")</f>
        <v>BigInteger</v>
      </c>
      <c r="H27" s="7" t="str" cm="1">
        <f t="array" ref="H27">GetValue("Domains",F27,"#CategoryName")</f>
        <v>numeric</v>
      </c>
      <c r="I27" s="7" t="str" cm="1">
        <f t="array" ref="I27">GetValue("Domains",F27,"#TypeName")</f>
        <v>bigint</v>
      </c>
      <c r="J27" s="7" t="str" cm="1">
        <f t="array" ref="J27">GetValue("Domains",F27,"#DataType")</f>
        <v>bigint</v>
      </c>
      <c r="K27" s="7"/>
      <c r="L27" s="7" t="str">
        <f t="array" ref="L27">GetValue("Tables",K27,"Name")</f>
        <v/>
      </c>
      <c r="M27" s="7" t="s">
        <v>0</v>
      </c>
      <c r="N27" s="7"/>
      <c r="O27" s="7" t="s">
        <v>194</v>
      </c>
      <c r="P27" s="7" t="s">
        <v>160</v>
      </c>
      <c r="Q27" s="7" t="s">
        <v>160</v>
      </c>
      <c r="R27" s="14"/>
      <c r="S27" s="14" t="s">
        <v>35</v>
      </c>
      <c r="T27" s="14"/>
      <c r="U27" s="7" t="b">
        <v>1</v>
      </c>
      <c r="V27" s="7" t="b">
        <v>1</v>
      </c>
      <c r="W27" s="7" t="b">
        <v>1</v>
      </c>
      <c r="X27" s="7"/>
      <c r="Y27" s="7" t="b">
        <v>1</v>
      </c>
      <c r="Z27" s="7" t="b">
        <v>0</v>
      </c>
      <c r="AA27" s="7" t="b">
        <v>0</v>
      </c>
      <c r="AB27" s="7"/>
      <c r="AC27" s="7" t="b">
        <v>0</v>
      </c>
    </row>
    <row r="28" spans="1:29" x14ac:dyDescent="0.3">
      <c r="A28" s="7">
        <f>ROW(A28)-1</f>
        <v>27</v>
      </c>
      <c r="B28" s="7">
        <v>3</v>
      </c>
      <c r="C28" s="7" t="str">
        <f t="array" ref="C28">GetValue("Tables",B28,"Name")</f>
        <v>Masks</v>
      </c>
      <c r="D28" s="8" t="str" cm="1">
        <f t="array" ref="D28">GetValue("Tables",B28,"Alias")</f>
        <v>Mask</v>
      </c>
      <c r="E28" s="7">
        <f>E27+5</f>
        <v>10</v>
      </c>
      <c r="F28" s="7">
        <v>9</v>
      </c>
      <c r="G28" s="7" t="str">
        <f t="array" ref="G28">GetValue("Domains",F28,"Name")</f>
        <v>Nvarchar(25)</v>
      </c>
      <c r="H28" s="7" t="str" cm="1">
        <f t="array" ref="H28">GetValue("Domains",F28,"#CategoryName")</f>
        <v>string</v>
      </c>
      <c r="I28" s="7" t="str" cm="1">
        <f t="array" ref="I28">GetValue("Domains",F28,"#TypeName")</f>
        <v>nvarchar</v>
      </c>
      <c r="J28" s="7" t="str" cm="1">
        <f t="array" ref="J28">GetValue("Domains",F28,"#DataType")</f>
        <v>nvarchar(25)</v>
      </c>
      <c r="K28" s="7"/>
      <c r="L28" s="7" t="str">
        <f t="array" ref="L28">GetValue("Tables",K28,"Name")</f>
        <v/>
      </c>
      <c r="M28" s="7" t="s">
        <v>1</v>
      </c>
      <c r="N28" s="7"/>
      <c r="O28" s="7" t="s">
        <v>195</v>
      </c>
      <c r="P28" s="7" t="s">
        <v>162</v>
      </c>
      <c r="Q28" s="7" t="s">
        <v>162</v>
      </c>
      <c r="R28" s="14"/>
      <c r="S28" s="14" t="s">
        <v>35</v>
      </c>
      <c r="T28" s="14"/>
      <c r="U28" s="7" t="b">
        <v>0</v>
      </c>
      <c r="V28" s="7"/>
      <c r="W28" s="7" t="b">
        <v>1</v>
      </c>
      <c r="X28" s="7"/>
      <c r="Y28" s="7" t="b">
        <v>1</v>
      </c>
      <c r="Z28" s="7" t="b">
        <v>1</v>
      </c>
      <c r="AA28" s="7" t="b">
        <v>1</v>
      </c>
      <c r="AB28" s="7"/>
      <c r="AC28" s="7"/>
    </row>
    <row r="29" spans="1:29" x14ac:dyDescent="0.3">
      <c r="A29" s="7">
        <f>ROW(A29)-1</f>
        <v>28</v>
      </c>
      <c r="B29" s="7">
        <v>3</v>
      </c>
      <c r="C29" s="7" t="str">
        <f t="array" ref="C29">GetValue("Tables",B29,"Name")</f>
        <v>Masks</v>
      </c>
      <c r="D29" s="8" t="str" cm="1">
        <f t="array" ref="D29">GetValue("Tables",B29,"Alias")</f>
        <v>Mask</v>
      </c>
      <c r="E29" s="7">
        <f>E28+5</f>
        <v>15</v>
      </c>
      <c r="F29" s="7">
        <v>12</v>
      </c>
      <c r="G29" s="7" t="str">
        <f t="array" ref="G29">GetValue("Domains",F29,"Name")</f>
        <v>Nvarchar(MAX)</v>
      </c>
      <c r="H29" s="7" t="str" cm="1">
        <f t="array" ref="H29">GetValue("Domains",F29,"#CategoryName")</f>
        <v>text</v>
      </c>
      <c r="I29" s="7" t="str" cm="1">
        <f t="array" ref="I29">GetValue("Domains",F29,"#TypeName")</f>
        <v>nvarchar(max)</v>
      </c>
      <c r="J29" s="7" t="str" cm="1">
        <f t="array" ref="J29">GetValue("Domains",F29,"#DataType")</f>
        <v>nvarchar(max)</v>
      </c>
      <c r="K29" s="7"/>
      <c r="L29" s="7" t="str">
        <f t="array" ref="L29">GetValue("Tables",K29,"Name")</f>
        <v/>
      </c>
      <c r="M29" s="7" t="s">
        <v>77</v>
      </c>
      <c r="N29" s="7"/>
      <c r="O29" s="7" t="s">
        <v>196</v>
      </c>
      <c r="P29" s="7" t="s">
        <v>185</v>
      </c>
      <c r="Q29" s="7" t="s">
        <v>185</v>
      </c>
      <c r="R29" s="14"/>
      <c r="S29" s="14" t="s">
        <v>35</v>
      </c>
      <c r="T29" s="14"/>
      <c r="U29" s="7" t="b">
        <v>0</v>
      </c>
      <c r="V29" s="7"/>
      <c r="W29" s="7" t="b">
        <v>1</v>
      </c>
      <c r="X29" s="7"/>
      <c r="Y29" s="7"/>
      <c r="Z29" s="7" t="b">
        <v>1</v>
      </c>
      <c r="AA29" s="7" t="b">
        <v>0</v>
      </c>
      <c r="AB29" s="7"/>
      <c r="AC29" s="7"/>
    </row>
    <row r="30" spans="1:29" x14ac:dyDescent="0.3">
      <c r="A30" s="9">
        <f t="shared" si="2"/>
        <v>29</v>
      </c>
      <c r="B30" s="9">
        <v>4</v>
      </c>
      <c r="C30" s="9" t="str">
        <f t="array" ref="C30">GetValue("Tables",B30,"Name")</f>
        <v>Domains</v>
      </c>
      <c r="D30" s="9" t="str" cm="1">
        <f t="array" ref="D30">GetValue("Tables",B30,"Alias")</f>
        <v>Domain</v>
      </c>
      <c r="E30" s="9">
        <v>5</v>
      </c>
      <c r="F30" s="9">
        <v>1</v>
      </c>
      <c r="G30" s="9" t="str">
        <f t="array" ref="G30">GetValue("Domains",F30,"Name")</f>
        <v>BigInteger</v>
      </c>
      <c r="H30" s="9" t="str" cm="1">
        <f t="array" ref="H30">GetValue("Domains",F30,"#CategoryName")</f>
        <v>numeric</v>
      </c>
      <c r="I30" s="9" t="str" cm="1">
        <f t="array" ref="I30">GetValue("Domains",F30,"#TypeName")</f>
        <v>bigint</v>
      </c>
      <c r="J30" s="9" t="str" cm="1">
        <f t="array" ref="J30">GetValue("Domains",F30,"#DataType")</f>
        <v>bigint</v>
      </c>
      <c r="K30" s="9"/>
      <c r="L30" s="9" t="str">
        <f t="array" ref="L30">GetValue("Tables",K30,"Name")</f>
        <v/>
      </c>
      <c r="M30" s="9" t="s">
        <v>0</v>
      </c>
      <c r="N30" s="9"/>
      <c r="O30" s="9" t="s">
        <v>181</v>
      </c>
      <c r="P30" s="9" t="s">
        <v>160</v>
      </c>
      <c r="Q30" s="9" t="s">
        <v>160</v>
      </c>
      <c r="R30" s="15"/>
      <c r="S30" s="16">
        <v>1</v>
      </c>
      <c r="T30" s="16"/>
      <c r="U30" s="9" t="b">
        <v>1</v>
      </c>
      <c r="V30" s="9" t="b">
        <v>1</v>
      </c>
      <c r="W30" s="9" t="b">
        <v>1</v>
      </c>
      <c r="X30" s="9"/>
      <c r="Y30" s="9" t="b">
        <v>1</v>
      </c>
      <c r="Z30" s="9" t="b">
        <v>0</v>
      </c>
      <c r="AA30" s="9" t="b">
        <v>0</v>
      </c>
      <c r="AB30" s="9"/>
      <c r="AC30" s="9" t="b">
        <v>0</v>
      </c>
    </row>
    <row r="31" spans="1:29" x14ac:dyDescent="0.3">
      <c r="A31" s="9">
        <f t="shared" si="2"/>
        <v>30</v>
      </c>
      <c r="B31" s="9">
        <v>4</v>
      </c>
      <c r="C31" s="9" t="str">
        <f t="array" ref="C31">GetValue("Tables",B31,"Name")</f>
        <v>Domains</v>
      </c>
      <c r="D31" s="9" t="str" cm="1">
        <f t="array" ref="D31">GetValue("Tables",B31,"Alias")</f>
        <v>Domain</v>
      </c>
      <c r="E31" s="9">
        <f t="shared" ref="E31:E40" si="4">E30+5</f>
        <v>10</v>
      </c>
      <c r="F31" s="9">
        <v>5</v>
      </c>
      <c r="G31" s="9" t="str">
        <f t="array" ref="G31">GetValue("Domains",F31,"Name")</f>
        <v>TinyInteger</v>
      </c>
      <c r="H31" s="9" t="str" cm="1">
        <f t="array" ref="H31">GetValue("Domains",F31,"#CategoryName")</f>
        <v>numeric</v>
      </c>
      <c r="I31" s="9" t="str" cm="1">
        <f t="array" ref="I31">GetValue("Domains",F31,"#TypeName")</f>
        <v>tinyint</v>
      </c>
      <c r="J31" s="9" t="str" cm="1">
        <f t="array" ref="J31">GetValue("Domains",F31,"#DataType")</f>
        <v>tinyint</v>
      </c>
      <c r="K31" s="9">
        <v>2</v>
      </c>
      <c r="L31" s="9" t="str">
        <f t="array" ref="L31">GetValue("Tables",K31,"Name")</f>
        <v>Types</v>
      </c>
      <c r="M31" s="9" t="s">
        <v>62</v>
      </c>
      <c r="N31" s="9"/>
      <c r="O31" s="9" t="s">
        <v>182</v>
      </c>
      <c r="P31" s="9" t="s">
        <v>183</v>
      </c>
      <c r="Q31" s="9" t="s">
        <v>183</v>
      </c>
      <c r="R31" s="15"/>
      <c r="S31" s="16">
        <v>1</v>
      </c>
      <c r="T31" s="15"/>
      <c r="U31" s="9" t="b">
        <v>0</v>
      </c>
      <c r="V31" s="9" t="b">
        <v>0</v>
      </c>
      <c r="W31" s="9" t="b">
        <v>1</v>
      </c>
      <c r="X31" s="9"/>
      <c r="Y31" s="9" t="b">
        <v>1</v>
      </c>
      <c r="Z31" s="9" t="b">
        <v>1</v>
      </c>
      <c r="AA31" s="9" t="b">
        <v>1</v>
      </c>
      <c r="AB31" s="9"/>
      <c r="AC31" s="9" t="b">
        <v>0</v>
      </c>
    </row>
    <row r="32" spans="1:29" x14ac:dyDescent="0.3">
      <c r="A32" s="9">
        <f t="shared" si="2"/>
        <v>31</v>
      </c>
      <c r="B32" s="9">
        <v>4</v>
      </c>
      <c r="C32" s="9" t="str">
        <f t="array" ref="C32">GetValue("Tables",B32,"Name")</f>
        <v>Domains</v>
      </c>
      <c r="D32" s="9" t="str" cm="1">
        <f t="array" ref="D32">GetValue("Tables",B32,"Alias")</f>
        <v>Domain</v>
      </c>
      <c r="E32" s="9">
        <f t="shared" si="4"/>
        <v>15</v>
      </c>
      <c r="F32" s="9">
        <v>1</v>
      </c>
      <c r="G32" s="9" t="str">
        <f t="array" ref="G32">GetValue("Domains",F32,"Name")</f>
        <v>BigInteger</v>
      </c>
      <c r="H32" s="9" t="str" cm="1">
        <f t="array" ref="H32">GetValue("Domains",F32,"#CategoryName")</f>
        <v>numeric</v>
      </c>
      <c r="I32" s="9" t="str" cm="1">
        <f t="array" ref="I32">GetValue("Domains",F32,"#TypeName")</f>
        <v>bigint</v>
      </c>
      <c r="J32" s="9" t="str" cm="1">
        <f t="array" ref="J32">GetValue("Domains",F32,"#DataType")</f>
        <v>bigint</v>
      </c>
      <c r="K32" s="9">
        <v>3</v>
      </c>
      <c r="L32" s="9" t="str">
        <f t="array" ref="L32">GetValue("Tables",K32,"Name")</f>
        <v>Masks</v>
      </c>
      <c r="M32" s="9" t="s">
        <v>63</v>
      </c>
      <c r="N32" s="9"/>
      <c r="O32" s="9" t="s">
        <v>184</v>
      </c>
      <c r="P32" s="9" t="s">
        <v>185</v>
      </c>
      <c r="Q32" s="9" t="s">
        <v>185</v>
      </c>
      <c r="R32" s="15"/>
      <c r="S32" s="16" t="s">
        <v>35</v>
      </c>
      <c r="T32" s="15"/>
      <c r="U32" s="9" t="b">
        <v>0</v>
      </c>
      <c r="V32" s="9"/>
      <c r="W32" s="9" t="b">
        <v>0</v>
      </c>
      <c r="X32" s="9"/>
      <c r="Y32" s="9" t="b">
        <v>1</v>
      </c>
      <c r="Z32" s="9" t="b">
        <v>1</v>
      </c>
      <c r="AA32" s="9" t="b">
        <v>1</v>
      </c>
      <c r="AB32" s="9"/>
      <c r="AC32" s="9"/>
    </row>
    <row r="33" spans="1:29" x14ac:dyDescent="0.3">
      <c r="A33" s="9">
        <f t="shared" si="2"/>
        <v>32</v>
      </c>
      <c r="B33" s="9">
        <v>4</v>
      </c>
      <c r="C33" s="9" t="str">
        <f t="array" ref="C33">GetValue("Tables",B33,"Name")</f>
        <v>Domains</v>
      </c>
      <c r="D33" s="9" t="str" cm="1">
        <f t="array" ref="D33">GetValue("Tables",B33,"Alias")</f>
        <v>Domain</v>
      </c>
      <c r="E33" s="9">
        <f t="shared" si="4"/>
        <v>20</v>
      </c>
      <c r="F33" s="9">
        <v>9</v>
      </c>
      <c r="G33" s="9" t="str">
        <f t="array" ref="G33">GetValue("Domains",F33,"Name")</f>
        <v>Nvarchar(25)</v>
      </c>
      <c r="H33" s="9" t="str" cm="1">
        <f t="array" ref="H33">GetValue("Domains",F33,"#CategoryName")</f>
        <v>string</v>
      </c>
      <c r="I33" s="9" t="str" cm="1">
        <f t="array" ref="I33">GetValue("Domains",F33,"#TypeName")</f>
        <v>nvarchar</v>
      </c>
      <c r="J33" s="9" t="str" cm="1">
        <f t="array" ref="J33">GetValue("Domains",F33,"#DataType")</f>
        <v>nvarchar(25)</v>
      </c>
      <c r="K33" s="9"/>
      <c r="L33" s="9" t="str">
        <f t="array" ref="L33">GetValue("Tables",K33,"Name")</f>
        <v/>
      </c>
      <c r="M33" s="9" t="s">
        <v>1</v>
      </c>
      <c r="N33" s="9"/>
      <c r="O33" s="9" t="s">
        <v>186</v>
      </c>
      <c r="P33" s="9" t="s">
        <v>162</v>
      </c>
      <c r="Q33" s="9" t="s">
        <v>162</v>
      </c>
      <c r="R33" s="15"/>
      <c r="S33" s="16" t="s">
        <v>35</v>
      </c>
      <c r="T33" s="15"/>
      <c r="U33" s="9" t="b">
        <v>0</v>
      </c>
      <c r="V33" s="9"/>
      <c r="W33" s="9" t="b">
        <v>1</v>
      </c>
      <c r="X33" s="9" t="b">
        <v>1</v>
      </c>
      <c r="Y33" s="9" t="b">
        <v>1</v>
      </c>
      <c r="Z33" s="9" t="b">
        <v>1</v>
      </c>
      <c r="AA33" s="9" t="b">
        <v>1</v>
      </c>
      <c r="AB33" s="9"/>
      <c r="AC33" s="9"/>
    </row>
    <row r="34" spans="1:29" x14ac:dyDescent="0.3">
      <c r="A34" s="9">
        <f t="shared" si="2"/>
        <v>33</v>
      </c>
      <c r="B34" s="9">
        <v>4</v>
      </c>
      <c r="C34" s="9" t="str">
        <f t="array" ref="C34">GetValue("Tables",B34,"Name")</f>
        <v>Domains</v>
      </c>
      <c r="D34" s="9" t="str" cm="1">
        <f t="array" ref="D34">GetValue("Tables",B34,"Alias")</f>
        <v>Domain</v>
      </c>
      <c r="E34" s="9">
        <f t="shared" si="4"/>
        <v>25</v>
      </c>
      <c r="F34" s="9">
        <v>4</v>
      </c>
      <c r="G34" s="9" t="str">
        <f t="array" ref="G34">GetValue("Domains",F34,"Name")</f>
        <v>SmallInteger</v>
      </c>
      <c r="H34" s="9" t="str" cm="1">
        <f t="array" ref="H34">GetValue("Domains",F34,"#CategoryName")</f>
        <v>numeric</v>
      </c>
      <c r="I34" s="9" t="str" cm="1">
        <f t="array" ref="I34">GetValue("Domains",F34,"#TypeName")</f>
        <v>smallint</v>
      </c>
      <c r="J34" s="9" t="str" cm="1">
        <f t="array" ref="J34">GetValue("Domains",F34,"#DataType")</f>
        <v>smallint</v>
      </c>
      <c r="K34" s="9"/>
      <c r="L34" s="9" t="str">
        <f t="array" ref="L34">GetValue("Tables",K34,"Name")</f>
        <v/>
      </c>
      <c r="M34" s="9" t="s">
        <v>64</v>
      </c>
      <c r="N34" s="9"/>
      <c r="O34" s="9" t="s">
        <v>187</v>
      </c>
      <c r="P34" s="9" t="s">
        <v>188</v>
      </c>
      <c r="Q34" s="9" t="s">
        <v>188</v>
      </c>
      <c r="R34" s="15"/>
      <c r="S34" s="16">
        <v>0</v>
      </c>
      <c r="T34" s="15"/>
      <c r="U34" s="9" t="b">
        <v>0</v>
      </c>
      <c r="V34" s="9" t="b">
        <v>0</v>
      </c>
      <c r="W34" s="9" t="b">
        <v>0</v>
      </c>
      <c r="X34" s="9"/>
      <c r="Y34" s="9" t="b">
        <v>0</v>
      </c>
      <c r="Z34" s="9" t="b">
        <v>1</v>
      </c>
      <c r="AA34" s="9" t="b">
        <v>1</v>
      </c>
      <c r="AB34" s="9"/>
      <c r="AC34" s="9" t="b">
        <v>0</v>
      </c>
    </row>
    <row r="35" spans="1:29" x14ac:dyDescent="0.3">
      <c r="A35" s="9">
        <f t="shared" si="2"/>
        <v>34</v>
      </c>
      <c r="B35" s="9">
        <v>4</v>
      </c>
      <c r="C35" s="9" t="str">
        <f t="array" ref="C35">GetValue("Tables",B35,"Name")</f>
        <v>Domains</v>
      </c>
      <c r="D35" s="9" t="str" cm="1">
        <f t="array" ref="D35">GetValue("Tables",B35,"Alias")</f>
        <v>Domain</v>
      </c>
      <c r="E35" s="9">
        <f t="shared" si="4"/>
        <v>30</v>
      </c>
      <c r="F35" s="9">
        <v>5</v>
      </c>
      <c r="G35" s="9" t="str">
        <f t="array" ref="G35">GetValue("Domains",F35,"Name")</f>
        <v>TinyInteger</v>
      </c>
      <c r="H35" s="9" t="str" cm="1">
        <f t="array" ref="H35">GetValue("Domains",F35,"#CategoryName")</f>
        <v>numeric</v>
      </c>
      <c r="I35" s="9" t="str" cm="1">
        <f t="array" ref="I35">GetValue("Domains",F35,"#TypeName")</f>
        <v>tinyint</v>
      </c>
      <c r="J35" s="9" t="str" cm="1">
        <f t="array" ref="J35">GetValue("Domains",F35,"#DataType")</f>
        <v>tinyint</v>
      </c>
      <c r="K35" s="9"/>
      <c r="L35" s="9" t="str">
        <f t="array" ref="L35">GetValue("Tables",K35,"Name")</f>
        <v/>
      </c>
      <c r="M35" s="9" t="s">
        <v>65</v>
      </c>
      <c r="N35" s="9"/>
      <c r="O35" s="9" t="s">
        <v>189</v>
      </c>
      <c r="P35" s="9" t="s">
        <v>190</v>
      </c>
      <c r="Q35" s="9" t="s">
        <v>190</v>
      </c>
      <c r="R35" s="15"/>
      <c r="S35" s="16">
        <v>0</v>
      </c>
      <c r="T35" s="15"/>
      <c r="U35" s="9" t="b">
        <v>0</v>
      </c>
      <c r="V35" s="9" t="b">
        <v>0</v>
      </c>
      <c r="W35" s="9" t="b">
        <v>0</v>
      </c>
      <c r="X35" s="9"/>
      <c r="Y35" s="9" t="b">
        <v>0</v>
      </c>
      <c r="Z35" s="9" t="b">
        <v>1</v>
      </c>
      <c r="AA35" s="9" t="b">
        <v>1</v>
      </c>
      <c r="AB35" s="9"/>
      <c r="AC35" s="9" t="b">
        <v>0</v>
      </c>
    </row>
    <row r="36" spans="1:29" x14ac:dyDescent="0.3">
      <c r="A36" s="9">
        <f>ROW(A36)-1</f>
        <v>35</v>
      </c>
      <c r="B36" s="9">
        <v>4</v>
      </c>
      <c r="C36" s="9" t="str">
        <f t="array" ref="C36">GetValue("Tables",B36,"Name")</f>
        <v>Domains</v>
      </c>
      <c r="D36" s="9" t="str" cm="1">
        <f t="array" ref="D36">GetValue("Tables",B36,"Alias")</f>
        <v>Domain</v>
      </c>
      <c r="E36" s="9">
        <f t="shared" si="4"/>
        <v>35</v>
      </c>
      <c r="F36" s="9">
        <v>12</v>
      </c>
      <c r="G36" s="9" t="str">
        <f t="array" ref="G36">GetValue("Domains",F36,"Name")</f>
        <v>Nvarchar(MAX)</v>
      </c>
      <c r="H36" s="9" t="str" cm="1">
        <f t="array" ref="H36">GetValue("Domains",F36,"#CategoryName")</f>
        <v>text</v>
      </c>
      <c r="I36" s="9" t="str" cm="1">
        <f t="array" ref="I36">GetValue("Domains",F36,"#TypeName")</f>
        <v>nvarchar(max)</v>
      </c>
      <c r="J36" s="9" t="str" cm="1">
        <f t="array" ref="J36">GetValue("Domains",F36,"#DataType")</f>
        <v>nvarchar(max)</v>
      </c>
      <c r="K36" s="9"/>
      <c r="L36" s="9" t="str">
        <f t="array" ref="L36">GetValue("Tables",K36,"Name")</f>
        <v/>
      </c>
      <c r="M36" s="9" t="s">
        <v>314</v>
      </c>
      <c r="N36" s="9"/>
      <c r="O36" s="9" t="s">
        <v>313</v>
      </c>
      <c r="P36" s="9" t="s">
        <v>313</v>
      </c>
      <c r="Q36" s="9" t="s">
        <v>313</v>
      </c>
      <c r="R36" s="15"/>
      <c r="S36" s="16" t="s">
        <v>35</v>
      </c>
      <c r="T36" s="15"/>
      <c r="U36" s="9"/>
      <c r="V36" s="9"/>
      <c r="W36" s="9" t="b">
        <v>0</v>
      </c>
      <c r="X36" s="9"/>
      <c r="Y36" s="9" t="b">
        <v>1</v>
      </c>
      <c r="Z36" s="9" t="b">
        <v>1</v>
      </c>
      <c r="AA36" s="9" t="b">
        <v>1</v>
      </c>
      <c r="AB36" s="9"/>
      <c r="AC36" s="9"/>
    </row>
    <row r="37" spans="1:29" x14ac:dyDescent="0.3">
      <c r="A37" s="9">
        <f t="shared" si="2"/>
        <v>36</v>
      </c>
      <c r="B37" s="9">
        <v>4</v>
      </c>
      <c r="C37" s="9" t="str">
        <f t="array" ref="C37">GetValue("Tables",B37,"Name")</f>
        <v>Domains</v>
      </c>
      <c r="D37" s="9" t="str" cm="1">
        <f t="array" ref="D37">GetValue("Tables",B37,"Alias")</f>
        <v>Domain</v>
      </c>
      <c r="E37" s="9">
        <f t="shared" si="4"/>
        <v>40</v>
      </c>
      <c r="F37" s="9">
        <v>17</v>
      </c>
      <c r="G37" s="9" t="str">
        <f t="array" ref="G37">GetValue("Domains",F37,"Name")</f>
        <v>Variant</v>
      </c>
      <c r="H37" s="9" t="str" cm="1">
        <f t="array" ref="H37">GetValue("Domains",F37,"#CategoryName")</f>
        <v>text</v>
      </c>
      <c r="I37" s="9" t="str" cm="1">
        <f t="array" ref="I37">GetValue("Domains",F37,"#TypeName")</f>
        <v>nvarchar(max)</v>
      </c>
      <c r="J37" s="9" t="str" cm="1">
        <f t="array" ref="J37">GetValue("Domains",F37,"#DataType")</f>
        <v>nvarchar(max)</v>
      </c>
      <c r="K37" s="9"/>
      <c r="L37" s="9" t="str">
        <f t="array" ref="L37">GetValue("Tables",K37,"Name")</f>
        <v/>
      </c>
      <c r="M37" s="9" t="s">
        <v>66</v>
      </c>
      <c r="N37" s="9"/>
      <c r="O37" s="9" t="s">
        <v>193</v>
      </c>
      <c r="P37" s="9" t="s">
        <v>254</v>
      </c>
      <c r="Q37" s="9" t="s">
        <v>254</v>
      </c>
      <c r="R37" s="15"/>
      <c r="S37" s="16" t="s">
        <v>35</v>
      </c>
      <c r="T37" s="15"/>
      <c r="U37" s="9"/>
      <c r="V37" s="9"/>
      <c r="W37" s="9" t="b">
        <v>0</v>
      </c>
      <c r="X37" s="9"/>
      <c r="Y37" s="9"/>
      <c r="Z37" s="9" t="b">
        <v>1</v>
      </c>
      <c r="AA37" s="9" t="b">
        <v>0</v>
      </c>
      <c r="AB37" s="9"/>
      <c r="AC37" s="9"/>
    </row>
    <row r="38" spans="1:29" x14ac:dyDescent="0.3">
      <c r="A38" s="9">
        <f t="shared" si="2"/>
        <v>37</v>
      </c>
      <c r="B38" s="9">
        <v>4</v>
      </c>
      <c r="C38" s="9" t="str">
        <f t="array" ref="C38">GetValue("Tables",B38,"Name")</f>
        <v>Domains</v>
      </c>
      <c r="D38" s="9" t="str" cm="1">
        <f t="array" ref="D38">GetValue("Tables",B38,"Alias")</f>
        <v>Domain</v>
      </c>
      <c r="E38" s="9">
        <f t="shared" si="4"/>
        <v>45</v>
      </c>
      <c r="F38" s="9">
        <v>17</v>
      </c>
      <c r="G38" s="9" t="str">
        <f t="array" ref="G38">GetValue("Domains",F38,"Name")</f>
        <v>Variant</v>
      </c>
      <c r="H38" s="9" t="str" cm="1">
        <f t="array" ref="H38">GetValue("Domains",F38,"#CategoryName")</f>
        <v>text</v>
      </c>
      <c r="I38" s="9" t="str" cm="1">
        <f t="array" ref="I38">GetValue("Domains",F38,"#TypeName")</f>
        <v>nvarchar(max)</v>
      </c>
      <c r="J38" s="9" t="str" cm="1">
        <f t="array" ref="J38">GetValue("Domains",F38,"#DataType")</f>
        <v>nvarchar(max)</v>
      </c>
      <c r="K38" s="9"/>
      <c r="L38" s="9" t="str">
        <f t="array" ref="L38">GetValue("Tables",K38,"Name")</f>
        <v/>
      </c>
      <c r="M38" s="9" t="s">
        <v>26</v>
      </c>
      <c r="N38" s="9"/>
      <c r="O38" s="9" t="s">
        <v>191</v>
      </c>
      <c r="P38" s="9" t="s">
        <v>166</v>
      </c>
      <c r="Q38" s="9" t="s">
        <v>166</v>
      </c>
      <c r="R38" s="15"/>
      <c r="S38" s="16" t="s">
        <v>35</v>
      </c>
      <c r="T38" s="15"/>
      <c r="U38" s="9"/>
      <c r="V38" s="9"/>
      <c r="W38" s="9" t="b">
        <v>0</v>
      </c>
      <c r="X38" s="9"/>
      <c r="Y38" s="9"/>
      <c r="Z38" s="9" t="b">
        <v>1</v>
      </c>
      <c r="AA38" s="9" t="b">
        <v>0</v>
      </c>
      <c r="AB38" s="9"/>
      <c r="AC38" s="9"/>
    </row>
    <row r="39" spans="1:29" x14ac:dyDescent="0.3">
      <c r="A39" s="9">
        <f t="shared" si="2"/>
        <v>38</v>
      </c>
      <c r="B39" s="9">
        <v>4</v>
      </c>
      <c r="C39" s="9" t="str">
        <f t="array" ref="C39">GetValue("Tables",B39,"Name")</f>
        <v>Domains</v>
      </c>
      <c r="D39" s="9" t="str" cm="1">
        <f t="array" ref="D39">GetValue("Tables",B39,"Alias")</f>
        <v>Domain</v>
      </c>
      <c r="E39" s="9">
        <f t="shared" si="4"/>
        <v>50</v>
      </c>
      <c r="F39" s="9">
        <v>17</v>
      </c>
      <c r="G39" s="9" t="str">
        <f t="array" ref="G39">GetValue("Domains",F39,"Name")</f>
        <v>Variant</v>
      </c>
      <c r="H39" s="9" t="str" cm="1">
        <f t="array" ref="H39">GetValue("Domains",F39,"#CategoryName")</f>
        <v>text</v>
      </c>
      <c r="I39" s="9" t="str" cm="1">
        <f t="array" ref="I39">GetValue("Domains",F39,"#TypeName")</f>
        <v>nvarchar(max)</v>
      </c>
      <c r="J39" s="9" t="str" cm="1">
        <f t="array" ref="J39">GetValue("Domains",F39,"#DataType")</f>
        <v>nvarchar(max)</v>
      </c>
      <c r="K39" s="9"/>
      <c r="L39" s="9" t="str">
        <f t="array" ref="L39">GetValue("Tables",K39,"Name")</f>
        <v/>
      </c>
      <c r="M39" s="9" t="s">
        <v>27</v>
      </c>
      <c r="N39" s="9"/>
      <c r="O39" s="9" t="s">
        <v>192</v>
      </c>
      <c r="P39" s="9" t="s">
        <v>168</v>
      </c>
      <c r="Q39" s="9" t="s">
        <v>168</v>
      </c>
      <c r="R39" s="15"/>
      <c r="S39" s="16" t="s">
        <v>35</v>
      </c>
      <c r="T39" s="15"/>
      <c r="U39" s="9"/>
      <c r="V39" s="9"/>
      <c r="W39" s="9" t="b">
        <v>0</v>
      </c>
      <c r="X39" s="9"/>
      <c r="Y39" s="9"/>
      <c r="Z39" s="9" t="b">
        <v>1</v>
      </c>
      <c r="AA39" s="9" t="b">
        <v>0</v>
      </c>
      <c r="AB39" s="9"/>
      <c r="AC39" s="9"/>
    </row>
    <row r="40" spans="1:29" x14ac:dyDescent="0.3">
      <c r="A40" s="9">
        <f t="shared" si="2"/>
        <v>39</v>
      </c>
      <c r="B40" s="9">
        <v>4</v>
      </c>
      <c r="C40" s="9" t="str">
        <f t="array" ref="C40">GetValue("Tables",B40,"Name")</f>
        <v>Domains</v>
      </c>
      <c r="D40" s="9" t="str" cm="1">
        <f t="array" ref="D40">GetValue("Tables",B40,"Alias")</f>
        <v>Domain</v>
      </c>
      <c r="E40" s="9">
        <f t="shared" si="4"/>
        <v>55</v>
      </c>
      <c r="F40" s="9">
        <v>18</v>
      </c>
      <c r="G40" s="9" t="str">
        <f t="array" ref="G40">GetValue("Domains",F40,"Name")</f>
        <v>Codification</v>
      </c>
      <c r="H40" s="9" t="str" cm="1">
        <f t="array" ref="H40">GetValue("Domains",F40,"#CategoryName")</f>
        <v>string</v>
      </c>
      <c r="I40" s="9" t="str" cm="1">
        <f t="array" ref="I40">GetValue("Domains",F40,"#TypeName")</f>
        <v>nvarchar</v>
      </c>
      <c r="J40" s="9" t="str" cm="1">
        <f t="array" ref="J40">GetValue("Domains",F40,"#DataType")</f>
        <v>nvarchar(5)</v>
      </c>
      <c r="K40" s="9"/>
      <c r="L40" s="9" t="str">
        <f t="array" ref="L40">GetValue("Tables",K40,"Name")</f>
        <v/>
      </c>
      <c r="M40" s="9" t="s">
        <v>305</v>
      </c>
      <c r="N40" s="9"/>
      <c r="O40" s="9" t="s">
        <v>384</v>
      </c>
      <c r="P40" s="9" t="s">
        <v>312</v>
      </c>
      <c r="Q40" s="9" t="s">
        <v>312</v>
      </c>
      <c r="R40" s="15"/>
      <c r="S40" s="16" t="s">
        <v>35</v>
      </c>
      <c r="T40" s="15"/>
      <c r="U40" s="9"/>
      <c r="V40" s="9"/>
      <c r="W40" s="9" t="b">
        <v>0</v>
      </c>
      <c r="X40" s="9"/>
      <c r="Y40" s="9" t="b">
        <v>1</v>
      </c>
      <c r="Z40" s="9" t="b">
        <v>1</v>
      </c>
      <c r="AA40" s="9" t="b">
        <v>1</v>
      </c>
      <c r="AB40" s="9"/>
      <c r="AC40" s="9"/>
    </row>
    <row r="41" spans="1:29" x14ac:dyDescent="0.3">
      <c r="A41" s="7">
        <f t="shared" si="2"/>
        <v>40</v>
      </c>
      <c r="B41" s="7">
        <v>5</v>
      </c>
      <c r="C41" s="7" t="str">
        <f t="array" ref="C41">GetValue("Tables",B41,"Name")</f>
        <v>Systems</v>
      </c>
      <c r="D41" s="8" t="str" cm="1">
        <f t="array" ref="D41">GetValue("Tables",B41,"Alias")</f>
        <v>System</v>
      </c>
      <c r="E41" s="7">
        <v>5</v>
      </c>
      <c r="F41" s="7">
        <v>1</v>
      </c>
      <c r="G41" s="7" t="str">
        <f t="array" ref="G41">GetValue("Domains",F41,"Name")</f>
        <v>BigInteger</v>
      </c>
      <c r="H41" s="7" t="str" cm="1">
        <f t="array" ref="H41">GetValue("Domains",F41,"#CategoryName")</f>
        <v>numeric</v>
      </c>
      <c r="I41" s="7" t="str" cm="1">
        <f t="array" ref="I41">GetValue("Domains",F41,"#TypeName")</f>
        <v>bigint</v>
      </c>
      <c r="J41" s="7" t="str" cm="1">
        <f t="array" ref="J41">GetValue("Domains",F41,"#DataType")</f>
        <v>bigint</v>
      </c>
      <c r="K41" s="7"/>
      <c r="L41" s="7" t="str">
        <f t="array" ref="L41">GetValue("Tables",K41,"Name")</f>
        <v/>
      </c>
      <c r="M41" s="7" t="s">
        <v>0</v>
      </c>
      <c r="N41" s="7"/>
      <c r="O41" s="7" t="s">
        <v>197</v>
      </c>
      <c r="P41" s="7" t="s">
        <v>160</v>
      </c>
      <c r="Q41" s="7" t="s">
        <v>160</v>
      </c>
      <c r="R41" s="14"/>
      <c r="S41" s="14">
        <v>1</v>
      </c>
      <c r="T41" s="14"/>
      <c r="U41" s="7" t="b">
        <v>1</v>
      </c>
      <c r="V41" s="7" t="b">
        <v>1</v>
      </c>
      <c r="W41" s="7" t="b">
        <v>1</v>
      </c>
      <c r="X41" s="7"/>
      <c r="Y41" s="7" t="b">
        <v>1</v>
      </c>
      <c r="Z41" s="7" t="b">
        <v>0</v>
      </c>
      <c r="AA41" s="7" t="b">
        <v>0</v>
      </c>
      <c r="AB41" s="7"/>
      <c r="AC41" s="7" t="b">
        <v>0</v>
      </c>
    </row>
    <row r="42" spans="1:29" x14ac:dyDescent="0.3">
      <c r="A42" s="7">
        <f t="shared" si="2"/>
        <v>41</v>
      </c>
      <c r="B42" s="7">
        <v>5</v>
      </c>
      <c r="C42" s="7" t="str">
        <f t="array" ref="C42">GetValue("Tables",B42,"Name")</f>
        <v>Systems</v>
      </c>
      <c r="D42" s="8" t="str" cm="1">
        <f t="array" ref="D42">GetValue("Tables",B42,"Alias")</f>
        <v>System</v>
      </c>
      <c r="E42" s="7">
        <f>E41+5</f>
        <v>10</v>
      </c>
      <c r="F42" s="7">
        <v>9</v>
      </c>
      <c r="G42" s="7" t="str">
        <f t="array" ref="G42">GetValue("Domains",F42,"Name")</f>
        <v>Nvarchar(25)</v>
      </c>
      <c r="H42" s="7" t="str" cm="1">
        <f t="array" ref="H42">GetValue("Domains",F42,"#CategoryName")</f>
        <v>string</v>
      </c>
      <c r="I42" s="7" t="str" cm="1">
        <f t="array" ref="I42">GetValue("Domains",F42,"#TypeName")</f>
        <v>nvarchar</v>
      </c>
      <c r="J42" s="7" t="str" cm="1">
        <f t="array" ref="J42">GetValue("Domains",F42,"#DataType")</f>
        <v>nvarchar(25)</v>
      </c>
      <c r="K42" s="7"/>
      <c r="L42" s="7" t="str">
        <f t="array" ref="L42">GetValue("Tables",K42,"Name")</f>
        <v/>
      </c>
      <c r="M42" s="7" t="s">
        <v>1</v>
      </c>
      <c r="N42" s="7"/>
      <c r="O42" s="7" t="s">
        <v>198</v>
      </c>
      <c r="P42" s="7" t="s">
        <v>162</v>
      </c>
      <c r="Q42" s="7" t="s">
        <v>162</v>
      </c>
      <c r="R42" s="14"/>
      <c r="S42" s="14" t="s">
        <v>35</v>
      </c>
      <c r="T42" s="14"/>
      <c r="U42" s="7" t="b">
        <v>0</v>
      </c>
      <c r="V42" s="7"/>
      <c r="W42" s="7" t="b">
        <v>1</v>
      </c>
      <c r="X42" s="7" t="b">
        <v>1</v>
      </c>
      <c r="Y42" s="7" t="b">
        <v>1</v>
      </c>
      <c r="Z42" s="7" t="b">
        <v>1</v>
      </c>
      <c r="AA42" s="7" t="b">
        <v>1</v>
      </c>
      <c r="AB42" s="7" t="b">
        <v>0</v>
      </c>
      <c r="AC42" s="7"/>
    </row>
    <row r="43" spans="1:29" x14ac:dyDescent="0.3">
      <c r="A43" s="7">
        <f t="shared" si="2"/>
        <v>42</v>
      </c>
      <c r="B43" s="7">
        <v>5</v>
      </c>
      <c r="C43" s="7" t="str">
        <f t="array" ref="C43">GetValue("Tables",B43,"Name")</f>
        <v>Systems</v>
      </c>
      <c r="D43" s="8" t="str" cm="1">
        <f t="array" ref="D43">GetValue("Tables",B43,"Alias")</f>
        <v>System</v>
      </c>
      <c r="E43" s="7">
        <f>E42+5</f>
        <v>15</v>
      </c>
      <c r="F43" s="7">
        <v>10</v>
      </c>
      <c r="G43" s="7" t="str">
        <f t="array" ref="G43">GetValue("Domains",F43,"Name")</f>
        <v>Nvarchar(50)</v>
      </c>
      <c r="H43" s="7" t="str" cm="1">
        <f t="array" ref="H43">GetValue("Domains",F43,"#CategoryName")</f>
        <v>string</v>
      </c>
      <c r="I43" s="7" t="str" cm="1">
        <f t="array" ref="I43">GetValue("Domains",F43,"#TypeName")</f>
        <v>nvarchar</v>
      </c>
      <c r="J43" s="7" t="str" cm="1">
        <f t="array" ref="J43">GetValue("Domains",F43,"#DataType")</f>
        <v>nvarchar(50)</v>
      </c>
      <c r="K43" s="7"/>
      <c r="L43" s="7" t="str">
        <f t="array" ref="L43">GetValue("Tables",K43,"Name")</f>
        <v/>
      </c>
      <c r="M43" s="7" t="s">
        <v>84</v>
      </c>
      <c r="N43" s="7"/>
      <c r="O43" s="7" t="s">
        <v>199</v>
      </c>
      <c r="P43" s="7" t="s">
        <v>200</v>
      </c>
      <c r="Q43" s="7" t="s">
        <v>200</v>
      </c>
      <c r="R43" s="14"/>
      <c r="S43" s="14" t="s">
        <v>35</v>
      </c>
      <c r="T43" s="14"/>
      <c r="U43" s="7" t="b">
        <v>0</v>
      </c>
      <c r="V43" s="7"/>
      <c r="W43" s="7" t="b">
        <v>1</v>
      </c>
      <c r="X43" s="7" t="b">
        <v>0</v>
      </c>
      <c r="Y43" s="7" t="b">
        <v>0</v>
      </c>
      <c r="Z43" s="7" t="b">
        <v>1</v>
      </c>
      <c r="AA43" s="7" t="b">
        <v>1</v>
      </c>
      <c r="AB43" s="7" t="b">
        <v>0</v>
      </c>
      <c r="AC43" s="7"/>
    </row>
    <row r="44" spans="1:29" x14ac:dyDescent="0.3">
      <c r="A44" s="7">
        <f t="shared" si="2"/>
        <v>43</v>
      </c>
      <c r="B44" s="7">
        <v>5</v>
      </c>
      <c r="C44" s="7" t="str">
        <f t="array" ref="C44">GetValue("Tables",B44,"Name")</f>
        <v>Systems</v>
      </c>
      <c r="D44" s="8" t="str" cm="1">
        <f t="array" ref="D44">GetValue("Tables",B44,"Alias")</f>
        <v>System</v>
      </c>
      <c r="E44" s="7">
        <f>E43+5</f>
        <v>20</v>
      </c>
      <c r="F44" s="7">
        <v>7</v>
      </c>
      <c r="G44" s="7" t="str">
        <f t="array" ref="G44">GetValue("Domains",F44,"Name")</f>
        <v>Nvarchar(15)</v>
      </c>
      <c r="H44" s="7" t="str" cm="1">
        <f t="array" ref="H44">GetValue("Domains",F44,"#CategoryName")</f>
        <v>string</v>
      </c>
      <c r="I44" s="7" t="str" cm="1">
        <f t="array" ref="I44">GetValue("Domains",F44,"#TypeName")</f>
        <v>nvarchar</v>
      </c>
      <c r="J44" s="7" t="str" cm="1">
        <f t="array" ref="J44">GetValue("Domains",F44,"#DataType")</f>
        <v>nvarchar(15)</v>
      </c>
      <c r="K44" s="7"/>
      <c r="L44" s="7" t="str">
        <f t="array" ref="L44">GetValue("Tables",K44,"Name")</f>
        <v/>
      </c>
      <c r="M44" s="7" t="s">
        <v>85</v>
      </c>
      <c r="N44" s="7"/>
      <c r="O44" s="7" t="s">
        <v>201</v>
      </c>
      <c r="P44" s="7" t="s">
        <v>202</v>
      </c>
      <c r="Q44" s="7" t="s">
        <v>202</v>
      </c>
      <c r="R44" s="14"/>
      <c r="S44" s="14" t="s">
        <v>35</v>
      </c>
      <c r="T44" s="14"/>
      <c r="U44" s="7" t="b">
        <v>0</v>
      </c>
      <c r="V44" s="7"/>
      <c r="W44" s="7" t="b">
        <v>1</v>
      </c>
      <c r="X44" s="7" t="b">
        <v>0</v>
      </c>
      <c r="Y44" s="7" t="b">
        <v>1</v>
      </c>
      <c r="Z44" s="7" t="b">
        <v>1</v>
      </c>
      <c r="AA44" s="7" t="b">
        <v>1</v>
      </c>
      <c r="AB44" s="7" t="b">
        <v>0</v>
      </c>
      <c r="AC44" s="7"/>
    </row>
    <row r="45" spans="1:29" x14ac:dyDescent="0.3">
      <c r="A45" s="7">
        <f t="shared" si="2"/>
        <v>44</v>
      </c>
      <c r="B45" s="7">
        <v>5</v>
      </c>
      <c r="C45" s="7" t="str">
        <f t="array" ref="C45">GetValue("Tables",B45,"Name")</f>
        <v>Systems</v>
      </c>
      <c r="D45" s="8" t="str" cm="1">
        <f t="array" ref="D45">GetValue("Tables",B45,"Alias")</f>
        <v>System</v>
      </c>
      <c r="E45" s="7">
        <f>E44+5</f>
        <v>25</v>
      </c>
      <c r="F45" s="7">
        <v>5</v>
      </c>
      <c r="G45" s="7" t="str">
        <f t="array" ref="G45">GetValue("Domains",F45,"Name")</f>
        <v>TinyInteger</v>
      </c>
      <c r="H45" s="7" t="str" cm="1">
        <f t="array" ref="H45">GetValue("Domains",F45,"#CategoryName")</f>
        <v>numeric</v>
      </c>
      <c r="I45" s="7" t="str" cm="1">
        <f t="array" ref="I45">GetValue("Domains",F45,"#TypeName")</f>
        <v>tinyint</v>
      </c>
      <c r="J45" s="7" t="str" cm="1">
        <f t="array" ref="J45">GetValue("Domains",F45,"#DataType")</f>
        <v>tinyint</v>
      </c>
      <c r="K45" s="7"/>
      <c r="L45" s="7" t="str">
        <f t="array" ref="L45">GetValue("Tables",K45,"Name")</f>
        <v/>
      </c>
      <c r="M45" s="7" t="s">
        <v>86</v>
      </c>
      <c r="N45" s="7"/>
      <c r="O45" s="7" t="s">
        <v>203</v>
      </c>
      <c r="P45" s="7" t="s">
        <v>204</v>
      </c>
      <c r="Q45" s="7" t="s">
        <v>204</v>
      </c>
      <c r="R45" s="14">
        <v>5</v>
      </c>
      <c r="S45" s="14">
        <v>1</v>
      </c>
      <c r="T45" s="14"/>
      <c r="U45" s="7" t="b">
        <v>0</v>
      </c>
      <c r="V45" s="7" t="b">
        <v>0</v>
      </c>
      <c r="W45" s="7" t="b">
        <v>1</v>
      </c>
      <c r="X45" s="7"/>
      <c r="Y45" s="7" t="b">
        <v>0</v>
      </c>
      <c r="Z45" s="7" t="b">
        <v>1</v>
      </c>
      <c r="AA45" s="7" t="b">
        <v>1</v>
      </c>
      <c r="AB45" s="7"/>
      <c r="AC45" s="7" t="b">
        <v>0</v>
      </c>
    </row>
    <row r="46" spans="1:29" x14ac:dyDescent="0.3">
      <c r="A46" s="7">
        <f t="shared" si="2"/>
        <v>45</v>
      </c>
      <c r="B46" s="7">
        <v>5</v>
      </c>
      <c r="C46" s="7" t="str">
        <f t="array" ref="C46">GetValue("Tables",B46,"Name")</f>
        <v>Systems</v>
      </c>
      <c r="D46" s="8" t="str" cm="1">
        <f t="array" ref="D46">GetValue("Tables",B46,"Alias")</f>
        <v>System</v>
      </c>
      <c r="E46" s="7">
        <f>E45+5</f>
        <v>30</v>
      </c>
      <c r="F46" s="7">
        <v>6</v>
      </c>
      <c r="G46" s="7" t="str">
        <f t="array" ref="G46">GetValue("Domains",F46,"Name")</f>
        <v>Boolean</v>
      </c>
      <c r="H46" s="7" t="str" cm="1">
        <f t="array" ref="H46">GetValue("Domains",F46,"#CategoryName")</f>
        <v>boolean</v>
      </c>
      <c r="I46" s="7" t="str" cm="1">
        <f t="array" ref="I46">GetValue("Domains",F46,"#TypeName")</f>
        <v>bit</v>
      </c>
      <c r="J46" s="7" t="str" cm="1">
        <f t="array" ref="J46">GetValue("Domains",F46,"#DataType")</f>
        <v>bit</v>
      </c>
      <c r="K46" s="7"/>
      <c r="L46" s="7" t="str">
        <f t="array" ref="L46">GetValue("Tables",K46,"Name")</f>
        <v/>
      </c>
      <c r="M46" s="7" t="s">
        <v>379</v>
      </c>
      <c r="N46" s="7"/>
      <c r="O46" s="7" t="s">
        <v>380</v>
      </c>
      <c r="P46" s="7" t="s">
        <v>381</v>
      </c>
      <c r="Q46" s="7" t="s">
        <v>381</v>
      </c>
      <c r="R46" s="14"/>
      <c r="S46" s="14"/>
      <c r="T46" s="14"/>
      <c r="U46" s="7"/>
      <c r="V46" s="7"/>
      <c r="W46" s="7" t="b">
        <v>1</v>
      </c>
      <c r="X46" s="7"/>
      <c r="Y46" s="7" t="b">
        <v>0</v>
      </c>
      <c r="Z46" s="7" t="b">
        <v>1</v>
      </c>
      <c r="AA46" s="7" t="b">
        <v>0</v>
      </c>
      <c r="AB46" s="7"/>
      <c r="AC46" s="7"/>
    </row>
    <row r="47" spans="1:29" x14ac:dyDescent="0.3">
      <c r="A47" s="9">
        <f t="shared" si="2"/>
        <v>46</v>
      </c>
      <c r="B47" s="9">
        <v>6</v>
      </c>
      <c r="C47" s="9" t="str">
        <f t="array" ref="C47">GetValue("Tables",B47,"Name")</f>
        <v>Menus</v>
      </c>
      <c r="D47" s="9" t="str" cm="1">
        <f t="array" ref="D47">GetValue("Tables",B47,"Alias")</f>
        <v>Menu</v>
      </c>
      <c r="E47" s="9">
        <v>5</v>
      </c>
      <c r="F47" s="9">
        <v>1</v>
      </c>
      <c r="G47" s="9" t="str">
        <f t="array" ref="G47">GetValue("Domains",F47,"Name")</f>
        <v>BigInteger</v>
      </c>
      <c r="H47" s="9" t="str" cm="1">
        <f t="array" ref="H47">GetValue("Domains",F47,"#CategoryName")</f>
        <v>numeric</v>
      </c>
      <c r="I47" s="9" t="str" cm="1">
        <f t="array" ref="I47">GetValue("Domains",F47,"#TypeName")</f>
        <v>bigint</v>
      </c>
      <c r="J47" s="9" t="str" cm="1">
        <f t="array" ref="J47">GetValue("Domains",F47,"#DataType")</f>
        <v>bigint</v>
      </c>
      <c r="K47" s="9"/>
      <c r="L47" s="9" t="str">
        <f t="array" ref="L47">GetValue("Tables",K47,"Name")</f>
        <v/>
      </c>
      <c r="M47" s="9" t="s">
        <v>0</v>
      </c>
      <c r="N47" s="9"/>
      <c r="O47" s="9" t="s">
        <v>205</v>
      </c>
      <c r="P47" s="9" t="s">
        <v>160</v>
      </c>
      <c r="Q47" s="9" t="s">
        <v>160</v>
      </c>
      <c r="R47" s="15"/>
      <c r="S47" s="16">
        <v>1</v>
      </c>
      <c r="T47" s="16"/>
      <c r="U47" s="9" t="b">
        <v>1</v>
      </c>
      <c r="V47" s="9" t="b">
        <v>1</v>
      </c>
      <c r="W47" s="9" t="b">
        <v>1</v>
      </c>
      <c r="X47" s="9"/>
      <c r="Y47" s="9" t="b">
        <v>1</v>
      </c>
      <c r="Z47" s="9" t="b">
        <v>0</v>
      </c>
      <c r="AA47" s="9" t="b">
        <v>0</v>
      </c>
      <c r="AB47" s="9"/>
      <c r="AC47" s="9" t="b">
        <v>0</v>
      </c>
    </row>
    <row r="48" spans="1:29" x14ac:dyDescent="0.3">
      <c r="A48" s="9">
        <f t="shared" si="2"/>
        <v>47</v>
      </c>
      <c r="B48" s="9">
        <v>6</v>
      </c>
      <c r="C48" s="9" t="str">
        <f t="array" ref="C48">GetValue("Tables",B48,"Name")</f>
        <v>Menus</v>
      </c>
      <c r="D48" s="9" t="str" cm="1">
        <f t="array" ref="D48">GetValue("Tables",B48,"Alias")</f>
        <v>Menu</v>
      </c>
      <c r="E48" s="9">
        <f t="shared" ref="E48:E53" si="5">E47+5</f>
        <v>10</v>
      </c>
      <c r="F48" s="9">
        <v>1</v>
      </c>
      <c r="G48" s="9" t="str">
        <f t="array" ref="G48">GetValue("Domains",F48,"Name")</f>
        <v>BigInteger</v>
      </c>
      <c r="H48" s="9" t="str" cm="1">
        <f t="array" ref="H48">GetValue("Domains",F48,"#CategoryName")</f>
        <v>numeric</v>
      </c>
      <c r="I48" s="9" t="str" cm="1">
        <f t="array" ref="I48">GetValue("Domains",F48,"#TypeName")</f>
        <v>bigint</v>
      </c>
      <c r="J48" s="9" t="str" cm="1">
        <f t="array" ref="J48">GetValue("Domains",F48,"#DataType")</f>
        <v>bigint</v>
      </c>
      <c r="K48" s="9">
        <v>5</v>
      </c>
      <c r="L48" s="9" t="str">
        <f t="array" ref="L48">GetValue("Tables",K48,"Name")</f>
        <v>Systems</v>
      </c>
      <c r="M48" s="9" t="s">
        <v>87</v>
      </c>
      <c r="N48" s="9"/>
      <c r="O48" s="9" t="s">
        <v>206</v>
      </c>
      <c r="P48" s="9" t="s">
        <v>207</v>
      </c>
      <c r="Q48" s="9" t="s">
        <v>207</v>
      </c>
      <c r="R48" s="15"/>
      <c r="S48" s="16">
        <v>1</v>
      </c>
      <c r="T48" s="15"/>
      <c r="U48" s="9" t="b">
        <v>0</v>
      </c>
      <c r="V48" s="9" t="b">
        <v>0</v>
      </c>
      <c r="W48" s="9" t="b">
        <v>1</v>
      </c>
      <c r="X48" s="9"/>
      <c r="Y48" s="9" t="b">
        <v>1</v>
      </c>
      <c r="Z48" s="9" t="b">
        <v>1</v>
      </c>
      <c r="AA48" s="9" t="b">
        <v>1</v>
      </c>
      <c r="AB48" s="9"/>
      <c r="AC48" s="9" t="b">
        <v>0</v>
      </c>
    </row>
    <row r="49" spans="1:29" x14ac:dyDescent="0.3">
      <c r="A49" s="9">
        <f t="shared" si="2"/>
        <v>48</v>
      </c>
      <c r="B49" s="9">
        <v>6</v>
      </c>
      <c r="C49" s="9" t="str">
        <f t="array" ref="C49">GetValue("Tables",B49,"Name")</f>
        <v>Menus</v>
      </c>
      <c r="D49" s="9" t="str" cm="1">
        <f t="array" ref="D49">GetValue("Tables",B49,"Alias")</f>
        <v>Menu</v>
      </c>
      <c r="E49" s="9">
        <f t="shared" si="5"/>
        <v>15</v>
      </c>
      <c r="F49" s="9">
        <v>4</v>
      </c>
      <c r="G49" s="9" t="str">
        <f t="array" ref="G49">GetValue("Domains",F49,"Name")</f>
        <v>SmallInteger</v>
      </c>
      <c r="H49" s="9" t="str" cm="1">
        <f t="array" ref="H49">GetValue("Domains",F49,"#CategoryName")</f>
        <v>numeric</v>
      </c>
      <c r="I49" s="9" t="str" cm="1">
        <f t="array" ref="I49">GetValue("Domains",F49,"#TypeName")</f>
        <v>smallint</v>
      </c>
      <c r="J49" s="9" t="str" cm="1">
        <f t="array" ref="J49">GetValue("Domains",F49,"#DataType")</f>
        <v>smallint</v>
      </c>
      <c r="K49" s="9"/>
      <c r="L49" s="9" t="str">
        <f t="array" ref="L49">GetValue("Tables",K49,"Name")</f>
        <v/>
      </c>
      <c r="M49" s="9" t="s">
        <v>88</v>
      </c>
      <c r="N49" s="9"/>
      <c r="O49" s="9" t="s">
        <v>208</v>
      </c>
      <c r="P49" s="9" t="s">
        <v>209</v>
      </c>
      <c r="Q49" s="9" t="s">
        <v>209</v>
      </c>
      <c r="R49" s="15"/>
      <c r="S49" s="16">
        <v>1</v>
      </c>
      <c r="T49" s="15"/>
      <c r="U49" s="9" t="b">
        <v>0</v>
      </c>
      <c r="V49" s="9" t="b">
        <v>0</v>
      </c>
      <c r="W49" s="9" t="b">
        <v>1</v>
      </c>
      <c r="X49" s="9"/>
      <c r="Y49" s="9" t="b">
        <v>0</v>
      </c>
      <c r="Z49" s="9" t="b">
        <v>1</v>
      </c>
      <c r="AA49" s="9" t="b">
        <v>1</v>
      </c>
      <c r="AB49" s="9"/>
      <c r="AC49" s="9" t="b">
        <v>0</v>
      </c>
    </row>
    <row r="50" spans="1:29" x14ac:dyDescent="0.3">
      <c r="A50" s="9">
        <f t="shared" si="2"/>
        <v>49</v>
      </c>
      <c r="B50" s="9">
        <v>6</v>
      </c>
      <c r="C50" s="9" t="str">
        <f t="array" ref="C50">GetValue("Tables",B50,"Name")</f>
        <v>Menus</v>
      </c>
      <c r="D50" s="9" t="str" cm="1">
        <f t="array" ref="D50">GetValue("Tables",B50,"Alias")</f>
        <v>Menu</v>
      </c>
      <c r="E50" s="9">
        <f t="shared" si="5"/>
        <v>20</v>
      </c>
      <c r="F50" s="9">
        <v>8</v>
      </c>
      <c r="G50" s="9" t="str">
        <f t="array" ref="G50">GetValue("Domains",F50,"Name")</f>
        <v>Nvarchar(20)</v>
      </c>
      <c r="H50" s="9" t="str" cm="1">
        <f t="array" ref="H50">GetValue("Domains",F50,"#CategoryName")</f>
        <v>string</v>
      </c>
      <c r="I50" s="9" t="str" cm="1">
        <f t="array" ref="I50">GetValue("Domains",F50,"#TypeName")</f>
        <v>nvarchar</v>
      </c>
      <c r="J50" s="9" t="str" cm="1">
        <f t="array" ref="J50">GetValue("Domains",F50,"#DataType")</f>
        <v>nvarchar(20)</v>
      </c>
      <c r="K50" s="9"/>
      <c r="L50" s="9" t="str">
        <f t="array" ref="L50">GetValue("Tables",K50,"Name")</f>
        <v/>
      </c>
      <c r="M50" s="9" t="s">
        <v>89</v>
      </c>
      <c r="N50" s="9"/>
      <c r="O50" s="9" t="s">
        <v>210</v>
      </c>
      <c r="P50" s="9" t="s">
        <v>211</v>
      </c>
      <c r="Q50" s="9" t="s">
        <v>211</v>
      </c>
      <c r="R50" s="15"/>
      <c r="S50" s="16" t="s">
        <v>35</v>
      </c>
      <c r="T50" s="15"/>
      <c r="U50" s="9" t="b">
        <v>0</v>
      </c>
      <c r="V50" s="9"/>
      <c r="W50" s="9" t="b">
        <v>1</v>
      </c>
      <c r="X50" s="9"/>
      <c r="Y50" s="9" t="b">
        <v>1</v>
      </c>
      <c r="Z50" s="9" t="b">
        <v>1</v>
      </c>
      <c r="AA50" s="9" t="b">
        <v>1</v>
      </c>
      <c r="AB50" s="9" t="b">
        <v>0</v>
      </c>
      <c r="AC50" s="9"/>
    </row>
    <row r="51" spans="1:29" x14ac:dyDescent="0.3">
      <c r="A51" s="9">
        <f t="shared" si="2"/>
        <v>50</v>
      </c>
      <c r="B51" s="9">
        <v>6</v>
      </c>
      <c r="C51" s="9" t="str">
        <f t="array" ref="C51">GetValue("Tables",B51,"Name")</f>
        <v>Menus</v>
      </c>
      <c r="D51" s="9" t="str" cm="1">
        <f t="array" ref="D51">GetValue("Tables",B51,"Alias")</f>
        <v>Menu</v>
      </c>
      <c r="E51" s="9">
        <f t="shared" si="5"/>
        <v>25</v>
      </c>
      <c r="F51" s="9">
        <v>10</v>
      </c>
      <c r="G51" s="9" t="str">
        <f t="array" ref="G51">GetValue("Domains",F51,"Name")</f>
        <v>Nvarchar(50)</v>
      </c>
      <c r="H51" s="9" t="str" cm="1">
        <f t="array" ref="H51">GetValue("Domains",F51,"#CategoryName")</f>
        <v>string</v>
      </c>
      <c r="I51" s="9" t="str" cm="1">
        <f t="array" ref="I51">GetValue("Domains",F51,"#TypeName")</f>
        <v>nvarchar</v>
      </c>
      <c r="J51" s="9" t="str" cm="1">
        <f t="array" ref="J51">GetValue("Domains",F51,"#DataType")</f>
        <v>nvarchar(50)</v>
      </c>
      <c r="K51" s="9"/>
      <c r="L51" s="9" t="str">
        <f t="array" ref="L51">GetValue("Tables",K51,"Name")</f>
        <v/>
      </c>
      <c r="M51" s="9" t="s">
        <v>90</v>
      </c>
      <c r="N51" s="9"/>
      <c r="O51" s="9" t="s">
        <v>212</v>
      </c>
      <c r="P51" s="9" t="s">
        <v>213</v>
      </c>
      <c r="Q51" s="9" t="s">
        <v>213</v>
      </c>
      <c r="R51" s="15"/>
      <c r="S51" s="16" t="s">
        <v>35</v>
      </c>
      <c r="T51" s="15"/>
      <c r="U51" s="9" t="b">
        <v>0</v>
      </c>
      <c r="V51" s="9"/>
      <c r="W51" s="9" t="b">
        <v>1</v>
      </c>
      <c r="X51" s="9"/>
      <c r="Y51" s="9" t="b">
        <v>0</v>
      </c>
      <c r="Z51" s="9" t="b">
        <v>1</v>
      </c>
      <c r="AA51" s="9" t="b">
        <v>1</v>
      </c>
      <c r="AB51" s="9" t="b">
        <v>0</v>
      </c>
      <c r="AC51" s="9"/>
    </row>
    <row r="52" spans="1:29" x14ac:dyDescent="0.3">
      <c r="A52" s="9">
        <f t="shared" si="2"/>
        <v>51</v>
      </c>
      <c r="B52" s="9">
        <v>6</v>
      </c>
      <c r="C52" s="9" t="str">
        <f t="array" ref="C52">GetValue("Tables",B52,"Name")</f>
        <v>Menus</v>
      </c>
      <c r="D52" s="9" t="str" cm="1">
        <f t="array" ref="D52">GetValue("Tables",B52,"Alias")</f>
        <v>Menu</v>
      </c>
      <c r="E52" s="9">
        <f t="shared" si="5"/>
        <v>30</v>
      </c>
      <c r="F52" s="9">
        <v>10</v>
      </c>
      <c r="G52" s="9" t="str">
        <f t="array" ref="G52">GetValue("Domains",F52,"Name")</f>
        <v>Nvarchar(50)</v>
      </c>
      <c r="H52" s="9" t="str" cm="1">
        <f t="array" ref="H52">GetValue("Domains",F52,"#CategoryName")</f>
        <v>string</v>
      </c>
      <c r="I52" s="9" t="str" cm="1">
        <f t="array" ref="I52">GetValue("Domains",F52,"#TypeName")</f>
        <v>nvarchar</v>
      </c>
      <c r="J52" s="9" t="str" cm="1">
        <f t="array" ref="J52">GetValue("Domains",F52,"#DataType")</f>
        <v>nvarchar(50)</v>
      </c>
      <c r="K52" s="9"/>
      <c r="L52" s="9" t="str">
        <f t="array" ref="L52">GetValue("Tables",K52,"Name")</f>
        <v/>
      </c>
      <c r="M52" s="9" t="s">
        <v>91</v>
      </c>
      <c r="N52" s="9"/>
      <c r="O52" s="9" t="s">
        <v>214</v>
      </c>
      <c r="P52" s="9" t="s">
        <v>215</v>
      </c>
      <c r="Q52" s="9" t="s">
        <v>215</v>
      </c>
      <c r="R52" s="15"/>
      <c r="S52" s="16" t="s">
        <v>35</v>
      </c>
      <c r="T52" s="15"/>
      <c r="U52" s="9" t="b">
        <v>0</v>
      </c>
      <c r="V52" s="9"/>
      <c r="W52" s="9" t="b">
        <v>0</v>
      </c>
      <c r="X52" s="9"/>
      <c r="Y52" s="9" t="b">
        <v>0</v>
      </c>
      <c r="Z52" s="9" t="b">
        <v>1</v>
      </c>
      <c r="AA52" s="9" t="b">
        <v>1</v>
      </c>
      <c r="AB52" s="9" t="b">
        <v>0</v>
      </c>
      <c r="AC52" s="9"/>
    </row>
    <row r="53" spans="1:29" x14ac:dyDescent="0.3">
      <c r="A53" s="9">
        <f t="shared" si="2"/>
        <v>52</v>
      </c>
      <c r="B53" s="9">
        <v>6</v>
      </c>
      <c r="C53" s="9" t="str">
        <f t="array" ref="C53">GetValue("Tables",B53,"Name")</f>
        <v>Menus</v>
      </c>
      <c r="D53" s="9" t="str" cm="1">
        <f t="array" ref="D53">GetValue("Tables",B53,"Alias")</f>
        <v>Menu</v>
      </c>
      <c r="E53" s="9">
        <f t="shared" si="5"/>
        <v>35</v>
      </c>
      <c r="F53" s="9">
        <v>1</v>
      </c>
      <c r="G53" s="9" t="str">
        <f t="array" ref="G53">GetValue("Domains",F53,"Name")</f>
        <v>BigInteger</v>
      </c>
      <c r="H53" s="9" t="str" cm="1">
        <f t="array" ref="H53">GetValue("Domains",F53,"#CategoryName")</f>
        <v>numeric</v>
      </c>
      <c r="I53" s="9" t="str" cm="1">
        <f t="array" ref="I53">GetValue("Domains",F53,"#TypeName")</f>
        <v>bigint</v>
      </c>
      <c r="J53" s="9" t="str" cm="1">
        <f t="array" ref="J53">GetValue("Domains",F53,"#DataType")</f>
        <v>bigint</v>
      </c>
      <c r="K53" s="9">
        <v>6</v>
      </c>
      <c r="L53" s="9" t="str">
        <f t="array" ref="L53">GetValue("Tables",K53,"Name")</f>
        <v>Menus</v>
      </c>
      <c r="M53" s="9" t="s">
        <v>92</v>
      </c>
      <c r="N53" s="9"/>
      <c r="O53" s="9" t="s">
        <v>216</v>
      </c>
      <c r="P53" s="9" t="s">
        <v>217</v>
      </c>
      <c r="Q53" s="9" t="s">
        <v>217</v>
      </c>
      <c r="R53" s="15"/>
      <c r="S53" s="16">
        <v>1</v>
      </c>
      <c r="T53" s="15"/>
      <c r="U53" s="9" t="b">
        <v>0</v>
      </c>
      <c r="V53" s="9" t="b">
        <v>0</v>
      </c>
      <c r="W53" s="9" t="b">
        <v>0</v>
      </c>
      <c r="X53" s="9"/>
      <c r="Y53" s="9" t="b">
        <v>0</v>
      </c>
      <c r="Z53" s="9" t="b">
        <v>1</v>
      </c>
      <c r="AA53" s="9" t="b">
        <v>0</v>
      </c>
      <c r="AB53" s="9"/>
      <c r="AC53" s="9" t="b">
        <v>0</v>
      </c>
    </row>
    <row r="54" spans="1:29" x14ac:dyDescent="0.3">
      <c r="A54" s="7">
        <f t="shared" si="2"/>
        <v>53</v>
      </c>
      <c r="B54" s="7">
        <v>7</v>
      </c>
      <c r="C54" s="7" t="str">
        <f t="array" ref="C54">GetValue("Tables",B54,"Name")</f>
        <v>Users</v>
      </c>
      <c r="D54" s="8" t="str" cm="1">
        <f t="array" ref="D54">GetValue("Tables",B54,"Alias")</f>
        <v>User</v>
      </c>
      <c r="E54" s="7">
        <v>5</v>
      </c>
      <c r="F54" s="7">
        <v>1</v>
      </c>
      <c r="G54" s="7" t="str">
        <f t="array" ref="G54">GetValue("Domains",F54,"Name")</f>
        <v>BigInteger</v>
      </c>
      <c r="H54" s="7" t="str" cm="1">
        <f t="array" ref="H54">GetValue("Domains",F54,"#CategoryName")</f>
        <v>numeric</v>
      </c>
      <c r="I54" s="7" t="str" cm="1">
        <f t="array" ref="I54">GetValue("Domains",F54,"#TypeName")</f>
        <v>bigint</v>
      </c>
      <c r="J54" s="7" t="str" cm="1">
        <f t="array" ref="J54">GetValue("Domains",F54,"#DataType")</f>
        <v>bigint</v>
      </c>
      <c r="K54" s="7"/>
      <c r="L54" s="7" t="str">
        <f t="array" ref="L54">GetValue("Tables",K54,"Name")</f>
        <v/>
      </c>
      <c r="M54" s="7" t="s">
        <v>0</v>
      </c>
      <c r="N54" s="7"/>
      <c r="O54" s="7" t="s">
        <v>218</v>
      </c>
      <c r="P54" s="7" t="s">
        <v>160</v>
      </c>
      <c r="Q54" s="7" t="s">
        <v>160</v>
      </c>
      <c r="R54" s="14"/>
      <c r="S54" s="14">
        <v>1</v>
      </c>
      <c r="T54" s="14"/>
      <c r="U54" s="7" t="b">
        <v>1</v>
      </c>
      <c r="V54" s="7" t="b">
        <v>1</v>
      </c>
      <c r="W54" s="7" t="b">
        <v>1</v>
      </c>
      <c r="X54" s="7"/>
      <c r="Y54" s="7" t="b">
        <v>1</v>
      </c>
      <c r="Z54" s="7" t="b">
        <v>0</v>
      </c>
      <c r="AA54" s="7" t="b">
        <v>0</v>
      </c>
      <c r="AB54" s="7"/>
      <c r="AC54" s="7" t="b">
        <v>0</v>
      </c>
    </row>
    <row r="55" spans="1:29" x14ac:dyDescent="0.3">
      <c r="A55" s="7">
        <f t="shared" si="2"/>
        <v>54</v>
      </c>
      <c r="B55" s="7">
        <v>7</v>
      </c>
      <c r="C55" s="7" t="str">
        <f t="array" ref="C55">GetValue("Tables",B55,"Name")</f>
        <v>Users</v>
      </c>
      <c r="D55" s="8" t="str" cm="1">
        <f t="array" ref="D55">GetValue("Tables",B55,"Alias")</f>
        <v>User</v>
      </c>
      <c r="E55" s="7">
        <f>E54+5</f>
        <v>10</v>
      </c>
      <c r="F55" s="7">
        <v>9</v>
      </c>
      <c r="G55" s="7" t="str">
        <f t="array" ref="G55">GetValue("Domains",F55,"Name")</f>
        <v>Nvarchar(25)</v>
      </c>
      <c r="H55" s="7" t="str" cm="1">
        <f t="array" ref="H55">GetValue("Domains",F55,"#CategoryName")</f>
        <v>string</v>
      </c>
      <c r="I55" s="7" t="str" cm="1">
        <f t="array" ref="I55">GetValue("Domains",F55,"#TypeName")</f>
        <v>nvarchar</v>
      </c>
      <c r="J55" s="7" t="str" cm="1">
        <f t="array" ref="J55">GetValue("Domains",F55,"#DataType")</f>
        <v>nvarchar(25)</v>
      </c>
      <c r="K55" s="7"/>
      <c r="L55" s="7" t="str">
        <f t="array" ref="L55">GetValue("Tables",K55,"Name")</f>
        <v/>
      </c>
      <c r="M55" s="7" t="s">
        <v>1</v>
      </c>
      <c r="N55" s="7"/>
      <c r="O55" s="7" t="s">
        <v>219</v>
      </c>
      <c r="P55" s="7" t="s">
        <v>162</v>
      </c>
      <c r="Q55" s="7" t="s">
        <v>162</v>
      </c>
      <c r="R55" s="14"/>
      <c r="S55" s="14" t="s">
        <v>35</v>
      </c>
      <c r="T55" s="14"/>
      <c r="U55" s="7" t="b">
        <v>0</v>
      </c>
      <c r="V55" s="7"/>
      <c r="W55" s="7" t="b">
        <v>1</v>
      </c>
      <c r="X55" s="7" t="b">
        <v>1</v>
      </c>
      <c r="Y55" s="7" t="b">
        <v>1</v>
      </c>
      <c r="Z55" s="7" t="b">
        <v>1</v>
      </c>
      <c r="AA55" s="7" t="b">
        <v>1</v>
      </c>
      <c r="AB55" s="7" t="b">
        <v>0</v>
      </c>
      <c r="AC55" s="7"/>
    </row>
    <row r="56" spans="1:29" x14ac:dyDescent="0.3">
      <c r="A56" s="7">
        <f t="shared" si="2"/>
        <v>55</v>
      </c>
      <c r="B56" s="7">
        <v>7</v>
      </c>
      <c r="C56" s="7" t="str">
        <f t="array" ref="C56">GetValue("Tables",B56,"Name")</f>
        <v>Users</v>
      </c>
      <c r="D56" s="8" t="str" cm="1">
        <f t="array" ref="D56">GetValue("Tables",B56,"Alias")</f>
        <v>User</v>
      </c>
      <c r="E56" s="7">
        <f>E55+5</f>
        <v>15</v>
      </c>
      <c r="F56" s="7">
        <v>11</v>
      </c>
      <c r="G56" s="7" t="str">
        <f t="array" ref="G56">GetValue("Domains",F56,"Name")</f>
        <v>Nvarchar(256)</v>
      </c>
      <c r="H56" s="7" t="str" cm="1">
        <f t="array" ref="H56">GetValue("Domains",F56,"#CategoryName")</f>
        <v>string</v>
      </c>
      <c r="I56" s="7" t="str" cm="1">
        <f t="array" ref="I56">GetValue("Domains",F56,"#TypeName")</f>
        <v>nvarchar</v>
      </c>
      <c r="J56" s="7" t="str" cm="1">
        <f t="array" ref="J56">GetValue("Domains",F56,"#DataType")</f>
        <v>nvarchar(256)</v>
      </c>
      <c r="K56" s="7"/>
      <c r="L56" s="7" t="str">
        <f t="array" ref="L56">GetValue("Tables",K56,"Name")</f>
        <v/>
      </c>
      <c r="M56" s="7" t="s">
        <v>117</v>
      </c>
      <c r="N56" s="7"/>
      <c r="O56" s="7" t="s">
        <v>220</v>
      </c>
      <c r="P56" s="7" t="s">
        <v>221</v>
      </c>
      <c r="Q56" s="7" t="s">
        <v>221</v>
      </c>
      <c r="R56" s="14"/>
      <c r="S56" s="14" t="s">
        <v>35</v>
      </c>
      <c r="T56" s="14"/>
      <c r="U56" s="7" t="b">
        <v>0</v>
      </c>
      <c r="V56" s="7"/>
      <c r="W56" s="7" t="b">
        <v>1</v>
      </c>
      <c r="X56" s="7" t="b">
        <v>0</v>
      </c>
      <c r="Y56" s="7" t="b">
        <v>0</v>
      </c>
      <c r="Z56" s="7" t="b">
        <v>1</v>
      </c>
      <c r="AA56" s="7" t="b">
        <v>0</v>
      </c>
      <c r="AB56" s="7" t="b">
        <v>1</v>
      </c>
      <c r="AC56" s="7"/>
    </row>
    <row r="57" spans="1:29" x14ac:dyDescent="0.3">
      <c r="A57" s="7">
        <f t="shared" si="2"/>
        <v>56</v>
      </c>
      <c r="B57" s="7">
        <v>7</v>
      </c>
      <c r="C57" s="7" t="str">
        <f t="array" ref="C57">GetValue("Tables",B57,"Name")</f>
        <v>Users</v>
      </c>
      <c r="D57" s="8" t="str" cm="1">
        <f t="array" ref="D57">GetValue("Tables",B57,"Alias")</f>
        <v>User</v>
      </c>
      <c r="E57" s="7">
        <f>E56+5</f>
        <v>20</v>
      </c>
      <c r="F57" s="7">
        <v>10</v>
      </c>
      <c r="G57" s="7" t="str">
        <f t="array" ref="G57">GetValue("Domains",F57,"Name")</f>
        <v>Nvarchar(50)</v>
      </c>
      <c r="H57" s="7" t="str" cm="1">
        <f t="array" ref="H57">GetValue("Domains",F57,"#CategoryName")</f>
        <v>string</v>
      </c>
      <c r="I57" s="7" t="str" cm="1">
        <f t="array" ref="I57">GetValue("Domains",F57,"#TypeName")</f>
        <v>nvarchar</v>
      </c>
      <c r="J57" s="7" t="str" cm="1">
        <f t="array" ref="J57">GetValue("Domains",F57,"#DataType")</f>
        <v>nvarchar(50)</v>
      </c>
      <c r="K57" s="7"/>
      <c r="L57" s="7" t="str">
        <f t="array" ref="L57">GetValue("Tables",K57,"Name")</f>
        <v/>
      </c>
      <c r="M57" s="7" t="s">
        <v>118</v>
      </c>
      <c r="N57" s="7"/>
      <c r="O57" s="7" t="s">
        <v>222</v>
      </c>
      <c r="P57" s="7" t="s">
        <v>223</v>
      </c>
      <c r="Q57" s="7" t="s">
        <v>223</v>
      </c>
      <c r="R57" s="14"/>
      <c r="S57" s="14" t="s">
        <v>35</v>
      </c>
      <c r="T57" s="14"/>
      <c r="U57" s="7" t="b">
        <v>0</v>
      </c>
      <c r="V57" s="7"/>
      <c r="W57" s="7" t="b">
        <v>1</v>
      </c>
      <c r="X57" s="7" t="b">
        <v>0</v>
      </c>
      <c r="Y57" s="7" t="b">
        <v>1</v>
      </c>
      <c r="Z57" s="7" t="b">
        <v>1</v>
      </c>
      <c r="AA57" s="7" t="b">
        <v>1</v>
      </c>
      <c r="AB57" s="7" t="b">
        <v>0</v>
      </c>
      <c r="AC57" s="7"/>
    </row>
    <row r="58" spans="1:29" x14ac:dyDescent="0.3">
      <c r="A58" s="7">
        <f t="shared" si="2"/>
        <v>57</v>
      </c>
      <c r="B58" s="7">
        <v>7</v>
      </c>
      <c r="C58" s="7" t="str">
        <f t="array" ref="C58">GetValue("Tables",B58,"Name")</f>
        <v>Users</v>
      </c>
      <c r="D58" s="8" t="str" cm="1">
        <f t="array" ref="D58">GetValue("Tables",B58,"Alias")</f>
        <v>User</v>
      </c>
      <c r="E58" s="7">
        <f>E57+5</f>
        <v>25</v>
      </c>
      <c r="F58" s="7">
        <v>5</v>
      </c>
      <c r="G58" s="7" t="str">
        <f t="array" ref="G58">GetValue("Domains",F58,"Name")</f>
        <v>TinyInteger</v>
      </c>
      <c r="H58" s="7" t="str" cm="1">
        <f t="array" ref="H58">GetValue("Domains",F58,"#CategoryName")</f>
        <v>numeric</v>
      </c>
      <c r="I58" s="7" t="str" cm="1">
        <f t="array" ref="I58">GetValue("Domains",F58,"#TypeName")</f>
        <v>tinyint</v>
      </c>
      <c r="J58" s="7" t="str" cm="1">
        <f t="array" ref="J58">GetValue("Domains",F58,"#DataType")</f>
        <v>tinyint</v>
      </c>
      <c r="K58" s="7"/>
      <c r="L58" s="7" t="str">
        <f t="array" ref="L58">GetValue("Tables",K58,"Name")</f>
        <v/>
      </c>
      <c r="M58" s="7" t="s">
        <v>119</v>
      </c>
      <c r="N58" s="7"/>
      <c r="O58" s="7" t="s">
        <v>224</v>
      </c>
      <c r="P58" s="7" t="s">
        <v>224</v>
      </c>
      <c r="Q58" s="7" t="s">
        <v>224</v>
      </c>
      <c r="R58" s="14">
        <v>0</v>
      </c>
      <c r="S58" s="14">
        <v>0</v>
      </c>
      <c r="T58" s="14"/>
      <c r="U58" s="7" t="b">
        <v>0</v>
      </c>
      <c r="V58" s="7" t="b">
        <v>0</v>
      </c>
      <c r="W58" s="7" t="b">
        <v>1</v>
      </c>
      <c r="X58" s="7"/>
      <c r="Y58" s="7" t="b">
        <v>0</v>
      </c>
      <c r="Z58" s="7" t="b">
        <v>1</v>
      </c>
      <c r="AA58" s="7" t="b">
        <v>1</v>
      </c>
      <c r="AB58" s="7"/>
      <c r="AC58" s="7" t="b">
        <v>0</v>
      </c>
    </row>
    <row r="59" spans="1:29" x14ac:dyDescent="0.3">
      <c r="A59" s="7">
        <f t="shared" si="2"/>
        <v>58</v>
      </c>
      <c r="B59" s="7">
        <v>7</v>
      </c>
      <c r="C59" s="7" t="str">
        <f t="array" ref="C59">GetValue("Tables",B59,"Name")</f>
        <v>Users</v>
      </c>
      <c r="D59" s="8" t="str" cm="1">
        <f t="array" ref="D59">GetValue("Tables",B59,"Alias")</f>
        <v>User</v>
      </c>
      <c r="E59" s="7">
        <f>E58+5</f>
        <v>30</v>
      </c>
      <c r="F59" s="7">
        <v>6</v>
      </c>
      <c r="G59" s="7" t="str">
        <f t="array" ref="G59">GetValue("Domains",F59,"Name")</f>
        <v>Boolean</v>
      </c>
      <c r="H59" s="7" t="str" cm="1">
        <f t="array" ref="H59">GetValue("Domains",F59,"#CategoryName")</f>
        <v>boolean</v>
      </c>
      <c r="I59" s="7" t="str" cm="1">
        <f t="array" ref="I59">GetValue("Domains",F59,"#TypeName")</f>
        <v>bit</v>
      </c>
      <c r="J59" s="7" t="str" cm="1">
        <f t="array" ref="J59">GetValue("Domains",F59,"#DataType")</f>
        <v>bit</v>
      </c>
      <c r="K59" s="7"/>
      <c r="L59" s="7" t="str">
        <f t="array" ref="L59">GetValue("Tables",K59,"Name")</f>
        <v/>
      </c>
      <c r="M59" s="7" t="s">
        <v>33</v>
      </c>
      <c r="N59" s="7"/>
      <c r="O59" s="7" t="s">
        <v>225</v>
      </c>
      <c r="P59" s="7" t="s">
        <v>225</v>
      </c>
      <c r="Q59" s="7" t="s">
        <v>225</v>
      </c>
      <c r="R59" s="14"/>
      <c r="S59" s="14" t="s">
        <v>35</v>
      </c>
      <c r="T59" s="14"/>
      <c r="U59" s="7" t="b">
        <v>0</v>
      </c>
      <c r="V59" s="7"/>
      <c r="W59" s="7" t="b">
        <v>1</v>
      </c>
      <c r="X59" s="7"/>
      <c r="Y59" s="7" t="b">
        <v>1</v>
      </c>
      <c r="Z59" s="7" t="b">
        <v>1</v>
      </c>
      <c r="AA59" s="7" t="b">
        <v>1</v>
      </c>
      <c r="AB59" s="7"/>
      <c r="AC59" s="7"/>
    </row>
    <row r="60" spans="1:29" x14ac:dyDescent="0.3">
      <c r="A60" s="9">
        <f t="shared" si="2"/>
        <v>59</v>
      </c>
      <c r="B60" s="9">
        <v>8</v>
      </c>
      <c r="C60" s="9" t="str">
        <f t="array" ref="C60">GetValue("Tables",B60,"Name")</f>
        <v>SystemsUsers</v>
      </c>
      <c r="D60" s="9" t="str" cm="1">
        <f t="array" ref="D60">GetValue("Tables",B60,"Alias")</f>
        <v>SystemUser</v>
      </c>
      <c r="E60" s="9">
        <v>5</v>
      </c>
      <c r="F60" s="9">
        <v>1</v>
      </c>
      <c r="G60" s="9" t="str">
        <f t="array" ref="G60">GetValue("Domains",F60,"Name")</f>
        <v>BigInteger</v>
      </c>
      <c r="H60" s="9" t="str" cm="1">
        <f t="array" ref="H60">GetValue("Domains",F60,"#CategoryName")</f>
        <v>numeric</v>
      </c>
      <c r="I60" s="9" t="str" cm="1">
        <f t="array" ref="I60">GetValue("Domains",F60,"#TypeName")</f>
        <v>bigint</v>
      </c>
      <c r="J60" s="9" t="str" cm="1">
        <f t="array" ref="J60">GetValue("Domains",F60,"#DataType")</f>
        <v>bigint</v>
      </c>
      <c r="K60" s="9"/>
      <c r="L60" s="9" t="str">
        <f t="array" ref="L60">GetValue("Tables",K60,"Name")</f>
        <v/>
      </c>
      <c r="M60" s="9" t="s">
        <v>0</v>
      </c>
      <c r="N60" s="9"/>
      <c r="O60" s="9" t="s">
        <v>226</v>
      </c>
      <c r="P60" s="9" t="s">
        <v>207</v>
      </c>
      <c r="Q60" s="9" t="s">
        <v>207</v>
      </c>
      <c r="R60" s="15"/>
      <c r="S60" s="16">
        <v>1</v>
      </c>
      <c r="T60" s="16"/>
      <c r="U60" s="9" t="b">
        <v>1</v>
      </c>
      <c r="V60" s="9" t="b">
        <v>1</v>
      </c>
      <c r="W60" s="9" t="b">
        <v>1</v>
      </c>
      <c r="X60" s="9"/>
      <c r="Y60" s="9" t="b">
        <v>1</v>
      </c>
      <c r="Z60" s="9" t="b">
        <v>0</v>
      </c>
      <c r="AA60" s="9" t="b">
        <v>0</v>
      </c>
      <c r="AB60" s="9"/>
      <c r="AC60" s="9" t="b">
        <v>0</v>
      </c>
    </row>
    <row r="61" spans="1:29" x14ac:dyDescent="0.3">
      <c r="A61" s="9">
        <f t="shared" si="2"/>
        <v>60</v>
      </c>
      <c r="B61" s="9">
        <v>8</v>
      </c>
      <c r="C61" s="9" t="str">
        <f t="array" ref="C61">GetValue("Tables",B61,"Name")</f>
        <v>SystemsUsers</v>
      </c>
      <c r="D61" s="9" t="str" cm="1">
        <f t="array" ref="D61">GetValue("Tables",B61,"Alias")</f>
        <v>SystemUser</v>
      </c>
      <c r="E61" s="9">
        <f>E60+5</f>
        <v>10</v>
      </c>
      <c r="F61" s="9">
        <v>1</v>
      </c>
      <c r="G61" s="9" t="str">
        <f t="array" ref="G61">GetValue("Domains",F61,"Name")</f>
        <v>BigInteger</v>
      </c>
      <c r="H61" s="9" t="str" cm="1">
        <f t="array" ref="H61">GetValue("Domains",F61,"#CategoryName")</f>
        <v>numeric</v>
      </c>
      <c r="I61" s="9" t="str" cm="1">
        <f t="array" ref="I61">GetValue("Domains",F61,"#TypeName")</f>
        <v>bigint</v>
      </c>
      <c r="J61" s="9" t="str" cm="1">
        <f t="array" ref="J61">GetValue("Domains",F61,"#DataType")</f>
        <v>bigint</v>
      </c>
      <c r="K61" s="9">
        <v>5</v>
      </c>
      <c r="L61" s="9" t="str">
        <f t="array" ref="L61">GetValue("Tables",K61,"Name")</f>
        <v>Systems</v>
      </c>
      <c r="M61" s="9" t="s">
        <v>87</v>
      </c>
      <c r="N61" s="9"/>
      <c r="O61" s="9" t="s">
        <v>197</v>
      </c>
      <c r="P61" s="9" t="s">
        <v>160</v>
      </c>
      <c r="Q61" s="9" t="s">
        <v>160</v>
      </c>
      <c r="R61" s="15"/>
      <c r="S61" s="16">
        <v>1</v>
      </c>
      <c r="T61" s="16"/>
      <c r="U61" s="9" t="b">
        <v>0</v>
      </c>
      <c r="V61" s="9" t="b">
        <v>0</v>
      </c>
      <c r="W61" s="9" t="b">
        <v>1</v>
      </c>
      <c r="X61" s="9"/>
      <c r="Y61" s="9" t="b">
        <v>1</v>
      </c>
      <c r="Z61" s="9" t="b">
        <v>1</v>
      </c>
      <c r="AA61" s="9" t="b">
        <v>1</v>
      </c>
      <c r="AB61" s="9"/>
      <c r="AC61" s="9" t="b">
        <v>0</v>
      </c>
    </row>
    <row r="62" spans="1:29" x14ac:dyDescent="0.3">
      <c r="A62" s="9">
        <f t="shared" si="2"/>
        <v>61</v>
      </c>
      <c r="B62" s="9">
        <v>8</v>
      </c>
      <c r="C62" s="9" t="str">
        <f t="array" ref="C62">GetValue("Tables",B62,"Name")</f>
        <v>SystemsUsers</v>
      </c>
      <c r="D62" s="9" t="str" cm="1">
        <f t="array" ref="D62">GetValue("Tables",B62,"Alias")</f>
        <v>SystemUser</v>
      </c>
      <c r="E62" s="9">
        <f>E61+5</f>
        <v>15</v>
      </c>
      <c r="F62" s="9">
        <v>1</v>
      </c>
      <c r="G62" s="9" t="str">
        <f t="array" ref="G62">GetValue("Domains",F62,"Name")</f>
        <v>BigInteger</v>
      </c>
      <c r="H62" s="9" t="str" cm="1">
        <f t="array" ref="H62">GetValue("Domains",F62,"#CategoryName")</f>
        <v>numeric</v>
      </c>
      <c r="I62" s="9" t="str" cm="1">
        <f t="array" ref="I62">GetValue("Domains",F62,"#TypeName")</f>
        <v>bigint</v>
      </c>
      <c r="J62" s="9" t="str" cm="1">
        <f t="array" ref="J62">GetValue("Domains",F62,"#DataType")</f>
        <v>bigint</v>
      </c>
      <c r="K62" s="9">
        <v>7</v>
      </c>
      <c r="L62" s="9" t="str">
        <f t="array" ref="L62">GetValue("Tables",K62,"Name")</f>
        <v>Users</v>
      </c>
      <c r="M62" s="9" t="s">
        <v>121</v>
      </c>
      <c r="N62" s="9"/>
      <c r="O62" s="9" t="s">
        <v>218</v>
      </c>
      <c r="P62" s="9" t="s">
        <v>227</v>
      </c>
      <c r="Q62" s="9" t="s">
        <v>227</v>
      </c>
      <c r="R62" s="15"/>
      <c r="S62" s="16">
        <v>1</v>
      </c>
      <c r="T62" s="16"/>
      <c r="U62" s="9" t="b">
        <v>0</v>
      </c>
      <c r="V62" s="9" t="b">
        <v>0</v>
      </c>
      <c r="W62" s="9" t="b">
        <v>1</v>
      </c>
      <c r="X62" s="9"/>
      <c r="Y62" s="9" t="b">
        <v>1</v>
      </c>
      <c r="Z62" s="9" t="b">
        <v>1</v>
      </c>
      <c r="AA62" s="9" t="b">
        <v>1</v>
      </c>
      <c r="AB62" s="9"/>
      <c r="AC62" s="9" t="b">
        <v>0</v>
      </c>
    </row>
    <row r="63" spans="1:29" x14ac:dyDescent="0.3">
      <c r="A63" s="9">
        <f t="shared" si="2"/>
        <v>62</v>
      </c>
      <c r="B63" s="9">
        <v>8</v>
      </c>
      <c r="C63" s="9" t="str">
        <f t="array" ref="C63">GetValue("Tables",B63,"Name")</f>
        <v>SystemsUsers</v>
      </c>
      <c r="D63" s="9" t="str" cm="1">
        <f t="array" ref="D63">GetValue("Tables",B63,"Alias")</f>
        <v>SystemUser</v>
      </c>
      <c r="E63" s="9">
        <f>E62+5</f>
        <v>20</v>
      </c>
      <c r="F63" s="9">
        <v>10</v>
      </c>
      <c r="G63" s="9" t="str">
        <f t="array" ref="G63">GetValue("Domains",F63,"Name")</f>
        <v>Nvarchar(50)</v>
      </c>
      <c r="H63" s="9" t="str" cm="1">
        <f t="array" ref="H63">GetValue("Domains",F63,"#CategoryName")</f>
        <v>string</v>
      </c>
      <c r="I63" s="9" t="str" cm="1">
        <f t="array" ref="I63">GetValue("Domains",F63,"#TypeName")</f>
        <v>nvarchar</v>
      </c>
      <c r="J63" s="9" t="str" cm="1">
        <f t="array" ref="J63">GetValue("Domains",F63,"#DataType")</f>
        <v>nvarchar(50)</v>
      </c>
      <c r="K63" s="9"/>
      <c r="L63" s="9" t="str">
        <f t="array" ref="L63">GetValue("Tables",K63,"Name")</f>
        <v/>
      </c>
      <c r="M63" s="9" t="s">
        <v>1</v>
      </c>
      <c r="N63" s="9"/>
      <c r="O63" s="9" t="s">
        <v>440</v>
      </c>
      <c r="P63" s="9" t="s">
        <v>162</v>
      </c>
      <c r="Q63" s="9" t="s">
        <v>162</v>
      </c>
      <c r="R63" s="15"/>
      <c r="S63" s="16"/>
      <c r="T63" s="16"/>
      <c r="U63" s="9" t="b">
        <v>0</v>
      </c>
      <c r="V63" s="9"/>
      <c r="W63" s="9" t="b">
        <v>1</v>
      </c>
      <c r="X63" s="9" t="b">
        <v>1</v>
      </c>
      <c r="Y63" s="9" t="b">
        <v>1</v>
      </c>
      <c r="Z63" s="9" t="b">
        <v>1</v>
      </c>
      <c r="AA63" s="9" t="b">
        <v>1</v>
      </c>
      <c r="AB63" s="9" t="b">
        <v>0</v>
      </c>
      <c r="AC63" s="9"/>
    </row>
    <row r="64" spans="1:29" x14ac:dyDescent="0.3">
      <c r="A64" s="7">
        <f t="shared" si="2"/>
        <v>63</v>
      </c>
      <c r="B64" s="7">
        <v>9</v>
      </c>
      <c r="C64" s="7" t="str">
        <f t="array" ref="C64">GetValue("Tables",B64,"Name")</f>
        <v>Connections</v>
      </c>
      <c r="D64" s="8" t="str" cm="1">
        <f t="array" ref="D64">GetValue("Tables",B64,"Alias")</f>
        <v>Connection</v>
      </c>
      <c r="E64" s="7">
        <v>5</v>
      </c>
      <c r="F64" s="7">
        <v>1</v>
      </c>
      <c r="G64" s="7" t="str">
        <f t="array" ref="G64">GetValue("Domains",F64,"Name")</f>
        <v>BigInteger</v>
      </c>
      <c r="H64" s="7" t="str" cm="1">
        <f t="array" ref="H64">GetValue("Domains",F64,"#CategoryName")</f>
        <v>numeric</v>
      </c>
      <c r="I64" s="7" t="str" cm="1">
        <f t="array" ref="I64">GetValue("Domains",F64,"#TypeName")</f>
        <v>bigint</v>
      </c>
      <c r="J64" s="7" t="str" cm="1">
        <f t="array" ref="J64">GetValue("Domains",F64,"#DataType")</f>
        <v>bigint</v>
      </c>
      <c r="K64" s="7"/>
      <c r="L64" s="7" t="str">
        <f t="array" ref="L64">GetValue("Tables",K64,"Name")</f>
        <v/>
      </c>
      <c r="M64" s="7" t="s">
        <v>0</v>
      </c>
      <c r="N64" s="7"/>
      <c r="O64" s="7" t="s">
        <v>456</v>
      </c>
      <c r="P64" s="7" t="s">
        <v>160</v>
      </c>
      <c r="Q64" s="7" t="s">
        <v>160</v>
      </c>
      <c r="R64" s="14"/>
      <c r="S64" s="14"/>
      <c r="T64" s="14"/>
      <c r="U64" s="7" t="b">
        <v>1</v>
      </c>
      <c r="V64" s="7" t="b">
        <v>1</v>
      </c>
      <c r="W64" s="7" t="b">
        <v>1</v>
      </c>
      <c r="X64" s="7" t="b">
        <v>0</v>
      </c>
      <c r="Y64" s="7" t="b">
        <v>1</v>
      </c>
      <c r="Z64" s="7" t="b">
        <v>0</v>
      </c>
      <c r="AA64" s="7" t="b">
        <v>0</v>
      </c>
      <c r="AB64" s="7"/>
      <c r="AC64" s="7" t="b">
        <v>0</v>
      </c>
    </row>
    <row r="65" spans="1:29" x14ac:dyDescent="0.3">
      <c r="A65" s="7">
        <f t="shared" si="2"/>
        <v>64</v>
      </c>
      <c r="B65" s="7">
        <v>9</v>
      </c>
      <c r="C65" s="7" t="str">
        <f t="array" ref="C65">GetValue("Tables",B65,"Name")</f>
        <v>Connections</v>
      </c>
      <c r="D65" s="8" t="str" cm="1">
        <f t="array" ref="D65">GetValue("Tables",B65,"Alias")</f>
        <v>Connection</v>
      </c>
      <c r="E65" s="7">
        <f>E64+5</f>
        <v>10</v>
      </c>
      <c r="F65" s="7">
        <v>10</v>
      </c>
      <c r="G65" s="7" t="str">
        <f t="array" ref="G65">GetValue("Domains",F65,"Name")</f>
        <v>Nvarchar(50)</v>
      </c>
      <c r="H65" s="7" t="str" cm="1">
        <f t="array" ref="H65">GetValue("Domains",F65,"#CategoryName")</f>
        <v>string</v>
      </c>
      <c r="I65" s="7" t="str" cm="1">
        <f t="array" ref="I65">GetValue("Domains",F65,"#TypeName")</f>
        <v>nvarchar</v>
      </c>
      <c r="J65" s="7" t="str" cm="1">
        <f t="array" ref="J65">GetValue("Domains",F65,"#DataType")</f>
        <v>nvarchar(50)</v>
      </c>
      <c r="K65" s="7"/>
      <c r="L65" s="7" t="str">
        <f t="array" ref="L65">GetValue("Tables",K65,"Name")</f>
        <v/>
      </c>
      <c r="M65" s="7" t="s">
        <v>446</v>
      </c>
      <c r="N65" s="7"/>
      <c r="O65" s="7" t="s">
        <v>457</v>
      </c>
      <c r="P65" s="7" t="s">
        <v>458</v>
      </c>
      <c r="Q65" s="7" t="s">
        <v>458</v>
      </c>
      <c r="R65" s="14"/>
      <c r="S65" s="14"/>
      <c r="T65" s="14"/>
      <c r="U65" s="7" t="b">
        <v>0</v>
      </c>
      <c r="V65" s="7"/>
      <c r="W65" s="7" t="b">
        <v>1</v>
      </c>
      <c r="X65" s="7" t="b">
        <v>0</v>
      </c>
      <c r="Y65" s="7" t="b">
        <v>1</v>
      </c>
      <c r="Z65" s="7" t="b">
        <v>1</v>
      </c>
      <c r="AA65" s="7" t="b">
        <v>1</v>
      </c>
      <c r="AB65" s="7" t="b">
        <v>0</v>
      </c>
      <c r="AC65" s="7"/>
    </row>
    <row r="66" spans="1:29" x14ac:dyDescent="0.3">
      <c r="A66" s="7">
        <f t="shared" si="2"/>
        <v>65</v>
      </c>
      <c r="B66" s="7">
        <v>9</v>
      </c>
      <c r="C66" s="7" t="str">
        <f t="array" ref="C66">GetValue("Tables",B66,"Name")</f>
        <v>Connections</v>
      </c>
      <c r="D66" s="8" t="str" cm="1">
        <f t="array" ref="D66">GetValue("Tables",B66,"Alias")</f>
        <v>Connection</v>
      </c>
      <c r="E66" s="7">
        <f t="shared" ref="E66:E74" si="6">E65+5</f>
        <v>15</v>
      </c>
      <c r="F66" s="7">
        <v>9</v>
      </c>
      <c r="G66" s="7" t="str">
        <f t="array" ref="G66">GetValue("Domains",F66,"Name")</f>
        <v>Nvarchar(25)</v>
      </c>
      <c r="H66" s="7" t="str" cm="1">
        <f t="array" ref="H66">GetValue("Domains",F66,"#CategoryName")</f>
        <v>string</v>
      </c>
      <c r="I66" s="7" t="str" cm="1">
        <f t="array" ref="I66">GetValue("Domains",F66,"#TypeName")</f>
        <v>nvarchar</v>
      </c>
      <c r="J66" s="7" t="str" cm="1">
        <f t="array" ref="J66">GetValue("Domains",F66,"#DataType")</f>
        <v>nvarchar(25)</v>
      </c>
      <c r="K66" s="7"/>
      <c r="L66" s="7" t="str">
        <f t="array" ref="L66">GetValue("Tables",K66,"Name")</f>
        <v/>
      </c>
      <c r="M66" s="7" t="s">
        <v>123</v>
      </c>
      <c r="N66" s="7"/>
      <c r="O66" s="7" t="s">
        <v>514</v>
      </c>
      <c r="P66" s="7" t="s">
        <v>515</v>
      </c>
      <c r="Q66" s="7" t="s">
        <v>515</v>
      </c>
      <c r="R66" s="14"/>
      <c r="S66" s="14"/>
      <c r="T66" s="14"/>
      <c r="U66" s="7" t="b">
        <v>0</v>
      </c>
      <c r="V66" s="7"/>
      <c r="W66" s="7" t="b">
        <v>1</v>
      </c>
      <c r="X66" s="7" t="b">
        <v>0</v>
      </c>
      <c r="Y66" s="7" t="b">
        <v>1</v>
      </c>
      <c r="Z66" s="7" t="b">
        <v>1</v>
      </c>
      <c r="AA66" s="7" t="b">
        <v>1</v>
      </c>
      <c r="AB66" s="7" t="b">
        <v>0</v>
      </c>
      <c r="AC66" s="7"/>
    </row>
    <row r="67" spans="1:29" x14ac:dyDescent="0.3">
      <c r="A67" s="7">
        <f t="shared" si="2"/>
        <v>66</v>
      </c>
      <c r="B67" s="7">
        <v>9</v>
      </c>
      <c r="C67" s="7" t="str">
        <f t="array" ref="C67">GetValue("Tables",B67,"Name")</f>
        <v>Connections</v>
      </c>
      <c r="D67" s="8" t="str" cm="1">
        <f t="array" ref="D67">GetValue("Tables",B67,"Alias")</f>
        <v>Connection</v>
      </c>
      <c r="E67" s="7">
        <f t="shared" si="6"/>
        <v>20</v>
      </c>
      <c r="F67" s="7">
        <v>3</v>
      </c>
      <c r="G67" s="7" t="str">
        <f t="array" ref="G67">GetValue("Domains",F67,"Name")</f>
        <v>ShortInteger</v>
      </c>
      <c r="H67" s="7" t="str" cm="1">
        <f t="array" ref="H67">GetValue("Domains",F67,"#CategoryName")</f>
        <v>numeric</v>
      </c>
      <c r="I67" s="7" t="str" cm="1">
        <f t="array" ref="I67">GetValue("Domains",F67,"#TypeName")</f>
        <v>int</v>
      </c>
      <c r="J67" s="7" t="str" cm="1">
        <f t="array" ref="J67">GetValue("Domains",F67,"#DataType")</f>
        <v>int</v>
      </c>
      <c r="K67" s="7"/>
      <c r="L67" s="7" t="str">
        <f t="array" ref="L67">GetValue("Tables",K67,"Name")</f>
        <v/>
      </c>
      <c r="M67" s="7" t="s">
        <v>124</v>
      </c>
      <c r="N67" s="7"/>
      <c r="O67" s="7" t="s">
        <v>232</v>
      </c>
      <c r="P67" s="7" t="s">
        <v>459</v>
      </c>
      <c r="Q67" s="7" t="s">
        <v>459</v>
      </c>
      <c r="R67" s="14"/>
      <c r="S67" s="14">
        <v>1</v>
      </c>
      <c r="T67" s="14"/>
      <c r="U67" s="7" t="b">
        <v>0</v>
      </c>
      <c r="V67" s="7"/>
      <c r="W67" s="7" t="b">
        <v>1</v>
      </c>
      <c r="X67" s="7"/>
      <c r="Y67" s="7" t="b">
        <v>1</v>
      </c>
      <c r="Z67" s="7" t="b">
        <v>1</v>
      </c>
      <c r="AA67" s="7" t="b">
        <v>1</v>
      </c>
      <c r="AB67" s="7"/>
      <c r="AC67" s="7" t="b">
        <v>0</v>
      </c>
    </row>
    <row r="68" spans="1:29" x14ac:dyDescent="0.3">
      <c r="A68" s="7">
        <f t="shared" si="2"/>
        <v>67</v>
      </c>
      <c r="B68" s="7">
        <v>9</v>
      </c>
      <c r="C68" s="7" t="str">
        <f t="array" ref="C68">GetValue("Tables",B68,"Name")</f>
        <v>Connections</v>
      </c>
      <c r="D68" s="8" t="str" cm="1">
        <f t="array" ref="D68">GetValue("Tables",B68,"Alias")</f>
        <v>Connection</v>
      </c>
      <c r="E68" s="7">
        <f t="shared" si="6"/>
        <v>25</v>
      </c>
      <c r="F68" s="7">
        <v>6</v>
      </c>
      <c r="G68" s="7" t="str">
        <f t="array" ref="G68">GetValue("Domains",F68,"Name")</f>
        <v>Boolean</v>
      </c>
      <c r="H68" s="7" t="str" cm="1">
        <f t="array" ref="H68">GetValue("Domains",F68,"#CategoryName")</f>
        <v>boolean</v>
      </c>
      <c r="I68" s="7" t="str" cm="1">
        <f t="array" ref="I68">GetValue("Domains",F68,"#TypeName")</f>
        <v>bit</v>
      </c>
      <c r="J68" s="7" t="str" cm="1">
        <f t="array" ref="J68">GetValue("Domains",F68,"#DataType")</f>
        <v>bit</v>
      </c>
      <c r="K68" s="7"/>
      <c r="L68" s="7" t="str">
        <f t="array" ref="L68">GetValue("Tables",K68,"Name")</f>
        <v/>
      </c>
      <c r="M68" s="7" t="s">
        <v>447</v>
      </c>
      <c r="N68" s="7"/>
      <c r="O68" s="7" t="s">
        <v>460</v>
      </c>
      <c r="P68" s="7" t="s">
        <v>460</v>
      </c>
      <c r="Q68" s="7" t="s">
        <v>460</v>
      </c>
      <c r="R68" s="14"/>
      <c r="S68" s="14"/>
      <c r="T68" s="14"/>
      <c r="U68" s="7" t="b">
        <v>0</v>
      </c>
      <c r="V68" s="7"/>
      <c r="W68" s="7" t="b">
        <v>1</v>
      </c>
      <c r="X68" s="7"/>
      <c r="Y68" s="7" t="b">
        <v>1</v>
      </c>
      <c r="Z68" s="7" t="b">
        <v>1</v>
      </c>
      <c r="AA68" s="7" t="b">
        <v>1</v>
      </c>
      <c r="AB68" s="7"/>
      <c r="AC68" s="7"/>
    </row>
    <row r="69" spans="1:29" x14ac:dyDescent="0.3">
      <c r="A69" s="7">
        <f t="shared" si="2"/>
        <v>68</v>
      </c>
      <c r="B69" s="7">
        <v>9</v>
      </c>
      <c r="C69" s="7" t="str">
        <f t="array" ref="C69">GetValue("Tables",B69,"Name")</f>
        <v>Connections</v>
      </c>
      <c r="D69" s="8" t="str" cm="1">
        <f t="array" ref="D69">GetValue("Tables",B69,"Alias")</f>
        <v>Connection</v>
      </c>
      <c r="E69" s="7">
        <f t="shared" si="6"/>
        <v>30</v>
      </c>
      <c r="F69" s="7">
        <v>4</v>
      </c>
      <c r="G69" s="7" t="str">
        <f t="array" ref="G69">GetValue("Domains",F69,"Name")</f>
        <v>SmallInteger</v>
      </c>
      <c r="H69" s="7" t="str" cm="1">
        <f t="array" ref="H69">GetValue("Domains",F69,"#CategoryName")</f>
        <v>numeric</v>
      </c>
      <c r="I69" s="7" t="str" cm="1">
        <f t="array" ref="I69">GetValue("Domains",F69,"#TypeName")</f>
        <v>smallint</v>
      </c>
      <c r="J69" s="7" t="str" cm="1">
        <f t="array" ref="J69">GetValue("Domains",F69,"#DataType")</f>
        <v>smallint</v>
      </c>
      <c r="K69" s="7"/>
      <c r="L69" s="7" t="str">
        <f t="array" ref="L69">GetValue("Tables",K69,"Name")</f>
        <v/>
      </c>
      <c r="M69" s="7" t="s">
        <v>448</v>
      </c>
      <c r="N69" s="7"/>
      <c r="O69" s="7" t="s">
        <v>461</v>
      </c>
      <c r="P69" s="7" t="s">
        <v>462</v>
      </c>
      <c r="Q69" s="7" t="s">
        <v>462</v>
      </c>
      <c r="R69" s="14"/>
      <c r="S69" s="14">
        <v>0</v>
      </c>
      <c r="T69" s="14"/>
      <c r="U69" s="7" t="b">
        <v>0</v>
      </c>
      <c r="V69" s="7" t="b">
        <v>0</v>
      </c>
      <c r="W69" s="7" t="b">
        <v>1</v>
      </c>
      <c r="X69" s="7"/>
      <c r="Y69" s="7" t="b">
        <v>0</v>
      </c>
      <c r="Z69" s="7" t="b">
        <v>1</v>
      </c>
      <c r="AA69" s="7" t="b">
        <v>1</v>
      </c>
      <c r="AB69" s="7"/>
      <c r="AC69" s="7" t="b">
        <v>0</v>
      </c>
    </row>
    <row r="70" spans="1:29" x14ac:dyDescent="0.3">
      <c r="A70" s="7">
        <f t="shared" si="2"/>
        <v>69</v>
      </c>
      <c r="B70" s="7">
        <v>9</v>
      </c>
      <c r="C70" s="7" t="str">
        <f t="array" ref="C70">GetValue("Tables",B70,"Name")</f>
        <v>Connections</v>
      </c>
      <c r="D70" s="8" t="str" cm="1">
        <f t="array" ref="D70">GetValue("Tables",B70,"Alias")</f>
        <v>Connection</v>
      </c>
      <c r="E70" s="7">
        <f t="shared" si="6"/>
        <v>35</v>
      </c>
      <c r="F70" s="7">
        <v>12</v>
      </c>
      <c r="G70" s="7" t="str">
        <f t="array" ref="G70">GetValue("Domains",F70,"Name")</f>
        <v>Nvarchar(MAX)</v>
      </c>
      <c r="H70" s="7" t="str" cm="1">
        <f t="array" ref="H70">GetValue("Domains",F70,"#CategoryName")</f>
        <v>text</v>
      </c>
      <c r="I70" s="7" t="str" cm="1">
        <f t="array" ref="I70">GetValue("Domains",F70,"#TypeName")</f>
        <v>nvarchar(max)</v>
      </c>
      <c r="J70" s="7" t="str" cm="1">
        <f t="array" ref="J70">GetValue("Domains",F70,"#DataType")</f>
        <v>nvarchar(max)</v>
      </c>
      <c r="K70" s="7"/>
      <c r="L70" s="7" t="str">
        <f t="array" ref="L70">GetValue("Tables",K70,"Name")</f>
        <v/>
      </c>
      <c r="M70" s="7" t="s">
        <v>449</v>
      </c>
      <c r="N70" s="7"/>
      <c r="O70" s="7" t="s">
        <v>463</v>
      </c>
      <c r="P70" s="7" t="s">
        <v>464</v>
      </c>
      <c r="Q70" s="7" t="s">
        <v>464</v>
      </c>
      <c r="R70" s="14"/>
      <c r="S70" s="14"/>
      <c r="T70" s="14"/>
      <c r="U70" s="7" t="b">
        <v>0</v>
      </c>
      <c r="V70" s="7"/>
      <c r="W70" s="7" t="b">
        <v>0</v>
      </c>
      <c r="X70" s="7" t="b">
        <v>0</v>
      </c>
      <c r="Y70" s="7"/>
      <c r="Z70" s="7" t="b">
        <v>1</v>
      </c>
      <c r="AA70" s="7" t="b">
        <v>0</v>
      </c>
      <c r="AB70" s="7" t="b">
        <v>0</v>
      </c>
      <c r="AC70" s="7"/>
    </row>
    <row r="71" spans="1:29" x14ac:dyDescent="0.3">
      <c r="A71" s="7">
        <f t="shared" si="2"/>
        <v>70</v>
      </c>
      <c r="B71" s="7">
        <v>9</v>
      </c>
      <c r="C71" s="7" t="str">
        <f t="array" ref="C71">GetValue("Tables",B71,"Name")</f>
        <v>Connections</v>
      </c>
      <c r="D71" s="8" t="str" cm="1">
        <f t="array" ref="D71">GetValue("Tables",B71,"Alias")</f>
        <v>Connection</v>
      </c>
      <c r="E71" s="7">
        <f t="shared" si="6"/>
        <v>40</v>
      </c>
      <c r="F71" s="7">
        <v>9</v>
      </c>
      <c r="G71" s="7" t="str">
        <f t="array" ref="G71">GetValue("Domains",F71,"Name")</f>
        <v>Nvarchar(25)</v>
      </c>
      <c r="H71" s="7" t="str" cm="1">
        <f t="array" ref="H71">GetValue("Domains",F71,"#CategoryName")</f>
        <v>string</v>
      </c>
      <c r="I71" s="7" t="str" cm="1">
        <f t="array" ref="I71">GetValue("Domains",F71,"#TypeName")</f>
        <v>nvarchar</v>
      </c>
      <c r="J71" s="7" t="str" cm="1">
        <f t="array" ref="J71">GetValue("Domains",F71,"#DataType")</f>
        <v>nvarchar(25)</v>
      </c>
      <c r="K71" s="7"/>
      <c r="L71" s="7" t="str">
        <f t="array" ref="L71">GetValue("Tables",K71,"Name")</f>
        <v/>
      </c>
      <c r="M71" s="7" t="s">
        <v>450</v>
      </c>
      <c r="N71" s="7"/>
      <c r="O71" s="7" t="s">
        <v>465</v>
      </c>
      <c r="P71" s="7" t="s">
        <v>227</v>
      </c>
      <c r="Q71" s="7" t="s">
        <v>227</v>
      </c>
      <c r="R71" s="14"/>
      <c r="S71" s="14"/>
      <c r="T71" s="14"/>
      <c r="U71" s="7" t="b">
        <v>0</v>
      </c>
      <c r="V71" s="7"/>
      <c r="W71" s="7" t="b">
        <v>0</v>
      </c>
      <c r="X71" s="7" t="b">
        <v>0</v>
      </c>
      <c r="Y71" s="7"/>
      <c r="Z71" s="7" t="b">
        <v>1</v>
      </c>
      <c r="AA71" s="7" t="b">
        <v>1</v>
      </c>
      <c r="AB71" s="7" t="b">
        <v>0</v>
      </c>
      <c r="AC71" s="7"/>
    </row>
    <row r="72" spans="1:29" x14ac:dyDescent="0.3">
      <c r="A72" s="7">
        <f t="shared" si="2"/>
        <v>71</v>
      </c>
      <c r="B72" s="7">
        <v>9</v>
      </c>
      <c r="C72" s="7" t="str">
        <f t="array" ref="C72">GetValue("Tables",B72,"Name")</f>
        <v>Connections</v>
      </c>
      <c r="D72" s="8" t="str" cm="1">
        <f t="array" ref="D72">GetValue("Tables",B72,"Alias")</f>
        <v>Connection</v>
      </c>
      <c r="E72" s="7">
        <f t="shared" si="6"/>
        <v>45</v>
      </c>
      <c r="F72" s="7">
        <v>11</v>
      </c>
      <c r="G72" s="7" t="str">
        <f t="array" ref="G72">GetValue("Domains",F72,"Name")</f>
        <v>Nvarchar(256)</v>
      </c>
      <c r="H72" s="7" t="str" cm="1">
        <f t="array" ref="H72">GetValue("Domains",F72,"#CategoryName")</f>
        <v>string</v>
      </c>
      <c r="I72" s="7" t="str" cm="1">
        <f t="array" ref="I72">GetValue("Domains",F72,"#TypeName")</f>
        <v>nvarchar</v>
      </c>
      <c r="J72" s="7" t="str" cm="1">
        <f t="array" ref="J72">GetValue("Domains",F72,"#DataType")</f>
        <v>nvarchar(256)</v>
      </c>
      <c r="K72" s="7"/>
      <c r="L72" s="7" t="str">
        <f t="array" ref="L72">GetValue("Tables",K72,"Name")</f>
        <v/>
      </c>
      <c r="M72" s="7" t="s">
        <v>117</v>
      </c>
      <c r="N72" s="7"/>
      <c r="O72" s="7" t="s">
        <v>220</v>
      </c>
      <c r="P72" s="7" t="s">
        <v>221</v>
      </c>
      <c r="Q72" s="7" t="s">
        <v>221</v>
      </c>
      <c r="R72" s="14"/>
      <c r="S72" s="14"/>
      <c r="T72" s="14"/>
      <c r="U72" s="7" t="b">
        <v>0</v>
      </c>
      <c r="V72" s="7"/>
      <c r="W72" s="7" t="b">
        <v>0</v>
      </c>
      <c r="X72" s="7" t="b">
        <v>0</v>
      </c>
      <c r="Y72" s="7"/>
      <c r="Z72" s="7" t="b">
        <v>1</v>
      </c>
      <c r="AA72" s="7" t="b">
        <v>0</v>
      </c>
      <c r="AB72" s="7" t="b">
        <v>1</v>
      </c>
      <c r="AC72" s="7"/>
    </row>
    <row r="73" spans="1:29" x14ac:dyDescent="0.3">
      <c r="A73" s="7">
        <f t="shared" si="2"/>
        <v>72</v>
      </c>
      <c r="B73" s="7">
        <v>9</v>
      </c>
      <c r="C73" s="7" t="str">
        <f t="array" ref="C73">GetValue("Tables",B73,"Name")</f>
        <v>Connections</v>
      </c>
      <c r="D73" s="8" t="str" cm="1">
        <f t="array" ref="D73">GetValue("Tables",B73,"Alias")</f>
        <v>Connection</v>
      </c>
      <c r="E73" s="7">
        <f t="shared" si="6"/>
        <v>50</v>
      </c>
      <c r="F73" s="7">
        <v>6</v>
      </c>
      <c r="G73" s="7" t="str">
        <f t="array" ref="G73">GetValue("Domains",F73,"Name")</f>
        <v>Boolean</v>
      </c>
      <c r="H73" s="7" t="str" cm="1">
        <f t="array" ref="H73">GetValue("Domains",F73,"#CategoryName")</f>
        <v>boolean</v>
      </c>
      <c r="I73" s="7" t="str" cm="1">
        <f t="array" ref="I73">GetValue("Domains",F73,"#TypeName")</f>
        <v>bit</v>
      </c>
      <c r="J73" s="7" t="str" cm="1">
        <f t="array" ref="J73">GetValue("Domains",F73,"#DataType")</f>
        <v>bit</v>
      </c>
      <c r="K73" s="7"/>
      <c r="L73" s="7" t="str">
        <f t="array" ref="L73">GetValue("Tables",K73,"Name")</f>
        <v/>
      </c>
      <c r="M73" s="7" t="s">
        <v>451</v>
      </c>
      <c r="N73" s="7"/>
      <c r="O73" s="7" t="s">
        <v>466</v>
      </c>
      <c r="P73" s="7" t="s">
        <v>467</v>
      </c>
      <c r="Q73" s="7" t="s">
        <v>467</v>
      </c>
      <c r="R73" s="14"/>
      <c r="S73" s="14"/>
      <c r="T73" s="14"/>
      <c r="U73" s="7" t="b">
        <v>0</v>
      </c>
      <c r="V73" s="7"/>
      <c r="W73" s="7" t="b">
        <v>0</v>
      </c>
      <c r="X73" s="7"/>
      <c r="Y73" s="7"/>
      <c r="Z73" s="7" t="b">
        <v>1</v>
      </c>
      <c r="AA73" s="7" t="b">
        <v>0</v>
      </c>
      <c r="AB73" s="7"/>
      <c r="AC73" s="7"/>
    </row>
    <row r="74" spans="1:29" x14ac:dyDescent="0.3">
      <c r="A74" s="7">
        <f t="shared" si="2"/>
        <v>73</v>
      </c>
      <c r="B74" s="7">
        <v>9</v>
      </c>
      <c r="C74" s="7" t="str">
        <f t="array" ref="C74">GetValue("Tables",B74,"Name")</f>
        <v>Connections</v>
      </c>
      <c r="D74" s="8" t="str" cm="1">
        <f t="array" ref="D74">GetValue("Tables",B74,"Alias")</f>
        <v>Connection</v>
      </c>
      <c r="E74" s="7">
        <f t="shared" si="6"/>
        <v>55</v>
      </c>
      <c r="F74" s="7">
        <v>12</v>
      </c>
      <c r="G74" s="7" t="str">
        <f t="array" ref="G74">GetValue("Domains",F74,"Name")</f>
        <v>Nvarchar(MAX)</v>
      </c>
      <c r="H74" s="7" t="str" cm="1">
        <f t="array" ref="H74">GetValue("Domains",F74,"#CategoryName")</f>
        <v>text</v>
      </c>
      <c r="I74" s="7" t="str" cm="1">
        <f t="array" ref="I74">GetValue("Domains",F74,"#TypeName")</f>
        <v>nvarchar(max)</v>
      </c>
      <c r="J74" s="7" t="str" cm="1">
        <f t="array" ref="J74">GetValue("Domains",F74,"#DataType")</f>
        <v>nvarchar(max)</v>
      </c>
      <c r="K74" s="7"/>
      <c r="L74" s="7" t="str">
        <f t="array" ref="L74">GetValue("Tables",K74,"Name")</f>
        <v/>
      </c>
      <c r="M74" s="7" t="s">
        <v>452</v>
      </c>
      <c r="N74" s="7"/>
      <c r="O74" s="7" t="s">
        <v>468</v>
      </c>
      <c r="P74" s="7" t="s">
        <v>469</v>
      </c>
      <c r="Q74" s="7" t="s">
        <v>469</v>
      </c>
      <c r="R74" s="14"/>
      <c r="S74" s="14"/>
      <c r="T74" s="14"/>
      <c r="U74" s="7" t="b">
        <v>0</v>
      </c>
      <c r="V74" s="7"/>
      <c r="W74" s="7" t="b">
        <v>0</v>
      </c>
      <c r="X74" s="7" t="b">
        <v>0</v>
      </c>
      <c r="Y74" s="7" t="b">
        <v>0</v>
      </c>
      <c r="Z74" s="7" t="b">
        <v>1</v>
      </c>
      <c r="AA74" s="7" t="b">
        <v>0</v>
      </c>
      <c r="AB74" s="7" t="b">
        <v>0</v>
      </c>
      <c r="AC74" s="7"/>
    </row>
    <row r="75" spans="1:29" x14ac:dyDescent="0.3">
      <c r="A75" s="9">
        <f t="shared" si="2"/>
        <v>74</v>
      </c>
      <c r="B75" s="9">
        <v>10</v>
      </c>
      <c r="C75" s="9" t="str">
        <f t="array" ref="C75">GetValue("Tables",B75,"Name")</f>
        <v>Databases</v>
      </c>
      <c r="D75" s="9" t="str" cm="1">
        <f t="array" ref="D75">GetValue("Tables",B75,"Alias")</f>
        <v>Database</v>
      </c>
      <c r="E75" s="9">
        <v>5</v>
      </c>
      <c r="F75" s="9">
        <v>1</v>
      </c>
      <c r="G75" s="9" t="str">
        <f t="array" ref="G75">GetValue("Domains",F75,"Name")</f>
        <v>BigInteger</v>
      </c>
      <c r="H75" s="9" t="str" cm="1">
        <f t="array" ref="H75">GetValue("Domains",F75,"#CategoryName")</f>
        <v>numeric</v>
      </c>
      <c r="I75" s="9" t="str" cm="1">
        <f t="array" ref="I75">GetValue("Domains",F75,"#TypeName")</f>
        <v>bigint</v>
      </c>
      <c r="J75" s="9" t="str" cm="1">
        <f t="array" ref="J75">GetValue("Domains",F75,"#DataType")</f>
        <v>bigint</v>
      </c>
      <c r="K75" s="9"/>
      <c r="L75" s="9" t="str">
        <f t="array" ref="L75">GetValue("Tables",K75,"Name")</f>
        <v/>
      </c>
      <c r="M75" s="9" t="s">
        <v>0</v>
      </c>
      <c r="N75" s="9"/>
      <c r="O75" s="9" t="s">
        <v>228</v>
      </c>
      <c r="P75" s="9" t="s">
        <v>160</v>
      </c>
      <c r="Q75" s="9" t="s">
        <v>160</v>
      </c>
      <c r="R75" s="15"/>
      <c r="S75" s="16">
        <v>1</v>
      </c>
      <c r="T75" s="16"/>
      <c r="U75" s="9" t="b">
        <v>1</v>
      </c>
      <c r="V75" s="9" t="b">
        <v>1</v>
      </c>
      <c r="W75" s="9" t="b">
        <v>1</v>
      </c>
      <c r="X75" s="9"/>
      <c r="Y75" s="9" t="b">
        <v>1</v>
      </c>
      <c r="Z75" s="9" t="b">
        <v>0</v>
      </c>
      <c r="AA75" s="9" t="b">
        <v>0</v>
      </c>
      <c r="AB75" s="9"/>
      <c r="AC75" s="9" t="b">
        <v>0</v>
      </c>
    </row>
    <row r="76" spans="1:29" x14ac:dyDescent="0.3">
      <c r="A76" s="9">
        <f t="shared" si="2"/>
        <v>75</v>
      </c>
      <c r="B76" s="9">
        <v>10</v>
      </c>
      <c r="C76" s="9" t="str">
        <f t="array" ref="C76">GetValue("Tables",B76,"Name")</f>
        <v>Databases</v>
      </c>
      <c r="D76" s="9" t="str" cm="1">
        <f t="array" ref="D76">GetValue("Tables",B76,"Alias")</f>
        <v>Database</v>
      </c>
      <c r="E76" s="9">
        <f>E75+5</f>
        <v>10</v>
      </c>
      <c r="F76" s="9">
        <v>1</v>
      </c>
      <c r="G76" s="9" t="str">
        <f t="array" ref="G76">GetValue("Domains",F76,"Name")</f>
        <v>BigInteger</v>
      </c>
      <c r="H76" s="9" t="str" cm="1">
        <f t="array" ref="H76">GetValue("Domains",F76,"#CategoryName")</f>
        <v>numeric</v>
      </c>
      <c r="I76" s="9" t="str" cm="1">
        <f t="array" ref="I76">GetValue("Domains",F76,"#TypeName")</f>
        <v>bigint</v>
      </c>
      <c r="J76" s="9" t="str" cm="1">
        <f t="array" ref="J76">GetValue("Domains",F76,"#DataType")</f>
        <v>bigint</v>
      </c>
      <c r="K76" s="9">
        <v>9</v>
      </c>
      <c r="L76" s="9" t="str">
        <f t="array" ref="L76">GetValue("Tables",K76,"Name")</f>
        <v>Connections</v>
      </c>
      <c r="M76" s="9" t="s">
        <v>511</v>
      </c>
      <c r="N76" s="9"/>
      <c r="O76" s="9" t="s">
        <v>512</v>
      </c>
      <c r="P76" s="9" t="s">
        <v>513</v>
      </c>
      <c r="Q76" s="9" t="s">
        <v>513</v>
      </c>
      <c r="R76" s="15"/>
      <c r="S76" s="16">
        <v>1</v>
      </c>
      <c r="T76" s="16"/>
      <c r="U76" s="9" t="b">
        <v>0</v>
      </c>
      <c r="V76" s="9" t="b">
        <v>0</v>
      </c>
      <c r="W76" s="9" t="b">
        <v>1</v>
      </c>
      <c r="X76" s="9"/>
      <c r="Y76" s="9" t="b">
        <v>1</v>
      </c>
      <c r="Z76" s="9" t="b">
        <v>1</v>
      </c>
      <c r="AA76" s="9" t="b">
        <v>1</v>
      </c>
      <c r="AB76" s="9"/>
      <c r="AC76" s="9" t="b">
        <v>0</v>
      </c>
    </row>
    <row r="77" spans="1:29" x14ac:dyDescent="0.3">
      <c r="A77" s="9">
        <f t="shared" si="2"/>
        <v>76</v>
      </c>
      <c r="B77" s="9">
        <v>10</v>
      </c>
      <c r="C77" s="9" t="str">
        <f t="array" ref="C77">GetValue("Tables",B77,"Name")</f>
        <v>Databases</v>
      </c>
      <c r="D77" s="9" t="str" cm="1">
        <f t="array" ref="D77">GetValue("Tables",B77,"Alias")</f>
        <v>Database</v>
      </c>
      <c r="E77" s="9">
        <f t="shared" ref="E77:E82" si="7">E76+5</f>
        <v>15</v>
      </c>
      <c r="F77" s="9">
        <v>9</v>
      </c>
      <c r="G77" s="9" t="str">
        <f t="array" ref="G77">GetValue("Domains",F77,"Name")</f>
        <v>Nvarchar(25)</v>
      </c>
      <c r="H77" s="9" t="str" cm="1">
        <f t="array" ref="H77">GetValue("Domains",F77,"#CategoryName")</f>
        <v>string</v>
      </c>
      <c r="I77" s="9" t="str" cm="1">
        <f t="array" ref="I77">GetValue("Domains",F77,"#TypeName")</f>
        <v>nvarchar</v>
      </c>
      <c r="J77" s="9" t="str" cm="1">
        <f t="array" ref="J77">GetValue("Domains",F77,"#DataType")</f>
        <v>nvarchar(25)</v>
      </c>
      <c r="K77" s="9"/>
      <c r="L77" s="9" t="str">
        <f t="array" ref="L77">GetValue("Tables",K77,"Name")</f>
        <v/>
      </c>
      <c r="M77" s="9" t="s">
        <v>1</v>
      </c>
      <c r="N77" s="9"/>
      <c r="O77" s="9" t="s">
        <v>229</v>
      </c>
      <c r="P77" s="9" t="s">
        <v>162</v>
      </c>
      <c r="Q77" s="9" t="s">
        <v>162</v>
      </c>
      <c r="R77" s="15"/>
      <c r="S77" s="16" t="s">
        <v>35</v>
      </c>
      <c r="T77" s="16"/>
      <c r="U77" s="9" t="b">
        <v>0</v>
      </c>
      <c r="V77" s="9"/>
      <c r="W77" s="9" t="b">
        <v>1</v>
      </c>
      <c r="X77" s="9" t="b">
        <v>1</v>
      </c>
      <c r="Y77" s="9" t="b">
        <v>1</v>
      </c>
      <c r="Z77" s="9" t="b">
        <v>1</v>
      </c>
      <c r="AA77" s="9" t="b">
        <v>1</v>
      </c>
      <c r="AB77" s="9" t="b">
        <v>0</v>
      </c>
      <c r="AC77" s="9"/>
    </row>
    <row r="78" spans="1:29" x14ac:dyDescent="0.3">
      <c r="A78" s="9">
        <f>ROW(A78)-1</f>
        <v>77</v>
      </c>
      <c r="B78" s="9">
        <v>10</v>
      </c>
      <c r="C78" s="9" t="str">
        <f t="array" ref="C78">GetValue("Tables",B78,"Name")</f>
        <v>Databases</v>
      </c>
      <c r="D78" s="9" t="str" cm="1">
        <f t="array" ref="D78">GetValue("Tables",B78,"Alias")</f>
        <v>Database</v>
      </c>
      <c r="E78" s="9">
        <f t="shared" si="7"/>
        <v>20</v>
      </c>
      <c r="F78" s="9">
        <v>9</v>
      </c>
      <c r="G78" s="9" t="str">
        <f t="array" ref="G78">GetValue("Domains",F78,"Name")</f>
        <v>Nvarchar(25)</v>
      </c>
      <c r="H78" s="9" t="str" cm="1">
        <f t="array" ref="H78">GetValue("Domains",F78,"#CategoryName")</f>
        <v>string</v>
      </c>
      <c r="I78" s="9" t="str" cm="1">
        <f t="array" ref="I78">GetValue("Domains",F78,"#TypeName")</f>
        <v>nvarchar</v>
      </c>
      <c r="J78" s="9" t="str" cm="1">
        <f t="array" ref="J78">GetValue("Domains",F78,"#DataType")</f>
        <v>nvarchar(25)</v>
      </c>
      <c r="K78" s="9"/>
      <c r="L78" s="9" t="str">
        <f t="array" ref="L78">GetValue("Tables",K78,"Name")</f>
        <v/>
      </c>
      <c r="M78" s="9" t="s">
        <v>122</v>
      </c>
      <c r="N78" s="9"/>
      <c r="O78" s="9" t="s">
        <v>231</v>
      </c>
      <c r="P78" s="9" t="s">
        <v>122</v>
      </c>
      <c r="Q78" s="9" t="s">
        <v>122</v>
      </c>
      <c r="R78" s="15"/>
      <c r="S78" s="16" t="s">
        <v>35</v>
      </c>
      <c r="T78" s="16"/>
      <c r="U78" s="9" t="b">
        <v>0</v>
      </c>
      <c r="V78" s="9"/>
      <c r="W78" s="9" t="b">
        <v>1</v>
      </c>
      <c r="X78" s="9" t="b">
        <v>0</v>
      </c>
      <c r="Y78" s="9" t="b">
        <v>1</v>
      </c>
      <c r="Z78" s="9" t="b">
        <v>1</v>
      </c>
      <c r="AA78" s="9" t="b">
        <v>1</v>
      </c>
      <c r="AB78" s="9" t="b">
        <v>0</v>
      </c>
      <c r="AC78" s="9"/>
    </row>
    <row r="79" spans="1:29" x14ac:dyDescent="0.3">
      <c r="A79" s="9">
        <f t="shared" si="2"/>
        <v>78</v>
      </c>
      <c r="B79" s="9">
        <v>10</v>
      </c>
      <c r="C79" s="9" t="str">
        <f t="array" ref="C79">GetValue("Tables",B79,"Name")</f>
        <v>Databases</v>
      </c>
      <c r="D79" s="9" t="str" cm="1">
        <f t="array" ref="D79">GetValue("Tables",B79,"Alias")</f>
        <v>Database</v>
      </c>
      <c r="E79" s="9">
        <f t="shared" si="7"/>
        <v>25</v>
      </c>
      <c r="F79" s="9">
        <v>10</v>
      </c>
      <c r="G79" s="9" t="str">
        <f t="array" ref="G79">GetValue("Domains",F79,"Name")</f>
        <v>Nvarchar(50)</v>
      </c>
      <c r="H79" s="9" t="str" cm="1">
        <f t="array" ref="H79">GetValue("Domains",F79,"#CategoryName")</f>
        <v>string</v>
      </c>
      <c r="I79" s="9" t="str" cm="1">
        <f t="array" ref="I79">GetValue("Domains",F79,"#TypeName")</f>
        <v>nvarchar</v>
      </c>
      <c r="J79" s="9" t="str" cm="1">
        <f t="array" ref="J79">GetValue("Domains",F79,"#DataType")</f>
        <v>nvarchar(50)</v>
      </c>
      <c r="K79" s="9"/>
      <c r="L79" s="9" t="str">
        <f t="array" ref="L79">GetValue("Tables",K79,"Name")</f>
        <v/>
      </c>
      <c r="M79" s="9" t="s">
        <v>84</v>
      </c>
      <c r="N79" s="9"/>
      <c r="O79" s="9" t="s">
        <v>230</v>
      </c>
      <c r="P79" s="9" t="s">
        <v>200</v>
      </c>
      <c r="Q79" s="9" t="s">
        <v>200</v>
      </c>
      <c r="R79" s="15"/>
      <c r="S79" s="16" t="s">
        <v>35</v>
      </c>
      <c r="T79" s="16"/>
      <c r="U79" s="9" t="b">
        <v>0</v>
      </c>
      <c r="V79" s="9"/>
      <c r="W79" s="9" t="b">
        <v>1</v>
      </c>
      <c r="X79" s="9" t="b">
        <v>0</v>
      </c>
      <c r="Y79" s="9" t="b">
        <v>0</v>
      </c>
      <c r="Z79" s="9" t="b">
        <v>1</v>
      </c>
      <c r="AA79" s="9" t="b">
        <v>1</v>
      </c>
      <c r="AB79" s="9" t="b">
        <v>0</v>
      </c>
      <c r="AC79" s="9"/>
    </row>
    <row r="80" spans="1:29" x14ac:dyDescent="0.3">
      <c r="A80" s="9">
        <f t="shared" si="2"/>
        <v>79</v>
      </c>
      <c r="B80" s="9">
        <v>10</v>
      </c>
      <c r="C80" s="9" t="str">
        <f t="array" ref="C80">GetValue("Tables",B80,"Name")</f>
        <v>Databases</v>
      </c>
      <c r="D80" s="9" t="str" cm="1">
        <f t="array" ref="D80">GetValue("Tables",B80,"Alias")</f>
        <v>Database</v>
      </c>
      <c r="E80" s="9">
        <f t="shared" si="7"/>
        <v>30</v>
      </c>
      <c r="F80" s="9">
        <v>11</v>
      </c>
      <c r="G80" s="9" t="str">
        <f t="array" ref="G80">GetValue("Domains",F80,"Name")</f>
        <v>Nvarchar(256)</v>
      </c>
      <c r="H80" s="9" t="str" cm="1">
        <f t="array" ref="H80">GetValue("Domains",F80,"#CategoryName")</f>
        <v>string</v>
      </c>
      <c r="I80" s="9" t="str" cm="1">
        <f t="array" ref="I80">GetValue("Domains",F80,"#TypeName")</f>
        <v>nvarchar</v>
      </c>
      <c r="J80" s="9" t="str" cm="1">
        <f t="array" ref="J80">GetValue("Domains",F80,"#DataType")</f>
        <v>nvarchar(256)</v>
      </c>
      <c r="K80" s="9"/>
      <c r="L80" s="9" t="str">
        <f t="array" ref="L80">GetValue("Tables",K80,"Name")</f>
        <v/>
      </c>
      <c r="M80" s="9" t="s">
        <v>125</v>
      </c>
      <c r="N80" s="9"/>
      <c r="O80" s="9" t="s">
        <v>233</v>
      </c>
      <c r="P80" s="9" t="s">
        <v>234</v>
      </c>
      <c r="Q80" s="9" t="s">
        <v>234</v>
      </c>
      <c r="R80" s="15"/>
      <c r="S80" s="16" t="s">
        <v>35</v>
      </c>
      <c r="T80" s="16"/>
      <c r="U80" s="9" t="b">
        <v>0</v>
      </c>
      <c r="V80" s="9"/>
      <c r="W80" s="9" t="b">
        <v>0</v>
      </c>
      <c r="X80" s="9" t="b">
        <v>0</v>
      </c>
      <c r="Y80" s="9" t="b">
        <v>0</v>
      </c>
      <c r="Z80" s="9" t="b">
        <v>1</v>
      </c>
      <c r="AA80" s="9" t="b">
        <v>0</v>
      </c>
      <c r="AB80" s="9" t="b">
        <v>1</v>
      </c>
      <c r="AC80" s="9"/>
    </row>
    <row r="81" spans="1:29" x14ac:dyDescent="0.3">
      <c r="A81" s="9">
        <f>ROW(A81)-1</f>
        <v>80</v>
      </c>
      <c r="B81" s="9">
        <v>10</v>
      </c>
      <c r="C81" s="9" t="str">
        <f t="array" ref="C81">GetValue("Tables",B81,"Name")</f>
        <v>Databases</v>
      </c>
      <c r="D81" s="9" t="str" cm="1">
        <f t="array" ref="D81">GetValue("Tables",B81,"Alias")</f>
        <v>Database</v>
      </c>
      <c r="E81" s="9">
        <f t="shared" si="7"/>
        <v>35</v>
      </c>
      <c r="F81" s="9">
        <v>6</v>
      </c>
      <c r="G81" s="9" t="str">
        <f t="array" ref="G81">GetValue("Domains",F81,"Name")</f>
        <v>Boolean</v>
      </c>
      <c r="H81" s="9" t="str" cm="1">
        <f t="array" ref="H81">GetValue("Domains",F81,"#CategoryName")</f>
        <v>boolean</v>
      </c>
      <c r="I81" s="9" t="str" cm="1">
        <f t="array" ref="I81">GetValue("Domains",F81,"#TypeName")</f>
        <v>bit</v>
      </c>
      <c r="J81" s="9" t="str" cm="1">
        <f t="array" ref="J81">GetValue("Domains",F81,"#DataType")</f>
        <v>bit</v>
      </c>
      <c r="K81" s="9"/>
      <c r="L81" s="9" t="str">
        <f t="array" ref="L81">GetValue("Tables",K81,"Name")</f>
        <v/>
      </c>
      <c r="M81" s="9" t="s">
        <v>482</v>
      </c>
      <c r="N81" s="9"/>
      <c r="O81" s="9" t="s">
        <v>518</v>
      </c>
      <c r="P81" s="9" t="s">
        <v>519</v>
      </c>
      <c r="Q81" s="9" t="s">
        <v>519</v>
      </c>
      <c r="R81" s="15"/>
      <c r="S81" s="16"/>
      <c r="T81" s="16"/>
      <c r="U81" s="9"/>
      <c r="V81" s="9"/>
      <c r="W81" s="9" t="b">
        <v>1</v>
      </c>
      <c r="X81" s="9"/>
      <c r="Y81" s="9" t="b">
        <v>0</v>
      </c>
      <c r="Z81" s="9" t="b">
        <v>1</v>
      </c>
      <c r="AA81" s="9" t="b">
        <v>1</v>
      </c>
      <c r="AB81" s="9"/>
      <c r="AC81" s="9"/>
    </row>
    <row r="82" spans="1:29" x14ac:dyDescent="0.3">
      <c r="A82" s="9">
        <f t="shared" si="2"/>
        <v>81</v>
      </c>
      <c r="B82" s="9">
        <v>10</v>
      </c>
      <c r="C82" s="9" t="str">
        <f t="array" ref="C82">GetValue("Tables",B82,"Name")</f>
        <v>Databases</v>
      </c>
      <c r="D82" s="9" t="str" cm="1">
        <f t="array" ref="D82">GetValue("Tables",B82,"Alias")</f>
        <v>Database</v>
      </c>
      <c r="E82" s="9">
        <f t="shared" si="7"/>
        <v>40</v>
      </c>
      <c r="F82" s="9">
        <v>1</v>
      </c>
      <c r="G82" s="9" t="str">
        <f t="array" ref="G82">GetValue("Domains",F82,"Name")</f>
        <v>BigInteger</v>
      </c>
      <c r="H82" s="9" t="str" cm="1">
        <f t="array" ref="H82">GetValue("Domains",F82,"#CategoryName")</f>
        <v>numeric</v>
      </c>
      <c r="I82" s="9" t="str" cm="1">
        <f t="array" ref="I82">GetValue("Domains",F82,"#TypeName")</f>
        <v>bigint</v>
      </c>
      <c r="J82" s="9" t="str" cm="1">
        <f t="array" ref="J82">GetValue("Domains",F82,"#DataType")</f>
        <v>bigint</v>
      </c>
      <c r="K82" s="9"/>
      <c r="L82" s="9" t="str">
        <f t="array" ref="L82">GetValue("Tables",K82,"Name")</f>
        <v/>
      </c>
      <c r="M82" s="9" t="s">
        <v>507</v>
      </c>
      <c r="N82" s="9"/>
      <c r="O82" s="9" t="s">
        <v>517</v>
      </c>
      <c r="P82" s="9" t="s">
        <v>516</v>
      </c>
      <c r="Q82" s="9" t="s">
        <v>516</v>
      </c>
      <c r="R82" s="15">
        <v>0</v>
      </c>
      <c r="S82" s="16">
        <v>0</v>
      </c>
      <c r="T82" s="16"/>
      <c r="U82" s="9" t="b">
        <v>0</v>
      </c>
      <c r="V82" s="9" t="b">
        <v>0</v>
      </c>
      <c r="W82" s="9" t="b">
        <v>1</v>
      </c>
      <c r="X82" s="9"/>
      <c r="Y82" s="9" t="b">
        <v>0</v>
      </c>
      <c r="Z82" s="9" t="b">
        <v>0</v>
      </c>
      <c r="AA82" s="9" t="b">
        <v>0</v>
      </c>
      <c r="AB82" s="9"/>
      <c r="AC82" s="9" t="b">
        <v>0</v>
      </c>
    </row>
    <row r="83" spans="1:29" x14ac:dyDescent="0.3">
      <c r="A83" s="7">
        <f t="shared" si="2"/>
        <v>82</v>
      </c>
      <c r="B83" s="7">
        <v>11</v>
      </c>
      <c r="C83" s="7" t="str">
        <f t="array" ref="C83">GetValue("Tables",B83,"Name")</f>
        <v>SystemsDatabases</v>
      </c>
      <c r="D83" s="8" t="str" cm="1">
        <f t="array" ref="D83">GetValue("Tables",B83,"Alias")</f>
        <v>SystemDatabase</v>
      </c>
      <c r="E83" s="7">
        <v>5</v>
      </c>
      <c r="F83" s="7">
        <v>1</v>
      </c>
      <c r="G83" s="7" t="str">
        <f t="array" ref="G83">GetValue("Domains",F83,"Name")</f>
        <v>BigInteger</v>
      </c>
      <c r="H83" s="7" t="str" cm="1">
        <f t="array" ref="H83">GetValue("Domains",F83,"#CategoryName")</f>
        <v>numeric</v>
      </c>
      <c r="I83" s="7" t="str" cm="1">
        <f t="array" ref="I83">GetValue("Domains",F83,"#TypeName")</f>
        <v>bigint</v>
      </c>
      <c r="J83" s="7" t="str" cm="1">
        <f t="array" ref="J83">GetValue("Domains",F83,"#DataType")</f>
        <v>bigint</v>
      </c>
      <c r="K83" s="7"/>
      <c r="L83" s="7" t="str">
        <f t="array" ref="L83">GetValue("Tables",K83,"Name")</f>
        <v/>
      </c>
      <c r="M83" s="7" t="s">
        <v>0</v>
      </c>
      <c r="N83" s="7"/>
      <c r="O83" s="7" t="s">
        <v>235</v>
      </c>
      <c r="P83" s="7" t="s">
        <v>160</v>
      </c>
      <c r="Q83" s="7" t="s">
        <v>160</v>
      </c>
      <c r="R83" s="14"/>
      <c r="S83" s="14">
        <v>1</v>
      </c>
      <c r="T83" s="14"/>
      <c r="U83" s="7" t="b">
        <v>1</v>
      </c>
      <c r="V83" s="7" t="b">
        <v>1</v>
      </c>
      <c r="W83" s="7" t="b">
        <v>1</v>
      </c>
      <c r="X83" s="7"/>
      <c r="Y83" s="7" t="b">
        <v>1</v>
      </c>
      <c r="Z83" s="7" t="b">
        <v>0</v>
      </c>
      <c r="AA83" s="7" t="b">
        <v>0</v>
      </c>
      <c r="AB83" s="7"/>
      <c r="AC83" s="7" t="b">
        <v>0</v>
      </c>
    </row>
    <row r="84" spans="1:29" x14ac:dyDescent="0.3">
      <c r="A84" s="7">
        <f t="shared" si="2"/>
        <v>83</v>
      </c>
      <c r="B84" s="7">
        <v>11</v>
      </c>
      <c r="C84" s="7" t="str">
        <f t="array" ref="C84">GetValue("Tables",B84,"Name")</f>
        <v>SystemsDatabases</v>
      </c>
      <c r="D84" s="8" t="str" cm="1">
        <f t="array" ref="D84">GetValue("Tables",B84,"Alias")</f>
        <v>SystemDatabase</v>
      </c>
      <c r="E84" s="7">
        <f>E83+5</f>
        <v>10</v>
      </c>
      <c r="F84" s="7">
        <v>1</v>
      </c>
      <c r="G84" s="7" t="str">
        <f t="array" ref="G84">GetValue("Domains",F84,"Name")</f>
        <v>BigInteger</v>
      </c>
      <c r="H84" s="7" t="str" cm="1">
        <f t="array" ref="H84">GetValue("Domains",F84,"#CategoryName")</f>
        <v>numeric</v>
      </c>
      <c r="I84" s="7" t="str" cm="1">
        <f t="array" ref="I84">GetValue("Domains",F84,"#TypeName")</f>
        <v>bigint</v>
      </c>
      <c r="J84" s="7" t="str" cm="1">
        <f t="array" ref="J84">GetValue("Domains",F84,"#DataType")</f>
        <v>bigint</v>
      </c>
      <c r="K84" s="7">
        <v>5</v>
      </c>
      <c r="L84" s="7" t="str">
        <f t="array" ref="L84">GetValue("Tables",K84,"Name")</f>
        <v>Systems</v>
      </c>
      <c r="M84" s="7" t="s">
        <v>87</v>
      </c>
      <c r="N84" s="7"/>
      <c r="O84" s="7" t="s">
        <v>197</v>
      </c>
      <c r="P84" s="7" t="s">
        <v>207</v>
      </c>
      <c r="Q84" s="7" t="s">
        <v>207</v>
      </c>
      <c r="R84" s="14"/>
      <c r="S84" s="14">
        <v>1</v>
      </c>
      <c r="T84" s="14"/>
      <c r="U84" s="7" t="b">
        <v>0</v>
      </c>
      <c r="V84" s="7" t="b">
        <v>0</v>
      </c>
      <c r="W84" s="7" t="b">
        <v>1</v>
      </c>
      <c r="X84" s="7"/>
      <c r="Y84" s="7" t="b">
        <v>1</v>
      </c>
      <c r="Z84" s="7" t="b">
        <v>1</v>
      </c>
      <c r="AA84" s="7" t="b">
        <v>1</v>
      </c>
      <c r="AB84" s="7"/>
      <c r="AC84" s="7" t="b">
        <v>0</v>
      </c>
    </row>
    <row r="85" spans="1:29" x14ac:dyDescent="0.3">
      <c r="A85" s="7">
        <f t="shared" si="2"/>
        <v>84</v>
      </c>
      <c r="B85" s="7">
        <v>11</v>
      </c>
      <c r="C85" s="7" t="str">
        <f t="array" ref="C85">GetValue("Tables",B85,"Name")</f>
        <v>SystemsDatabases</v>
      </c>
      <c r="D85" s="8" t="str" cm="1">
        <f t="array" ref="D85">GetValue("Tables",B85,"Alias")</f>
        <v>SystemDatabase</v>
      </c>
      <c r="E85" s="7">
        <f>E84+5</f>
        <v>15</v>
      </c>
      <c r="F85" s="7">
        <v>1</v>
      </c>
      <c r="G85" s="7" t="str">
        <f t="array" ref="G85">GetValue("Domains",F85,"Name")</f>
        <v>BigInteger</v>
      </c>
      <c r="H85" s="7" t="str" cm="1">
        <f t="array" ref="H85">GetValue("Domains",F85,"#CategoryName")</f>
        <v>numeric</v>
      </c>
      <c r="I85" s="7" t="str" cm="1">
        <f t="array" ref="I85">GetValue("Domains",F85,"#TypeName")</f>
        <v>bigint</v>
      </c>
      <c r="J85" s="7" t="str" cm="1">
        <f t="array" ref="J85">GetValue("Domains",F85,"#DataType")</f>
        <v>bigint</v>
      </c>
      <c r="K85" s="7">
        <v>10</v>
      </c>
      <c r="L85" s="7" t="str">
        <f t="array" ref="L85">GetValue("Tables",K85,"Name")</f>
        <v>Databases</v>
      </c>
      <c r="M85" s="7" t="s">
        <v>128</v>
      </c>
      <c r="N85" s="7"/>
      <c r="O85" s="7" t="s">
        <v>228</v>
      </c>
      <c r="P85" s="7" t="s">
        <v>236</v>
      </c>
      <c r="Q85" s="7" t="s">
        <v>236</v>
      </c>
      <c r="R85" s="14"/>
      <c r="S85" s="14">
        <v>1</v>
      </c>
      <c r="T85" s="14"/>
      <c r="U85" s="7" t="b">
        <v>0</v>
      </c>
      <c r="V85" s="7" t="b">
        <v>0</v>
      </c>
      <c r="W85" s="7" t="b">
        <v>1</v>
      </c>
      <c r="X85" s="7"/>
      <c r="Y85" s="7" t="b">
        <v>1</v>
      </c>
      <c r="Z85" s="7" t="b">
        <v>1</v>
      </c>
      <c r="AA85" s="7" t="b">
        <v>1</v>
      </c>
      <c r="AB85" s="7"/>
      <c r="AC85" s="7" t="b">
        <v>0</v>
      </c>
    </row>
    <row r="86" spans="1:29" x14ac:dyDescent="0.3">
      <c r="A86" s="7">
        <f t="shared" si="2"/>
        <v>85</v>
      </c>
      <c r="B86" s="7">
        <v>11</v>
      </c>
      <c r="C86" s="7" t="str">
        <f t="array" ref="C86">GetValue("Tables",B86,"Name")</f>
        <v>SystemsDatabases</v>
      </c>
      <c r="D86" s="8" t="str" cm="1">
        <f t="array" ref="D86">GetValue("Tables",B86,"Alias")</f>
        <v>SystemDatabase</v>
      </c>
      <c r="E86" s="7">
        <f>E85+5</f>
        <v>20</v>
      </c>
      <c r="F86" s="7">
        <v>10</v>
      </c>
      <c r="G86" s="7" t="str">
        <f t="array" ref="G86">GetValue("Domains",F86,"Name")</f>
        <v>Nvarchar(50)</v>
      </c>
      <c r="H86" s="7" t="str" cm="1">
        <f t="array" ref="H86">GetValue("Domains",F86,"#CategoryName")</f>
        <v>string</v>
      </c>
      <c r="I86" s="7" t="str" cm="1">
        <f t="array" ref="I86">GetValue("Domains",F86,"#TypeName")</f>
        <v>nvarchar</v>
      </c>
      <c r="J86" s="7" t="str" cm="1">
        <f t="array" ref="J86">GetValue("Domains",F86,"#DataType")</f>
        <v>nvarchar(50)</v>
      </c>
      <c r="K86" s="7"/>
      <c r="L86" s="7" t="str">
        <f t="array" ref="L86">GetValue("Tables",K86,"Name")</f>
        <v/>
      </c>
      <c r="M86" s="7" t="s">
        <v>1</v>
      </c>
      <c r="N86" s="7"/>
      <c r="O86" s="7" t="s">
        <v>443</v>
      </c>
      <c r="P86" s="7" t="s">
        <v>162</v>
      </c>
      <c r="Q86" s="7" t="s">
        <v>162</v>
      </c>
      <c r="R86" s="14"/>
      <c r="S86" s="14"/>
      <c r="T86" s="14"/>
      <c r="U86" s="7" t="b">
        <v>0</v>
      </c>
      <c r="V86" s="7"/>
      <c r="W86" s="7" t="b">
        <v>1</v>
      </c>
      <c r="X86" s="7" t="b">
        <v>1</v>
      </c>
      <c r="Y86" s="7" t="b">
        <v>1</v>
      </c>
      <c r="Z86" s="7" t="b">
        <v>1</v>
      </c>
      <c r="AA86" s="7" t="b">
        <v>1</v>
      </c>
      <c r="AB86" s="7" t="b">
        <v>0</v>
      </c>
      <c r="AC86" s="7"/>
    </row>
    <row r="87" spans="1:29" x14ac:dyDescent="0.3">
      <c r="A87" s="9">
        <f t="shared" si="2"/>
        <v>86</v>
      </c>
      <c r="B87" s="9">
        <v>12</v>
      </c>
      <c r="C87" s="9" t="str">
        <f t="array" ref="C87">GetValue("Tables",B87,"Name")</f>
        <v>Tables</v>
      </c>
      <c r="D87" s="9" t="str" cm="1">
        <f t="array" ref="D87">GetValue("Tables",B87,"Alias")</f>
        <v>Table</v>
      </c>
      <c r="E87" s="9">
        <v>5</v>
      </c>
      <c r="F87" s="9">
        <v>1</v>
      </c>
      <c r="G87" s="9" t="str">
        <f t="array" ref="G87">GetValue("Domains",F87,"Name")</f>
        <v>BigInteger</v>
      </c>
      <c r="H87" s="9" t="str" cm="1">
        <f t="array" ref="H87">GetValue("Domains",F87,"#CategoryName")</f>
        <v>numeric</v>
      </c>
      <c r="I87" s="9" t="str" cm="1">
        <f t="array" ref="I87">GetValue("Domains",F87,"#TypeName")</f>
        <v>bigint</v>
      </c>
      <c r="J87" s="9" t="str" cm="1">
        <f t="array" ref="J87">GetValue("Domains",F87,"#DataType")</f>
        <v>bigint</v>
      </c>
      <c r="K87" s="9"/>
      <c r="L87" s="9" t="str">
        <f t="array" ref="L87">GetValue("Tables",K87,"Name")</f>
        <v/>
      </c>
      <c r="M87" s="9" t="s">
        <v>0</v>
      </c>
      <c r="N87" s="9"/>
      <c r="O87" s="9" t="s">
        <v>237</v>
      </c>
      <c r="P87" s="9" t="s">
        <v>160</v>
      </c>
      <c r="Q87" s="9" t="s">
        <v>160</v>
      </c>
      <c r="R87" s="15"/>
      <c r="S87" s="16">
        <v>1</v>
      </c>
      <c r="T87" s="16"/>
      <c r="U87" s="9" t="b">
        <v>1</v>
      </c>
      <c r="V87" s="9" t="b">
        <v>1</v>
      </c>
      <c r="W87" s="9" t="b">
        <v>1</v>
      </c>
      <c r="X87" s="9"/>
      <c r="Y87" s="9" t="b">
        <v>1</v>
      </c>
      <c r="Z87" s="9" t="b">
        <v>0</v>
      </c>
      <c r="AA87" s="9" t="b">
        <v>0</v>
      </c>
      <c r="AB87" s="9"/>
      <c r="AC87" s="9" t="b">
        <v>0</v>
      </c>
    </row>
    <row r="88" spans="1:29" x14ac:dyDescent="0.3">
      <c r="A88" s="9">
        <f t="shared" si="2"/>
        <v>87</v>
      </c>
      <c r="B88" s="9">
        <v>12</v>
      </c>
      <c r="C88" s="9" t="str">
        <f t="array" ref="C88">GetValue("Tables",B88,"Name")</f>
        <v>Tables</v>
      </c>
      <c r="D88" s="9" t="str" cm="1">
        <f t="array" ref="D88">GetValue("Tables",B88,"Alias")</f>
        <v>Table</v>
      </c>
      <c r="E88" s="9">
        <f t="shared" ref="E88" si="8">E87+5</f>
        <v>10</v>
      </c>
      <c r="F88" s="9">
        <v>9</v>
      </c>
      <c r="G88" s="9" t="str">
        <f t="array" ref="G88">GetValue("Domains",F88,"Name")</f>
        <v>Nvarchar(25)</v>
      </c>
      <c r="H88" s="9" t="str" cm="1">
        <f t="array" ref="H88">GetValue("Domains",F88,"#CategoryName")</f>
        <v>string</v>
      </c>
      <c r="I88" s="9" t="str" cm="1">
        <f t="array" ref="I88">GetValue("Domains",F88,"#TypeName")</f>
        <v>nvarchar</v>
      </c>
      <c r="J88" s="9" t="str" cm="1">
        <f t="array" ref="J88">GetValue("Domains",F88,"#DataType")</f>
        <v>nvarchar(25)</v>
      </c>
      <c r="K88" s="9"/>
      <c r="L88" s="9" t="str">
        <f t="array" ref="L88">GetValue("Tables",K88,"Name")</f>
        <v/>
      </c>
      <c r="M88" s="9" t="s">
        <v>1</v>
      </c>
      <c r="N88" s="9"/>
      <c r="O88" s="9" t="s">
        <v>238</v>
      </c>
      <c r="P88" s="9" t="s">
        <v>162</v>
      </c>
      <c r="Q88" s="9" t="s">
        <v>162</v>
      </c>
      <c r="R88" s="15"/>
      <c r="S88" s="16" t="s">
        <v>35</v>
      </c>
      <c r="T88" s="16"/>
      <c r="U88" s="9" t="b">
        <v>0</v>
      </c>
      <c r="V88" s="9"/>
      <c r="W88" s="9" t="b">
        <v>1</v>
      </c>
      <c r="X88" s="9" t="b">
        <v>1</v>
      </c>
      <c r="Y88" s="9" t="b">
        <v>1</v>
      </c>
      <c r="Z88" s="9" t="b">
        <v>1</v>
      </c>
      <c r="AA88" s="9" t="b">
        <v>1</v>
      </c>
      <c r="AB88" s="9" t="b">
        <v>0</v>
      </c>
      <c r="AC88" s="9"/>
    </row>
    <row r="89" spans="1:29" x14ac:dyDescent="0.3">
      <c r="A89" s="9">
        <f t="shared" si="2"/>
        <v>88</v>
      </c>
      <c r="B89" s="9">
        <v>12</v>
      </c>
      <c r="C89" s="9" t="str">
        <f t="array" ref="C89">GetValue("Tables",B89,"Name")</f>
        <v>Tables</v>
      </c>
      <c r="D89" s="9" t="str" cm="1">
        <f t="array" ref="D89">GetValue("Tables",B89,"Alias")</f>
        <v>Table</v>
      </c>
      <c r="E89" s="9">
        <f t="shared" ref="E89:E93" si="9">E88+5</f>
        <v>15</v>
      </c>
      <c r="F89" s="9">
        <v>9</v>
      </c>
      <c r="G89" s="9" t="str">
        <f t="array" ref="G89">GetValue("Domains",F89,"Name")</f>
        <v>Nvarchar(25)</v>
      </c>
      <c r="H89" s="9" t="str" cm="1">
        <f t="array" ref="H89">GetValue("Domains",F89,"#CategoryName")</f>
        <v>string</v>
      </c>
      <c r="I89" s="9" t="str" cm="1">
        <f t="array" ref="I89">GetValue("Domains",F89,"#TypeName")</f>
        <v>nvarchar</v>
      </c>
      <c r="J89" s="9" t="str" cm="1">
        <f t="array" ref="J89">GetValue("Domains",F89,"#DataType")</f>
        <v>nvarchar(25)</v>
      </c>
      <c r="K89" s="9"/>
      <c r="L89" s="9" t="str">
        <f t="array" ref="L89">GetValue("Tables",K89,"Name")</f>
        <v/>
      </c>
      <c r="M89" s="9" t="s">
        <v>122</v>
      </c>
      <c r="N89" s="9"/>
      <c r="O89" s="9" t="s">
        <v>239</v>
      </c>
      <c r="P89" s="9" t="s">
        <v>122</v>
      </c>
      <c r="Q89" s="9" t="s">
        <v>122</v>
      </c>
      <c r="R89" s="15"/>
      <c r="S89" s="16" t="s">
        <v>35</v>
      </c>
      <c r="T89" s="16"/>
      <c r="U89" s="9" t="b">
        <v>0</v>
      </c>
      <c r="V89" s="9"/>
      <c r="W89" s="9" t="b">
        <v>1</v>
      </c>
      <c r="X89" s="9" t="b">
        <v>0</v>
      </c>
      <c r="Y89" s="9" t="b">
        <v>1</v>
      </c>
      <c r="Z89" s="9" t="b">
        <v>1</v>
      </c>
      <c r="AA89" s="9" t="b">
        <v>1</v>
      </c>
      <c r="AB89" s="9" t="b">
        <v>0</v>
      </c>
      <c r="AC89" s="9"/>
    </row>
    <row r="90" spans="1:29" x14ac:dyDescent="0.3">
      <c r="A90" s="9">
        <f t="shared" ref="A90:A152" si="10">ROW(A90)-1</f>
        <v>89</v>
      </c>
      <c r="B90" s="9">
        <v>12</v>
      </c>
      <c r="C90" s="9" t="str">
        <f t="array" ref="C90">GetValue("Tables",B90,"Name")</f>
        <v>Tables</v>
      </c>
      <c r="D90" s="9" t="str" cm="1">
        <f t="array" ref="D90">GetValue("Tables",B90,"Alias")</f>
        <v>Table</v>
      </c>
      <c r="E90" s="9">
        <f t="shared" si="9"/>
        <v>20</v>
      </c>
      <c r="F90" s="9">
        <v>10</v>
      </c>
      <c r="G90" s="9" t="str">
        <f t="array" ref="G90">GetValue("Domains",F90,"Name")</f>
        <v>Nvarchar(50)</v>
      </c>
      <c r="H90" s="9" t="str" cm="1">
        <f t="array" ref="H90">GetValue("Domains",F90,"#CategoryName")</f>
        <v>string</v>
      </c>
      <c r="I90" s="9" t="str" cm="1">
        <f t="array" ref="I90">GetValue("Domains",F90,"#TypeName")</f>
        <v>nvarchar</v>
      </c>
      <c r="J90" s="9" t="str" cm="1">
        <f t="array" ref="J90">GetValue("Domains",F90,"#DataType")</f>
        <v>nvarchar(50)</v>
      </c>
      <c r="K90" s="9"/>
      <c r="L90" s="9" t="str">
        <f t="array" ref="L90">GetValue("Tables",K90,"Name")</f>
        <v/>
      </c>
      <c r="M90" s="9" t="s">
        <v>84</v>
      </c>
      <c r="N90" s="9"/>
      <c r="O90" s="9" t="s">
        <v>240</v>
      </c>
      <c r="P90" s="9" t="s">
        <v>200</v>
      </c>
      <c r="Q90" s="9" t="s">
        <v>200</v>
      </c>
      <c r="R90" s="15"/>
      <c r="S90" s="16" t="s">
        <v>35</v>
      </c>
      <c r="T90" s="16"/>
      <c r="U90" s="9" t="b">
        <v>0</v>
      </c>
      <c r="V90" s="9"/>
      <c r="W90" s="9" t="b">
        <v>1</v>
      </c>
      <c r="X90" s="9" t="b">
        <v>0</v>
      </c>
      <c r="Y90" s="9" t="b">
        <v>0</v>
      </c>
      <c r="Z90" s="9" t="b">
        <v>1</v>
      </c>
      <c r="AA90" s="9" t="b">
        <v>1</v>
      </c>
      <c r="AB90" s="9" t="b">
        <v>0</v>
      </c>
      <c r="AC90" s="9"/>
    </row>
    <row r="91" spans="1:29" x14ac:dyDescent="0.3">
      <c r="A91" s="9">
        <f t="shared" si="10"/>
        <v>90</v>
      </c>
      <c r="B91" s="9">
        <v>12</v>
      </c>
      <c r="C91" s="9" t="str">
        <f t="array" ref="C91">GetValue("Tables",B91,"Name")</f>
        <v>Tables</v>
      </c>
      <c r="D91" s="9" t="str" cm="1">
        <f t="array" ref="D91">GetValue("Tables",B91,"Alias")</f>
        <v>Table</v>
      </c>
      <c r="E91" s="9">
        <f t="shared" si="9"/>
        <v>25</v>
      </c>
      <c r="F91" s="9">
        <v>1</v>
      </c>
      <c r="G91" s="9" t="str">
        <f t="array" ref="G91">GetValue("Domains",F91,"Name")</f>
        <v>BigInteger</v>
      </c>
      <c r="H91" s="9" t="str" cm="1">
        <f t="array" ref="H91">GetValue("Domains",F91,"#CategoryName")</f>
        <v>numeric</v>
      </c>
      <c r="I91" s="9" t="str" cm="1">
        <f t="array" ref="I91">GetValue("Domains",F91,"#TypeName")</f>
        <v>bigint</v>
      </c>
      <c r="J91" s="9" t="str" cm="1">
        <f t="array" ref="J91">GetValue("Domains",F91,"#DataType")</f>
        <v>bigint</v>
      </c>
      <c r="K91" s="9"/>
      <c r="L91" s="9" t="str">
        <f t="array" ref="L91">GetValue("Tables",K91,"Name")</f>
        <v/>
      </c>
      <c r="M91" s="9" t="s">
        <v>129</v>
      </c>
      <c r="N91" s="9"/>
      <c r="O91" s="9" t="s">
        <v>386</v>
      </c>
      <c r="P91" s="9" t="s">
        <v>385</v>
      </c>
      <c r="Q91" s="9" t="s">
        <v>385</v>
      </c>
      <c r="R91" s="15"/>
      <c r="S91" s="16">
        <v>0</v>
      </c>
      <c r="T91" s="16"/>
      <c r="U91" s="9" t="b">
        <v>0</v>
      </c>
      <c r="V91" s="9" t="b">
        <v>0</v>
      </c>
      <c r="W91" s="9" t="b">
        <v>0</v>
      </c>
      <c r="X91" s="9" t="b">
        <v>0</v>
      </c>
      <c r="Y91" s="9" t="b">
        <v>0</v>
      </c>
      <c r="Z91" s="9" t="b">
        <v>0</v>
      </c>
      <c r="AA91" s="9" t="b">
        <v>0</v>
      </c>
      <c r="AB91" s="9"/>
      <c r="AC91" s="9" t="b">
        <v>0</v>
      </c>
    </row>
    <row r="92" spans="1:29" x14ac:dyDescent="0.3">
      <c r="A92" s="9">
        <f t="shared" si="10"/>
        <v>91</v>
      </c>
      <c r="B92" s="9">
        <v>12</v>
      </c>
      <c r="C92" s="9" t="str">
        <f t="array" ref="C92">GetValue("Tables",B92,"Name")</f>
        <v>Tables</v>
      </c>
      <c r="D92" s="9" t="str" cm="1">
        <f t="array" ref="D92">GetValue("Tables",B92,"Alias")</f>
        <v>Table</v>
      </c>
      <c r="E92" s="9">
        <f t="shared" si="9"/>
        <v>30</v>
      </c>
      <c r="F92" s="9">
        <v>6</v>
      </c>
      <c r="G92" s="9" t="str">
        <f t="array" ref="G92">GetValue("Domains",F92,"Name")</f>
        <v>Boolean</v>
      </c>
      <c r="H92" s="9" t="str" cm="1">
        <f t="array" ref="H92">GetValue("Domains",F92,"#CategoryName")</f>
        <v>boolean</v>
      </c>
      <c r="I92" s="9" t="str" cm="1">
        <f t="array" ref="I92">GetValue("Domains",F92,"#TypeName")</f>
        <v>bit</v>
      </c>
      <c r="J92" s="9" t="str" cm="1">
        <f t="array" ref="J92">GetValue("Domains",F92,"#DataType")</f>
        <v>bit</v>
      </c>
      <c r="K92" s="9"/>
      <c r="L92" s="9" t="str">
        <f t="array" ref="L92">GetValue("Tables",K92,"Name")</f>
        <v/>
      </c>
      <c r="M92" s="9" t="s">
        <v>482</v>
      </c>
      <c r="N92" s="9"/>
      <c r="O92" s="9" t="s">
        <v>484</v>
      </c>
      <c r="P92" s="9" t="s">
        <v>483</v>
      </c>
      <c r="Q92" s="9" t="s">
        <v>483</v>
      </c>
      <c r="R92" s="15"/>
      <c r="S92" s="16" t="s">
        <v>35</v>
      </c>
      <c r="T92" s="16"/>
      <c r="U92" s="9" t="b">
        <v>0</v>
      </c>
      <c r="V92" s="9"/>
      <c r="W92" s="9" t="b">
        <v>1</v>
      </c>
      <c r="X92" s="9"/>
      <c r="Y92" s="9" t="b">
        <v>1</v>
      </c>
      <c r="Z92" s="9" t="b">
        <v>1</v>
      </c>
      <c r="AA92" s="9" t="b">
        <v>1</v>
      </c>
      <c r="AB92" s="9"/>
      <c r="AC92" s="9"/>
    </row>
    <row r="93" spans="1:29" x14ac:dyDescent="0.3">
      <c r="A93" s="9">
        <f t="shared" si="10"/>
        <v>92</v>
      </c>
      <c r="B93" s="9">
        <v>12</v>
      </c>
      <c r="C93" s="9" t="str">
        <f t="array" ref="C93">GetValue("Tables",B93,"Name")</f>
        <v>Tables</v>
      </c>
      <c r="D93" s="9" t="str" cm="1">
        <f t="array" ref="D93">GetValue("Tables",B93,"Alias")</f>
        <v>Table</v>
      </c>
      <c r="E93" s="9">
        <f t="shared" si="9"/>
        <v>35</v>
      </c>
      <c r="F93" s="9">
        <v>1</v>
      </c>
      <c r="G93" s="9" t="str">
        <f t="array" ref="G93">GetValue("Domains",F93,"Name")</f>
        <v>BigInteger</v>
      </c>
      <c r="H93" s="9" t="str" cm="1">
        <f t="array" ref="H93">GetValue("Domains",F93,"#CategoryName")</f>
        <v>numeric</v>
      </c>
      <c r="I93" s="9" t="str" cm="1">
        <f t="array" ref="I93">GetValue("Domains",F93,"#TypeName")</f>
        <v>bigint</v>
      </c>
      <c r="J93" s="9" t="str" cm="1">
        <f t="array" ref="J93">GetValue("Domains",F93,"#DataType")</f>
        <v>bigint</v>
      </c>
      <c r="K93" s="9"/>
      <c r="L93" s="9" t="str">
        <f t="array" ref="L93">GetValue("Tables",K93,"Name")</f>
        <v/>
      </c>
      <c r="M93" s="9" t="s">
        <v>377</v>
      </c>
      <c r="N93" s="9"/>
      <c r="O93" s="9" t="s">
        <v>378</v>
      </c>
      <c r="P93" s="9" t="s">
        <v>378</v>
      </c>
      <c r="Q93" s="9" t="s">
        <v>378</v>
      </c>
      <c r="R93" s="15">
        <v>0</v>
      </c>
      <c r="S93" s="16">
        <v>0</v>
      </c>
      <c r="T93" s="16"/>
      <c r="U93" s="9" t="b">
        <v>0</v>
      </c>
      <c r="V93" s="9" t="b">
        <v>0</v>
      </c>
      <c r="W93" s="9" t="b">
        <v>1</v>
      </c>
      <c r="X93" s="9" t="b">
        <v>0</v>
      </c>
      <c r="Y93" s="9" t="b">
        <v>0</v>
      </c>
      <c r="Z93" s="9" t="b">
        <v>0</v>
      </c>
      <c r="AA93" s="9" t="b">
        <v>0</v>
      </c>
      <c r="AB93" s="9"/>
      <c r="AC93" s="9" t="b">
        <v>0</v>
      </c>
    </row>
    <row r="94" spans="1:29" x14ac:dyDescent="0.3">
      <c r="A94" s="7">
        <f t="shared" si="10"/>
        <v>93</v>
      </c>
      <c r="B94" s="7">
        <v>13</v>
      </c>
      <c r="C94" s="7" t="str">
        <f t="array" ref="C94">GetValue("Tables",B94,"Name")</f>
        <v>DatabasesTables</v>
      </c>
      <c r="D94" s="8" t="str" cm="1">
        <f t="array" ref="D94">GetValue("Tables",B94,"Alias")</f>
        <v>DatabaseTable</v>
      </c>
      <c r="E94" s="7">
        <v>5</v>
      </c>
      <c r="F94" s="7">
        <v>1</v>
      </c>
      <c r="G94" s="7" t="str">
        <f t="array" ref="G94">GetValue("Domains",F94,"Name")</f>
        <v>BigInteger</v>
      </c>
      <c r="H94" s="7" t="str" cm="1">
        <f t="array" ref="H94">GetValue("Domains",F94,"#CategoryName")</f>
        <v>numeric</v>
      </c>
      <c r="I94" s="7" t="str" cm="1">
        <f t="array" ref="I94">GetValue("Domains",F94,"#TypeName")</f>
        <v>bigint</v>
      </c>
      <c r="J94" s="7" t="str" cm="1">
        <f t="array" ref="J94">GetValue("Domains",F94,"#DataType")</f>
        <v>bigint</v>
      </c>
      <c r="K94" s="7"/>
      <c r="L94" s="7" t="str">
        <f t="array" ref="L94">GetValue("Tables",K94,"Name")</f>
        <v/>
      </c>
      <c r="M94" s="7" t="s">
        <v>0</v>
      </c>
      <c r="N94" s="7"/>
      <c r="O94" s="7" t="s">
        <v>321</v>
      </c>
      <c r="P94" s="7" t="s">
        <v>160</v>
      </c>
      <c r="Q94" s="7" t="s">
        <v>160</v>
      </c>
      <c r="R94" s="14"/>
      <c r="S94" s="14">
        <v>1</v>
      </c>
      <c r="T94" s="14"/>
      <c r="U94" s="7" t="b">
        <v>1</v>
      </c>
      <c r="V94" s="7" t="b">
        <v>1</v>
      </c>
      <c r="W94" s="7" t="b">
        <v>1</v>
      </c>
      <c r="X94" s="7"/>
      <c r="Y94" s="7" t="b">
        <v>1</v>
      </c>
      <c r="Z94" s="7" t="b">
        <v>0</v>
      </c>
      <c r="AA94" s="7" t="b">
        <v>0</v>
      </c>
      <c r="AB94" s="7"/>
      <c r="AC94" s="7" t="b">
        <v>0</v>
      </c>
    </row>
    <row r="95" spans="1:29" x14ac:dyDescent="0.3">
      <c r="A95" s="7">
        <f t="shared" si="10"/>
        <v>94</v>
      </c>
      <c r="B95" s="7">
        <v>13</v>
      </c>
      <c r="C95" s="7" t="str">
        <f t="array" ref="C95">GetValue("Tables",B95,"Name")</f>
        <v>DatabasesTables</v>
      </c>
      <c r="D95" s="8" t="str" cm="1">
        <f t="array" ref="D95">GetValue("Tables",B95,"Alias")</f>
        <v>DatabaseTable</v>
      </c>
      <c r="E95" s="7">
        <f>E94+5</f>
        <v>10</v>
      </c>
      <c r="F95" s="7">
        <v>1</v>
      </c>
      <c r="G95" s="7" t="str">
        <f t="array" ref="G95">GetValue("Domains",F95,"Name")</f>
        <v>BigInteger</v>
      </c>
      <c r="H95" s="7" t="str" cm="1">
        <f t="array" ref="H95">GetValue("Domains",F95,"#CategoryName")</f>
        <v>numeric</v>
      </c>
      <c r="I95" s="7" t="str" cm="1">
        <f t="array" ref="I95">GetValue("Domains",F95,"#TypeName")</f>
        <v>bigint</v>
      </c>
      <c r="J95" s="7" t="str" cm="1">
        <f t="array" ref="J95">GetValue("Domains",F95,"#DataType")</f>
        <v>bigint</v>
      </c>
      <c r="K95" s="7">
        <v>10</v>
      </c>
      <c r="L95" s="7" t="str">
        <f t="array" ref="L95">GetValue("Tables",K95,"Name")</f>
        <v>Databases</v>
      </c>
      <c r="M95" s="7" t="s">
        <v>128</v>
      </c>
      <c r="N95" s="7"/>
      <c r="O95" s="7" t="s">
        <v>228</v>
      </c>
      <c r="P95" s="7" t="s">
        <v>207</v>
      </c>
      <c r="Q95" s="7" t="s">
        <v>207</v>
      </c>
      <c r="R95" s="14"/>
      <c r="S95" s="14">
        <v>1</v>
      </c>
      <c r="T95" s="14"/>
      <c r="U95" s="7" t="b">
        <v>0</v>
      </c>
      <c r="V95" s="7" t="b">
        <v>0</v>
      </c>
      <c r="W95" s="7" t="b">
        <v>1</v>
      </c>
      <c r="X95" s="7"/>
      <c r="Y95" s="7" t="b">
        <v>1</v>
      </c>
      <c r="Z95" s="7" t="b">
        <v>1</v>
      </c>
      <c r="AA95" s="7" t="b">
        <v>1</v>
      </c>
      <c r="AB95" s="7"/>
      <c r="AC95" s="7" t="b">
        <v>0</v>
      </c>
    </row>
    <row r="96" spans="1:29" x14ac:dyDescent="0.3">
      <c r="A96" s="7">
        <f t="shared" si="10"/>
        <v>95</v>
      </c>
      <c r="B96" s="7">
        <v>13</v>
      </c>
      <c r="C96" s="7" t="str">
        <f t="array" ref="C96">GetValue("Tables",B96,"Name")</f>
        <v>DatabasesTables</v>
      </c>
      <c r="D96" s="8" t="str" cm="1">
        <f t="array" ref="D96">GetValue("Tables",B96,"Alias")</f>
        <v>DatabaseTable</v>
      </c>
      <c r="E96" s="7">
        <f>E95+5</f>
        <v>15</v>
      </c>
      <c r="F96" s="7">
        <v>1</v>
      </c>
      <c r="G96" s="7" t="str">
        <f t="array" ref="G96">GetValue("Domains",F96,"Name")</f>
        <v>BigInteger</v>
      </c>
      <c r="H96" s="7" t="str" cm="1">
        <f t="array" ref="H96">GetValue("Domains",F96,"#CategoryName")</f>
        <v>numeric</v>
      </c>
      <c r="I96" s="7" t="str" cm="1">
        <f t="array" ref="I96">GetValue("Domains",F96,"#TypeName")</f>
        <v>bigint</v>
      </c>
      <c r="J96" s="7" t="str" cm="1">
        <f t="array" ref="J96">GetValue("Domains",F96,"#DataType")</f>
        <v>bigint</v>
      </c>
      <c r="K96" s="7">
        <v>12</v>
      </c>
      <c r="L96" s="7" t="str">
        <f t="array" ref="L96">GetValue("Tables",K96,"Name")</f>
        <v>Tables</v>
      </c>
      <c r="M96" s="7" t="s">
        <v>148</v>
      </c>
      <c r="N96" s="7"/>
      <c r="O96" s="7" t="s">
        <v>237</v>
      </c>
      <c r="P96" s="7" t="s">
        <v>236</v>
      </c>
      <c r="Q96" s="7" t="s">
        <v>236</v>
      </c>
      <c r="R96" s="14"/>
      <c r="S96" s="14">
        <v>1</v>
      </c>
      <c r="T96" s="14"/>
      <c r="U96" s="7" t="b">
        <v>0</v>
      </c>
      <c r="V96" s="7" t="b">
        <v>0</v>
      </c>
      <c r="W96" s="7" t="b">
        <v>1</v>
      </c>
      <c r="X96" s="7"/>
      <c r="Y96" s="7" t="b">
        <v>1</v>
      </c>
      <c r="Z96" s="7" t="b">
        <v>1</v>
      </c>
      <c r="AA96" s="7" t="b">
        <v>1</v>
      </c>
      <c r="AB96" s="7"/>
      <c r="AC96" s="7" t="b">
        <v>0</v>
      </c>
    </row>
    <row r="97" spans="1:29" x14ac:dyDescent="0.3">
      <c r="A97" s="7">
        <f t="shared" si="10"/>
        <v>96</v>
      </c>
      <c r="B97" s="7">
        <v>13</v>
      </c>
      <c r="C97" s="7" t="str">
        <f t="array" ref="C97">GetValue("Tables",B97,"Name")</f>
        <v>DatabasesTables</v>
      </c>
      <c r="D97" s="8" t="str" cm="1">
        <f t="array" ref="D97">GetValue("Tables",B97,"Alias")</f>
        <v>DatabaseTable</v>
      </c>
      <c r="E97" s="7">
        <f>E96+5</f>
        <v>20</v>
      </c>
      <c r="F97" s="7">
        <v>10</v>
      </c>
      <c r="G97" s="7" t="str">
        <f t="array" ref="G97">GetValue("Domains",F97,"Name")</f>
        <v>Nvarchar(50)</v>
      </c>
      <c r="H97" s="7" t="str" cm="1">
        <f t="array" ref="H97">GetValue("Domains",F97,"#CategoryName")</f>
        <v>string</v>
      </c>
      <c r="I97" s="7" t="str" cm="1">
        <f t="array" ref="I97">GetValue("Domains",F97,"#TypeName")</f>
        <v>nvarchar</v>
      </c>
      <c r="J97" s="7" t="str" cm="1">
        <f t="array" ref="J97">GetValue("Domains",F97,"#DataType")</f>
        <v>nvarchar(50)</v>
      </c>
      <c r="K97" s="7"/>
      <c r="L97" s="7" t="str">
        <f t="array" ref="L97">GetValue("Tables",K97,"Name")</f>
        <v/>
      </c>
      <c r="M97" s="7" t="s">
        <v>1</v>
      </c>
      <c r="N97" s="7"/>
      <c r="O97" s="7" t="s">
        <v>444</v>
      </c>
      <c r="P97" s="7" t="s">
        <v>162</v>
      </c>
      <c r="Q97" s="7" t="s">
        <v>162</v>
      </c>
      <c r="R97" s="14"/>
      <c r="S97" s="14"/>
      <c r="T97" s="14"/>
      <c r="U97" s="7" t="b">
        <v>0</v>
      </c>
      <c r="V97" s="7"/>
      <c r="W97" s="7" t="b">
        <v>1</v>
      </c>
      <c r="X97" s="7" t="b">
        <v>1</v>
      </c>
      <c r="Y97" s="7" t="b">
        <v>1</v>
      </c>
      <c r="Z97" s="7" t="b">
        <v>1</v>
      </c>
      <c r="AA97" s="7" t="b">
        <v>1</v>
      </c>
      <c r="AB97" s="7" t="b">
        <v>0</v>
      </c>
      <c r="AC97" s="7"/>
    </row>
    <row r="98" spans="1:29" x14ac:dyDescent="0.3">
      <c r="A98" s="9">
        <f t="shared" si="10"/>
        <v>97</v>
      </c>
      <c r="B98" s="9">
        <v>14</v>
      </c>
      <c r="C98" s="9" t="str">
        <f t="array" ref="C98">GetValue("Tables",B98,"Name")</f>
        <v>Columns</v>
      </c>
      <c r="D98" s="9" t="str" cm="1">
        <f t="array" ref="D98">GetValue("Tables",B98,"Alias")</f>
        <v>Column</v>
      </c>
      <c r="E98" s="9">
        <v>5</v>
      </c>
      <c r="F98" s="9">
        <v>1</v>
      </c>
      <c r="G98" s="9" t="str">
        <f t="array" ref="G98">GetValue("Domains",F98,"Name")</f>
        <v>BigInteger</v>
      </c>
      <c r="H98" s="9" t="str" cm="1">
        <f t="array" ref="H98">GetValue("Domains",F98,"#CategoryName")</f>
        <v>numeric</v>
      </c>
      <c r="I98" s="9" t="str" cm="1">
        <f t="array" ref="I98">GetValue("Domains",F98,"#TypeName")</f>
        <v>bigint</v>
      </c>
      <c r="J98" s="9" t="str" cm="1">
        <f t="array" ref="J98">GetValue("Domains",F98,"#DataType")</f>
        <v>bigint</v>
      </c>
      <c r="K98" s="9"/>
      <c r="L98" s="9" t="str">
        <f t="array" ref="L98">GetValue("Tables",K98,"Name")</f>
        <v/>
      </c>
      <c r="M98" s="9" t="s">
        <v>0</v>
      </c>
      <c r="N98" s="9"/>
      <c r="O98" s="9" t="s">
        <v>241</v>
      </c>
      <c r="P98" s="9" t="s">
        <v>160</v>
      </c>
      <c r="Q98" s="9" t="s">
        <v>160</v>
      </c>
      <c r="R98" s="15"/>
      <c r="S98" s="16">
        <v>1</v>
      </c>
      <c r="T98" s="16"/>
      <c r="U98" s="9" t="b">
        <v>1</v>
      </c>
      <c r="V98" s="9" t="b">
        <v>1</v>
      </c>
      <c r="W98" s="9" t="b">
        <v>1</v>
      </c>
      <c r="X98" s="9"/>
      <c r="Y98" s="9" t="b">
        <v>1</v>
      </c>
      <c r="Z98" s="9" t="b">
        <v>0</v>
      </c>
      <c r="AA98" s="9" t="b">
        <v>0</v>
      </c>
      <c r="AB98" s="9"/>
      <c r="AC98" s="9" t="b">
        <v>0</v>
      </c>
    </row>
    <row r="99" spans="1:29" x14ac:dyDescent="0.3">
      <c r="A99" s="9">
        <f t="shared" si="10"/>
        <v>98</v>
      </c>
      <c r="B99" s="9">
        <v>14</v>
      </c>
      <c r="C99" s="9" t="str">
        <f t="array" ref="C99">GetValue("Tables",B99,"Name")</f>
        <v>Columns</v>
      </c>
      <c r="D99" s="9" t="str" cm="1">
        <f t="array" ref="D99">GetValue("Tables",B99,"Alias")</f>
        <v>Column</v>
      </c>
      <c r="E99" s="9">
        <f t="shared" ref="E99:E119" si="11">E98+5</f>
        <v>10</v>
      </c>
      <c r="F99" s="9">
        <v>1</v>
      </c>
      <c r="G99" s="9" t="str">
        <f t="array" ref="G99">GetValue("Domains",F99,"Name")</f>
        <v>BigInteger</v>
      </c>
      <c r="H99" s="9" t="str" cm="1">
        <f t="array" ref="H99">GetValue("Domains",F99,"#CategoryName")</f>
        <v>numeric</v>
      </c>
      <c r="I99" s="9" t="str" cm="1">
        <f t="array" ref="I99">GetValue("Domains",F99,"#TypeName")</f>
        <v>bigint</v>
      </c>
      <c r="J99" s="9" t="str" cm="1">
        <f t="array" ref="J99">GetValue("Domains",F99,"#DataType")</f>
        <v>bigint</v>
      </c>
      <c r="K99" s="9">
        <v>12</v>
      </c>
      <c r="L99" s="9" t="str">
        <f t="array" ref="L99">GetValue("Tables",K99,"Name")</f>
        <v>Tables</v>
      </c>
      <c r="M99" s="9" t="s">
        <v>148</v>
      </c>
      <c r="N99" s="9"/>
      <c r="O99" s="9" t="s">
        <v>242</v>
      </c>
      <c r="P99" s="9" t="s">
        <v>242</v>
      </c>
      <c r="Q99" s="9" t="s">
        <v>242</v>
      </c>
      <c r="R99" s="15"/>
      <c r="S99" s="16">
        <v>1</v>
      </c>
      <c r="T99" s="16"/>
      <c r="U99" s="9" t="b">
        <v>0</v>
      </c>
      <c r="V99" s="9" t="b">
        <v>0</v>
      </c>
      <c r="W99" s="9" t="b">
        <v>1</v>
      </c>
      <c r="X99" s="9"/>
      <c r="Y99" s="9" t="b">
        <v>1</v>
      </c>
      <c r="Z99" s="9" t="b">
        <v>1</v>
      </c>
      <c r="AA99" s="9" t="b">
        <v>1</v>
      </c>
      <c r="AB99" s="9"/>
      <c r="AC99" s="9" t="b">
        <v>0</v>
      </c>
    </row>
    <row r="100" spans="1:29" x14ac:dyDescent="0.3">
      <c r="A100" s="9">
        <f t="shared" si="10"/>
        <v>99</v>
      </c>
      <c r="B100" s="9">
        <v>14</v>
      </c>
      <c r="C100" s="9" t="str">
        <f t="array" ref="C100">GetValue("Tables",B100,"Name")</f>
        <v>Columns</v>
      </c>
      <c r="D100" s="9" t="str" cm="1">
        <f t="array" ref="D100">GetValue("Tables",B100,"Alias")</f>
        <v>Column</v>
      </c>
      <c r="E100" s="9">
        <f t="shared" si="11"/>
        <v>15</v>
      </c>
      <c r="F100" s="9">
        <v>4</v>
      </c>
      <c r="G100" s="9" t="str">
        <f t="array" ref="G100">GetValue("Domains",F100,"Name")</f>
        <v>SmallInteger</v>
      </c>
      <c r="H100" s="9" t="str" cm="1">
        <f t="array" ref="H100">GetValue("Domains",F100,"#CategoryName")</f>
        <v>numeric</v>
      </c>
      <c r="I100" s="9" t="str" cm="1">
        <f t="array" ref="I100">GetValue("Domains",F100,"#TypeName")</f>
        <v>smallint</v>
      </c>
      <c r="J100" s="9" t="str" cm="1">
        <f t="array" ref="J100">GetValue("Domains",F100,"#DataType")</f>
        <v>smallint</v>
      </c>
      <c r="K100" s="9"/>
      <c r="L100" s="9" t="str">
        <f t="array" ref="L100">GetValue("Tables",K100,"Name")</f>
        <v/>
      </c>
      <c r="M100" s="9" t="s">
        <v>88</v>
      </c>
      <c r="N100" s="9"/>
      <c r="O100" s="9" t="s">
        <v>209</v>
      </c>
      <c r="P100" s="9" t="s">
        <v>209</v>
      </c>
      <c r="Q100" s="9" t="s">
        <v>209</v>
      </c>
      <c r="R100" s="15"/>
      <c r="S100" s="16">
        <v>1</v>
      </c>
      <c r="T100" s="16"/>
      <c r="U100" s="9" t="b">
        <v>0</v>
      </c>
      <c r="V100" s="9" t="b">
        <v>0</v>
      </c>
      <c r="W100" s="9" t="b">
        <v>1</v>
      </c>
      <c r="X100" s="9"/>
      <c r="Y100" s="9" t="b">
        <v>0</v>
      </c>
      <c r="Z100" s="9" t="b">
        <v>1</v>
      </c>
      <c r="AA100" s="9" t="b">
        <v>1</v>
      </c>
      <c r="AB100" s="9"/>
      <c r="AC100" s="9" t="b">
        <v>0</v>
      </c>
    </row>
    <row r="101" spans="1:29" x14ac:dyDescent="0.3">
      <c r="A101" s="9">
        <f t="shared" si="10"/>
        <v>100</v>
      </c>
      <c r="B101" s="9">
        <v>14</v>
      </c>
      <c r="C101" s="9" t="str">
        <f t="array" ref="C101">GetValue("Tables",B101,"Name")</f>
        <v>Columns</v>
      </c>
      <c r="D101" s="9" t="str" cm="1">
        <f t="array" ref="D101">GetValue("Tables",B101,"Alias")</f>
        <v>Column</v>
      </c>
      <c r="E101" s="9">
        <f t="shared" si="11"/>
        <v>20</v>
      </c>
      <c r="F101" s="9">
        <v>1</v>
      </c>
      <c r="G101" s="9" t="str">
        <f t="array" ref="G101">GetValue("Domains",F101,"Name")</f>
        <v>BigInteger</v>
      </c>
      <c r="H101" s="9" t="str" cm="1">
        <f t="array" ref="H101">GetValue("Domains",F101,"#CategoryName")</f>
        <v>numeric</v>
      </c>
      <c r="I101" s="9" t="str" cm="1">
        <f t="array" ref="I101">GetValue("Domains",F101,"#TypeName")</f>
        <v>bigint</v>
      </c>
      <c r="J101" s="9" t="str" cm="1">
        <f t="array" ref="J101">GetValue("Domains",F101,"#DataType")</f>
        <v>bigint</v>
      </c>
      <c r="K101" s="9">
        <v>4</v>
      </c>
      <c r="L101" s="9" t="str">
        <f t="array" ref="L101">GetValue("Tables",K101,"Name")</f>
        <v>Domains</v>
      </c>
      <c r="M101" s="9" t="s">
        <v>149</v>
      </c>
      <c r="N101" s="9"/>
      <c r="O101" s="9" t="s">
        <v>243</v>
      </c>
      <c r="P101" s="9" t="s">
        <v>244</v>
      </c>
      <c r="Q101" s="9" t="s">
        <v>244</v>
      </c>
      <c r="R101" s="15"/>
      <c r="S101" s="16">
        <v>1</v>
      </c>
      <c r="T101" s="16"/>
      <c r="U101" s="9" t="b">
        <v>0</v>
      </c>
      <c r="V101" s="9" t="b">
        <v>0</v>
      </c>
      <c r="W101" s="9" t="b">
        <v>1</v>
      </c>
      <c r="X101" s="9"/>
      <c r="Y101" s="9" t="b">
        <v>1</v>
      </c>
      <c r="Z101" s="9" t="b">
        <v>1</v>
      </c>
      <c r="AA101" s="9" t="b">
        <v>1</v>
      </c>
      <c r="AB101" s="9"/>
      <c r="AC101" s="9" t="b">
        <v>0</v>
      </c>
    </row>
    <row r="102" spans="1:29" x14ac:dyDescent="0.3">
      <c r="A102" s="9">
        <f t="shared" si="10"/>
        <v>101</v>
      </c>
      <c r="B102" s="9">
        <v>14</v>
      </c>
      <c r="C102" s="9" t="str">
        <f t="array" ref="C102">GetValue("Tables",B102,"Name")</f>
        <v>Columns</v>
      </c>
      <c r="D102" s="9" t="str" cm="1">
        <f t="array" ref="D102">GetValue("Tables",B102,"Alias")</f>
        <v>Column</v>
      </c>
      <c r="E102" s="9">
        <f t="shared" si="11"/>
        <v>25</v>
      </c>
      <c r="F102" s="9">
        <v>1</v>
      </c>
      <c r="G102" s="9" t="str">
        <f t="array" ref="G102">GetValue("Domains",F102,"Name")</f>
        <v>BigInteger</v>
      </c>
      <c r="H102" s="9" t="str" cm="1">
        <f t="array" ref="H102">GetValue("Domains",F102,"#CategoryName")</f>
        <v>numeric</v>
      </c>
      <c r="I102" s="9" t="str" cm="1">
        <f t="array" ref="I102">GetValue("Domains",F102,"#TypeName")</f>
        <v>bigint</v>
      </c>
      <c r="J102" s="9" t="str" cm="1">
        <f t="array" ref="J102">GetValue("Domains",F102,"#DataType")</f>
        <v>bigint</v>
      </c>
      <c r="K102" s="9">
        <v>12</v>
      </c>
      <c r="L102" s="9" t="str">
        <f t="array" ref="L102">GetValue("Tables",K102,"Name")</f>
        <v>Tables</v>
      </c>
      <c r="M102" s="9" t="s">
        <v>150</v>
      </c>
      <c r="N102" s="9"/>
      <c r="O102" s="9" t="s">
        <v>245</v>
      </c>
      <c r="P102" s="9" t="s">
        <v>246</v>
      </c>
      <c r="Q102" s="9" t="s">
        <v>246</v>
      </c>
      <c r="R102" s="15"/>
      <c r="S102" s="16">
        <v>1</v>
      </c>
      <c r="T102" s="16"/>
      <c r="U102" s="9" t="b">
        <v>0</v>
      </c>
      <c r="V102" s="9" t="b">
        <v>0</v>
      </c>
      <c r="W102" s="9" t="b">
        <v>0</v>
      </c>
      <c r="X102" s="9"/>
      <c r="Y102" s="9" t="b">
        <v>1</v>
      </c>
      <c r="Z102" s="9" t="b">
        <v>1</v>
      </c>
      <c r="AA102" s="9" t="b">
        <v>1</v>
      </c>
      <c r="AB102" s="9"/>
      <c r="AC102" s="9" t="b">
        <v>0</v>
      </c>
    </row>
    <row r="103" spans="1:29" x14ac:dyDescent="0.3">
      <c r="A103" s="9">
        <f t="shared" si="10"/>
        <v>102</v>
      </c>
      <c r="B103" s="9">
        <v>14</v>
      </c>
      <c r="C103" s="9" t="str">
        <f t="array" ref="C103">GetValue("Tables",B103,"Name")</f>
        <v>Columns</v>
      </c>
      <c r="D103" s="9" t="str" cm="1">
        <f t="array" ref="D103">GetValue("Tables",B103,"Alias")</f>
        <v>Column</v>
      </c>
      <c r="E103" s="9">
        <f t="shared" si="11"/>
        <v>30</v>
      </c>
      <c r="F103" s="9">
        <v>9</v>
      </c>
      <c r="G103" s="9" t="str">
        <f t="array" ref="G103">GetValue("Domains",F103,"Name")</f>
        <v>Nvarchar(25)</v>
      </c>
      <c r="H103" s="9" t="str" cm="1">
        <f t="array" ref="H103">GetValue("Domains",F103,"#CategoryName")</f>
        <v>string</v>
      </c>
      <c r="I103" s="9" t="str" cm="1">
        <f t="array" ref="I103">GetValue("Domains",F103,"#TypeName")</f>
        <v>nvarchar</v>
      </c>
      <c r="J103" s="9" t="str" cm="1">
        <f t="array" ref="J103">GetValue("Domains",F103,"#DataType")</f>
        <v>nvarchar(25)</v>
      </c>
      <c r="K103" s="9"/>
      <c r="L103" s="9" t="str">
        <f t="array" ref="L103">GetValue("Tables",K103,"Name")</f>
        <v/>
      </c>
      <c r="M103" s="9" t="s">
        <v>1</v>
      </c>
      <c r="N103" s="9"/>
      <c r="O103" s="9" t="s">
        <v>247</v>
      </c>
      <c r="P103" s="9" t="s">
        <v>162</v>
      </c>
      <c r="Q103" s="9" t="s">
        <v>162</v>
      </c>
      <c r="R103" s="15"/>
      <c r="S103" s="16" t="s">
        <v>35</v>
      </c>
      <c r="T103" s="16"/>
      <c r="U103" s="9" t="b">
        <v>0</v>
      </c>
      <c r="V103" s="9"/>
      <c r="W103" s="9" t="b">
        <v>1</v>
      </c>
      <c r="X103" s="9"/>
      <c r="Y103" s="9" t="b">
        <v>1</v>
      </c>
      <c r="Z103" s="9" t="b">
        <v>1</v>
      </c>
      <c r="AA103" s="9" t="b">
        <v>1</v>
      </c>
      <c r="AB103" s="9" t="b">
        <v>0</v>
      </c>
      <c r="AC103" s="9"/>
    </row>
    <row r="104" spans="1:29" x14ac:dyDescent="0.3">
      <c r="A104" s="9">
        <f t="shared" si="10"/>
        <v>103</v>
      </c>
      <c r="B104" s="9">
        <v>14</v>
      </c>
      <c r="C104" s="9" t="str">
        <f t="array" ref="C104">GetValue("Tables",B104,"Name")</f>
        <v>Columns</v>
      </c>
      <c r="D104" s="9" t="str" cm="1">
        <f t="array" ref="D104">GetValue("Tables",B104,"Alias")</f>
        <v>Column</v>
      </c>
      <c r="E104" s="9">
        <f t="shared" si="11"/>
        <v>35</v>
      </c>
      <c r="F104" s="9">
        <v>9</v>
      </c>
      <c r="G104" s="9" t="str">
        <f t="array" ref="G104">GetValue("Domains",F104,"Name")</f>
        <v>Nvarchar(25)</v>
      </c>
      <c r="H104" s="9" t="str" cm="1">
        <f t="array" ref="H104">GetValue("Domains",F104,"#CategoryName")</f>
        <v>string</v>
      </c>
      <c r="I104" s="9" t="str" cm="1">
        <f t="array" ref="I104">GetValue("Domains",F104,"#TypeName")</f>
        <v>nvarchar</v>
      </c>
      <c r="J104" s="9" t="str" cm="1">
        <f t="array" ref="J104">GetValue("Domains",F104,"#DataType")</f>
        <v>nvarchar(25)</v>
      </c>
      <c r="K104" s="9"/>
      <c r="L104" s="9" t="str">
        <f t="array" ref="L104">GetValue("Tables",K104,"Name")</f>
        <v/>
      </c>
      <c r="M104" s="9" t="s">
        <v>122</v>
      </c>
      <c r="N104" s="9"/>
      <c r="O104" s="9" t="s">
        <v>496</v>
      </c>
      <c r="P104" s="9" t="s">
        <v>122</v>
      </c>
      <c r="Q104" s="9" t="s">
        <v>122</v>
      </c>
      <c r="R104" s="15"/>
      <c r="S104" s="16" t="s">
        <v>35</v>
      </c>
      <c r="T104" s="16"/>
      <c r="U104" s="9" t="b">
        <v>0</v>
      </c>
      <c r="V104" s="9"/>
      <c r="W104" s="9" t="b">
        <v>0</v>
      </c>
      <c r="X104" s="9"/>
      <c r="Y104" s="9" t="b">
        <v>1</v>
      </c>
      <c r="Z104" s="9" t="b">
        <v>1</v>
      </c>
      <c r="AA104" s="9" t="b">
        <v>0</v>
      </c>
      <c r="AB104" s="9" t="b">
        <v>0</v>
      </c>
      <c r="AC104" s="9"/>
    </row>
    <row r="105" spans="1:29" x14ac:dyDescent="0.3">
      <c r="A105" s="9">
        <f t="shared" si="10"/>
        <v>104</v>
      </c>
      <c r="B105" s="9">
        <v>14</v>
      </c>
      <c r="C105" s="9" t="str">
        <f t="array" ref="C105">GetValue("Tables",B105,"Name")</f>
        <v>Columns</v>
      </c>
      <c r="D105" s="9" t="str" cm="1">
        <f t="array" ref="D105">GetValue("Tables",B105,"Alias")</f>
        <v>Column</v>
      </c>
      <c r="E105" s="9">
        <f t="shared" si="11"/>
        <v>40</v>
      </c>
      <c r="F105" s="9">
        <v>10</v>
      </c>
      <c r="G105" s="9" t="str">
        <f t="array" ref="G105">GetValue("Domains",F105,"Name")</f>
        <v>Nvarchar(50)</v>
      </c>
      <c r="H105" s="9" t="str" cm="1">
        <f t="array" ref="H105">GetValue("Domains",F105,"#CategoryName")</f>
        <v>string</v>
      </c>
      <c r="I105" s="9" t="str" cm="1">
        <f t="array" ref="I105">GetValue("Domains",F105,"#TypeName")</f>
        <v>nvarchar</v>
      </c>
      <c r="J105" s="9" t="str" cm="1">
        <f t="array" ref="J105">GetValue("Domains",F105,"#DataType")</f>
        <v>nvarchar(50)</v>
      </c>
      <c r="K105" s="9"/>
      <c r="L105" s="9" t="str">
        <f t="array" ref="L105">GetValue("Tables",K105,"Name")</f>
        <v/>
      </c>
      <c r="M105" s="9" t="s">
        <v>84</v>
      </c>
      <c r="N105" s="9"/>
      <c r="O105" s="9" t="s">
        <v>248</v>
      </c>
      <c r="P105" s="9" t="s">
        <v>200</v>
      </c>
      <c r="Q105" s="9" t="s">
        <v>200</v>
      </c>
      <c r="R105" s="15"/>
      <c r="S105" s="16" t="s">
        <v>35</v>
      </c>
      <c r="T105" s="16"/>
      <c r="U105" s="9" t="b">
        <v>0</v>
      </c>
      <c r="V105" s="9"/>
      <c r="W105" s="9" t="b">
        <v>1</v>
      </c>
      <c r="X105" s="9"/>
      <c r="Y105" s="9" t="b">
        <v>0</v>
      </c>
      <c r="Z105" s="9" t="b">
        <v>1</v>
      </c>
      <c r="AA105" s="9" t="b">
        <v>1</v>
      </c>
      <c r="AB105" s="9" t="b">
        <v>0</v>
      </c>
      <c r="AC105" s="9"/>
    </row>
    <row r="106" spans="1:29" x14ac:dyDescent="0.3">
      <c r="A106" s="9">
        <f t="shared" si="10"/>
        <v>105</v>
      </c>
      <c r="B106" s="9">
        <v>14</v>
      </c>
      <c r="C106" s="9" t="str">
        <f t="array" ref="C106">GetValue("Tables",B106,"Name")</f>
        <v>Columns</v>
      </c>
      <c r="D106" s="9" t="str" cm="1">
        <f t="array" ref="D106">GetValue("Tables",B106,"Alias")</f>
        <v>Column</v>
      </c>
      <c r="E106" s="9">
        <f t="shared" si="11"/>
        <v>45</v>
      </c>
      <c r="F106" s="9">
        <v>9</v>
      </c>
      <c r="G106" s="9" t="str">
        <f t="array" ref="G106">GetValue("Domains",F106,"Name")</f>
        <v>Nvarchar(25)</v>
      </c>
      <c r="H106" s="9" t="str" cm="1">
        <f t="array" ref="H106">GetValue("Domains",F106,"#CategoryName")</f>
        <v>string</v>
      </c>
      <c r="I106" s="9" t="str" cm="1">
        <f t="array" ref="I106">GetValue("Domains",F106,"#TypeName")</f>
        <v>nvarchar</v>
      </c>
      <c r="J106" s="9" t="str" cm="1">
        <f t="array" ref="J106">GetValue("Domains",F106,"#DataType")</f>
        <v>nvarchar(25)</v>
      </c>
      <c r="K106" s="9"/>
      <c r="L106" s="9" t="str">
        <f t="array" ref="L106">GetValue("Tables",K106,"Name")</f>
        <v/>
      </c>
      <c r="M106" s="9" t="s">
        <v>151</v>
      </c>
      <c r="N106" s="9"/>
      <c r="O106" s="9" t="s">
        <v>249</v>
      </c>
      <c r="P106" s="9" t="s">
        <v>250</v>
      </c>
      <c r="Q106" s="9" t="s">
        <v>250</v>
      </c>
      <c r="R106" s="15"/>
      <c r="S106" s="16" t="s">
        <v>35</v>
      </c>
      <c r="T106" s="16"/>
      <c r="U106" s="9" t="b">
        <v>0</v>
      </c>
      <c r="V106" s="9"/>
      <c r="W106" s="9" t="b">
        <v>1</v>
      </c>
      <c r="X106" s="9"/>
      <c r="Y106" s="9" t="b">
        <v>0</v>
      </c>
      <c r="Z106" s="9" t="b">
        <v>1</v>
      </c>
      <c r="AA106" s="9" t="b">
        <v>1</v>
      </c>
      <c r="AB106" s="9" t="b">
        <v>0</v>
      </c>
      <c r="AC106" s="9"/>
    </row>
    <row r="107" spans="1:29" x14ac:dyDescent="0.3">
      <c r="A107" s="9">
        <f t="shared" si="10"/>
        <v>106</v>
      </c>
      <c r="B107" s="9">
        <v>14</v>
      </c>
      <c r="C107" s="9" t="str">
        <f t="array" ref="C107">GetValue("Tables",B107,"Name")</f>
        <v>Columns</v>
      </c>
      <c r="D107" s="9" t="str" cm="1">
        <f t="array" ref="D107">GetValue("Tables",B107,"Alias")</f>
        <v>Column</v>
      </c>
      <c r="E107" s="9">
        <f t="shared" si="11"/>
        <v>50</v>
      </c>
      <c r="F107" s="9">
        <v>9</v>
      </c>
      <c r="G107" s="9" t="str">
        <f t="array" ref="G107">GetValue("Domains",F107,"Name")</f>
        <v>Nvarchar(25)</v>
      </c>
      <c r="H107" s="9" t="str" cm="1">
        <f t="array" ref="H107">GetValue("Domains",F107,"#CategoryName")</f>
        <v>string</v>
      </c>
      <c r="I107" s="9" t="str" cm="1">
        <f t="array" ref="I107">GetValue("Domains",F107,"#TypeName")</f>
        <v>nvarchar</v>
      </c>
      <c r="J107" s="9" t="str" cm="1">
        <f t="array" ref="J107">GetValue("Domains",F107,"#DataType")</f>
        <v>nvarchar(25)</v>
      </c>
      <c r="K107" s="9"/>
      <c r="L107" s="9" t="str">
        <f t="array" ref="L107">GetValue("Tables",K107,"Name")</f>
        <v/>
      </c>
      <c r="M107" s="9" t="s">
        <v>89</v>
      </c>
      <c r="N107" s="9"/>
      <c r="O107" s="9" t="s">
        <v>251</v>
      </c>
      <c r="P107" s="9" t="s">
        <v>252</v>
      </c>
      <c r="Q107" s="9" t="s">
        <v>252</v>
      </c>
      <c r="R107" s="15"/>
      <c r="S107" s="16" t="s">
        <v>35</v>
      </c>
      <c r="T107" s="16"/>
      <c r="U107" s="9" t="b">
        <v>0</v>
      </c>
      <c r="V107" s="9"/>
      <c r="W107" s="9" t="b">
        <v>1</v>
      </c>
      <c r="X107" s="9"/>
      <c r="Y107" s="9" t="b">
        <v>0</v>
      </c>
      <c r="Z107" s="9" t="b">
        <v>1</v>
      </c>
      <c r="AA107" s="9" t="b">
        <v>1</v>
      </c>
      <c r="AB107" s="9" t="b">
        <v>0</v>
      </c>
      <c r="AC107" s="9"/>
    </row>
    <row r="108" spans="1:29" x14ac:dyDescent="0.3">
      <c r="A108" s="9">
        <f t="shared" si="10"/>
        <v>107</v>
      </c>
      <c r="B108" s="9">
        <v>14</v>
      </c>
      <c r="C108" s="9" t="str">
        <f t="array" ref="C108">GetValue("Tables",B108,"Name")</f>
        <v>Columns</v>
      </c>
      <c r="D108" s="9" t="str" cm="1">
        <f t="array" ref="D108">GetValue("Tables",B108,"Alias")</f>
        <v>Column</v>
      </c>
      <c r="E108" s="9">
        <f t="shared" si="11"/>
        <v>55</v>
      </c>
      <c r="F108" s="9">
        <v>17</v>
      </c>
      <c r="G108" s="9" t="str">
        <f t="array" ref="G108">GetValue("Domains",F108,"Name")</f>
        <v>Variant</v>
      </c>
      <c r="H108" s="9" t="str" cm="1">
        <f t="array" ref="H108">GetValue("Domains",F108,"#CategoryName")</f>
        <v>text</v>
      </c>
      <c r="I108" s="9" t="str" cm="1">
        <f t="array" ref="I108">GetValue("Domains",F108,"#TypeName")</f>
        <v>nvarchar(max)</v>
      </c>
      <c r="J108" s="9" t="str" cm="1">
        <f t="array" ref="J108">GetValue("Domains",F108,"#DataType")</f>
        <v>nvarchar(max)</v>
      </c>
      <c r="K108" s="9"/>
      <c r="L108" s="9" t="str">
        <f t="array" ref="L108">GetValue("Tables",K108,"Name")</f>
        <v/>
      </c>
      <c r="M108" s="9" t="s">
        <v>66</v>
      </c>
      <c r="N108" s="9"/>
      <c r="O108" s="9" t="s">
        <v>253</v>
      </c>
      <c r="P108" s="9" t="s">
        <v>254</v>
      </c>
      <c r="Q108" s="9" t="s">
        <v>254</v>
      </c>
      <c r="R108" s="15"/>
      <c r="S108" s="16" t="s">
        <v>35</v>
      </c>
      <c r="T108" s="16"/>
      <c r="U108" s="9"/>
      <c r="V108" s="9"/>
      <c r="W108" s="9" t="b">
        <v>0</v>
      </c>
      <c r="X108" s="9"/>
      <c r="Y108" s="9"/>
      <c r="Z108" s="9" t="b">
        <v>1</v>
      </c>
      <c r="AA108" s="9" t="b">
        <v>0</v>
      </c>
      <c r="AB108" s="9"/>
      <c r="AC108" s="9"/>
    </row>
    <row r="109" spans="1:29" x14ac:dyDescent="0.3">
      <c r="A109" s="9">
        <f t="shared" si="10"/>
        <v>108</v>
      </c>
      <c r="B109" s="9">
        <v>14</v>
      </c>
      <c r="C109" s="9" t="str">
        <f t="array" ref="C109">GetValue("Tables",B109,"Name")</f>
        <v>Columns</v>
      </c>
      <c r="D109" s="9" t="str" cm="1">
        <f t="array" ref="D109">GetValue("Tables",B109,"Alias")</f>
        <v>Column</v>
      </c>
      <c r="E109" s="9">
        <f t="shared" si="11"/>
        <v>60</v>
      </c>
      <c r="F109" s="9">
        <v>17</v>
      </c>
      <c r="G109" s="9" t="str">
        <f t="array" ref="G109">GetValue("Domains",F109,"Name")</f>
        <v>Variant</v>
      </c>
      <c r="H109" s="9" t="str" cm="1">
        <f t="array" ref="H109">GetValue("Domains",F109,"#CategoryName")</f>
        <v>text</v>
      </c>
      <c r="I109" s="9" t="str" cm="1">
        <f t="array" ref="I109">GetValue("Domains",F109,"#TypeName")</f>
        <v>nvarchar(max)</v>
      </c>
      <c r="J109" s="9" t="str" cm="1">
        <f t="array" ref="J109">GetValue("Domains",F109,"#DataType")</f>
        <v>nvarchar(max)</v>
      </c>
      <c r="K109" s="9"/>
      <c r="L109" s="9" t="str">
        <f t="array" ref="L109">GetValue("Tables",K109,"Name")</f>
        <v/>
      </c>
      <c r="M109" s="9" t="s">
        <v>26</v>
      </c>
      <c r="N109" s="9"/>
      <c r="O109" s="9" t="s">
        <v>255</v>
      </c>
      <c r="P109" s="9" t="s">
        <v>166</v>
      </c>
      <c r="Q109" s="9" t="s">
        <v>166</v>
      </c>
      <c r="R109" s="15"/>
      <c r="S109" s="16" t="s">
        <v>35</v>
      </c>
      <c r="T109" s="16"/>
      <c r="U109" s="9"/>
      <c r="V109" s="9"/>
      <c r="W109" s="9" t="b">
        <v>0</v>
      </c>
      <c r="X109" s="9"/>
      <c r="Y109" s="9"/>
      <c r="Z109" s="9" t="b">
        <v>1</v>
      </c>
      <c r="AA109" s="9" t="b">
        <v>0</v>
      </c>
      <c r="AB109" s="9"/>
      <c r="AC109" s="9"/>
    </row>
    <row r="110" spans="1:29" x14ac:dyDescent="0.3">
      <c r="A110" s="9">
        <f t="shared" si="10"/>
        <v>109</v>
      </c>
      <c r="B110" s="9">
        <v>14</v>
      </c>
      <c r="C110" s="9" t="str">
        <f t="array" ref="C110">GetValue("Tables",B110,"Name")</f>
        <v>Columns</v>
      </c>
      <c r="D110" s="9" t="str" cm="1">
        <f t="array" ref="D110">GetValue("Tables",B110,"Alias")</f>
        <v>Column</v>
      </c>
      <c r="E110" s="9">
        <f t="shared" si="11"/>
        <v>65</v>
      </c>
      <c r="F110" s="9">
        <v>17</v>
      </c>
      <c r="G110" s="9" t="str">
        <f t="array" ref="G110">GetValue("Domains",F110,"Name")</f>
        <v>Variant</v>
      </c>
      <c r="H110" s="9" t="str" cm="1">
        <f t="array" ref="H110">GetValue("Domains",F110,"#CategoryName")</f>
        <v>text</v>
      </c>
      <c r="I110" s="9" t="str" cm="1">
        <f t="array" ref="I110">GetValue("Domains",F110,"#TypeName")</f>
        <v>nvarchar(max)</v>
      </c>
      <c r="J110" s="9" t="str" cm="1">
        <f t="array" ref="J110">GetValue("Domains",F110,"#DataType")</f>
        <v>nvarchar(max)</v>
      </c>
      <c r="K110" s="9"/>
      <c r="L110" s="9" t="str">
        <f t="array" ref="L110">GetValue("Tables",K110,"Name")</f>
        <v/>
      </c>
      <c r="M110" s="9" t="s">
        <v>27</v>
      </c>
      <c r="N110" s="9"/>
      <c r="O110" s="9" t="s">
        <v>256</v>
      </c>
      <c r="P110" s="9" t="s">
        <v>168</v>
      </c>
      <c r="Q110" s="9" t="s">
        <v>168</v>
      </c>
      <c r="R110" s="15"/>
      <c r="S110" s="16" t="s">
        <v>35</v>
      </c>
      <c r="T110" s="16"/>
      <c r="U110" s="9"/>
      <c r="V110" s="9"/>
      <c r="W110" s="9" t="b">
        <v>0</v>
      </c>
      <c r="X110" s="9"/>
      <c r="Y110" s="9"/>
      <c r="Z110" s="9" t="b">
        <v>1</v>
      </c>
      <c r="AA110" s="9" t="b">
        <v>0</v>
      </c>
      <c r="AB110" s="9"/>
      <c r="AC110" s="9"/>
    </row>
    <row r="111" spans="1:29" x14ac:dyDescent="0.3">
      <c r="A111" s="9">
        <f t="shared" si="10"/>
        <v>110</v>
      </c>
      <c r="B111" s="9">
        <v>14</v>
      </c>
      <c r="C111" s="9" t="str">
        <f t="array" ref="C111">GetValue("Tables",B111,"Name")</f>
        <v>Columns</v>
      </c>
      <c r="D111" s="9" t="str" cm="1">
        <f t="array" ref="D111">GetValue("Tables",B111,"Alias")</f>
        <v>Column</v>
      </c>
      <c r="E111" s="9">
        <f t="shared" si="11"/>
        <v>70</v>
      </c>
      <c r="F111" s="9">
        <v>6</v>
      </c>
      <c r="G111" s="9" t="str">
        <f t="array" ref="G111">GetValue("Domains",F111,"Name")</f>
        <v>Boolean</v>
      </c>
      <c r="H111" s="9" t="str" cm="1">
        <f t="array" ref="H111">GetValue("Domains",F111,"#CategoryName")</f>
        <v>boolean</v>
      </c>
      <c r="I111" s="9" t="str" cm="1">
        <f t="array" ref="I111">GetValue("Domains",F111,"#TypeName")</f>
        <v>bit</v>
      </c>
      <c r="J111" s="9" t="str" cm="1">
        <f t="array" ref="J111">GetValue("Domains",F111,"#DataType")</f>
        <v>bit</v>
      </c>
      <c r="K111" s="9"/>
      <c r="L111" s="9" t="str">
        <f t="array" ref="L111">GetValue("Tables",K111,"Name")</f>
        <v/>
      </c>
      <c r="M111" s="9" t="s">
        <v>152</v>
      </c>
      <c r="N111" s="9"/>
      <c r="O111" s="9" t="s">
        <v>257</v>
      </c>
      <c r="P111" s="9" t="s">
        <v>394</v>
      </c>
      <c r="Q111" s="9" t="s">
        <v>394</v>
      </c>
      <c r="R111" s="15"/>
      <c r="S111" s="16" t="s">
        <v>35</v>
      </c>
      <c r="T111" s="16"/>
      <c r="U111" s="9"/>
      <c r="V111" s="9"/>
      <c r="W111" s="9" t="b">
        <v>0</v>
      </c>
      <c r="X111" s="9"/>
      <c r="Y111" s="9"/>
      <c r="Z111" s="9" t="b">
        <v>1</v>
      </c>
      <c r="AA111" s="9" t="b">
        <v>0</v>
      </c>
      <c r="AB111" s="9"/>
      <c r="AC111" s="9"/>
    </row>
    <row r="112" spans="1:29" x14ac:dyDescent="0.3">
      <c r="A112" s="9">
        <f t="shared" si="10"/>
        <v>111</v>
      </c>
      <c r="B112" s="9">
        <v>14</v>
      </c>
      <c r="C112" s="9" t="str">
        <f t="array" ref="C112">GetValue("Tables",B112,"Name")</f>
        <v>Columns</v>
      </c>
      <c r="D112" s="9" t="str" cm="1">
        <f t="array" ref="D112">GetValue("Tables",B112,"Alias")</f>
        <v>Column</v>
      </c>
      <c r="E112" s="9">
        <f t="shared" si="11"/>
        <v>75</v>
      </c>
      <c r="F112" s="9">
        <v>6</v>
      </c>
      <c r="G112" s="9" t="str">
        <f t="array" ref="G112">GetValue("Domains",F112,"Name")</f>
        <v>Boolean</v>
      </c>
      <c r="H112" s="9" t="str" cm="1">
        <f t="array" ref="H112">GetValue("Domains",F112,"#CategoryName")</f>
        <v>boolean</v>
      </c>
      <c r="I112" s="9" t="str" cm="1">
        <f t="array" ref="I112">GetValue("Domains",F112,"#TypeName")</f>
        <v>bit</v>
      </c>
      <c r="J112" s="9" t="str" cm="1">
        <f t="array" ref="J112">GetValue("Domains",F112,"#DataType")</f>
        <v>bit</v>
      </c>
      <c r="K112" s="9"/>
      <c r="L112" s="9" t="str">
        <f t="array" ref="L112">GetValue("Tables",K112,"Name")</f>
        <v/>
      </c>
      <c r="M112" s="9" t="s">
        <v>153</v>
      </c>
      <c r="N112" s="9"/>
      <c r="O112" s="9" t="s">
        <v>258</v>
      </c>
      <c r="P112" s="9" t="s">
        <v>395</v>
      </c>
      <c r="Q112" s="9" t="s">
        <v>395</v>
      </c>
      <c r="R112" s="15"/>
      <c r="S112" s="16" t="s">
        <v>35</v>
      </c>
      <c r="T112" s="16"/>
      <c r="U112" s="9"/>
      <c r="V112" s="9"/>
      <c r="W112" s="9" t="b">
        <v>0</v>
      </c>
      <c r="X112" s="9"/>
      <c r="Y112" s="9" t="b">
        <v>1</v>
      </c>
      <c r="Z112" s="9" t="b">
        <v>1</v>
      </c>
      <c r="AA112" s="9" t="b">
        <v>0</v>
      </c>
      <c r="AB112" s="9"/>
      <c r="AC112" s="9"/>
    </row>
    <row r="113" spans="1:29" x14ac:dyDescent="0.3">
      <c r="A113" s="9">
        <f t="shared" si="10"/>
        <v>112</v>
      </c>
      <c r="B113" s="9">
        <v>14</v>
      </c>
      <c r="C113" s="9" t="str">
        <f t="array" ref="C113">GetValue("Tables",B113,"Name")</f>
        <v>Columns</v>
      </c>
      <c r="D113" s="9" t="str" cm="1">
        <f t="array" ref="D113">GetValue("Tables",B113,"Alias")</f>
        <v>Column</v>
      </c>
      <c r="E113" s="9">
        <f t="shared" si="11"/>
        <v>80</v>
      </c>
      <c r="F113" s="9">
        <v>6</v>
      </c>
      <c r="G113" s="9" t="str">
        <f t="array" ref="G113">GetValue("Domains",F113,"Name")</f>
        <v>Boolean</v>
      </c>
      <c r="H113" s="9" t="str" cm="1">
        <f t="array" ref="H113">GetValue("Domains",F113,"#CategoryName")</f>
        <v>boolean</v>
      </c>
      <c r="I113" s="9" t="str" cm="1">
        <f t="array" ref="I113">GetValue("Domains",F113,"#TypeName")</f>
        <v>bit</v>
      </c>
      <c r="J113" s="9" t="str" cm="1">
        <f t="array" ref="J113">GetValue("Domains",F113,"#DataType")</f>
        <v>bit</v>
      </c>
      <c r="K113" s="9"/>
      <c r="L113" s="9" t="str">
        <f t="array" ref="L113">GetValue("Tables",K113,"Name")</f>
        <v/>
      </c>
      <c r="M113" s="9" t="s">
        <v>154</v>
      </c>
      <c r="N113" s="9"/>
      <c r="O113" s="9" t="s">
        <v>259</v>
      </c>
      <c r="P113" s="9" t="s">
        <v>396</v>
      </c>
      <c r="Q113" s="9" t="s">
        <v>396</v>
      </c>
      <c r="R113" s="15"/>
      <c r="S113" s="16" t="s">
        <v>35</v>
      </c>
      <c r="T113" s="16"/>
      <c r="U113" s="9"/>
      <c r="V113" s="9"/>
      <c r="W113" s="9" t="b">
        <v>1</v>
      </c>
      <c r="X113" s="9"/>
      <c r="Y113" s="9" t="b">
        <v>1</v>
      </c>
      <c r="Z113" s="9" t="b">
        <v>1</v>
      </c>
      <c r="AA113" s="9" t="b">
        <v>0</v>
      </c>
      <c r="AB113" s="9"/>
      <c r="AC113" s="9"/>
    </row>
    <row r="114" spans="1:29" x14ac:dyDescent="0.3">
      <c r="A114" s="9">
        <f t="shared" si="10"/>
        <v>113</v>
      </c>
      <c r="B114" s="9">
        <v>14</v>
      </c>
      <c r="C114" s="9" t="str">
        <f t="array" ref="C114">GetValue("Tables",B114,"Name")</f>
        <v>Columns</v>
      </c>
      <c r="D114" s="9" t="str" cm="1">
        <f t="array" ref="D114">GetValue("Tables",B114,"Alias")</f>
        <v>Column</v>
      </c>
      <c r="E114" s="9">
        <f t="shared" si="11"/>
        <v>85</v>
      </c>
      <c r="F114" s="9">
        <v>6</v>
      </c>
      <c r="G114" s="9" t="str">
        <f t="array" ref="G114">GetValue("Domains",F114,"Name")</f>
        <v>Boolean</v>
      </c>
      <c r="H114" s="9" t="str" cm="1">
        <f t="array" ref="H114">GetValue("Domains",F114,"#CategoryName")</f>
        <v>boolean</v>
      </c>
      <c r="I114" s="9" t="str" cm="1">
        <f t="array" ref="I114">GetValue("Domains",F114,"#TypeName")</f>
        <v>bit</v>
      </c>
      <c r="J114" s="9" t="str" cm="1">
        <f t="array" ref="J114">GetValue("Domains",F114,"#DataType")</f>
        <v>bit</v>
      </c>
      <c r="K114" s="9"/>
      <c r="L114" s="9" t="str">
        <f t="array" ref="L114">GetValue("Tables",K114,"Name")</f>
        <v/>
      </c>
      <c r="M114" s="9" t="s">
        <v>155</v>
      </c>
      <c r="N114" s="9"/>
      <c r="O114" s="9" t="s">
        <v>260</v>
      </c>
      <c r="P114" s="9" t="s">
        <v>397</v>
      </c>
      <c r="Q114" s="9" t="s">
        <v>397</v>
      </c>
      <c r="R114" s="15"/>
      <c r="S114" s="16" t="s">
        <v>35</v>
      </c>
      <c r="T114" s="16"/>
      <c r="U114" s="9"/>
      <c r="V114" s="9"/>
      <c r="W114" s="9" t="b">
        <v>0</v>
      </c>
      <c r="X114" s="9"/>
      <c r="Y114" s="9" t="b">
        <v>1</v>
      </c>
      <c r="Z114" s="9" t="b">
        <v>1</v>
      </c>
      <c r="AA114" s="9" t="b">
        <v>1</v>
      </c>
      <c r="AB114" s="9"/>
      <c r="AC114" s="9"/>
    </row>
    <row r="115" spans="1:29" x14ac:dyDescent="0.3">
      <c r="A115" s="9">
        <f t="shared" si="10"/>
        <v>114</v>
      </c>
      <c r="B115" s="9">
        <v>14</v>
      </c>
      <c r="C115" s="9" t="str">
        <f t="array" ref="C115">GetValue("Tables",B115,"Name")</f>
        <v>Columns</v>
      </c>
      <c r="D115" s="9" t="str" cm="1">
        <f t="array" ref="D115">GetValue("Tables",B115,"Alias")</f>
        <v>Column</v>
      </c>
      <c r="E115" s="9">
        <f t="shared" si="11"/>
        <v>90</v>
      </c>
      <c r="F115" s="9">
        <v>6</v>
      </c>
      <c r="G115" s="9" t="str">
        <f t="array" ref="G115">GetValue("Domains",F115,"Name")</f>
        <v>Boolean</v>
      </c>
      <c r="H115" s="9" t="str" cm="1">
        <f t="array" ref="H115">GetValue("Domains",F115,"#CategoryName")</f>
        <v>boolean</v>
      </c>
      <c r="I115" s="9" t="str" cm="1">
        <f t="array" ref="I115">GetValue("Domains",F115,"#TypeName")</f>
        <v>bit</v>
      </c>
      <c r="J115" s="9" t="str" cm="1">
        <f t="array" ref="J115">GetValue("Domains",F115,"#DataType")</f>
        <v>bit</v>
      </c>
      <c r="K115" s="9"/>
      <c r="L115" s="9" t="str">
        <f t="array" ref="L115">GetValue("Tables",K115,"Name")</f>
        <v/>
      </c>
      <c r="M115" s="9" t="s">
        <v>156</v>
      </c>
      <c r="N115" s="9"/>
      <c r="O115" s="9" t="s">
        <v>261</v>
      </c>
      <c r="P115" s="9" t="s">
        <v>398</v>
      </c>
      <c r="Q115" s="9" t="s">
        <v>398</v>
      </c>
      <c r="R115" s="15"/>
      <c r="S115" s="16" t="s">
        <v>35</v>
      </c>
      <c r="T115" s="16"/>
      <c r="U115" s="9"/>
      <c r="V115" s="9"/>
      <c r="W115" s="9" t="b">
        <v>0</v>
      </c>
      <c r="X115" s="9"/>
      <c r="Y115" s="9" t="b">
        <v>1</v>
      </c>
      <c r="Z115" s="9" t="b">
        <v>1</v>
      </c>
      <c r="AA115" s="9" t="b">
        <v>1</v>
      </c>
      <c r="AB115" s="9"/>
      <c r="AC115" s="9"/>
    </row>
    <row r="116" spans="1:29" x14ac:dyDescent="0.3">
      <c r="A116" s="9">
        <f t="shared" si="10"/>
        <v>115</v>
      </c>
      <c r="B116" s="9">
        <v>14</v>
      </c>
      <c r="C116" s="9" t="str">
        <f t="array" ref="C116">GetValue("Tables",B116,"Name")</f>
        <v>Columns</v>
      </c>
      <c r="D116" s="9" t="str" cm="1">
        <f t="array" ref="D116">GetValue("Tables",B116,"Alias")</f>
        <v>Column</v>
      </c>
      <c r="E116" s="9">
        <f t="shared" si="11"/>
        <v>95</v>
      </c>
      <c r="F116" s="9">
        <v>6</v>
      </c>
      <c r="G116" s="9" t="str">
        <f t="array" ref="G116">GetValue("Domains",F116,"Name")</f>
        <v>Boolean</v>
      </c>
      <c r="H116" s="9" t="str" cm="1">
        <f t="array" ref="H116">GetValue("Domains",F116,"#CategoryName")</f>
        <v>boolean</v>
      </c>
      <c r="I116" s="9" t="str" cm="1">
        <f t="array" ref="I116">GetValue("Domains",F116,"#TypeName")</f>
        <v>bit</v>
      </c>
      <c r="J116" s="9" t="str" cm="1">
        <f t="array" ref="J116">GetValue("Domains",F116,"#DataType")</f>
        <v>bit</v>
      </c>
      <c r="K116" s="9"/>
      <c r="L116" s="9" t="str">
        <f t="array" ref="L116">GetValue("Tables",K116,"Name")</f>
        <v/>
      </c>
      <c r="M116" s="9" t="s">
        <v>157</v>
      </c>
      <c r="N116" s="9"/>
      <c r="O116" s="9" t="s">
        <v>262</v>
      </c>
      <c r="P116" s="9" t="s">
        <v>399</v>
      </c>
      <c r="Q116" s="9" t="s">
        <v>399</v>
      </c>
      <c r="R116" s="15"/>
      <c r="S116" s="16" t="s">
        <v>35</v>
      </c>
      <c r="T116" s="16"/>
      <c r="U116" s="9"/>
      <c r="V116" s="9"/>
      <c r="W116" s="9" t="b">
        <v>0</v>
      </c>
      <c r="X116" s="9"/>
      <c r="Y116" s="9" t="b">
        <v>1</v>
      </c>
      <c r="Z116" s="9" t="b">
        <v>1</v>
      </c>
      <c r="AA116" s="9" t="b">
        <v>1</v>
      </c>
      <c r="AB116" s="9"/>
      <c r="AC116" s="9"/>
    </row>
    <row r="117" spans="1:29" x14ac:dyDescent="0.3">
      <c r="A117" s="9">
        <f t="shared" si="10"/>
        <v>116</v>
      </c>
      <c r="B117" s="9">
        <v>14</v>
      </c>
      <c r="C117" s="9" t="str">
        <f t="array" ref="C117">GetValue("Tables",B117,"Name")</f>
        <v>Columns</v>
      </c>
      <c r="D117" s="9" t="str" cm="1">
        <f t="array" ref="D117">GetValue("Tables",B117,"Alias")</f>
        <v>Column</v>
      </c>
      <c r="E117" s="9">
        <f t="shared" si="11"/>
        <v>100</v>
      </c>
      <c r="F117" s="9">
        <v>6</v>
      </c>
      <c r="G117" s="9" t="str">
        <f t="array" ref="G117">GetValue("Domains",F117,"Name")</f>
        <v>Boolean</v>
      </c>
      <c r="H117" s="9" t="str" cm="1">
        <f t="array" ref="H117">GetValue("Domains",F117,"#CategoryName")</f>
        <v>boolean</v>
      </c>
      <c r="I117" s="9" t="str" cm="1">
        <f t="array" ref="I117">GetValue("Domains",F117,"#TypeName")</f>
        <v>bit</v>
      </c>
      <c r="J117" s="9" t="str" cm="1">
        <f t="array" ref="J117">GetValue("Domains",F117,"#DataType")</f>
        <v>bit</v>
      </c>
      <c r="K117" s="9"/>
      <c r="L117" s="9" t="str">
        <f t="array" ref="L117">GetValue("Tables",K117,"Name")</f>
        <v/>
      </c>
      <c r="M117" s="9" t="s">
        <v>390</v>
      </c>
      <c r="N117" s="9"/>
      <c r="O117" s="9" t="s">
        <v>393</v>
      </c>
      <c r="P117" s="9" t="s">
        <v>400</v>
      </c>
      <c r="Q117" s="9" t="s">
        <v>400</v>
      </c>
      <c r="R117" s="15"/>
      <c r="S117" s="16" t="s">
        <v>35</v>
      </c>
      <c r="T117" s="16"/>
      <c r="U117" s="9"/>
      <c r="V117" s="9"/>
      <c r="W117" s="9" t="b">
        <v>0</v>
      </c>
      <c r="X117" s="9"/>
      <c r="Y117" s="9" t="b">
        <v>1</v>
      </c>
      <c r="Z117" s="9" t="b">
        <v>1</v>
      </c>
      <c r="AA117" s="9" t="b">
        <v>1</v>
      </c>
      <c r="AB117" s="9"/>
      <c r="AC117" s="9"/>
    </row>
    <row r="118" spans="1:29" x14ac:dyDescent="0.3">
      <c r="A118" s="9">
        <f t="shared" si="10"/>
        <v>117</v>
      </c>
      <c r="B118" s="9">
        <v>14</v>
      </c>
      <c r="C118" s="9" t="str">
        <f t="array" ref="C118">GetValue("Tables",B118,"Name")</f>
        <v>Columns</v>
      </c>
      <c r="D118" s="9" t="str" cm="1">
        <f t="array" ref="D118">GetValue("Tables",B118,"Alias")</f>
        <v>Column</v>
      </c>
      <c r="E118" s="9">
        <f t="shared" si="11"/>
        <v>105</v>
      </c>
      <c r="F118" s="9">
        <v>6</v>
      </c>
      <c r="G118" s="9" t="str">
        <f t="array" ref="G118">GetValue("Domains",F118,"Name")</f>
        <v>Boolean</v>
      </c>
      <c r="H118" s="9" t="str" cm="1">
        <f t="array" ref="H118">GetValue("Domains",F118,"#CategoryName")</f>
        <v>boolean</v>
      </c>
      <c r="I118" s="9" t="str" cm="1">
        <f t="array" ref="I118">GetValue("Domains",F118,"#TypeName")</f>
        <v>bit</v>
      </c>
      <c r="J118" s="9" t="str" cm="1">
        <f t="array" ref="J118">GetValue("Domains",F118,"#DataType")</f>
        <v>bit</v>
      </c>
      <c r="K118" s="9"/>
      <c r="L118" s="9" t="str">
        <f t="array" ref="L118">GetValue("Tables",K118,"Name")</f>
        <v/>
      </c>
      <c r="M118" s="9" t="s">
        <v>158</v>
      </c>
      <c r="N118" s="9"/>
      <c r="O118" s="9" t="s">
        <v>263</v>
      </c>
      <c r="P118" s="9" t="s">
        <v>401</v>
      </c>
      <c r="Q118" s="9" t="s">
        <v>401</v>
      </c>
      <c r="R118" s="15"/>
      <c r="S118" s="16" t="s">
        <v>35</v>
      </c>
      <c r="T118" s="16"/>
      <c r="U118" s="9"/>
      <c r="V118" s="9"/>
      <c r="W118" s="9" t="b">
        <v>0</v>
      </c>
      <c r="X118" s="9"/>
      <c r="Y118" s="9" t="b">
        <v>1</v>
      </c>
      <c r="Z118" s="9" t="b">
        <v>1</v>
      </c>
      <c r="AA118" s="9" t="b">
        <v>1</v>
      </c>
      <c r="AB118" s="9"/>
      <c r="AC118" s="9"/>
    </row>
    <row r="119" spans="1:29" x14ac:dyDescent="0.3">
      <c r="A119" s="9">
        <f t="shared" si="10"/>
        <v>118</v>
      </c>
      <c r="B119" s="9">
        <v>14</v>
      </c>
      <c r="C119" s="9" t="str">
        <f t="array" ref="C119">GetValue("Tables",B119,"Name")</f>
        <v>Columns</v>
      </c>
      <c r="D119" s="9" t="str" cm="1">
        <f t="array" ref="D119">GetValue("Tables",B119,"Alias")</f>
        <v>Column</v>
      </c>
      <c r="E119" s="9">
        <f t="shared" si="11"/>
        <v>110</v>
      </c>
      <c r="F119" s="9">
        <v>6</v>
      </c>
      <c r="G119" s="9" t="str">
        <f t="array" ref="G119">GetValue("Domains",F119,"Name")</f>
        <v>Boolean</v>
      </c>
      <c r="H119" s="9" t="str" cm="1">
        <f t="array" ref="H119">GetValue("Domains",F119,"#CategoryName")</f>
        <v>boolean</v>
      </c>
      <c r="I119" s="9" t="str" cm="1">
        <f t="array" ref="I119">GetValue("Domains",F119,"#TypeName")</f>
        <v>bit</v>
      </c>
      <c r="J119" s="9" t="str" cm="1">
        <f t="array" ref="J119">GetValue("Domains",F119,"#DataType")</f>
        <v>bit</v>
      </c>
      <c r="K119" s="9"/>
      <c r="L119" s="9" t="str">
        <f t="array" ref="L119">GetValue("Tables",K119,"Name")</f>
        <v/>
      </c>
      <c r="M119" s="9" t="s">
        <v>427</v>
      </c>
      <c r="N119" s="9"/>
      <c r="O119" s="9" t="s">
        <v>426</v>
      </c>
      <c r="P119" s="9" t="s">
        <v>429</v>
      </c>
      <c r="Q119" s="9" t="s">
        <v>429</v>
      </c>
      <c r="R119" s="15"/>
      <c r="S119" s="16" t="s">
        <v>35</v>
      </c>
      <c r="T119" s="16"/>
      <c r="U119" s="9"/>
      <c r="V119" s="9"/>
      <c r="W119" s="9" t="b">
        <v>0</v>
      </c>
      <c r="X119" s="9"/>
      <c r="Y119" s="9" t="b">
        <v>1</v>
      </c>
      <c r="Z119" s="9" t="b">
        <v>1</v>
      </c>
      <c r="AA119" s="9" t="b">
        <v>1</v>
      </c>
      <c r="AB119" s="9"/>
      <c r="AC119" s="9"/>
    </row>
    <row r="120" spans="1:29" x14ac:dyDescent="0.3">
      <c r="A120" s="7">
        <f t="shared" si="10"/>
        <v>119</v>
      </c>
      <c r="B120" s="7">
        <v>15</v>
      </c>
      <c r="C120" s="7" t="str">
        <f t="array" ref="C120">GetValue("Tables",B120,"Name")</f>
        <v>Indexes</v>
      </c>
      <c r="D120" s="8" t="str" cm="1">
        <f t="array" ref="D120">GetValue("Tables",B120,"Alias")</f>
        <v>Index</v>
      </c>
      <c r="E120" s="7">
        <v>5</v>
      </c>
      <c r="F120" s="7">
        <v>1</v>
      </c>
      <c r="G120" s="7" t="str">
        <f t="array" ref="G120">GetValue("Domains",F120,"Name")</f>
        <v>BigInteger</v>
      </c>
      <c r="H120" s="7" t="str" cm="1">
        <f t="array" ref="H120">GetValue("Domains",F120,"#CategoryName")</f>
        <v>numeric</v>
      </c>
      <c r="I120" s="7" t="str" cm="1">
        <f t="array" ref="I120">GetValue("Domains",F120,"#TypeName")</f>
        <v>bigint</v>
      </c>
      <c r="J120" s="7" t="str" cm="1">
        <f t="array" ref="J120">GetValue("Domains",F120,"#DataType")</f>
        <v>bigint</v>
      </c>
      <c r="K120" s="7"/>
      <c r="L120" s="7" t="str">
        <f t="array" ref="L120">GetValue("Tables",K120,"Name")</f>
        <v/>
      </c>
      <c r="M120" s="7" t="s">
        <v>0</v>
      </c>
      <c r="N120" s="7"/>
      <c r="O120" s="7" t="s">
        <v>264</v>
      </c>
      <c r="P120" s="7" t="s">
        <v>160</v>
      </c>
      <c r="Q120" s="7" t="s">
        <v>160</v>
      </c>
      <c r="R120" s="14"/>
      <c r="S120" s="14">
        <v>1</v>
      </c>
      <c r="T120" s="14"/>
      <c r="U120" s="7" t="b">
        <v>1</v>
      </c>
      <c r="V120" s="7" t="b">
        <v>1</v>
      </c>
      <c r="W120" s="7" t="b">
        <v>1</v>
      </c>
      <c r="X120" s="7"/>
      <c r="Y120" s="7" t="b">
        <v>1</v>
      </c>
      <c r="Z120" s="7" t="b">
        <v>0</v>
      </c>
      <c r="AA120" s="7" t="b">
        <v>0</v>
      </c>
      <c r="AB120" s="7"/>
      <c r="AC120" s="7" t="b">
        <v>0</v>
      </c>
    </row>
    <row r="121" spans="1:29" x14ac:dyDescent="0.3">
      <c r="A121" s="7">
        <f t="shared" si="10"/>
        <v>120</v>
      </c>
      <c r="B121" s="7">
        <v>15</v>
      </c>
      <c r="C121" s="7" t="str">
        <f t="array" ref="C121">GetValue("Tables",B121,"Name")</f>
        <v>Indexes</v>
      </c>
      <c r="D121" s="8" t="str" cm="1">
        <f t="array" ref="D121">GetValue("Tables",B121,"Alias")</f>
        <v>Index</v>
      </c>
      <c r="E121" s="7">
        <f>E120+5</f>
        <v>10</v>
      </c>
      <c r="F121" s="7">
        <v>1</v>
      </c>
      <c r="G121" s="7" t="str">
        <f t="array" ref="G121">GetValue("Domains",F121,"Name")</f>
        <v>BigInteger</v>
      </c>
      <c r="H121" s="7" t="str" cm="1">
        <f t="array" ref="H121">GetValue("Domains",F121,"#CategoryName")</f>
        <v>numeric</v>
      </c>
      <c r="I121" s="7" t="str" cm="1">
        <f t="array" ref="I121">GetValue("Domains",F121,"#TypeName")</f>
        <v>bigint</v>
      </c>
      <c r="J121" s="7" t="str" cm="1">
        <f t="array" ref="J121">GetValue("Domains",F121,"#DataType")</f>
        <v>bigint</v>
      </c>
      <c r="K121" s="7">
        <v>12</v>
      </c>
      <c r="L121" s="7" t="str">
        <f t="array" ref="L121">GetValue("Tables",K121,"Name")</f>
        <v>Tables</v>
      </c>
      <c r="M121" s="7" t="s">
        <v>148</v>
      </c>
      <c r="N121" s="7"/>
      <c r="O121" s="7" t="s">
        <v>265</v>
      </c>
      <c r="P121" s="7" t="s">
        <v>242</v>
      </c>
      <c r="Q121" s="7" t="s">
        <v>242</v>
      </c>
      <c r="R121" s="14"/>
      <c r="S121" s="14">
        <v>1</v>
      </c>
      <c r="T121" s="14"/>
      <c r="U121" s="7" t="b">
        <v>0</v>
      </c>
      <c r="V121" s="7" t="b">
        <v>0</v>
      </c>
      <c r="W121" s="7" t="b">
        <v>1</v>
      </c>
      <c r="X121" s="7"/>
      <c r="Y121" s="7" t="b">
        <v>1</v>
      </c>
      <c r="Z121" s="7" t="b">
        <v>1</v>
      </c>
      <c r="AA121" s="7" t="b">
        <v>1</v>
      </c>
      <c r="AB121" s="7"/>
      <c r="AC121" s="7" t="b">
        <v>0</v>
      </c>
    </row>
    <row r="122" spans="1:29" x14ac:dyDescent="0.3">
      <c r="A122" s="7">
        <f t="shared" si="10"/>
        <v>121</v>
      </c>
      <c r="B122" s="7">
        <v>15</v>
      </c>
      <c r="C122" s="7" t="str">
        <f t="array" ref="C122">GetValue("Tables",B122,"Name")</f>
        <v>Indexes</v>
      </c>
      <c r="D122" s="8" t="str" cm="1">
        <f t="array" ref="D122">GetValue("Tables",B122,"Alias")</f>
        <v>Index</v>
      </c>
      <c r="E122" s="7">
        <f>E121+5</f>
        <v>15</v>
      </c>
      <c r="F122" s="7">
        <v>10</v>
      </c>
      <c r="G122" s="7" t="str">
        <f t="array" ref="G122">GetValue("Domains",F122,"Name")</f>
        <v>Nvarchar(50)</v>
      </c>
      <c r="H122" s="7" t="str" cm="1">
        <f t="array" ref="H122">GetValue("Domains",F122,"#CategoryName")</f>
        <v>string</v>
      </c>
      <c r="I122" s="7" t="str" cm="1">
        <f t="array" ref="I122">GetValue("Domains",F122,"#TypeName")</f>
        <v>nvarchar</v>
      </c>
      <c r="J122" s="7" t="str" cm="1">
        <f t="array" ref="J122">GetValue("Domains",F122,"#DataType")</f>
        <v>nvarchar(50)</v>
      </c>
      <c r="K122" s="7"/>
      <c r="L122" s="7" t="str">
        <f t="array" ref="L122">GetValue("Tables",K122,"Name")</f>
        <v/>
      </c>
      <c r="M122" s="7" t="s">
        <v>1</v>
      </c>
      <c r="N122" s="7"/>
      <c r="O122" s="7" t="s">
        <v>266</v>
      </c>
      <c r="P122" s="7" t="s">
        <v>162</v>
      </c>
      <c r="Q122" s="7" t="s">
        <v>162</v>
      </c>
      <c r="R122" s="14"/>
      <c r="S122" s="14" t="s">
        <v>35</v>
      </c>
      <c r="T122" s="14"/>
      <c r="U122" s="7" t="b">
        <v>0</v>
      </c>
      <c r="V122" s="7"/>
      <c r="W122" s="7" t="b">
        <v>1</v>
      </c>
      <c r="X122" s="7" t="b">
        <v>1</v>
      </c>
      <c r="Y122" s="7" t="b">
        <v>1</v>
      </c>
      <c r="Z122" s="7" t="b">
        <v>1</v>
      </c>
      <c r="AA122" s="7" t="b">
        <v>1</v>
      </c>
      <c r="AB122" s="7" t="b">
        <v>0</v>
      </c>
      <c r="AC122" s="7"/>
    </row>
    <row r="123" spans="1:29" x14ac:dyDescent="0.3">
      <c r="A123" s="7">
        <f t="shared" si="10"/>
        <v>122</v>
      </c>
      <c r="B123" s="7">
        <v>15</v>
      </c>
      <c r="C123" s="7" t="str">
        <f t="array" ref="C123">GetValue("Tables",B123,"Name")</f>
        <v>Indexes</v>
      </c>
      <c r="D123" s="8" t="str" cm="1">
        <f t="array" ref="D123">GetValue("Tables",B123,"Alias")</f>
        <v>Index</v>
      </c>
      <c r="E123" s="7">
        <f>E122+5</f>
        <v>20</v>
      </c>
      <c r="F123" s="7">
        <v>6</v>
      </c>
      <c r="G123" s="7" t="str">
        <f t="array" ref="G123">GetValue("Domains",F123,"Name")</f>
        <v>Boolean</v>
      </c>
      <c r="H123" s="7" t="str" cm="1">
        <f t="array" ref="H123">GetValue("Domains",F123,"#CategoryName")</f>
        <v>boolean</v>
      </c>
      <c r="I123" s="7" t="str" cm="1">
        <f t="array" ref="I123">GetValue("Domains",F123,"#TypeName")</f>
        <v>bit</v>
      </c>
      <c r="J123" s="7" t="str" cm="1">
        <f t="array" ref="J123">GetValue("Domains",F123,"#DataType")</f>
        <v>bit</v>
      </c>
      <c r="K123" s="7"/>
      <c r="L123" s="7" t="str">
        <f t="array" ref="L123">GetValue("Tables",K123,"Name")</f>
        <v/>
      </c>
      <c r="M123" s="7" t="s">
        <v>267</v>
      </c>
      <c r="N123" s="7"/>
      <c r="O123" s="7" t="s">
        <v>268</v>
      </c>
      <c r="P123" s="7" t="s">
        <v>269</v>
      </c>
      <c r="Q123" s="7" t="s">
        <v>269</v>
      </c>
      <c r="R123" s="14"/>
      <c r="S123" s="14" t="s">
        <v>35</v>
      </c>
      <c r="T123" s="14"/>
      <c r="U123" s="7"/>
      <c r="V123" s="7"/>
      <c r="W123" s="7" t="b">
        <v>1</v>
      </c>
      <c r="X123" s="7"/>
      <c r="Y123" s="7" t="b">
        <v>1</v>
      </c>
      <c r="Z123" s="7" t="b">
        <v>1</v>
      </c>
      <c r="AA123" s="7" t="b">
        <v>1</v>
      </c>
      <c r="AB123" s="7"/>
      <c r="AC123" s="7"/>
    </row>
    <row r="124" spans="1:29" x14ac:dyDescent="0.3">
      <c r="A124" s="9">
        <f t="shared" si="10"/>
        <v>123</v>
      </c>
      <c r="B124" s="9">
        <v>16</v>
      </c>
      <c r="C124" s="9" t="str">
        <f t="array" ref="C124">GetValue("Tables",B124,"Name")</f>
        <v>Indexkeys</v>
      </c>
      <c r="D124" s="9" t="str" cm="1">
        <f t="array" ref="D124">GetValue("Tables",B124,"Alias")</f>
        <v>Indexkey</v>
      </c>
      <c r="E124" s="9">
        <v>5</v>
      </c>
      <c r="F124" s="9">
        <v>1</v>
      </c>
      <c r="G124" s="9" t="str">
        <f t="array" ref="G124">GetValue("Domains",F124,"Name")</f>
        <v>BigInteger</v>
      </c>
      <c r="H124" s="9" t="str" cm="1">
        <f t="array" ref="H124">GetValue("Domains",F124,"#CategoryName")</f>
        <v>numeric</v>
      </c>
      <c r="I124" s="9" t="str" cm="1">
        <f t="array" ref="I124">GetValue("Domains",F124,"#TypeName")</f>
        <v>bigint</v>
      </c>
      <c r="J124" s="9" t="str" cm="1">
        <f t="array" ref="J124">GetValue("Domains",F124,"#DataType")</f>
        <v>bigint</v>
      </c>
      <c r="K124" s="9"/>
      <c r="L124" s="9" t="str">
        <f t="array" ref="L124">GetValue("Tables",K124,"Name")</f>
        <v/>
      </c>
      <c r="M124" s="9" t="s">
        <v>0</v>
      </c>
      <c r="N124" s="9"/>
      <c r="O124" s="9" t="s">
        <v>270</v>
      </c>
      <c r="P124" s="9" t="s">
        <v>160</v>
      </c>
      <c r="Q124" s="9" t="s">
        <v>160</v>
      </c>
      <c r="R124" s="15"/>
      <c r="S124" s="16">
        <v>1</v>
      </c>
      <c r="T124" s="16"/>
      <c r="U124" s="9" t="b">
        <v>1</v>
      </c>
      <c r="V124" s="9" t="b">
        <v>1</v>
      </c>
      <c r="W124" s="9" t="b">
        <v>1</v>
      </c>
      <c r="X124" s="9"/>
      <c r="Y124" s="9" t="b">
        <v>1</v>
      </c>
      <c r="Z124" s="9" t="b">
        <v>0</v>
      </c>
      <c r="AA124" s="9" t="b">
        <v>0</v>
      </c>
      <c r="AB124" s="9"/>
      <c r="AC124" s="9" t="b">
        <v>0</v>
      </c>
    </row>
    <row r="125" spans="1:29" x14ac:dyDescent="0.3">
      <c r="A125" s="9">
        <f t="shared" si="10"/>
        <v>124</v>
      </c>
      <c r="B125" s="9">
        <v>16</v>
      </c>
      <c r="C125" s="9" t="str">
        <f t="array" ref="C125">GetValue("Tables",B125,"Name")</f>
        <v>Indexkeys</v>
      </c>
      <c r="D125" s="9" t="str" cm="1">
        <f t="array" ref="D125">GetValue("Tables",B125,"Alias")</f>
        <v>Indexkey</v>
      </c>
      <c r="E125" s="9">
        <f>E124+5</f>
        <v>10</v>
      </c>
      <c r="F125" s="9">
        <v>1</v>
      </c>
      <c r="G125" s="9" t="str">
        <f t="array" ref="G125">GetValue("Domains",F125,"Name")</f>
        <v>BigInteger</v>
      </c>
      <c r="H125" s="9" t="str" cm="1">
        <f t="array" ref="H125">GetValue("Domains",F125,"#CategoryName")</f>
        <v>numeric</v>
      </c>
      <c r="I125" s="9" t="str" cm="1">
        <f t="array" ref="I125">GetValue("Domains",F125,"#TypeName")</f>
        <v>bigint</v>
      </c>
      <c r="J125" s="9" t="str" cm="1">
        <f t="array" ref="J125">GetValue("Domains",F125,"#DataType")</f>
        <v>bigint</v>
      </c>
      <c r="K125" s="9">
        <v>15</v>
      </c>
      <c r="L125" s="9" t="str">
        <f t="array" ref="L125">GetValue("Tables",K125,"Name")</f>
        <v>Indexes</v>
      </c>
      <c r="M125" s="9" t="s">
        <v>271</v>
      </c>
      <c r="N125" s="9"/>
      <c r="O125" s="9" t="s">
        <v>272</v>
      </c>
      <c r="P125" s="9" t="s">
        <v>273</v>
      </c>
      <c r="Q125" s="9" t="s">
        <v>273</v>
      </c>
      <c r="R125" s="15"/>
      <c r="S125" s="16">
        <v>1</v>
      </c>
      <c r="T125" s="16"/>
      <c r="U125" s="9" t="b">
        <v>0</v>
      </c>
      <c r="V125" s="9" t="b">
        <v>0</v>
      </c>
      <c r="W125" s="9" t="b">
        <v>1</v>
      </c>
      <c r="X125" s="9"/>
      <c r="Y125" s="9" t="b">
        <v>1</v>
      </c>
      <c r="Z125" s="9" t="b">
        <v>1</v>
      </c>
      <c r="AA125" s="9" t="b">
        <v>1</v>
      </c>
      <c r="AB125" s="9"/>
      <c r="AC125" s="9" t="b">
        <v>0</v>
      </c>
    </row>
    <row r="126" spans="1:29" x14ac:dyDescent="0.3">
      <c r="A126" s="9">
        <f t="shared" si="10"/>
        <v>125</v>
      </c>
      <c r="B126" s="9">
        <v>16</v>
      </c>
      <c r="C126" s="9" t="str">
        <f t="array" ref="C126">GetValue("Tables",B126,"Name")</f>
        <v>Indexkeys</v>
      </c>
      <c r="D126" s="9" t="str" cm="1">
        <f t="array" ref="D126">GetValue("Tables",B126,"Alias")</f>
        <v>Indexkey</v>
      </c>
      <c r="E126" s="9">
        <f>E125+5</f>
        <v>15</v>
      </c>
      <c r="F126" s="9">
        <v>4</v>
      </c>
      <c r="G126" s="9" t="str">
        <f t="array" ref="G126">GetValue("Domains",F126,"Name")</f>
        <v>SmallInteger</v>
      </c>
      <c r="H126" s="9" t="str" cm="1">
        <f t="array" ref="H126">GetValue("Domains",F126,"#CategoryName")</f>
        <v>numeric</v>
      </c>
      <c r="I126" s="9" t="str" cm="1">
        <f t="array" ref="I126">GetValue("Domains",F126,"#TypeName")</f>
        <v>smallint</v>
      </c>
      <c r="J126" s="9" t="str" cm="1">
        <f t="array" ref="J126">GetValue("Domains",F126,"#DataType")</f>
        <v>smallint</v>
      </c>
      <c r="K126" s="9"/>
      <c r="L126" s="9" t="str">
        <f t="array" ref="L126">GetValue("Tables",K126,"Name")</f>
        <v/>
      </c>
      <c r="M126" s="9" t="s">
        <v>88</v>
      </c>
      <c r="N126" s="9"/>
      <c r="O126" s="9" t="s">
        <v>274</v>
      </c>
      <c r="P126" s="9" t="s">
        <v>209</v>
      </c>
      <c r="Q126" s="9" t="s">
        <v>209</v>
      </c>
      <c r="R126" s="15"/>
      <c r="S126" s="16">
        <v>1</v>
      </c>
      <c r="T126" s="16"/>
      <c r="U126" s="9" t="b">
        <v>0</v>
      </c>
      <c r="V126" s="9" t="b">
        <v>0</v>
      </c>
      <c r="W126" s="9" t="b">
        <v>1</v>
      </c>
      <c r="X126" s="9"/>
      <c r="Y126" s="9" t="b">
        <v>0</v>
      </c>
      <c r="Z126" s="9" t="b">
        <v>1</v>
      </c>
      <c r="AA126" s="9" t="b">
        <v>1</v>
      </c>
      <c r="AB126" s="9"/>
      <c r="AC126" s="9" t="b">
        <v>0</v>
      </c>
    </row>
    <row r="127" spans="1:29" x14ac:dyDescent="0.3">
      <c r="A127" s="9">
        <f t="shared" si="10"/>
        <v>126</v>
      </c>
      <c r="B127" s="9">
        <v>16</v>
      </c>
      <c r="C127" s="9" t="str">
        <f t="array" ref="C127">GetValue("Tables",B127,"Name")</f>
        <v>Indexkeys</v>
      </c>
      <c r="D127" s="9" t="str" cm="1">
        <f t="array" ref="D127">GetValue("Tables",B127,"Alias")</f>
        <v>Indexkey</v>
      </c>
      <c r="E127" s="9">
        <f>E126+5</f>
        <v>20</v>
      </c>
      <c r="F127" s="9">
        <v>1</v>
      </c>
      <c r="G127" s="9" t="str">
        <f t="array" ref="G127">GetValue("Domains",F127,"Name")</f>
        <v>BigInteger</v>
      </c>
      <c r="H127" s="9" t="str" cm="1">
        <f t="array" ref="H127">GetValue("Domains",F127,"#CategoryName")</f>
        <v>numeric</v>
      </c>
      <c r="I127" s="9" t="str" cm="1">
        <f t="array" ref="I127">GetValue("Domains",F127,"#TypeName")</f>
        <v>bigint</v>
      </c>
      <c r="J127" s="9" t="str" cm="1">
        <f t="array" ref="J127">GetValue("Domains",F127,"#DataType")</f>
        <v>bigint</v>
      </c>
      <c r="K127" s="9">
        <v>14</v>
      </c>
      <c r="L127" s="9" t="str">
        <f t="array" ref="L127">GetValue("Tables",K127,"Name")</f>
        <v>Columns</v>
      </c>
      <c r="M127" s="9" t="s">
        <v>275</v>
      </c>
      <c r="N127" s="9"/>
      <c r="O127" s="9" t="s">
        <v>276</v>
      </c>
      <c r="P127" s="9" t="s">
        <v>277</v>
      </c>
      <c r="Q127" s="9" t="s">
        <v>277</v>
      </c>
      <c r="R127" s="15"/>
      <c r="S127" s="16">
        <v>1</v>
      </c>
      <c r="T127" s="16"/>
      <c r="U127" s="9" t="b">
        <v>0</v>
      </c>
      <c r="V127" s="9" t="b">
        <v>0</v>
      </c>
      <c r="W127" s="9" t="b">
        <v>1</v>
      </c>
      <c r="X127" s="9"/>
      <c r="Y127" s="9" t="b">
        <v>1</v>
      </c>
      <c r="Z127" s="9" t="b">
        <v>1</v>
      </c>
      <c r="AA127" s="9" t="b">
        <v>1</v>
      </c>
      <c r="AB127" s="9"/>
      <c r="AC127" s="9" t="b">
        <v>0</v>
      </c>
    </row>
    <row r="128" spans="1:29" x14ac:dyDescent="0.3">
      <c r="A128" s="9">
        <f t="shared" si="10"/>
        <v>127</v>
      </c>
      <c r="B128" s="9">
        <v>16</v>
      </c>
      <c r="C128" s="9" t="str">
        <f t="array" ref="C128">GetValue("Tables",B128,"Name")</f>
        <v>Indexkeys</v>
      </c>
      <c r="D128" s="9" t="str" cm="1">
        <f t="array" ref="D128">GetValue("Tables",B128,"Alias")</f>
        <v>Indexkey</v>
      </c>
      <c r="E128" s="9">
        <f>E127+5</f>
        <v>25</v>
      </c>
      <c r="F128" s="9">
        <v>6</v>
      </c>
      <c r="G128" s="9" t="str">
        <f t="array" ref="G128">GetValue("Domains",F128,"Name")</f>
        <v>Boolean</v>
      </c>
      <c r="H128" s="9" t="str" cm="1">
        <f t="array" ref="H128">GetValue("Domains",F128,"#CategoryName")</f>
        <v>boolean</v>
      </c>
      <c r="I128" s="9" t="str" cm="1">
        <f t="array" ref="I128">GetValue("Domains",F128,"#TypeName")</f>
        <v>bit</v>
      </c>
      <c r="J128" s="9" t="str" cm="1">
        <f t="array" ref="J128">GetValue("Domains",F128,"#DataType")</f>
        <v>bit</v>
      </c>
      <c r="K128" s="9"/>
      <c r="L128" s="9" t="str">
        <f t="array" ref="L128">GetValue("Tables",K128,"Name")</f>
        <v/>
      </c>
      <c r="M128" s="9" t="s">
        <v>278</v>
      </c>
      <c r="N128" s="9"/>
      <c r="O128" s="9" t="s">
        <v>279</v>
      </c>
      <c r="P128" s="9" t="s">
        <v>280</v>
      </c>
      <c r="Q128" s="9" t="s">
        <v>280</v>
      </c>
      <c r="R128" s="15"/>
      <c r="S128" s="16" t="s">
        <v>35</v>
      </c>
      <c r="T128" s="16"/>
      <c r="U128" s="9"/>
      <c r="V128" s="9"/>
      <c r="W128" s="9" t="b">
        <v>1</v>
      </c>
      <c r="X128" s="9"/>
      <c r="Y128" s="9" t="b">
        <v>1</v>
      </c>
      <c r="Z128" s="9" t="b">
        <v>1</v>
      </c>
      <c r="AA128" s="9" t="b">
        <v>1</v>
      </c>
      <c r="AB128" s="9"/>
      <c r="AC128" s="9"/>
    </row>
    <row r="129" spans="1:29" x14ac:dyDescent="0.3">
      <c r="A129" s="7">
        <f t="shared" si="10"/>
        <v>128</v>
      </c>
      <c r="B129" s="7">
        <v>17</v>
      </c>
      <c r="C129" s="7" t="str">
        <f t="array" ref="C129">GetValue("Tables",B129,"Name")</f>
        <v>Logins</v>
      </c>
      <c r="D129" s="8" t="str" cm="1">
        <f t="array" ref="D129">GetValue("Tables",B129,"Alias")</f>
        <v>Login</v>
      </c>
      <c r="E129" s="7">
        <v>5</v>
      </c>
      <c r="F129" s="7">
        <v>1</v>
      </c>
      <c r="G129" s="7" t="str">
        <f t="array" ref="G129">GetValue("Domains",F129,"Name")</f>
        <v>BigInteger</v>
      </c>
      <c r="H129" s="7" t="str" cm="1">
        <f t="array" ref="H129">GetValue("Domains",F129,"#CategoryName")</f>
        <v>numeric</v>
      </c>
      <c r="I129" s="7" t="str" cm="1">
        <f t="array" ref="I129">GetValue("Domains",F129,"#TypeName")</f>
        <v>bigint</v>
      </c>
      <c r="J129" s="7" t="str" cm="1">
        <f t="array" ref="J129">GetValue("Domains",F129,"#DataType")</f>
        <v>bigint</v>
      </c>
      <c r="K129" s="7"/>
      <c r="L129" s="7" t="str">
        <f t="array" ref="L129">GetValue("Tables",K129,"Name")</f>
        <v/>
      </c>
      <c r="M129" s="7" t="s">
        <v>0</v>
      </c>
      <c r="N129" s="7"/>
      <c r="O129" s="7" t="s">
        <v>338</v>
      </c>
      <c r="P129" s="7" t="s">
        <v>160</v>
      </c>
      <c r="Q129" s="7" t="s">
        <v>160</v>
      </c>
      <c r="R129" s="14"/>
      <c r="S129" s="14">
        <v>1</v>
      </c>
      <c r="T129" s="14"/>
      <c r="U129" s="7" t="b">
        <v>1</v>
      </c>
      <c r="V129" s="7" t="b">
        <v>1</v>
      </c>
      <c r="W129" s="7" t="b">
        <v>1</v>
      </c>
      <c r="X129" s="7"/>
      <c r="Y129" s="7" t="b">
        <v>1</v>
      </c>
      <c r="Z129" s="7" t="b">
        <v>0</v>
      </c>
      <c r="AA129" s="7" t="b">
        <v>0</v>
      </c>
      <c r="AB129" s="7"/>
      <c r="AC129" s="7" t="b">
        <v>0</v>
      </c>
    </row>
    <row r="130" spans="1:29" x14ac:dyDescent="0.3">
      <c r="A130" s="7">
        <f t="shared" si="10"/>
        <v>129</v>
      </c>
      <c r="B130" s="7">
        <v>17</v>
      </c>
      <c r="C130" s="7" t="str">
        <f t="array" ref="C130">GetValue("Tables",B130,"Name")</f>
        <v>Logins</v>
      </c>
      <c r="D130" s="8" t="str" cm="1">
        <f t="array" ref="D130">GetValue("Tables",B130,"Alias")</f>
        <v>Login</v>
      </c>
      <c r="E130" s="7">
        <f>E129+5</f>
        <v>10</v>
      </c>
      <c r="F130" s="7">
        <v>1</v>
      </c>
      <c r="G130" s="7" t="str">
        <f t="array" ref="G130">GetValue("Domains",F130,"Name")</f>
        <v>BigInteger</v>
      </c>
      <c r="H130" s="7" t="str" cm="1">
        <f t="array" ref="H130">GetValue("Domains",F130,"#CategoryName")</f>
        <v>numeric</v>
      </c>
      <c r="I130" s="7" t="str" cm="1">
        <f t="array" ref="I130">GetValue("Domains",F130,"#TypeName")</f>
        <v>bigint</v>
      </c>
      <c r="J130" s="7" t="str" cm="1">
        <f t="array" ref="J130">GetValue("Domains",F130,"#DataType")</f>
        <v>bigint</v>
      </c>
      <c r="K130" s="7">
        <v>5</v>
      </c>
      <c r="L130" s="7" t="str">
        <f t="array" ref="L130">GetValue("Tables",K130,"Name")</f>
        <v>Systems</v>
      </c>
      <c r="M130" s="7" t="s">
        <v>87</v>
      </c>
      <c r="N130" s="7"/>
      <c r="O130" s="7" t="s">
        <v>293</v>
      </c>
      <c r="P130" s="7" t="s">
        <v>207</v>
      </c>
      <c r="Q130" s="7" t="s">
        <v>207</v>
      </c>
      <c r="R130" s="14"/>
      <c r="S130" s="14">
        <v>1</v>
      </c>
      <c r="T130" s="14"/>
      <c r="U130" s="7" t="b">
        <v>0</v>
      </c>
      <c r="V130" s="7" t="b">
        <v>0</v>
      </c>
      <c r="W130" s="7" t="b">
        <v>1</v>
      </c>
      <c r="X130" s="7"/>
      <c r="Y130" s="7" t="b">
        <v>1</v>
      </c>
      <c r="Z130" s="7" t="b">
        <v>0</v>
      </c>
      <c r="AA130" s="7" t="b">
        <v>1</v>
      </c>
      <c r="AB130" s="7"/>
      <c r="AC130" s="7" t="b">
        <v>0</v>
      </c>
    </row>
    <row r="131" spans="1:29" x14ac:dyDescent="0.3">
      <c r="A131" s="7">
        <f t="shared" si="10"/>
        <v>130</v>
      </c>
      <c r="B131" s="7">
        <v>17</v>
      </c>
      <c r="C131" s="7" t="str">
        <f t="array" ref="C131">GetValue("Tables",B131,"Name")</f>
        <v>Logins</v>
      </c>
      <c r="D131" s="8" t="str" cm="1">
        <f t="array" ref="D131">GetValue("Tables",B131,"Alias")</f>
        <v>Login</v>
      </c>
      <c r="E131" s="7">
        <f>E130+5</f>
        <v>15</v>
      </c>
      <c r="F131" s="7">
        <v>1</v>
      </c>
      <c r="G131" s="7" t="str">
        <f t="array" ref="G131">GetValue("Domains",F131,"Name")</f>
        <v>BigInteger</v>
      </c>
      <c r="H131" s="7" t="str" cm="1">
        <f t="array" ref="H131">GetValue("Domains",F131,"#CategoryName")</f>
        <v>numeric</v>
      </c>
      <c r="I131" s="7" t="str" cm="1">
        <f t="array" ref="I131">GetValue("Domains",F131,"#TypeName")</f>
        <v>bigint</v>
      </c>
      <c r="J131" s="7" t="str" cm="1">
        <f t="array" ref="J131">GetValue("Domains",F131,"#DataType")</f>
        <v>bigint</v>
      </c>
      <c r="K131" s="7">
        <v>7</v>
      </c>
      <c r="L131" s="7" t="str">
        <f t="array" ref="L131">GetValue("Tables",K131,"Name")</f>
        <v>Users</v>
      </c>
      <c r="M131" s="7" t="s">
        <v>121</v>
      </c>
      <c r="N131" s="7"/>
      <c r="O131" s="7" t="s">
        <v>218</v>
      </c>
      <c r="P131" s="7" t="s">
        <v>227</v>
      </c>
      <c r="Q131" s="7" t="s">
        <v>227</v>
      </c>
      <c r="R131" s="14"/>
      <c r="S131" s="14">
        <v>1</v>
      </c>
      <c r="T131" s="14"/>
      <c r="U131" s="7"/>
      <c r="V131" s="7"/>
      <c r="W131" s="7" t="b">
        <v>1</v>
      </c>
      <c r="X131" s="7"/>
      <c r="Y131" s="7" t="b">
        <v>1</v>
      </c>
      <c r="Z131" s="7" t="b">
        <v>0</v>
      </c>
      <c r="AA131" s="7" t="b">
        <v>1</v>
      </c>
      <c r="AB131" s="7"/>
      <c r="AC131" s="7"/>
    </row>
    <row r="132" spans="1:29" x14ac:dyDescent="0.3">
      <c r="A132" s="7">
        <f t="shared" si="10"/>
        <v>131</v>
      </c>
      <c r="B132" s="7">
        <v>17</v>
      </c>
      <c r="C132" s="7" t="str">
        <f t="array" ref="C132">GetValue("Tables",B132,"Name")</f>
        <v>Logins</v>
      </c>
      <c r="D132" s="8" t="str" cm="1">
        <f t="array" ref="D132">GetValue("Tables",B132,"Alias")</f>
        <v>Login</v>
      </c>
      <c r="E132" s="7">
        <f>E131+5</f>
        <v>20</v>
      </c>
      <c r="F132" s="7">
        <v>11</v>
      </c>
      <c r="G132" s="7" t="str">
        <f t="array" ref="G132">GetValue("Domains",F132,"Name")</f>
        <v>Nvarchar(256)</v>
      </c>
      <c r="H132" s="7" t="str" cm="1">
        <f t="array" ref="H132">GetValue("Domains",F132,"#CategoryName")</f>
        <v>string</v>
      </c>
      <c r="I132" s="7" t="str" cm="1">
        <f t="array" ref="I132">GetValue("Domains",F132,"#TypeName")</f>
        <v>nvarchar</v>
      </c>
      <c r="J132" s="7" t="str" cm="1">
        <f t="array" ref="J132">GetValue("Domains",F132,"#DataType")</f>
        <v>nvarchar(256)</v>
      </c>
      <c r="K132" s="7"/>
      <c r="L132" s="7" t="str">
        <f t="array" ref="L132">GetValue("Tables",K132,"Name")</f>
        <v/>
      </c>
      <c r="M132" s="7" t="s">
        <v>339</v>
      </c>
      <c r="N132" s="7"/>
      <c r="O132" s="7" t="s">
        <v>341</v>
      </c>
      <c r="P132" s="7" t="s">
        <v>340</v>
      </c>
      <c r="Q132" s="7" t="s">
        <v>340</v>
      </c>
      <c r="R132" s="14"/>
      <c r="S132" s="14"/>
      <c r="T132" s="14"/>
      <c r="U132" s="7" t="b">
        <v>0</v>
      </c>
      <c r="V132" s="7"/>
      <c r="W132" s="7" t="b">
        <v>1</v>
      </c>
      <c r="X132" s="7" t="b">
        <v>0</v>
      </c>
      <c r="Y132" s="7" t="b">
        <v>0</v>
      </c>
      <c r="Z132" s="7" t="b">
        <v>0</v>
      </c>
      <c r="AA132" s="7" t="b">
        <v>0</v>
      </c>
      <c r="AB132" s="7" t="b">
        <v>1</v>
      </c>
      <c r="AC132" s="7"/>
    </row>
    <row r="133" spans="1:29" x14ac:dyDescent="0.3">
      <c r="A133" s="7">
        <f t="shared" si="10"/>
        <v>132</v>
      </c>
      <c r="B133" s="7">
        <v>17</v>
      </c>
      <c r="C133" s="7" t="str">
        <f t="array" ref="C133">GetValue("Tables",B133,"Name")</f>
        <v>Logins</v>
      </c>
      <c r="D133" s="8" t="str" cm="1">
        <f t="array" ref="D133">GetValue("Tables",B133,"Alias")</f>
        <v>Login</v>
      </c>
      <c r="E133" s="7">
        <f>E132+5</f>
        <v>25</v>
      </c>
      <c r="F133" s="7">
        <v>6</v>
      </c>
      <c r="G133" s="7" t="str">
        <f t="array" ref="G133">GetValue("Domains",F133,"Name")</f>
        <v>Boolean</v>
      </c>
      <c r="H133" s="7" t="str" cm="1">
        <f t="array" ref="H133">GetValue("Domains",F133,"#CategoryName")</f>
        <v>boolean</v>
      </c>
      <c r="I133" s="7" t="str" cm="1">
        <f t="array" ref="I133">GetValue("Domains",F133,"#TypeName")</f>
        <v>bit</v>
      </c>
      <c r="J133" s="7" t="str" cm="1">
        <f t="array" ref="J133">GetValue("Domains",F133,"#DataType")</f>
        <v>bit</v>
      </c>
      <c r="K133" s="7"/>
      <c r="L133" s="7" t="str">
        <f t="array" ref="L133">GetValue("Tables",K133,"Name")</f>
        <v/>
      </c>
      <c r="M133" s="7" t="s">
        <v>347</v>
      </c>
      <c r="N133" s="7"/>
      <c r="O133" s="7" t="s">
        <v>294</v>
      </c>
      <c r="P133" s="7" t="s">
        <v>294</v>
      </c>
      <c r="Q133" s="7" t="s">
        <v>294</v>
      </c>
      <c r="R133" s="14"/>
      <c r="S133" s="14" t="s">
        <v>35</v>
      </c>
      <c r="T133" s="14"/>
      <c r="U133" s="7"/>
      <c r="V133" s="7"/>
      <c r="W133" s="7" t="b">
        <v>1</v>
      </c>
      <c r="X133" s="7"/>
      <c r="Y133" s="7" t="b">
        <v>1</v>
      </c>
      <c r="Z133" s="7" t="b">
        <v>1</v>
      </c>
      <c r="AA133" s="7" t="b">
        <v>0</v>
      </c>
      <c r="AB133" s="7"/>
      <c r="AC133" s="7"/>
    </row>
    <row r="134" spans="1:29" x14ac:dyDescent="0.3">
      <c r="A134" s="9">
        <f t="shared" si="10"/>
        <v>133</v>
      </c>
      <c r="B134" s="9">
        <v>18</v>
      </c>
      <c r="C134" s="9" t="str">
        <f t="array" ref="C134">GetValue("Tables",B134,"Name")</f>
        <v>Transactions</v>
      </c>
      <c r="D134" s="9" t="str" cm="1">
        <f t="array" ref="D134">GetValue("Tables",B134,"Alias")</f>
        <v>Transaction</v>
      </c>
      <c r="E134" s="9">
        <v>5</v>
      </c>
      <c r="F134" s="9">
        <v>1</v>
      </c>
      <c r="G134" s="9" t="str">
        <f t="array" ref="G134">GetValue("Domains",F134,"Name")</f>
        <v>BigInteger</v>
      </c>
      <c r="H134" s="9" t="str" cm="1">
        <f t="array" ref="H134">GetValue("Domains",F134,"#CategoryName")</f>
        <v>numeric</v>
      </c>
      <c r="I134" s="9" t="str" cm="1">
        <f t="array" ref="I134">GetValue("Domains",F134,"#TypeName")</f>
        <v>bigint</v>
      </c>
      <c r="J134" s="9" t="str" cm="1">
        <f t="array" ref="J134">GetValue("Domains",F134,"#DataType")</f>
        <v>bigint</v>
      </c>
      <c r="K134" s="9"/>
      <c r="L134" s="9" t="str">
        <f t="array" ref="L134">GetValue("Tables",K134,"Name")</f>
        <v/>
      </c>
      <c r="M134" s="9" t="s">
        <v>0</v>
      </c>
      <c r="N134" s="9"/>
      <c r="O134" s="9" t="s">
        <v>497</v>
      </c>
      <c r="P134" s="9" t="s">
        <v>160</v>
      </c>
      <c r="Q134" s="9" t="s">
        <v>160</v>
      </c>
      <c r="R134" s="15"/>
      <c r="S134" s="16">
        <v>1</v>
      </c>
      <c r="T134" s="16"/>
      <c r="U134" s="9" t="b">
        <v>1</v>
      </c>
      <c r="V134" s="9" t="b">
        <v>1</v>
      </c>
      <c r="W134" s="9" t="b">
        <v>1</v>
      </c>
      <c r="X134" s="9"/>
      <c r="Y134" s="9" t="b">
        <v>1</v>
      </c>
      <c r="Z134" s="9" t="b">
        <v>0</v>
      </c>
      <c r="AA134" s="9" t="b">
        <v>0</v>
      </c>
      <c r="AB134" s="9"/>
      <c r="AC134" s="9" t="b">
        <v>0</v>
      </c>
    </row>
    <row r="135" spans="1:29" x14ac:dyDescent="0.3">
      <c r="A135" s="9">
        <f t="shared" si="10"/>
        <v>134</v>
      </c>
      <c r="B135" s="9">
        <v>18</v>
      </c>
      <c r="C135" s="9" t="str">
        <f t="array" ref="C135">GetValue("Tables",B135,"Name")</f>
        <v>Transactions</v>
      </c>
      <c r="D135" s="9" t="str" cm="1">
        <f t="array" ref="D135">GetValue("Tables",B135,"Alias")</f>
        <v>Transaction</v>
      </c>
      <c r="E135" s="9">
        <f>E134+5</f>
        <v>10</v>
      </c>
      <c r="F135" s="9">
        <v>1</v>
      </c>
      <c r="G135" s="9" t="str">
        <f t="array" ref="G135">GetValue("Domains",F135,"Name")</f>
        <v>BigInteger</v>
      </c>
      <c r="H135" s="9" t="str" cm="1">
        <f t="array" ref="H135">GetValue("Domains",F135,"#CategoryName")</f>
        <v>numeric</v>
      </c>
      <c r="I135" s="9" t="str" cm="1">
        <f t="array" ref="I135">GetValue("Domains",F135,"#TypeName")</f>
        <v>bigint</v>
      </c>
      <c r="J135" s="9" t="str" cm="1">
        <f t="array" ref="J135">GetValue("Domains",F135,"#DataType")</f>
        <v>bigint</v>
      </c>
      <c r="K135" s="9">
        <v>17</v>
      </c>
      <c r="L135" s="9" t="str">
        <f t="array" ref="L135">GetValue("Tables",K135,"Name")</f>
        <v>Logins</v>
      </c>
      <c r="M135" s="9" t="s">
        <v>488</v>
      </c>
      <c r="N135" s="9"/>
      <c r="O135" s="9" t="s">
        <v>493</v>
      </c>
      <c r="P135" s="9" t="s">
        <v>337</v>
      </c>
      <c r="Q135" s="9" t="s">
        <v>337</v>
      </c>
      <c r="R135" s="15"/>
      <c r="S135" s="16">
        <v>1</v>
      </c>
      <c r="T135" s="16"/>
      <c r="U135" s="9" t="b">
        <v>0</v>
      </c>
      <c r="V135" s="9" t="b">
        <v>0</v>
      </c>
      <c r="W135" s="9" t="b">
        <v>1</v>
      </c>
      <c r="X135" s="9"/>
      <c r="Y135" s="9" t="b">
        <v>0</v>
      </c>
      <c r="Z135" s="9" t="b">
        <v>0</v>
      </c>
      <c r="AA135" s="9" t="b">
        <v>0</v>
      </c>
      <c r="AB135" s="9"/>
      <c r="AC135" s="9" t="b">
        <v>0</v>
      </c>
    </row>
    <row r="136" spans="1:29" x14ac:dyDescent="0.3">
      <c r="A136" s="9">
        <f t="shared" si="10"/>
        <v>135</v>
      </c>
      <c r="B136" s="9">
        <v>18</v>
      </c>
      <c r="C136" s="9" t="str">
        <f t="array" ref="C136">GetValue("Tables",B136,"Name")</f>
        <v>Transactions</v>
      </c>
      <c r="D136" s="9" t="str" cm="1">
        <f t="array" ref="D136">GetValue("Tables",B136,"Alias")</f>
        <v>Transaction</v>
      </c>
      <c r="E136" s="9">
        <f>E135+5</f>
        <v>15</v>
      </c>
      <c r="F136" s="9">
        <v>6</v>
      </c>
      <c r="G136" s="9" t="str">
        <f t="array" ref="G136">GetValue("Domains",F136,"Name")</f>
        <v>Boolean</v>
      </c>
      <c r="H136" s="9" t="str" cm="1">
        <f t="array" ref="H136">GetValue("Domains",F136,"#CategoryName")</f>
        <v>boolean</v>
      </c>
      <c r="I136" s="9" t="str" cm="1">
        <f t="array" ref="I136">GetValue("Domains",F136,"#TypeName")</f>
        <v>bit</v>
      </c>
      <c r="J136" s="9" t="str" cm="1">
        <f t="array" ref="J136">GetValue("Domains",F136,"#DataType")</f>
        <v>bit</v>
      </c>
      <c r="K136" s="9"/>
      <c r="L136" s="9" t="str">
        <f t="array" ref="L136">GetValue("Tables",K136,"Name")</f>
        <v/>
      </c>
      <c r="M136" s="9" t="s">
        <v>489</v>
      </c>
      <c r="N136" s="9"/>
      <c r="O136" s="9" t="s">
        <v>494</v>
      </c>
      <c r="P136" s="9" t="s">
        <v>495</v>
      </c>
      <c r="Q136" s="9" t="s">
        <v>495</v>
      </c>
      <c r="R136" s="15"/>
      <c r="S136" s="16">
        <v>1</v>
      </c>
      <c r="T136" s="16"/>
      <c r="U136" s="9" t="b">
        <v>0</v>
      </c>
      <c r="V136" s="9" t="b">
        <v>0</v>
      </c>
      <c r="W136" s="9" t="b">
        <v>1</v>
      </c>
      <c r="X136" s="9"/>
      <c r="Y136" s="9" t="b">
        <v>0</v>
      </c>
      <c r="Z136" s="9" t="b">
        <v>0</v>
      </c>
      <c r="AA136" s="9" t="b">
        <v>0</v>
      </c>
      <c r="AB136" s="9"/>
      <c r="AC136" s="9" t="b">
        <v>0</v>
      </c>
    </row>
    <row r="137" spans="1:29" x14ac:dyDescent="0.3">
      <c r="A137" s="7">
        <f t="shared" si="10"/>
        <v>136</v>
      </c>
      <c r="B137" s="7">
        <v>19</v>
      </c>
      <c r="C137" s="7" t="str">
        <f t="array" ref="C137">GetValue("Tables",B137,"Name")</f>
        <v>Operations</v>
      </c>
      <c r="D137" s="8" t="str" cm="1">
        <f t="array" ref="D137">GetValue("Tables",B137,"Alias")</f>
        <v>Operation</v>
      </c>
      <c r="E137" s="7">
        <v>5</v>
      </c>
      <c r="F137" s="7">
        <v>1</v>
      </c>
      <c r="G137" s="7" t="str">
        <f t="array" ref="G137">GetValue("Domains",F137,"Name")</f>
        <v>BigInteger</v>
      </c>
      <c r="H137" s="7" t="str" cm="1">
        <f t="array" ref="H137">GetValue("Domains",F137,"#CategoryName")</f>
        <v>numeric</v>
      </c>
      <c r="I137" s="7" t="str" cm="1">
        <f t="array" ref="I137">GetValue("Domains",F137,"#TypeName")</f>
        <v>bigint</v>
      </c>
      <c r="J137" s="7" t="str" cm="1">
        <f t="array" ref="J137">GetValue("Domains",F137,"#DataType")</f>
        <v>bigint</v>
      </c>
      <c r="K137" s="7"/>
      <c r="L137" s="7" t="str">
        <f t="array" ref="L137">GetValue("Tables",K137,"Name")</f>
        <v/>
      </c>
      <c r="M137" s="7" t="s">
        <v>0</v>
      </c>
      <c r="N137" s="7"/>
      <c r="O137" s="7" t="s">
        <v>498</v>
      </c>
      <c r="P137" s="7" t="s">
        <v>160</v>
      </c>
      <c r="Q137" s="7" t="s">
        <v>160</v>
      </c>
      <c r="R137" s="14"/>
      <c r="S137" s="14">
        <v>1</v>
      </c>
      <c r="T137" s="14"/>
      <c r="U137" s="7" t="b">
        <v>1</v>
      </c>
      <c r="V137" s="7" t="b">
        <v>1</v>
      </c>
      <c r="W137" s="7" t="b">
        <v>1</v>
      </c>
      <c r="X137" s="7"/>
      <c r="Y137" s="7" t="b">
        <v>1</v>
      </c>
      <c r="Z137" s="7" t="b">
        <v>0</v>
      </c>
      <c r="AA137" s="7" t="b">
        <v>0</v>
      </c>
      <c r="AB137" s="7"/>
      <c r="AC137" s="7" t="b">
        <v>0</v>
      </c>
    </row>
    <row r="138" spans="1:29" x14ac:dyDescent="0.3">
      <c r="A138" s="7">
        <f t="shared" si="10"/>
        <v>137</v>
      </c>
      <c r="B138" s="7">
        <v>19</v>
      </c>
      <c r="C138" s="7" t="str">
        <f t="array" ref="C138">GetValue("Tables",B138,"Name")</f>
        <v>Operations</v>
      </c>
      <c r="D138" s="8" t="str" cm="1">
        <f t="array" ref="D138">GetValue("Tables",B138,"Alias")</f>
        <v>Operation</v>
      </c>
      <c r="E138" s="7">
        <f>E137+5</f>
        <v>10</v>
      </c>
      <c r="F138" s="7">
        <v>1</v>
      </c>
      <c r="G138" s="7" t="str">
        <f t="array" ref="G138">GetValue("Domains",F138,"Name")</f>
        <v>BigInteger</v>
      </c>
      <c r="H138" s="7" t="str" cm="1">
        <f t="array" ref="H138">GetValue("Domains",F138,"#CategoryName")</f>
        <v>numeric</v>
      </c>
      <c r="I138" s="7" t="str" cm="1">
        <f t="array" ref="I138">GetValue("Domains",F138,"#TypeName")</f>
        <v>bigint</v>
      </c>
      <c r="J138" s="7" t="str" cm="1">
        <f t="array" ref="J138">GetValue("Domains",F138,"#DataType")</f>
        <v>bigint</v>
      </c>
      <c r="K138" s="7">
        <v>18</v>
      </c>
      <c r="L138" s="7" t="str">
        <f t="array" ref="L138">GetValue("Tables",K138,"Name")</f>
        <v>Transactions</v>
      </c>
      <c r="M138" s="7" t="s">
        <v>490</v>
      </c>
      <c r="N138" s="7"/>
      <c r="O138" s="7" t="s">
        <v>497</v>
      </c>
      <c r="P138" s="7" t="s">
        <v>499</v>
      </c>
      <c r="Q138" s="7" t="s">
        <v>499</v>
      </c>
      <c r="R138" s="14"/>
      <c r="S138" s="14">
        <v>1</v>
      </c>
      <c r="T138" s="14"/>
      <c r="U138" s="7" t="b">
        <v>0</v>
      </c>
      <c r="V138" s="7" t="b">
        <v>0</v>
      </c>
      <c r="W138" s="7" t="b">
        <v>1</v>
      </c>
      <c r="X138" s="7"/>
      <c r="Y138" s="7" t="b">
        <v>0</v>
      </c>
      <c r="Z138" s="7" t="b">
        <v>0</v>
      </c>
      <c r="AA138" s="7" t="b">
        <v>0</v>
      </c>
      <c r="AB138" s="7"/>
      <c r="AC138" s="7" t="b">
        <v>0</v>
      </c>
    </row>
    <row r="139" spans="1:29" x14ac:dyDescent="0.3">
      <c r="A139" s="7">
        <f t="shared" si="10"/>
        <v>138</v>
      </c>
      <c r="B139" s="7">
        <v>19</v>
      </c>
      <c r="C139" s="7" t="str">
        <f t="array" ref="C139">GetValue("Tables",B139,"Name")</f>
        <v>Operations</v>
      </c>
      <c r="D139" s="8" t="str" cm="1">
        <f t="array" ref="D139">GetValue("Tables",B139,"Alias")</f>
        <v>Operation</v>
      </c>
      <c r="E139" s="7">
        <f t="shared" ref="E139:E144" si="12">E138+5</f>
        <v>15</v>
      </c>
      <c r="F139" s="7">
        <v>9</v>
      </c>
      <c r="G139" s="7" t="str">
        <f t="array" ref="G139">GetValue("Domains",F139,"Name")</f>
        <v>Nvarchar(25)</v>
      </c>
      <c r="H139" s="7" t="str" cm="1">
        <f t="array" ref="H139">GetValue("Domains",F139,"#CategoryName")</f>
        <v>string</v>
      </c>
      <c r="I139" s="7" t="str" cm="1">
        <f t="array" ref="I139">GetValue("Domains",F139,"#TypeName")</f>
        <v>nvarchar</v>
      </c>
      <c r="J139" s="7" t="str" cm="1">
        <f t="array" ref="J139">GetValue("Domains",F139,"#DataType")</f>
        <v>nvarchar(25)</v>
      </c>
      <c r="K139" s="7"/>
      <c r="L139" s="7" t="str">
        <f t="array" ref="L139">GetValue("Tables",K139,"Name")</f>
        <v/>
      </c>
      <c r="M139" s="7" t="s">
        <v>491</v>
      </c>
      <c r="N139" s="7"/>
      <c r="O139" s="7" t="s">
        <v>238</v>
      </c>
      <c r="P139" s="7" t="s">
        <v>242</v>
      </c>
      <c r="Q139" s="7" t="s">
        <v>242</v>
      </c>
      <c r="R139" s="14"/>
      <c r="S139" s="14"/>
      <c r="T139" s="14"/>
      <c r="U139" s="7" t="b">
        <v>0</v>
      </c>
      <c r="V139" s="7"/>
      <c r="W139" s="7" t="b">
        <v>1</v>
      </c>
      <c r="X139" s="7"/>
      <c r="Y139" s="7" t="b">
        <v>0</v>
      </c>
      <c r="Z139" s="7" t="b">
        <v>0</v>
      </c>
      <c r="AA139" s="7" t="b">
        <v>0</v>
      </c>
      <c r="AB139" s="7" t="b">
        <v>0</v>
      </c>
      <c r="AC139" s="7"/>
    </row>
    <row r="140" spans="1:29" x14ac:dyDescent="0.3">
      <c r="A140" s="7">
        <f>ROW(A140)-1</f>
        <v>139</v>
      </c>
      <c r="B140" s="7">
        <v>19</v>
      </c>
      <c r="C140" s="7" t="str">
        <f t="array" ref="C140">GetValue("Tables",B140,"Name")</f>
        <v>Operations</v>
      </c>
      <c r="D140" s="8" t="str" cm="1">
        <f t="array" ref="D140">GetValue("Tables",B140,"Alias")</f>
        <v>Operation</v>
      </c>
      <c r="E140" s="7">
        <f t="shared" si="12"/>
        <v>20</v>
      </c>
      <c r="F140" s="7">
        <v>1</v>
      </c>
      <c r="G140" s="7" t="str">
        <f t="array" ref="G140">GetValue("Domains",F140,"Name")</f>
        <v>BigInteger</v>
      </c>
      <c r="H140" s="7" t="str" cm="1">
        <f t="array" ref="H140">GetValue("Domains",F140,"#CategoryName")</f>
        <v>numeric</v>
      </c>
      <c r="I140" s="7" t="str" cm="1">
        <f t="array" ref="I140">GetValue("Domains",F140,"#TypeName")</f>
        <v>bigint</v>
      </c>
      <c r="J140" s="7" t="str" cm="1">
        <f t="array" ref="J140">GetValue("Domains",F140,"#DataType")</f>
        <v>bigint</v>
      </c>
      <c r="K140" s="7">
        <v>19</v>
      </c>
      <c r="L140" s="7" t="str">
        <f t="array" ref="L140">GetValue("Tables",K140,"Name")</f>
        <v>Operations</v>
      </c>
      <c r="M140" s="7" t="s">
        <v>504</v>
      </c>
      <c r="N140" s="7"/>
      <c r="O140" s="7" t="s">
        <v>505</v>
      </c>
      <c r="P140" s="7" t="s">
        <v>506</v>
      </c>
      <c r="Q140" s="7" t="s">
        <v>506</v>
      </c>
      <c r="R140" s="14"/>
      <c r="S140" s="14">
        <v>1</v>
      </c>
      <c r="T140" s="14"/>
      <c r="U140" s="7" t="b">
        <v>0</v>
      </c>
      <c r="V140" s="7" t="b">
        <v>0</v>
      </c>
      <c r="W140" s="7" t="b">
        <v>0</v>
      </c>
      <c r="X140" s="7"/>
      <c r="Y140" s="7" t="b">
        <v>0</v>
      </c>
      <c r="Z140" s="7" t="b">
        <v>0</v>
      </c>
      <c r="AA140" s="7" t="b">
        <v>0</v>
      </c>
      <c r="AB140" s="7"/>
      <c r="AC140" s="7" t="b">
        <v>0</v>
      </c>
    </row>
    <row r="141" spans="1:29" x14ac:dyDescent="0.3">
      <c r="A141" s="7">
        <f t="shared" si="10"/>
        <v>140</v>
      </c>
      <c r="B141" s="7">
        <v>19</v>
      </c>
      <c r="C141" s="7" t="str">
        <f t="array" ref="C141">GetValue("Tables",B141,"Name")</f>
        <v>Operations</v>
      </c>
      <c r="D141" s="8" t="str" cm="1">
        <f t="array" ref="D141">GetValue("Tables",B141,"Alias")</f>
        <v>Operation</v>
      </c>
      <c r="E141" s="7">
        <f t="shared" si="12"/>
        <v>25</v>
      </c>
      <c r="F141" s="7">
        <v>21</v>
      </c>
      <c r="G141" s="7" t="str">
        <f t="array" ref="G141">GetValue("Domains",F141,"Name")</f>
        <v>OperationAction</v>
      </c>
      <c r="H141" s="7" t="str" cm="1">
        <f t="array" ref="H141">GetValue("Domains",F141,"#CategoryName")</f>
        <v>string</v>
      </c>
      <c r="I141" s="7" t="str" cm="1">
        <f t="array" ref="I141">GetValue("Domains",F141,"#TypeName")</f>
        <v>nvarchar</v>
      </c>
      <c r="J141" s="7" t="str" cm="1">
        <f t="array" ref="J141">GetValue("Domains",F141,"#DataType")</f>
        <v>nvarchar(15)</v>
      </c>
      <c r="K141" s="7"/>
      <c r="L141" s="7" t="str">
        <f t="array" ref="L141">GetValue("Tables",K141,"Name")</f>
        <v/>
      </c>
      <c r="M141" s="7" t="s">
        <v>91</v>
      </c>
      <c r="N141" s="7"/>
      <c r="O141" s="7" t="s">
        <v>500</v>
      </c>
      <c r="P141" s="7" t="s">
        <v>215</v>
      </c>
      <c r="Q141" s="7" t="s">
        <v>215</v>
      </c>
      <c r="R141" s="14"/>
      <c r="S141" s="14"/>
      <c r="T141" s="14"/>
      <c r="U141" s="7" t="b">
        <v>0</v>
      </c>
      <c r="V141" s="7"/>
      <c r="W141" s="7" t="b">
        <v>1</v>
      </c>
      <c r="X141" s="7"/>
      <c r="Y141" s="7" t="b">
        <v>0</v>
      </c>
      <c r="Z141" s="7" t="b">
        <v>0</v>
      </c>
      <c r="AA141" s="7" t="b">
        <v>0</v>
      </c>
      <c r="AB141" s="7" t="b">
        <v>0</v>
      </c>
      <c r="AC141" s="7"/>
    </row>
    <row r="142" spans="1:29" x14ac:dyDescent="0.3">
      <c r="A142" s="7">
        <f t="shared" si="10"/>
        <v>141</v>
      </c>
      <c r="B142" s="7">
        <v>19</v>
      </c>
      <c r="C142" s="7" t="str">
        <f t="array" ref="C142">GetValue("Tables",B142,"Name")</f>
        <v>Operations</v>
      </c>
      <c r="D142" s="8" t="str" cm="1">
        <f t="array" ref="D142">GetValue("Tables",B142,"Alias")</f>
        <v>Operation</v>
      </c>
      <c r="E142" s="7">
        <f t="shared" si="12"/>
        <v>30</v>
      </c>
      <c r="F142" s="7">
        <v>12</v>
      </c>
      <c r="G142" s="7" t="str">
        <f t="array" ref="G142">GetValue("Domains",F142,"Name")</f>
        <v>Nvarchar(MAX)</v>
      </c>
      <c r="H142" s="7" t="str" cm="1">
        <f t="array" ref="H142">GetValue("Domains",F142,"#CategoryName")</f>
        <v>text</v>
      </c>
      <c r="I142" s="7" t="str" cm="1">
        <f t="array" ref="I142">GetValue("Domains",F142,"#TypeName")</f>
        <v>nvarchar(max)</v>
      </c>
      <c r="J142" s="7" t="str" cm="1">
        <f t="array" ref="J142">GetValue("Domains",F142,"#DataType")</f>
        <v>nvarchar(max)</v>
      </c>
      <c r="K142" s="7"/>
      <c r="L142" s="7" t="str">
        <f t="array" ref="L142">GetValue("Tables",K142,"Name")</f>
        <v/>
      </c>
      <c r="M142" s="7" t="s">
        <v>501</v>
      </c>
      <c r="N142" s="7"/>
      <c r="O142" s="7" t="s">
        <v>502</v>
      </c>
      <c r="P142" s="7" t="s">
        <v>502</v>
      </c>
      <c r="Q142" s="7" t="s">
        <v>502</v>
      </c>
      <c r="R142" s="14"/>
      <c r="S142" s="14"/>
      <c r="T142" s="14"/>
      <c r="U142" s="7" t="b">
        <v>0</v>
      </c>
      <c r="V142" s="7"/>
      <c r="W142" s="7" t="b">
        <v>0</v>
      </c>
      <c r="X142" s="7"/>
      <c r="Y142" s="7" t="b">
        <v>0</v>
      </c>
      <c r="Z142" s="7" t="b">
        <v>0</v>
      </c>
      <c r="AA142" s="7" t="b">
        <v>0</v>
      </c>
      <c r="AB142" s="7" t="b">
        <v>0</v>
      </c>
      <c r="AC142" s="7"/>
    </row>
    <row r="143" spans="1:29" x14ac:dyDescent="0.3">
      <c r="A143" s="7">
        <f t="shared" si="10"/>
        <v>142</v>
      </c>
      <c r="B143" s="7">
        <v>19</v>
      </c>
      <c r="C143" s="7" t="str">
        <f t="array" ref="C143">GetValue("Tables",B143,"Name")</f>
        <v>Operations</v>
      </c>
      <c r="D143" s="8" t="str" cm="1">
        <f t="array" ref="D143">GetValue("Tables",B143,"Alias")</f>
        <v>Operation</v>
      </c>
      <c r="E143" s="7">
        <f t="shared" si="12"/>
        <v>35</v>
      </c>
      <c r="F143" s="7">
        <v>12</v>
      </c>
      <c r="G143" s="7" t="str">
        <f t="array" ref="G143">GetValue("Domains",F143,"Name")</f>
        <v>Nvarchar(MAX)</v>
      </c>
      <c r="H143" s="7" t="str" cm="1">
        <f t="array" ref="H143">GetValue("Domains",F143,"#CategoryName")</f>
        <v>text</v>
      </c>
      <c r="I143" s="7" t="str" cm="1">
        <f t="array" ref="I143">GetValue("Domains",F143,"#TypeName")</f>
        <v>nvarchar(max)</v>
      </c>
      <c r="J143" s="7" t="str" cm="1">
        <f t="array" ref="J143">GetValue("Domains",F143,"#DataType")</f>
        <v>nvarchar(max)</v>
      </c>
      <c r="K143" s="7"/>
      <c r="L143" s="7" t="str">
        <f t="array" ref="L143">GetValue("Tables",K143,"Name")</f>
        <v/>
      </c>
      <c r="M143" s="7" t="s">
        <v>492</v>
      </c>
      <c r="N143" s="7"/>
      <c r="O143" s="7" t="s">
        <v>503</v>
      </c>
      <c r="P143" s="7" t="s">
        <v>503</v>
      </c>
      <c r="Q143" s="7" t="s">
        <v>503</v>
      </c>
      <c r="R143" s="14"/>
      <c r="S143" s="14"/>
      <c r="T143" s="14"/>
      <c r="U143" s="7" t="b">
        <v>0</v>
      </c>
      <c r="V143" s="7"/>
      <c r="W143" s="7" t="b">
        <v>1</v>
      </c>
      <c r="X143" s="7"/>
      <c r="Y143" s="7" t="b">
        <v>0</v>
      </c>
      <c r="Z143" s="7" t="b">
        <v>0</v>
      </c>
      <c r="AA143" s="7" t="b">
        <v>0</v>
      </c>
      <c r="AB143" s="7" t="b">
        <v>0</v>
      </c>
      <c r="AC143" s="7"/>
    </row>
    <row r="144" spans="1:29" x14ac:dyDescent="0.3">
      <c r="A144" s="7">
        <f t="shared" si="10"/>
        <v>143</v>
      </c>
      <c r="B144" s="7">
        <v>19</v>
      </c>
      <c r="C144" s="7" t="str">
        <f t="array" ref="C144">GetValue("Tables",B144,"Name")</f>
        <v>Operations</v>
      </c>
      <c r="D144" s="8" t="str" cm="1">
        <f t="array" ref="D144">GetValue("Tables",B144,"Alias")</f>
        <v>Operation</v>
      </c>
      <c r="E144" s="7">
        <f t="shared" si="12"/>
        <v>40</v>
      </c>
      <c r="F144" s="7">
        <v>6</v>
      </c>
      <c r="G144" s="7" t="str">
        <f t="array" ref="G144">GetValue("Domains",F144,"Name")</f>
        <v>Boolean</v>
      </c>
      <c r="H144" s="7" t="str" cm="1">
        <f t="array" ref="H144">GetValue("Domains",F144,"#CategoryName")</f>
        <v>boolean</v>
      </c>
      <c r="I144" s="7" t="str" cm="1">
        <f t="array" ref="I144">GetValue("Domains",F144,"#TypeName")</f>
        <v>bit</v>
      </c>
      <c r="J144" s="7" t="str" cm="1">
        <f t="array" ref="J144">GetValue("Domains",F144,"#DataType")</f>
        <v>bit</v>
      </c>
      <c r="K144" s="7"/>
      <c r="L144" s="7" t="str">
        <f t="array" ref="L144">GetValue("Tables",K144,"Name")</f>
        <v/>
      </c>
      <c r="M144" s="7" t="s">
        <v>489</v>
      </c>
      <c r="N144" s="7"/>
      <c r="O144" s="7" t="s">
        <v>494</v>
      </c>
      <c r="P144" s="7" t="s">
        <v>495</v>
      </c>
      <c r="Q144" s="7" t="s">
        <v>495</v>
      </c>
      <c r="R144" s="14"/>
      <c r="S144" s="14"/>
      <c r="T144" s="14"/>
      <c r="U144" s="7" t="b">
        <v>0</v>
      </c>
      <c r="V144" s="7"/>
      <c r="W144" s="7" t="b">
        <v>0</v>
      </c>
      <c r="X144" s="7"/>
      <c r="Y144" s="7" t="b">
        <v>0</v>
      </c>
      <c r="Z144" s="7" t="b">
        <v>0</v>
      </c>
      <c r="AA144" s="7" t="b">
        <v>0</v>
      </c>
      <c r="AB144" s="7"/>
      <c r="AC144" s="7"/>
    </row>
    <row r="145" spans="1:29" x14ac:dyDescent="0.3">
      <c r="A145" s="9">
        <f t="shared" si="10"/>
        <v>144</v>
      </c>
      <c r="B145" s="9">
        <v>20</v>
      </c>
      <c r="C145" s="9" t="str">
        <f t="array" ref="C145">GetValue("Tables",B145,"Name")</f>
        <v>Associations</v>
      </c>
      <c r="D145" s="9" t="str" cm="1">
        <f t="array" ref="D145">GetValue("Tables",B145,"Alias")</f>
        <v>Association</v>
      </c>
      <c r="E145" s="9">
        <v>5</v>
      </c>
      <c r="F145" s="9">
        <v>1</v>
      </c>
      <c r="G145" s="9" t="str">
        <f t="array" ref="G145">GetValue("Domains",F145,"Name")</f>
        <v>BigInteger</v>
      </c>
      <c r="H145" s="9" t="str" cm="1">
        <f t="array" ref="H145">GetValue("Domains",F145,"#CategoryName")</f>
        <v>numeric</v>
      </c>
      <c r="I145" s="9" t="str" cm="1">
        <f t="array" ref="I145">GetValue("Domains",F145,"#TypeName")</f>
        <v>bigint</v>
      </c>
      <c r="J145" s="9" t="str" cm="1">
        <f t="array" ref="J145">GetValue("Domains",F145,"#DataType")</f>
        <v>bigint</v>
      </c>
      <c r="K145" s="9"/>
      <c r="L145" s="9" t="str">
        <f t="array" ref="L145">GetValue("Tables",K145,"Name")</f>
        <v/>
      </c>
      <c r="M145" s="9" t="s">
        <v>0</v>
      </c>
      <c r="N145" s="9"/>
      <c r="O145" s="9" t="s">
        <v>497</v>
      </c>
      <c r="P145" s="9" t="s">
        <v>160</v>
      </c>
      <c r="Q145" s="9" t="s">
        <v>160</v>
      </c>
      <c r="R145" s="15"/>
      <c r="S145" s="16">
        <v>1</v>
      </c>
      <c r="T145" s="16"/>
      <c r="U145" s="9" t="b">
        <v>1</v>
      </c>
      <c r="V145" s="9" t="b">
        <v>1</v>
      </c>
      <c r="W145" s="9" t="b">
        <v>1</v>
      </c>
      <c r="X145" s="9"/>
      <c r="Y145" s="9" t="b">
        <v>1</v>
      </c>
      <c r="Z145" s="9" t="b">
        <v>0</v>
      </c>
      <c r="AA145" s="9" t="b">
        <v>0</v>
      </c>
      <c r="AB145" s="9"/>
      <c r="AC145" s="9" t="b">
        <v>0</v>
      </c>
    </row>
    <row r="146" spans="1:29" x14ac:dyDescent="0.3">
      <c r="A146" s="9">
        <f t="shared" si="10"/>
        <v>145</v>
      </c>
      <c r="B146" s="9">
        <v>20</v>
      </c>
      <c r="C146" s="9" t="str">
        <f t="array" ref="C146">GetValue("Tables",B146,"Name")</f>
        <v>Associations</v>
      </c>
      <c r="D146" s="9" t="str" cm="1">
        <f t="array" ref="D146">GetValue("Tables",B146,"Alias")</f>
        <v>Association</v>
      </c>
      <c r="E146" s="9">
        <f>E145+5</f>
        <v>10</v>
      </c>
      <c r="F146" s="9">
        <v>1</v>
      </c>
      <c r="G146" s="9" t="str">
        <f t="array" ref="G146">GetValue("Domains",F146,"Name")</f>
        <v>BigInteger</v>
      </c>
      <c r="H146" s="9" t="str" cm="1">
        <f t="array" ref="H146">GetValue("Domains",F146,"#CategoryName")</f>
        <v>numeric</v>
      </c>
      <c r="I146" s="9" t="str" cm="1">
        <f t="array" ref="I146">GetValue("Domains",F146,"#TypeName")</f>
        <v>bigint</v>
      </c>
      <c r="J146" s="9" t="str" cm="1">
        <f t="array" ref="J146">GetValue("Domains",F146,"#DataType")</f>
        <v>bigint</v>
      </c>
      <c r="K146" s="9"/>
      <c r="L146" s="9" t="str">
        <f t="array" ref="L146">GetValue("Tables",K146,"Name")</f>
        <v/>
      </c>
      <c r="M146" s="9" t="s">
        <v>529</v>
      </c>
      <c r="N146" s="9"/>
      <c r="O146" s="9" t="s">
        <v>528</v>
      </c>
      <c r="P146" s="9" t="s">
        <v>532</v>
      </c>
      <c r="Q146" s="9" t="s">
        <v>532</v>
      </c>
      <c r="R146" s="15"/>
      <c r="S146" s="16">
        <v>1</v>
      </c>
      <c r="T146" s="16"/>
      <c r="U146" s="9" t="b">
        <v>0</v>
      </c>
      <c r="V146" s="9" t="b">
        <v>0</v>
      </c>
      <c r="W146" s="9" t="b">
        <v>1</v>
      </c>
      <c r="X146" s="9"/>
      <c r="Y146" s="9" t="b">
        <v>1</v>
      </c>
      <c r="Z146" s="9" t="b">
        <v>1</v>
      </c>
      <c r="AA146" s="9" t="b">
        <v>1</v>
      </c>
      <c r="AB146" s="9"/>
      <c r="AC146" s="9" t="b">
        <v>0</v>
      </c>
    </row>
    <row r="147" spans="1:29" x14ac:dyDescent="0.3">
      <c r="A147" s="9">
        <f t="shared" si="10"/>
        <v>146</v>
      </c>
      <c r="B147" s="9">
        <v>20</v>
      </c>
      <c r="C147" s="9" t="str">
        <f t="array" ref="C147">GetValue("Tables",B147,"Name")</f>
        <v>Associations</v>
      </c>
      <c r="D147" s="9" t="str" cm="1">
        <f t="array" ref="D147">GetValue("Tables",B147,"Alias")</f>
        <v>Association</v>
      </c>
      <c r="E147" s="9">
        <f>E146+5</f>
        <v>15</v>
      </c>
      <c r="F147" s="9">
        <v>1</v>
      </c>
      <c r="G147" s="9" t="str">
        <f t="array" ref="G147">GetValue("Domains",F147,"Name")</f>
        <v>BigInteger</v>
      </c>
      <c r="H147" s="9" t="str" cm="1">
        <f t="array" ref="H147">GetValue("Domains",F147,"#CategoryName")</f>
        <v>numeric</v>
      </c>
      <c r="I147" s="9" t="str" cm="1">
        <f t="array" ref="I147">GetValue("Domains",F147,"#TypeName")</f>
        <v>bigint</v>
      </c>
      <c r="J147" s="9" t="str" cm="1">
        <f t="array" ref="J147">GetValue("Domains",F147,"#DataType")</f>
        <v>bigint</v>
      </c>
      <c r="K147" s="9"/>
      <c r="L147" s="9" t="str">
        <f t="array" ref="L147">GetValue("Tables",K147,"Name")</f>
        <v/>
      </c>
      <c r="M147" s="9" t="s">
        <v>530</v>
      </c>
      <c r="N147" s="9"/>
      <c r="O147" s="9" t="s">
        <v>531</v>
      </c>
      <c r="P147" s="9" t="s">
        <v>533</v>
      </c>
      <c r="Q147" s="9" t="s">
        <v>533</v>
      </c>
      <c r="R147" s="15"/>
      <c r="S147" s="16">
        <v>1</v>
      </c>
      <c r="T147" s="16"/>
      <c r="U147" s="9" t="b">
        <v>0</v>
      </c>
      <c r="V147" s="9" t="b">
        <v>0</v>
      </c>
      <c r="W147" s="9" t="b">
        <v>1</v>
      </c>
      <c r="X147" s="9"/>
      <c r="Y147" s="9" t="b">
        <v>1</v>
      </c>
      <c r="Z147" s="9" t="b">
        <v>1</v>
      </c>
      <c r="AA147" s="9" t="b">
        <v>1</v>
      </c>
      <c r="AB147" s="9"/>
      <c r="AC147" s="9" t="b">
        <v>0</v>
      </c>
    </row>
    <row r="148" spans="1:29" x14ac:dyDescent="0.3">
      <c r="A148" s="9">
        <f t="shared" si="10"/>
        <v>147</v>
      </c>
      <c r="B148" s="9">
        <v>20</v>
      </c>
      <c r="C148" s="9" t="str">
        <f t="array" ref="C148">GetValue("Tables",B148,"Name")</f>
        <v>Associations</v>
      </c>
      <c r="D148" s="9" t="str" cm="1">
        <f t="array" ref="D148">GetValue("Tables",B148,"Alias")</f>
        <v>Association</v>
      </c>
      <c r="E148" s="9">
        <f>E147+5</f>
        <v>20</v>
      </c>
      <c r="F148" s="9">
        <v>6</v>
      </c>
      <c r="G148" s="9" t="str">
        <f t="array" ref="G148">GetValue("Domains",F148,"Name")</f>
        <v>Boolean</v>
      </c>
      <c r="H148" s="9" t="str" cm="1">
        <f t="array" ref="H148">GetValue("Domains",F148,"#CategoryName")</f>
        <v>boolean</v>
      </c>
      <c r="I148" s="9" t="str" cm="1">
        <f t="array" ref="I148">GetValue("Domains",F148,"#TypeName")</f>
        <v>bit</v>
      </c>
      <c r="J148" s="9" t="str" cm="1">
        <f t="array" ref="J148">GetValue("Domains",F148,"#DataType")</f>
        <v>bit</v>
      </c>
      <c r="K148" s="9"/>
      <c r="L148" s="9" t="str">
        <f t="array" ref="L148">GetValue("Tables",K148,"Name")</f>
        <v/>
      </c>
      <c r="M148" s="9" t="s">
        <v>522</v>
      </c>
      <c r="N148" s="9"/>
      <c r="O148" s="9" t="s">
        <v>548</v>
      </c>
      <c r="P148" s="9" t="s">
        <v>549</v>
      </c>
      <c r="Q148" s="9" t="s">
        <v>549</v>
      </c>
      <c r="R148" s="15"/>
      <c r="S148" s="16">
        <v>1</v>
      </c>
      <c r="T148" s="16"/>
      <c r="U148" s="9"/>
      <c r="V148" s="9"/>
      <c r="W148" s="9" t="b">
        <v>1</v>
      </c>
      <c r="X148" s="9"/>
      <c r="Y148" s="9" t="b">
        <v>0</v>
      </c>
      <c r="Z148" s="9" t="b">
        <v>0</v>
      </c>
      <c r="AA148" s="9" t="b">
        <v>0</v>
      </c>
      <c r="AB148" s="9"/>
      <c r="AC148" s="9"/>
    </row>
    <row r="149" spans="1:29" x14ac:dyDescent="0.3">
      <c r="A149" s="7">
        <f t="shared" si="10"/>
        <v>148</v>
      </c>
      <c r="B149" s="7">
        <v>21</v>
      </c>
      <c r="C149" s="7" t="str">
        <f t="array" ref="C149">GetValue("Tables",B149,"Name")</f>
        <v>Uniques</v>
      </c>
      <c r="D149" s="8" t="str" cm="1">
        <f t="array" ref="D149">GetValue("Tables",B149,"Alias")</f>
        <v>Unique</v>
      </c>
      <c r="E149" s="7">
        <v>5</v>
      </c>
      <c r="F149" s="7">
        <v>1</v>
      </c>
      <c r="G149" s="7" t="str">
        <f t="array" ref="G149">GetValue("Domains",F149,"Name")</f>
        <v>BigInteger</v>
      </c>
      <c r="H149" s="7" t="str" cm="1">
        <f t="array" ref="H149">GetValue("Domains",F149,"#CategoryName")</f>
        <v>numeric</v>
      </c>
      <c r="I149" s="7" t="str" cm="1">
        <f t="array" ref="I149">GetValue("Domains",F149,"#TypeName")</f>
        <v>bigint</v>
      </c>
      <c r="J149" s="7" t="str" cm="1">
        <f t="array" ref="J149">GetValue("Domains",F149,"#DataType")</f>
        <v>bigint</v>
      </c>
      <c r="K149" s="7"/>
      <c r="L149" s="7" t="str">
        <f t="array" ref="L149">GetValue("Tables",K149,"Name")</f>
        <v/>
      </c>
      <c r="M149" s="7" t="s">
        <v>0</v>
      </c>
      <c r="N149" s="7"/>
      <c r="O149" s="7" t="s">
        <v>534</v>
      </c>
      <c r="P149" s="7" t="s">
        <v>160</v>
      </c>
      <c r="Q149" s="7" t="s">
        <v>160</v>
      </c>
      <c r="R149" s="14"/>
      <c r="S149" s="14">
        <v>1</v>
      </c>
      <c r="T149" s="14"/>
      <c r="U149" s="7" t="b">
        <v>1</v>
      </c>
      <c r="V149" s="7" t="b">
        <v>1</v>
      </c>
      <c r="W149" s="7" t="b">
        <v>1</v>
      </c>
      <c r="X149" s="7"/>
      <c r="Y149" s="7" t="b">
        <v>1</v>
      </c>
      <c r="Z149" s="7" t="b">
        <v>0</v>
      </c>
      <c r="AA149" s="7" t="b">
        <v>0</v>
      </c>
      <c r="AB149" s="7"/>
      <c r="AC149" s="7" t="b">
        <v>0</v>
      </c>
    </row>
    <row r="150" spans="1:29" x14ac:dyDescent="0.3">
      <c r="A150" s="7">
        <f t="shared" si="10"/>
        <v>149</v>
      </c>
      <c r="B150" s="7">
        <v>21</v>
      </c>
      <c r="C150" s="7" t="str">
        <f t="array" ref="C150">GetValue("Tables",B150,"Name")</f>
        <v>Uniques</v>
      </c>
      <c r="D150" s="8" t="str" cm="1">
        <f t="array" ref="D150">GetValue("Tables",B150,"Alias")</f>
        <v>Unique</v>
      </c>
      <c r="E150" s="7">
        <f t="shared" ref="E150:E152" si="13">E149+5</f>
        <v>10</v>
      </c>
      <c r="F150" s="7">
        <v>1</v>
      </c>
      <c r="G150" s="7" t="str">
        <f t="array" ref="G150">GetValue("Domains",F150,"Name")</f>
        <v>BigInteger</v>
      </c>
      <c r="H150" s="7" t="str" cm="1">
        <f t="array" ref="H150">GetValue("Domains",F150,"#CategoryName")</f>
        <v>numeric</v>
      </c>
      <c r="I150" s="7" t="str" cm="1">
        <f t="array" ref="I150">GetValue("Domains",F150,"#TypeName")</f>
        <v>bigint</v>
      </c>
      <c r="J150" s="7" t="str" cm="1">
        <f t="array" ref="J150">GetValue("Domains",F150,"#DataType")</f>
        <v>bigint</v>
      </c>
      <c r="K150" s="7"/>
      <c r="L150" s="7" t="str">
        <f t="array" ref="L150">GetValue("Tables",K150,"Name")</f>
        <v/>
      </c>
      <c r="M150" s="7" t="s">
        <v>535</v>
      </c>
      <c r="N150" s="7"/>
      <c r="O150" s="7" t="s">
        <v>537</v>
      </c>
      <c r="P150" s="7" t="s">
        <v>537</v>
      </c>
      <c r="Q150" s="7" t="s">
        <v>539</v>
      </c>
      <c r="R150" s="14"/>
      <c r="S150" s="14"/>
      <c r="T150" s="14"/>
      <c r="U150" s="7" t="b">
        <v>0</v>
      </c>
      <c r="V150" s="7" t="b">
        <v>0</v>
      </c>
      <c r="W150" s="7" t="b">
        <v>1</v>
      </c>
      <c r="X150" s="7"/>
      <c r="Y150" s="7" t="b">
        <v>1</v>
      </c>
      <c r="Z150" s="7" t="b">
        <v>1</v>
      </c>
      <c r="AA150" s="7" t="b">
        <v>1</v>
      </c>
      <c r="AB150" s="7"/>
      <c r="AC150" s="7" t="b">
        <v>0</v>
      </c>
    </row>
    <row r="151" spans="1:29" x14ac:dyDescent="0.3">
      <c r="A151" s="7">
        <f t="shared" si="10"/>
        <v>150</v>
      </c>
      <c r="B151" s="7">
        <v>21</v>
      </c>
      <c r="C151" s="7" t="str">
        <f t="array" ref="C151">GetValue("Tables",B151,"Name")</f>
        <v>Uniques</v>
      </c>
      <c r="D151" s="8" t="str" cm="1">
        <f t="array" ref="D151">GetValue("Tables",B151,"Alias")</f>
        <v>Unique</v>
      </c>
      <c r="E151" s="7">
        <f t="shared" si="13"/>
        <v>15</v>
      </c>
      <c r="F151" s="7">
        <v>1</v>
      </c>
      <c r="G151" s="7" t="str">
        <f t="array" ref="G151">GetValue("Domains",F151,"Name")</f>
        <v>BigInteger</v>
      </c>
      <c r="H151" s="7" t="str" cm="1">
        <f t="array" ref="H151">GetValue("Domains",F151,"#CategoryName")</f>
        <v>numeric</v>
      </c>
      <c r="I151" s="7" t="str" cm="1">
        <f t="array" ref="I151">GetValue("Domains",F151,"#TypeName")</f>
        <v>bigint</v>
      </c>
      <c r="J151" s="7" t="str" cm="1">
        <f t="array" ref="J151">GetValue("Domains",F151,"#DataType")</f>
        <v>bigint</v>
      </c>
      <c r="K151" s="7"/>
      <c r="L151" s="7" t="str">
        <f t="array" ref="L151">GetValue("Tables",K151,"Name")</f>
        <v/>
      </c>
      <c r="M151" s="7" t="s">
        <v>536</v>
      </c>
      <c r="N151" s="7"/>
      <c r="O151" s="7" t="s">
        <v>538</v>
      </c>
      <c r="P151" s="7" t="s">
        <v>538</v>
      </c>
      <c r="Q151" s="7" t="s">
        <v>540</v>
      </c>
      <c r="R151" s="14"/>
      <c r="S151" s="14"/>
      <c r="T151" s="14"/>
      <c r="U151" s="7" t="b">
        <v>0</v>
      </c>
      <c r="V151" s="7" t="b">
        <v>0</v>
      </c>
      <c r="W151" s="7" t="b">
        <v>1</v>
      </c>
      <c r="X151" s="7"/>
      <c r="Y151" s="7" t="b">
        <v>1</v>
      </c>
      <c r="Z151" s="7" t="b">
        <v>1</v>
      </c>
      <c r="AA151" s="7" t="b">
        <v>1</v>
      </c>
      <c r="AB151" s="7"/>
      <c r="AC151" s="7" t="b">
        <v>0</v>
      </c>
    </row>
    <row r="152" spans="1:29" x14ac:dyDescent="0.3">
      <c r="A152" s="7">
        <f t="shared" si="10"/>
        <v>151</v>
      </c>
      <c r="B152" s="7">
        <v>21</v>
      </c>
      <c r="C152" s="7" t="str">
        <f t="array" ref="C152">GetValue("Tables",B152,"Name")</f>
        <v>Uniques</v>
      </c>
      <c r="D152" s="8" t="str" cm="1">
        <f t="array" ref="D152">GetValue("Tables",B152,"Alias")</f>
        <v>Unique</v>
      </c>
      <c r="E152" s="7">
        <f t="shared" si="13"/>
        <v>20</v>
      </c>
      <c r="F152" s="7">
        <v>6</v>
      </c>
      <c r="G152" s="7" t="str">
        <f t="array" ref="G152">GetValue("Domains",F152,"Name")</f>
        <v>Boolean</v>
      </c>
      <c r="H152" s="7" t="str" cm="1">
        <f t="array" ref="H152">GetValue("Domains",F152,"#CategoryName")</f>
        <v>boolean</v>
      </c>
      <c r="I152" s="7" t="str" cm="1">
        <f t="array" ref="I152">GetValue("Domains",F152,"#TypeName")</f>
        <v>bit</v>
      </c>
      <c r="J152" s="7" t="str" cm="1">
        <f t="array" ref="J152">GetValue("Domains",F152,"#DataType")</f>
        <v>bit</v>
      </c>
      <c r="K152" s="7"/>
      <c r="L152" s="7" t="str">
        <f t="array" ref="L152">GetValue("Tables",K152,"Name")</f>
        <v/>
      </c>
      <c r="M152" s="7" t="s">
        <v>522</v>
      </c>
      <c r="N152" s="7"/>
      <c r="O152" s="7" t="s">
        <v>548</v>
      </c>
      <c r="P152" s="7" t="s">
        <v>549</v>
      </c>
      <c r="Q152" s="7" t="s">
        <v>549</v>
      </c>
      <c r="R152" s="14"/>
      <c r="S152" s="14"/>
      <c r="T152" s="14"/>
      <c r="U152" s="7"/>
      <c r="V152" s="7"/>
      <c r="W152" s="7" t="b">
        <v>1</v>
      </c>
      <c r="X152" s="7"/>
      <c r="Y152" s="7" t="b">
        <v>1</v>
      </c>
      <c r="Z152" s="7" t="b">
        <v>1</v>
      </c>
      <c r="AA152" s="7" t="b">
        <v>1</v>
      </c>
      <c r="AB152" s="7"/>
      <c r="AC152" s="7"/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DD1E5B-1BC5-4BDC-88CD-9115220427F6}">
  <sheetPr codeName="Planilha12"/>
  <dimension ref="A1:E25"/>
  <sheetViews>
    <sheetView workbookViewId="0">
      <pane ySplit="1" topLeftCell="A2" activePane="bottomLeft" state="frozen"/>
      <selection pane="bottomLeft" activeCell="C24" sqref="C24"/>
    </sheetView>
  </sheetViews>
  <sheetFormatPr defaultRowHeight="14.4" x14ac:dyDescent="0.3"/>
  <cols>
    <col min="1" max="1" width="3" bestFit="1" customWidth="1"/>
    <col min="2" max="2" width="7.21875" bestFit="1" customWidth="1"/>
    <col min="3" max="3" width="16.109375" bestFit="1" customWidth="1"/>
    <col min="4" max="4" width="40.33203125" bestFit="1" customWidth="1"/>
    <col min="5" max="5" width="11.77734375" bestFit="1" customWidth="1"/>
  </cols>
  <sheetData>
    <row r="1" spans="1:5" s="1" customFormat="1" x14ac:dyDescent="0.3">
      <c r="A1" s="1" t="s">
        <v>0</v>
      </c>
      <c r="B1" s="1" t="s">
        <v>148</v>
      </c>
      <c r="C1" s="1" t="s">
        <v>354</v>
      </c>
      <c r="D1" s="1" t="s">
        <v>1</v>
      </c>
      <c r="E1" s="1" t="s">
        <v>267</v>
      </c>
    </row>
    <row r="2" spans="1:5" x14ac:dyDescent="0.3">
      <c r="A2">
        <f>ROW(A2)-1</f>
        <v>1</v>
      </c>
      <c r="B2">
        <v>1</v>
      </c>
      <c r="C2" t="str">
        <f t="array" ref="C2">GetValue("Tables",B2,"Name")</f>
        <v>Categories</v>
      </c>
      <c r="D2" t="s">
        <v>303</v>
      </c>
      <c r="E2" t="b">
        <v>1</v>
      </c>
    </row>
    <row r="3" spans="1:5" x14ac:dyDescent="0.3">
      <c r="A3">
        <f>ROW(A3)-1</f>
        <v>2</v>
      </c>
      <c r="B3">
        <v>2</v>
      </c>
      <c r="C3" t="str">
        <f t="array" ref="C3">GetValue("Tables",B3,"Name")</f>
        <v>Types</v>
      </c>
      <c r="D3" t="s">
        <v>295</v>
      </c>
      <c r="E3" t="b">
        <v>1</v>
      </c>
    </row>
    <row r="4" spans="1:5" x14ac:dyDescent="0.3">
      <c r="A4">
        <f t="shared" ref="A4:A25" si="0">ROW(A4)-1</f>
        <v>3</v>
      </c>
      <c r="B4">
        <v>3</v>
      </c>
      <c r="C4" t="str">
        <f t="array" ref="C4">GetValue("Tables",B4,"Name")</f>
        <v>Masks</v>
      </c>
      <c r="D4" t="s">
        <v>297</v>
      </c>
      <c r="E4" t="b">
        <v>1</v>
      </c>
    </row>
    <row r="5" spans="1:5" x14ac:dyDescent="0.3">
      <c r="A5">
        <f>ROW(A5)-1</f>
        <v>4</v>
      </c>
      <c r="B5">
        <v>4</v>
      </c>
      <c r="C5" t="str">
        <f t="array" ref="C5">GetValue("Tables",B5,"Name")</f>
        <v>Domains</v>
      </c>
      <c r="D5" t="s">
        <v>296</v>
      </c>
      <c r="E5" t="b">
        <v>1</v>
      </c>
    </row>
    <row r="6" spans="1:5" x14ac:dyDescent="0.3">
      <c r="A6">
        <f t="shared" si="0"/>
        <v>5</v>
      </c>
      <c r="B6">
        <v>5</v>
      </c>
      <c r="C6" t="str">
        <f t="array" ref="C6">GetValue("Tables",B6,"Name")</f>
        <v>Systems</v>
      </c>
      <c r="D6" t="s">
        <v>298</v>
      </c>
      <c r="E6" t="b">
        <v>1</v>
      </c>
    </row>
    <row r="7" spans="1:5" x14ac:dyDescent="0.3">
      <c r="A7">
        <f t="shared" si="0"/>
        <v>6</v>
      </c>
      <c r="B7">
        <v>6</v>
      </c>
      <c r="C7" t="str">
        <f t="array" ref="C7">GetValue("Tables",B7,"Name")</f>
        <v>Menus</v>
      </c>
      <c r="D7" t="s">
        <v>359</v>
      </c>
      <c r="E7" t="b">
        <v>1</v>
      </c>
    </row>
    <row r="8" spans="1:5" x14ac:dyDescent="0.3">
      <c r="A8">
        <f t="shared" si="0"/>
        <v>7</v>
      </c>
      <c r="B8">
        <v>6</v>
      </c>
      <c r="C8" t="str">
        <f t="array" ref="C8">GetValue("Tables",B8,"Name")</f>
        <v>Menus</v>
      </c>
      <c r="D8" t="s">
        <v>388</v>
      </c>
      <c r="E8" t="b">
        <v>1</v>
      </c>
    </row>
    <row r="9" spans="1:5" x14ac:dyDescent="0.3">
      <c r="A9">
        <f t="shared" si="0"/>
        <v>8</v>
      </c>
      <c r="B9">
        <v>7</v>
      </c>
      <c r="C9" t="str">
        <f t="array" ref="C9">GetValue("Tables",B9,"Name")</f>
        <v>Users</v>
      </c>
      <c r="D9" t="s">
        <v>299</v>
      </c>
      <c r="E9" t="b">
        <v>1</v>
      </c>
    </row>
    <row r="10" spans="1:5" x14ac:dyDescent="0.3">
      <c r="A10">
        <f t="shared" si="0"/>
        <v>9</v>
      </c>
      <c r="B10">
        <v>8</v>
      </c>
      <c r="C10" t="str">
        <f t="array" ref="C10">GetValue("Tables",B10,"Name")</f>
        <v>SystemsUsers</v>
      </c>
      <c r="D10" t="s">
        <v>365</v>
      </c>
      <c r="E10" t="b">
        <v>1</v>
      </c>
    </row>
    <row r="11" spans="1:5" x14ac:dyDescent="0.3">
      <c r="A11">
        <f t="shared" si="0"/>
        <v>10</v>
      </c>
      <c r="B11">
        <v>8</v>
      </c>
      <c r="C11" t="str">
        <f t="array" ref="C11">GetValue("Tables",B11,"Name")</f>
        <v>SystemsUsers</v>
      </c>
      <c r="D11" t="s">
        <v>442</v>
      </c>
      <c r="E11" t="b">
        <v>1</v>
      </c>
    </row>
    <row r="12" spans="1:5" x14ac:dyDescent="0.3">
      <c r="A12">
        <f t="shared" si="0"/>
        <v>11</v>
      </c>
      <c r="B12">
        <v>10</v>
      </c>
      <c r="C12" t="str">
        <f t="array" ref="C12">GetValue("Tables",B12,"Name")</f>
        <v>Databases</v>
      </c>
      <c r="D12" t="s">
        <v>300</v>
      </c>
      <c r="E12" t="b">
        <v>1</v>
      </c>
    </row>
    <row r="13" spans="1:5" x14ac:dyDescent="0.3">
      <c r="A13">
        <f t="shared" si="0"/>
        <v>12</v>
      </c>
      <c r="B13">
        <v>10</v>
      </c>
      <c r="C13" t="str">
        <f t="array" ref="C13">GetValue("Tables",B13,"Name")</f>
        <v>Databases</v>
      </c>
      <c r="D13" t="s">
        <v>301</v>
      </c>
      <c r="E13" t="b">
        <v>1</v>
      </c>
    </row>
    <row r="14" spans="1:5" x14ac:dyDescent="0.3">
      <c r="A14">
        <f t="shared" si="0"/>
        <v>13</v>
      </c>
      <c r="B14">
        <v>11</v>
      </c>
      <c r="C14" t="str">
        <f t="array" ref="C14">GetValue("Tables",B14,"Name")</f>
        <v>SystemsDatabases</v>
      </c>
      <c r="D14" t="s">
        <v>360</v>
      </c>
      <c r="E14" t="b">
        <v>1</v>
      </c>
    </row>
    <row r="15" spans="1:5" x14ac:dyDescent="0.3">
      <c r="A15">
        <f t="shared" si="0"/>
        <v>14</v>
      </c>
      <c r="B15">
        <v>11</v>
      </c>
      <c r="C15" t="str">
        <f t="array" ref="C15">GetValue("Tables",B15,"Name")</f>
        <v>SystemsDatabases</v>
      </c>
      <c r="D15" t="s">
        <v>441</v>
      </c>
      <c r="E15" t="b">
        <v>1</v>
      </c>
    </row>
    <row r="16" spans="1:5" x14ac:dyDescent="0.3">
      <c r="A16">
        <f t="shared" si="0"/>
        <v>15</v>
      </c>
      <c r="B16">
        <v>12</v>
      </c>
      <c r="C16" t="str">
        <f t="array" ref="C16">GetValue("Tables",B16,"Name")</f>
        <v>Tables</v>
      </c>
      <c r="D16" t="s">
        <v>319</v>
      </c>
      <c r="E16" t="b">
        <v>1</v>
      </c>
    </row>
    <row r="17" spans="1:5" x14ac:dyDescent="0.3">
      <c r="A17">
        <f t="shared" si="0"/>
        <v>16</v>
      </c>
      <c r="B17">
        <v>12</v>
      </c>
      <c r="C17" t="str">
        <f t="array" ref="C17">GetValue("Tables",B17,"Name")</f>
        <v>Tables</v>
      </c>
      <c r="D17" t="s">
        <v>302</v>
      </c>
      <c r="E17" t="b">
        <v>1</v>
      </c>
    </row>
    <row r="18" spans="1:5" x14ac:dyDescent="0.3">
      <c r="A18">
        <f t="shared" si="0"/>
        <v>17</v>
      </c>
      <c r="B18">
        <v>13</v>
      </c>
      <c r="C18" t="str">
        <f t="array" ref="C18">GetValue("Tables",B18,"Name")</f>
        <v>DatabasesTables</v>
      </c>
      <c r="D18" t="s">
        <v>361</v>
      </c>
      <c r="E18" t="b">
        <v>1</v>
      </c>
    </row>
    <row r="19" spans="1:5" x14ac:dyDescent="0.3">
      <c r="A19">
        <f t="shared" si="0"/>
        <v>18</v>
      </c>
      <c r="B19">
        <v>13</v>
      </c>
      <c r="C19" t="str">
        <f t="array" ref="C19">GetValue("Tables",B19,"Name")</f>
        <v>DatabasesTables</v>
      </c>
      <c r="D19" t="s">
        <v>445</v>
      </c>
      <c r="E19" t="b">
        <v>1</v>
      </c>
    </row>
    <row r="20" spans="1:5" x14ac:dyDescent="0.3">
      <c r="A20">
        <f t="shared" si="0"/>
        <v>19</v>
      </c>
      <c r="B20">
        <v>14</v>
      </c>
      <c r="C20" t="str">
        <f t="array" ref="C20">GetValue("Tables",B20,"Name")</f>
        <v>Columns</v>
      </c>
      <c r="D20" t="s">
        <v>362</v>
      </c>
      <c r="E20" t="b">
        <v>1</v>
      </c>
    </row>
    <row r="21" spans="1:5" x14ac:dyDescent="0.3">
      <c r="A21">
        <f t="shared" si="0"/>
        <v>20</v>
      </c>
      <c r="B21">
        <v>14</v>
      </c>
      <c r="C21" t="str">
        <f t="array" ref="C21">GetValue("Tables",B21,"Name")</f>
        <v>Columns</v>
      </c>
      <c r="D21" t="s">
        <v>363</v>
      </c>
      <c r="E21" t="b">
        <v>1</v>
      </c>
    </row>
    <row r="22" spans="1:5" x14ac:dyDescent="0.3">
      <c r="A22">
        <f t="shared" si="0"/>
        <v>21</v>
      </c>
      <c r="B22">
        <v>15</v>
      </c>
      <c r="C22" t="str">
        <f t="array" ref="C22">GetValue("Tables",B22,"Name")</f>
        <v>Indexes</v>
      </c>
      <c r="D22" t="s">
        <v>520</v>
      </c>
      <c r="E22" t="b">
        <v>1</v>
      </c>
    </row>
    <row r="23" spans="1:5" x14ac:dyDescent="0.3">
      <c r="A23">
        <f t="shared" si="0"/>
        <v>22</v>
      </c>
      <c r="B23">
        <v>16</v>
      </c>
      <c r="C23" t="str">
        <f t="array" ref="C23">GetValue("Tables",B23,"Name")</f>
        <v>Indexkeys</v>
      </c>
      <c r="D23" t="s">
        <v>364</v>
      </c>
      <c r="E23" t="b">
        <v>1</v>
      </c>
    </row>
    <row r="24" spans="1:5" x14ac:dyDescent="0.3">
      <c r="A24">
        <f t="shared" si="0"/>
        <v>23</v>
      </c>
      <c r="B24">
        <v>16</v>
      </c>
      <c r="C24" t="str">
        <f t="array" ref="C24">GetValue("Tables",B24,"Name")</f>
        <v>Indexkeys</v>
      </c>
      <c r="D24" t="s">
        <v>382</v>
      </c>
      <c r="E24" t="b">
        <v>1</v>
      </c>
    </row>
    <row r="25" spans="1:5" x14ac:dyDescent="0.3">
      <c r="A25">
        <f t="shared" si="0"/>
        <v>24</v>
      </c>
      <c r="B25">
        <v>17</v>
      </c>
      <c r="C25" t="str">
        <f t="array" ref="C25">GetValue("Tables",B25,"Name")</f>
        <v>Logins</v>
      </c>
      <c r="D25" t="s">
        <v>510</v>
      </c>
      <c r="E25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FA723-0DB0-4C1C-961F-BD8AA3F044CF}">
  <sheetPr codeName="Planilha13"/>
  <dimension ref="A1:G36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3" bestFit="1" customWidth="1"/>
    <col min="2" max="2" width="7.33203125" bestFit="1" customWidth="1"/>
    <col min="3" max="3" width="40.33203125" bestFit="1" customWidth="1"/>
    <col min="4" max="5" width="9.21875" bestFit="1" customWidth="1"/>
    <col min="6" max="6" width="27.21875" bestFit="1" customWidth="1"/>
    <col min="7" max="7" width="12" bestFit="1" customWidth="1"/>
  </cols>
  <sheetData>
    <row r="1" spans="1:7" s="1" customFormat="1" x14ac:dyDescent="0.3">
      <c r="A1" s="1" t="s">
        <v>0</v>
      </c>
      <c r="B1" s="1" t="s">
        <v>271</v>
      </c>
      <c r="C1" s="1" t="s">
        <v>357</v>
      </c>
      <c r="D1" s="1" t="s">
        <v>88</v>
      </c>
      <c r="E1" s="1" t="s">
        <v>275</v>
      </c>
      <c r="F1" s="1" t="s">
        <v>358</v>
      </c>
      <c r="G1" s="1" t="s">
        <v>278</v>
      </c>
    </row>
    <row r="2" spans="1:7" x14ac:dyDescent="0.3">
      <c r="A2">
        <f>ROW(A2)-1</f>
        <v>1</v>
      </c>
      <c r="B2">
        <v>1</v>
      </c>
      <c r="C2" t="str">
        <f t="array" ref="C2">GetValue("Indexes",B2,"Name")</f>
        <v>UNQ_Categories_Name</v>
      </c>
      <c r="D2">
        <v>5</v>
      </c>
      <c r="E2">
        <v>2</v>
      </c>
      <c r="F2" t="str">
        <f t="array" ref="F2">GetValue("Columns",E2,"Name")</f>
        <v>Name (Categories)</v>
      </c>
      <c r="G2" t="b">
        <v>0</v>
      </c>
    </row>
    <row r="3" spans="1:7" x14ac:dyDescent="0.3">
      <c r="A3">
        <f t="shared" ref="A3:A36" si="0">ROW(A3)-1</f>
        <v>2</v>
      </c>
      <c r="B3">
        <v>2</v>
      </c>
      <c r="C3" t="str">
        <f t="array" ref="C3">GetValue("Indexes",B3,"Name")</f>
        <v>UNQ_Types_Name</v>
      </c>
      <c r="D3">
        <v>5</v>
      </c>
      <c r="E3">
        <v>14</v>
      </c>
      <c r="F3" t="str">
        <f t="array" ref="F3">GetValue("Columns",E3,"Name")</f>
        <v>Name (Types)</v>
      </c>
      <c r="G3" t="b">
        <v>0</v>
      </c>
    </row>
    <row r="4" spans="1:7" x14ac:dyDescent="0.3">
      <c r="A4">
        <f t="shared" si="0"/>
        <v>3</v>
      </c>
      <c r="B4">
        <v>3</v>
      </c>
      <c r="C4" t="str">
        <f t="array" ref="C4">GetValue("Indexes",B4,"Name")</f>
        <v>UNQ_Masks_Name</v>
      </c>
      <c r="D4">
        <v>5</v>
      </c>
      <c r="E4">
        <v>27</v>
      </c>
      <c r="F4" t="str">
        <f t="array" ref="F4">GetValue("Columns",E4,"Name")</f>
        <v>Name (Masks)</v>
      </c>
      <c r="G4" t="b">
        <v>0</v>
      </c>
    </row>
    <row r="5" spans="1:7" x14ac:dyDescent="0.3">
      <c r="A5">
        <f t="shared" si="0"/>
        <v>4</v>
      </c>
      <c r="B5">
        <v>4</v>
      </c>
      <c r="C5" t="str">
        <f t="array" ref="C5">GetValue("Indexes",B5,"Name")</f>
        <v>UNQ_Domains_Name</v>
      </c>
      <c r="D5">
        <v>5</v>
      </c>
      <c r="E5">
        <v>32</v>
      </c>
      <c r="F5" t="str">
        <f t="array" ref="F5">GetValue("Columns",E5,"Name")</f>
        <v>Name (Domains)</v>
      </c>
      <c r="G5" t="b">
        <v>0</v>
      </c>
    </row>
    <row r="6" spans="1:7" x14ac:dyDescent="0.3">
      <c r="A6">
        <f t="shared" si="0"/>
        <v>5</v>
      </c>
      <c r="B6">
        <v>5</v>
      </c>
      <c r="C6" t="str">
        <f t="array" ref="C6">GetValue("Indexes",B6,"Name")</f>
        <v>UNQ_Systems_Name</v>
      </c>
      <c r="D6">
        <v>5</v>
      </c>
      <c r="E6">
        <v>41</v>
      </c>
      <c r="F6" t="str">
        <f t="array" ref="F6">GetValue("Columns",E6,"Name")</f>
        <v>Name (Systems)</v>
      </c>
      <c r="G6" t="b">
        <v>0</v>
      </c>
    </row>
    <row r="7" spans="1:7" x14ac:dyDescent="0.3">
      <c r="A7">
        <f t="shared" si="0"/>
        <v>6</v>
      </c>
      <c r="B7">
        <v>6</v>
      </c>
      <c r="C7" t="str">
        <f t="array" ref="C7">GetValue("Indexes",B7,"Name")</f>
        <v>UNQ_Menus_SystemId_Sequence</v>
      </c>
      <c r="D7">
        <v>5</v>
      </c>
      <c r="E7">
        <v>47</v>
      </c>
      <c r="F7" t="str">
        <f t="array" ref="F7">GetValue("Columns",E7,"Name")</f>
        <v>SystemId (Menus)</v>
      </c>
      <c r="G7" t="b">
        <v>0</v>
      </c>
    </row>
    <row r="8" spans="1:7" x14ac:dyDescent="0.3">
      <c r="A8">
        <f t="shared" si="0"/>
        <v>7</v>
      </c>
      <c r="B8">
        <v>6</v>
      </c>
      <c r="C8" t="str">
        <f t="array" ref="C8">GetValue("Indexes",B8,"Name")</f>
        <v>UNQ_Menus_SystemId_Sequence</v>
      </c>
      <c r="D8">
        <v>10</v>
      </c>
      <c r="E8">
        <v>48</v>
      </c>
      <c r="F8" t="str">
        <f t="array" ref="F8">GetValue("Columns",E8,"Name")</f>
        <v>Sequence (Menus)</v>
      </c>
      <c r="G8" t="b">
        <v>0</v>
      </c>
    </row>
    <row r="9" spans="1:7" x14ac:dyDescent="0.3">
      <c r="A9">
        <f t="shared" si="0"/>
        <v>8</v>
      </c>
      <c r="B9">
        <v>7</v>
      </c>
      <c r="C9" t="str">
        <f t="array" ref="C9">GetValue("Indexes",B9,"Name")</f>
        <v>UNQ_Menus_SystemId_Caption</v>
      </c>
      <c r="D9">
        <v>5</v>
      </c>
      <c r="E9">
        <v>47</v>
      </c>
      <c r="F9" t="str">
        <f t="array" ref="F9">GetValue("Columns",E9,"Name")</f>
        <v>SystemId (Menus)</v>
      </c>
      <c r="G9" t="b">
        <v>0</v>
      </c>
    </row>
    <row r="10" spans="1:7" x14ac:dyDescent="0.3">
      <c r="A10">
        <f t="shared" si="0"/>
        <v>9</v>
      </c>
      <c r="B10">
        <v>7</v>
      </c>
      <c r="C10" t="str">
        <f t="array" ref="C10">GetValue("Indexes",B10,"Name")</f>
        <v>UNQ_Menus_SystemId_Caption</v>
      </c>
      <c r="D10">
        <v>10</v>
      </c>
      <c r="E10">
        <v>49</v>
      </c>
      <c r="F10" t="str">
        <f t="array" ref="F10">GetValue("Columns",E10,"Name")</f>
        <v>Caption (Menus)</v>
      </c>
      <c r="G10" t="b">
        <v>0</v>
      </c>
    </row>
    <row r="11" spans="1:7" x14ac:dyDescent="0.3">
      <c r="A11">
        <f t="shared" si="0"/>
        <v>10</v>
      </c>
      <c r="B11">
        <v>8</v>
      </c>
      <c r="C11" t="str">
        <f t="array" ref="C11">GetValue("Indexes",B11,"Name")</f>
        <v>UNQ_Users_Name</v>
      </c>
      <c r="D11">
        <v>5</v>
      </c>
      <c r="E11">
        <v>54</v>
      </c>
      <c r="F11" t="str">
        <f t="array" ref="F11">GetValue("Columns",E11,"Name")</f>
        <v>Name (Users)</v>
      </c>
      <c r="G11" t="b">
        <v>0</v>
      </c>
    </row>
    <row r="12" spans="1:7" x14ac:dyDescent="0.3">
      <c r="A12">
        <f t="shared" si="0"/>
        <v>11</v>
      </c>
      <c r="B12">
        <v>9</v>
      </c>
      <c r="C12" t="str">
        <f t="array" ref="C12">GetValue("Indexes",B12,"Name")</f>
        <v>UNQ_SystemsUsers_SystemId_UserId</v>
      </c>
      <c r="D12">
        <v>5</v>
      </c>
      <c r="E12">
        <v>60</v>
      </c>
      <c r="F12" t="str">
        <f t="array" ref="F12">GetValue("Columns",E12,"Name")</f>
        <v>SystemId (SystemsUsers)</v>
      </c>
      <c r="G12" t="b">
        <v>0</v>
      </c>
    </row>
    <row r="13" spans="1:7" x14ac:dyDescent="0.3">
      <c r="A13">
        <f t="shared" si="0"/>
        <v>12</v>
      </c>
      <c r="B13">
        <v>9</v>
      </c>
      <c r="C13" t="str">
        <f t="array" ref="C13">GetValue("Indexes",B13,"Name")</f>
        <v>UNQ_SystemsUsers_SystemId_UserId</v>
      </c>
      <c r="D13">
        <v>10</v>
      </c>
      <c r="E13">
        <v>61</v>
      </c>
      <c r="F13" t="str">
        <f t="array" ref="F13">GetValue("Columns",E13,"Name")</f>
        <v>UserId (SystemsUsers)</v>
      </c>
      <c r="G13" t="b">
        <v>0</v>
      </c>
    </row>
    <row r="14" spans="1:7" x14ac:dyDescent="0.3">
      <c r="A14">
        <f t="shared" si="0"/>
        <v>13</v>
      </c>
      <c r="B14">
        <v>10</v>
      </c>
      <c r="C14" t="str">
        <f t="array" ref="C14">GetValue("Indexes",B14,"Name")</f>
        <v>UNQ_SystemsUsers_Name</v>
      </c>
      <c r="D14">
        <v>5</v>
      </c>
      <c r="E14">
        <v>62</v>
      </c>
      <c r="F14" t="str">
        <f t="array" ref="F14">GetValue("Columns",E14,"Name")</f>
        <v>Name (SystemsUsers)</v>
      </c>
      <c r="G14" t="b">
        <v>0</v>
      </c>
    </row>
    <row r="15" spans="1:7" x14ac:dyDescent="0.3">
      <c r="A15">
        <f t="shared" si="0"/>
        <v>14</v>
      </c>
      <c r="B15">
        <v>11</v>
      </c>
      <c r="C15" t="str">
        <f t="array" ref="C15">GetValue("Indexes",B15,"Name")</f>
        <v>UNQ_Databases_Name</v>
      </c>
      <c r="D15">
        <v>5</v>
      </c>
      <c r="E15">
        <v>76</v>
      </c>
      <c r="F15" t="str">
        <f t="array" ref="F15">GetValue("Columns",E15,"Name")</f>
        <v>Name (Databases)</v>
      </c>
      <c r="G15" t="b">
        <v>0</v>
      </c>
    </row>
    <row r="16" spans="1:7" x14ac:dyDescent="0.3">
      <c r="A16">
        <f t="shared" si="0"/>
        <v>15</v>
      </c>
      <c r="B16">
        <v>12</v>
      </c>
      <c r="C16" t="str">
        <f t="array" ref="C16">GetValue("Indexes",B16,"Name")</f>
        <v>UNQ_Databases_Alias</v>
      </c>
      <c r="D16">
        <v>5</v>
      </c>
      <c r="E16">
        <v>77</v>
      </c>
      <c r="F16" t="str">
        <f t="array" ref="F16">GetValue("Columns",E16,"Name")</f>
        <v>Alias (Databases)</v>
      </c>
      <c r="G16" t="b">
        <v>0</v>
      </c>
    </row>
    <row r="17" spans="1:7" x14ac:dyDescent="0.3">
      <c r="A17">
        <f t="shared" si="0"/>
        <v>16</v>
      </c>
      <c r="B17">
        <v>13</v>
      </c>
      <c r="C17" t="str">
        <f t="array" ref="C17">GetValue("Indexes",B17,"Name")</f>
        <v>UNQ_SystemsDatabases_SystemId_DatabaseId</v>
      </c>
      <c r="D17">
        <v>5</v>
      </c>
      <c r="E17">
        <v>83</v>
      </c>
      <c r="F17" t="str">
        <f t="array" ref="F17">GetValue("Columns",E17,"Name")</f>
        <v>SystemId (SystemsDatabases)</v>
      </c>
      <c r="G17" t="b">
        <v>0</v>
      </c>
    </row>
    <row r="18" spans="1:7" x14ac:dyDescent="0.3">
      <c r="A18">
        <f t="shared" si="0"/>
        <v>17</v>
      </c>
      <c r="B18">
        <v>13</v>
      </c>
      <c r="C18" t="str">
        <f t="array" ref="C18">GetValue("Indexes",B18,"Name")</f>
        <v>UNQ_SystemsDatabases_SystemId_DatabaseId</v>
      </c>
      <c r="D18">
        <v>10</v>
      </c>
      <c r="E18">
        <v>84</v>
      </c>
      <c r="F18" t="str">
        <f t="array" ref="F18">GetValue("Columns",E18,"Name")</f>
        <v>DatabaseId (SystemsDatabases)</v>
      </c>
      <c r="G18" t="b">
        <v>0</v>
      </c>
    </row>
    <row r="19" spans="1:7" x14ac:dyDescent="0.3">
      <c r="A19">
        <f t="shared" si="0"/>
        <v>18</v>
      </c>
      <c r="B19">
        <v>14</v>
      </c>
      <c r="C19" t="str">
        <f t="array" ref="C19">GetValue("Indexes",B19,"Name")</f>
        <v>UNQ_SystemsDatabases_Name</v>
      </c>
      <c r="D19">
        <v>5</v>
      </c>
      <c r="E19">
        <v>85</v>
      </c>
      <c r="F19" t="str">
        <f t="array" ref="F19">GetValue("Columns",E19,"Name")</f>
        <v>Name (SystemsDatabases)</v>
      </c>
      <c r="G19" t="b">
        <v>0</v>
      </c>
    </row>
    <row r="20" spans="1:7" x14ac:dyDescent="0.3">
      <c r="A20">
        <f t="shared" si="0"/>
        <v>19</v>
      </c>
      <c r="B20">
        <v>15</v>
      </c>
      <c r="C20" t="str">
        <f t="array" ref="C20">GetValue("Indexes",B20,"Name")</f>
        <v>UNQ_Tables_Name</v>
      </c>
      <c r="D20">
        <v>5</v>
      </c>
      <c r="E20">
        <v>87</v>
      </c>
      <c r="F20" t="str">
        <f t="array" ref="F20">GetValue("Columns",E20,"Name")</f>
        <v>Name (Tables)</v>
      </c>
      <c r="G20" t="b">
        <v>0</v>
      </c>
    </row>
    <row r="21" spans="1:7" x14ac:dyDescent="0.3">
      <c r="A21">
        <f t="shared" si="0"/>
        <v>20</v>
      </c>
      <c r="B21">
        <v>16</v>
      </c>
      <c r="C21" t="str">
        <f t="array" ref="C21">GetValue("Indexes",B21,"Name")</f>
        <v>UNQ_Tables_Alias</v>
      </c>
      <c r="D21">
        <v>5</v>
      </c>
      <c r="E21">
        <v>88</v>
      </c>
      <c r="F21" t="str">
        <f t="array" ref="F21">GetValue("Columns",E21,"Name")</f>
        <v>Alias (Tables)</v>
      </c>
      <c r="G21" t="b">
        <v>0</v>
      </c>
    </row>
    <row r="22" spans="1:7" x14ac:dyDescent="0.3">
      <c r="A22">
        <f t="shared" si="0"/>
        <v>21</v>
      </c>
      <c r="B22">
        <v>17</v>
      </c>
      <c r="C22" t="str">
        <f t="array" ref="C22">GetValue("Indexes",B22,"Name")</f>
        <v>UNQ_DatabasesTables_DatabaseId_TableId</v>
      </c>
      <c r="D22">
        <v>5</v>
      </c>
      <c r="E22">
        <v>94</v>
      </c>
      <c r="F22" t="str">
        <f t="array" ref="F22">GetValue("Columns",E22,"Name")</f>
        <v>DatabaseId (DatabasesTables)</v>
      </c>
      <c r="G22" t="b">
        <v>0</v>
      </c>
    </row>
    <row r="23" spans="1:7" x14ac:dyDescent="0.3">
      <c r="A23">
        <f t="shared" si="0"/>
        <v>22</v>
      </c>
      <c r="B23">
        <v>17</v>
      </c>
      <c r="C23" t="str">
        <f t="array" ref="C23">GetValue("Indexes",B23,"Name")</f>
        <v>UNQ_DatabasesTables_DatabaseId_TableId</v>
      </c>
      <c r="D23">
        <v>10</v>
      </c>
      <c r="E23">
        <v>95</v>
      </c>
      <c r="F23" t="str">
        <f t="array" ref="F23">GetValue("Columns",E23,"Name")</f>
        <v>TableId (DatabasesTables)</v>
      </c>
      <c r="G23" t="b">
        <v>0</v>
      </c>
    </row>
    <row r="24" spans="1:7" x14ac:dyDescent="0.3">
      <c r="A24">
        <f t="shared" si="0"/>
        <v>23</v>
      </c>
      <c r="B24">
        <v>18</v>
      </c>
      <c r="C24" t="str">
        <f t="array" ref="C24">GetValue("Indexes",B24,"Name")</f>
        <v>UNQ_DatabasesTables_Name</v>
      </c>
      <c r="D24">
        <v>5</v>
      </c>
      <c r="E24">
        <v>96</v>
      </c>
      <c r="F24" t="str">
        <f t="array" ref="F24">GetValue("Columns",E24,"Name")</f>
        <v>Name (DatabasesTables)</v>
      </c>
      <c r="G24" t="b">
        <v>0</v>
      </c>
    </row>
    <row r="25" spans="1:7" x14ac:dyDescent="0.3">
      <c r="A25">
        <f t="shared" si="0"/>
        <v>24</v>
      </c>
      <c r="B25">
        <v>19</v>
      </c>
      <c r="C25" t="str">
        <f t="array" ref="C25">GetValue("Indexes",B25,"Name")</f>
        <v>UNQ_Columns_TableId_Name</v>
      </c>
      <c r="D25">
        <v>5</v>
      </c>
      <c r="E25">
        <v>98</v>
      </c>
      <c r="F25" t="str">
        <f t="array" ref="F25">GetValue("Columns",E25,"Name")</f>
        <v>TableId (Columns)</v>
      </c>
      <c r="G25" t="b">
        <v>0</v>
      </c>
    </row>
    <row r="26" spans="1:7" x14ac:dyDescent="0.3">
      <c r="A26">
        <f t="shared" si="0"/>
        <v>25</v>
      </c>
      <c r="B26">
        <v>19</v>
      </c>
      <c r="C26" t="str">
        <f t="array" ref="C26">GetValue("Indexes",B26,"Name")</f>
        <v>UNQ_Columns_TableId_Name</v>
      </c>
      <c r="D26">
        <v>10</v>
      </c>
      <c r="E26">
        <v>102</v>
      </c>
      <c r="F26" t="str">
        <f t="array" ref="F26">GetValue("Columns",E26,"Name")</f>
        <v>Name (Columns)</v>
      </c>
      <c r="G26" t="b">
        <v>0</v>
      </c>
    </row>
    <row r="27" spans="1:7" x14ac:dyDescent="0.3">
      <c r="A27">
        <f t="shared" si="0"/>
        <v>26</v>
      </c>
      <c r="B27">
        <v>20</v>
      </c>
      <c r="C27" t="str">
        <f t="array" ref="C27">GetValue("Indexes",B27,"Name")</f>
        <v>UNQ_Columns_TableId_Sequence</v>
      </c>
      <c r="D27">
        <v>5</v>
      </c>
      <c r="E27">
        <v>98</v>
      </c>
      <c r="F27" t="str">
        <f t="array" ref="F27">GetValue("Columns",E27,"Name")</f>
        <v>TableId (Columns)</v>
      </c>
      <c r="G27" t="b">
        <v>0</v>
      </c>
    </row>
    <row r="28" spans="1:7" x14ac:dyDescent="0.3">
      <c r="A28">
        <f t="shared" si="0"/>
        <v>27</v>
      </c>
      <c r="B28">
        <v>20</v>
      </c>
      <c r="C28" t="str">
        <f t="array" ref="C28">GetValue("Indexes",B28,"Name")</f>
        <v>UNQ_Columns_TableId_Sequence</v>
      </c>
      <c r="D28">
        <v>10</v>
      </c>
      <c r="E28">
        <v>99</v>
      </c>
      <c r="F28" t="str">
        <f t="array" ref="F28">GetValue("Columns",E28,"Name")</f>
        <v>Sequence (Columns)</v>
      </c>
      <c r="G28" t="b">
        <v>0</v>
      </c>
    </row>
    <row r="29" spans="1:7" x14ac:dyDescent="0.3">
      <c r="A29">
        <f t="shared" si="0"/>
        <v>28</v>
      </c>
      <c r="B29">
        <v>21</v>
      </c>
      <c r="C29" t="str">
        <f t="array" ref="C29">GetValue("Indexes",B29,"Name")</f>
        <v>UNQ_Indexes_Name</v>
      </c>
      <c r="D29">
        <v>5</v>
      </c>
      <c r="E29">
        <v>121</v>
      </c>
      <c r="F29" t="str">
        <f t="array" ref="F29">GetValue("Columns",E29,"Name")</f>
        <v>Name (Indexes)</v>
      </c>
      <c r="G29" t="b">
        <v>0</v>
      </c>
    </row>
    <row r="30" spans="1:7" x14ac:dyDescent="0.3">
      <c r="A30">
        <f t="shared" si="0"/>
        <v>29</v>
      </c>
      <c r="B30">
        <v>22</v>
      </c>
      <c r="C30" t="str">
        <f t="array" ref="C30">GetValue("Indexes",B30,"Name")</f>
        <v>UNQ_Indexkeys_IndexId_Sequence</v>
      </c>
      <c r="D30">
        <v>5</v>
      </c>
      <c r="E30">
        <v>124</v>
      </c>
      <c r="F30" t="str">
        <f t="array" ref="F30">GetValue("Columns",E30,"Name")</f>
        <v>IndexId (Indexkeys)</v>
      </c>
      <c r="G30" t="b">
        <v>0</v>
      </c>
    </row>
    <row r="31" spans="1:7" x14ac:dyDescent="0.3">
      <c r="A31">
        <f t="shared" si="0"/>
        <v>30</v>
      </c>
      <c r="B31">
        <v>22</v>
      </c>
      <c r="C31" t="str">
        <f t="array" ref="C31">GetValue("Indexes",B31,"Name")</f>
        <v>UNQ_Indexkeys_IndexId_Sequence</v>
      </c>
      <c r="D31">
        <v>10</v>
      </c>
      <c r="E31">
        <v>125</v>
      </c>
      <c r="F31" t="str">
        <f t="array" ref="F31">GetValue("Columns",E31,"Name")</f>
        <v>Sequence (Indexkeys)</v>
      </c>
      <c r="G31" t="b">
        <v>0</v>
      </c>
    </row>
    <row r="32" spans="1:7" x14ac:dyDescent="0.3">
      <c r="A32">
        <f t="shared" si="0"/>
        <v>31</v>
      </c>
      <c r="B32">
        <v>23</v>
      </c>
      <c r="C32" t="str">
        <f t="array" ref="C32">GetValue("Indexes",B32,"Name")</f>
        <v>UNQ_Indexkeys_IndexId_ColumnId</v>
      </c>
      <c r="D32">
        <v>5</v>
      </c>
      <c r="E32">
        <v>124</v>
      </c>
      <c r="F32" t="str">
        <f t="array" ref="F32">GetValue("Columns",E32,"Name")</f>
        <v>IndexId (Indexkeys)</v>
      </c>
      <c r="G32" t="b">
        <v>0</v>
      </c>
    </row>
    <row r="33" spans="1:7" x14ac:dyDescent="0.3">
      <c r="A33">
        <f t="shared" si="0"/>
        <v>32</v>
      </c>
      <c r="B33">
        <v>23</v>
      </c>
      <c r="C33" t="str">
        <f t="array" ref="C33">GetValue("Indexes",B33,"Name")</f>
        <v>UNQ_Indexkeys_IndexId_ColumnId</v>
      </c>
      <c r="D33">
        <v>10</v>
      </c>
      <c r="E33">
        <v>126</v>
      </c>
      <c r="F33" t="str">
        <f t="array" ref="F33">GetValue("Columns",E33,"Name")</f>
        <v>ColumnId (Indexkeys)</v>
      </c>
      <c r="G33" t="b">
        <v>0</v>
      </c>
    </row>
    <row r="34" spans="1:7" x14ac:dyDescent="0.3">
      <c r="A34">
        <f t="shared" si="0"/>
        <v>33</v>
      </c>
      <c r="B34">
        <v>24</v>
      </c>
      <c r="C34" t="str">
        <f t="array" ref="C34">GetValue("Indexes",B34,"Name")</f>
        <v>UNQ_Logins_SystemId_UserId_IsLogged</v>
      </c>
      <c r="D34">
        <v>5</v>
      </c>
      <c r="E34">
        <v>129</v>
      </c>
      <c r="F34" t="str">
        <f t="array" ref="F34">GetValue("Columns",E34,"Name")</f>
        <v>SystemId (Logins)</v>
      </c>
      <c r="G34" t="b">
        <v>0</v>
      </c>
    </row>
    <row r="35" spans="1:7" x14ac:dyDescent="0.3">
      <c r="A35">
        <f t="shared" si="0"/>
        <v>34</v>
      </c>
      <c r="B35">
        <v>24</v>
      </c>
      <c r="C35" t="str">
        <f t="array" ref="C35">GetValue("Indexes",B35,"Name")</f>
        <v>UNQ_Logins_SystemId_UserId_IsLogged</v>
      </c>
      <c r="D35">
        <v>10</v>
      </c>
      <c r="E35">
        <v>130</v>
      </c>
      <c r="F35" t="str">
        <f t="array" ref="F35">GetValue("Columns",E35,"Name")</f>
        <v>UserId (Logins)</v>
      </c>
      <c r="G35" t="b">
        <v>0</v>
      </c>
    </row>
    <row r="36" spans="1:7" x14ac:dyDescent="0.3">
      <c r="A36">
        <f t="shared" si="0"/>
        <v>35</v>
      </c>
      <c r="B36">
        <v>24</v>
      </c>
      <c r="C36" t="str">
        <f t="array" ref="C36">GetValue("Indexes",B36,"Name")</f>
        <v>UNQ_Logins_SystemId_UserId_IsLogged</v>
      </c>
      <c r="D36">
        <v>15</v>
      </c>
      <c r="E36">
        <v>132</v>
      </c>
      <c r="F36" t="str">
        <f t="array" ref="F36">GetValue("Columns",E36,"Name")</f>
        <v>IsLogged (Logins)</v>
      </c>
      <c r="G36" t="b">
        <v>0</v>
      </c>
    </row>
  </sheetData>
  <pageMargins left="0.511811024" right="0.511811024" top="0.78740157499999996" bottom="0.78740157499999996" header="0.31496062000000002" footer="0.3149606200000000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6585A5-4B65-40DF-95ED-9854F62A8A2A}">
  <sheetPr codeName="Planilha14"/>
  <dimension ref="A1:E1"/>
  <sheetViews>
    <sheetView workbookViewId="0">
      <pane ySplit="1" topLeftCell="A2" activePane="bottomLeft" state="frozen"/>
      <selection pane="bottomLeft" sqref="A1:XFD1"/>
    </sheetView>
  </sheetViews>
  <sheetFormatPr defaultRowHeight="14.4" x14ac:dyDescent="0.3"/>
  <cols>
    <col min="1" max="1" width="2.6640625" bestFit="1" customWidth="1"/>
    <col min="2" max="2" width="8.77734375" bestFit="1" customWidth="1"/>
    <col min="3" max="3" width="6.44140625" bestFit="1" customWidth="1"/>
    <col min="4" max="4" width="9.21875" bestFit="1" customWidth="1"/>
    <col min="5" max="5" width="8.44140625" bestFit="1" customWidth="1"/>
  </cols>
  <sheetData>
    <row r="1" spans="1:5" s="1" customFormat="1" x14ac:dyDescent="0.3">
      <c r="A1" s="1" t="s">
        <v>0</v>
      </c>
      <c r="B1" s="1" t="s">
        <v>87</v>
      </c>
      <c r="C1" s="1" t="s">
        <v>121</v>
      </c>
      <c r="D1" s="1" t="s">
        <v>339</v>
      </c>
      <c r="E1" s="1" t="s">
        <v>347</v>
      </c>
    </row>
  </sheetData>
  <pageMargins left="0.511811024" right="0.511811024" top="0.78740157499999996" bottom="0.78740157499999996" header="0.31496062000000002" footer="0.3149606200000000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7ED12-3921-4D5A-840C-76B3B35BF9F1}">
  <sheetPr codeName="Planilha4"/>
  <dimension ref="A1:C1"/>
  <sheetViews>
    <sheetView workbookViewId="0">
      <selection activeCell="B2" sqref="B2"/>
    </sheetView>
  </sheetViews>
  <sheetFormatPr defaultRowHeight="14.4" x14ac:dyDescent="0.3"/>
  <cols>
    <col min="1" max="1" width="2.6640625" bestFit="1" customWidth="1"/>
    <col min="2" max="2" width="7.21875" bestFit="1" customWidth="1"/>
    <col min="3" max="3" width="11.21875" bestFit="1" customWidth="1"/>
  </cols>
  <sheetData>
    <row r="1" spans="1:3" s="1" customFormat="1" x14ac:dyDescent="0.3">
      <c r="A1" s="1" t="s">
        <v>0</v>
      </c>
      <c r="B1" s="1" t="s">
        <v>488</v>
      </c>
      <c r="C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EDC4C-67DA-47D6-A152-94EBA3FCCF15}">
  <sheetPr codeName="Planilha15"/>
  <dimension ref="A1:H1"/>
  <sheetViews>
    <sheetView workbookViewId="0">
      <selection activeCell="D6" sqref="D6"/>
    </sheetView>
  </sheetViews>
  <sheetFormatPr defaultRowHeight="14.4" x14ac:dyDescent="0.3"/>
  <cols>
    <col min="1" max="1" width="2.6640625" bestFit="1" customWidth="1"/>
    <col min="2" max="2" width="12.44140625" bestFit="1" customWidth="1"/>
    <col min="3" max="3" width="10.5546875" bestFit="1" customWidth="1"/>
    <col min="4" max="4" width="16.77734375" bestFit="1" customWidth="1"/>
    <col min="5" max="5" width="6.44140625" bestFit="1" customWidth="1"/>
    <col min="6" max="6" width="13.44140625" bestFit="1" customWidth="1"/>
    <col min="7" max="7" width="12.21875" bestFit="1" customWidth="1"/>
    <col min="8" max="8" width="11.21875" bestFit="1" customWidth="1"/>
  </cols>
  <sheetData>
    <row r="1" spans="1:8" s="1" customFormat="1" x14ac:dyDescent="0.3">
      <c r="A1" s="1" t="s">
        <v>0</v>
      </c>
      <c r="B1" s="1" t="s">
        <v>490</v>
      </c>
      <c r="C1" s="1" t="s">
        <v>491</v>
      </c>
      <c r="D1" s="1" t="s">
        <v>504</v>
      </c>
      <c r="E1" s="1" t="s">
        <v>91</v>
      </c>
      <c r="F1" s="1" t="s">
        <v>501</v>
      </c>
      <c r="G1" s="1" t="s">
        <v>492</v>
      </c>
      <c r="H1" s="1" t="s">
        <v>489</v>
      </c>
    </row>
  </sheetData>
  <pageMargins left="0.511811024" right="0.511811024" top="0.78740157499999996" bottom="0.78740157499999996" header="0.31496062000000002" footer="0.3149606200000000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D005F-C8AB-4C4E-BF0C-70B773FD28B1}">
  <sheetPr codeName="Planilha16"/>
  <dimension ref="A1:I4"/>
  <sheetViews>
    <sheetView workbookViewId="0">
      <selection activeCell="E7" sqref="E7"/>
    </sheetView>
  </sheetViews>
  <sheetFormatPr defaultRowHeight="14.4" x14ac:dyDescent="0.3"/>
  <cols>
    <col min="1" max="1" width="2.6640625" bestFit="1" customWidth="1"/>
    <col min="2" max="2" width="16.6640625" bestFit="1" customWidth="1"/>
    <col min="3" max="3" width="8.21875" bestFit="1" customWidth="1"/>
    <col min="4" max="4" width="12.5546875" bestFit="1" customWidth="1"/>
    <col min="5" max="5" width="11.44140625" bestFit="1" customWidth="1"/>
    <col min="6" max="6" width="8.21875" bestFit="1" customWidth="1"/>
    <col min="7" max="7" width="12.5546875" bestFit="1" customWidth="1"/>
    <col min="8" max="8" width="11.44140625" bestFit="1" customWidth="1"/>
    <col min="9" max="9" width="12.77734375" bestFit="1" customWidth="1"/>
  </cols>
  <sheetData>
    <row r="1" spans="1:9" s="1" customFormat="1" x14ac:dyDescent="0.3">
      <c r="A1" s="1" t="s">
        <v>0</v>
      </c>
      <c r="B1" s="1" t="s">
        <v>545</v>
      </c>
      <c r="C1" s="1" t="s">
        <v>529</v>
      </c>
      <c r="D1" s="1" t="s">
        <v>541</v>
      </c>
      <c r="E1" s="1" t="s">
        <v>544</v>
      </c>
      <c r="F1" s="1" t="s">
        <v>530</v>
      </c>
      <c r="G1" s="1" t="s">
        <v>542</v>
      </c>
      <c r="H1" s="1" t="s">
        <v>543</v>
      </c>
      <c r="I1" s="1" t="s">
        <v>522</v>
      </c>
    </row>
    <row r="2" spans="1:9" x14ac:dyDescent="0.3">
      <c r="A2">
        <f>ROW(A2)-1</f>
        <v>1</v>
      </c>
      <c r="B2" t="str">
        <f>_xlfn.CONCAT(D2,G2)</f>
        <v>SystemsUsers</v>
      </c>
      <c r="C2">
        <v>5</v>
      </c>
      <c r="D2" t="str" cm="1">
        <f t="array" ref="D2">GetValue("Tables",C2,"Name")</f>
        <v>Systems</v>
      </c>
      <c r="E2" t="str" cm="1">
        <f t="array" ref="E2">GetValue("Tables",C2,"Alias")</f>
        <v>System</v>
      </c>
      <c r="F2">
        <v>7</v>
      </c>
      <c r="G2" t="str" cm="1">
        <f t="array" ref="G2">GetValue("Tables",F2,"Name")</f>
        <v>Users</v>
      </c>
      <c r="H2" t="str" cm="1">
        <f t="array" ref="H2">GetValue("Tables",F2,"Alias")</f>
        <v>User</v>
      </c>
      <c r="I2" t="b">
        <v>1</v>
      </c>
    </row>
    <row r="3" spans="1:9" x14ac:dyDescent="0.3">
      <c r="A3">
        <f t="shared" ref="A3:A4" si="0">ROW(A3)-1</f>
        <v>2</v>
      </c>
      <c r="B3" t="str">
        <f>_xlfn.CONCAT(D3,G3)</f>
        <v>SystemsDatabases</v>
      </c>
      <c r="C3">
        <v>5</v>
      </c>
      <c r="D3" t="str" cm="1">
        <f t="array" ref="D3">GetValue("Tables",C3,"Name")</f>
        <v>Systems</v>
      </c>
      <c r="E3" t="str" cm="1">
        <f t="array" ref="E3">GetValue("Tables",C3,"Alias")</f>
        <v>System</v>
      </c>
      <c r="F3">
        <v>10</v>
      </c>
      <c r="G3" t="str" cm="1">
        <f t="array" ref="G3">GetValue("Tables",F3,"Name")</f>
        <v>Databases</v>
      </c>
      <c r="H3" t="str" cm="1">
        <f t="array" ref="H3">GetValue("Tables",F3,"Alias")</f>
        <v>Database</v>
      </c>
      <c r="I3" t="b">
        <v>1</v>
      </c>
    </row>
    <row r="4" spans="1:9" x14ac:dyDescent="0.3">
      <c r="A4">
        <f t="shared" si="0"/>
        <v>3</v>
      </c>
      <c r="B4" t="str">
        <f>_xlfn.CONCAT(D4,G4)</f>
        <v>DatabasesTables</v>
      </c>
      <c r="C4">
        <v>10</v>
      </c>
      <c r="D4" t="str" cm="1">
        <f t="array" ref="D4">GetValue("Tables",C4,"Name")</f>
        <v>Databases</v>
      </c>
      <c r="E4" t="str" cm="1">
        <f t="array" ref="E4">GetValue("Tables",C4,"Alias")</f>
        <v>Database</v>
      </c>
      <c r="F4">
        <v>12</v>
      </c>
      <c r="G4" t="str" cm="1">
        <f t="array" ref="G4">GetValue("Tables",F4,"Name")</f>
        <v>Tables</v>
      </c>
      <c r="H4" t="str" cm="1">
        <f t="array" ref="H4">GetValue("Tables",F4,"Alias")</f>
        <v>Table</v>
      </c>
      <c r="I4" t="b">
        <v>1</v>
      </c>
    </row>
  </sheetData>
  <pageMargins left="0.511811024" right="0.511811024" top="0.78740157499999996" bottom="0.78740157499999996" header="0.31496062000000002" footer="0.3149606200000000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DD9125-E5FD-482D-9DA7-EABC78477EDC}">
  <sheetPr codeName="Planilha17"/>
  <dimension ref="A1:F2"/>
  <sheetViews>
    <sheetView workbookViewId="0">
      <selection activeCell="E2" sqref="E2"/>
    </sheetView>
  </sheetViews>
  <sheetFormatPr defaultRowHeight="14.4" x14ac:dyDescent="0.3"/>
  <cols>
    <col min="1" max="1" width="2.6640625" bestFit="1" customWidth="1"/>
    <col min="2" max="2" width="10.21875" bestFit="1" customWidth="1"/>
    <col min="3" max="3" width="14.6640625" bestFit="1" customWidth="1"/>
    <col min="4" max="4" width="10.21875" bestFit="1" customWidth="1"/>
    <col min="5" max="5" width="14.6640625" bestFit="1" customWidth="1"/>
    <col min="6" max="6" width="12.77734375" bestFit="1" customWidth="1"/>
  </cols>
  <sheetData>
    <row r="1" spans="1:6" s="1" customFormat="1" x14ac:dyDescent="0.3">
      <c r="A1" s="1" t="s">
        <v>0</v>
      </c>
      <c r="B1" s="1" t="s">
        <v>535</v>
      </c>
      <c r="C1" s="1" t="s">
        <v>546</v>
      </c>
      <c r="D1" s="1" t="s">
        <v>536</v>
      </c>
      <c r="E1" s="1" t="s">
        <v>547</v>
      </c>
      <c r="F1" s="1" t="s">
        <v>522</v>
      </c>
    </row>
    <row r="2" spans="1:6" x14ac:dyDescent="0.3">
      <c r="A2">
        <f>ROW(A2)-1</f>
        <v>1</v>
      </c>
      <c r="B2">
        <v>87</v>
      </c>
      <c r="C2" t="str" cm="1">
        <f t="array" ref="C2">GetValue("Columns",B2,"Name",FALSE)</f>
        <v>Name</v>
      </c>
      <c r="D2">
        <v>88</v>
      </c>
      <c r="E2" t="str" cm="1">
        <f t="array" ref="E2">GetValue("Columns",D2,"Name",FALSE)</f>
        <v>Alias</v>
      </c>
      <c r="F2" t="b">
        <v>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21</vt:i4>
      </vt:variant>
    </vt:vector>
  </HeadingPairs>
  <TitlesOfParts>
    <vt:vector size="21" baseType="lpstr">
      <vt:lpstr>Categories</vt:lpstr>
      <vt:lpstr>Types</vt:lpstr>
      <vt:lpstr>Masks</vt:lpstr>
      <vt:lpstr>Domains</vt:lpstr>
      <vt:lpstr>Systems</vt:lpstr>
      <vt:lpstr>Menus</vt:lpstr>
      <vt:lpstr>Users</vt:lpstr>
      <vt:lpstr>SystemsUsers</vt:lpstr>
      <vt:lpstr>Connections</vt:lpstr>
      <vt:lpstr>Databases</vt:lpstr>
      <vt:lpstr>SystemsDatabases</vt:lpstr>
      <vt:lpstr>Tables</vt:lpstr>
      <vt:lpstr>DatabasesTables</vt:lpstr>
      <vt:lpstr>Columns</vt:lpstr>
      <vt:lpstr>Indexes</vt:lpstr>
      <vt:lpstr>Indexkeys</vt:lpstr>
      <vt:lpstr>Logins</vt:lpstr>
      <vt:lpstr>Transactions</vt:lpstr>
      <vt:lpstr>Operations</vt:lpstr>
      <vt:lpstr>Associations</vt:lpstr>
      <vt:lpstr>Uniques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João Rocha Labrego</dc:creator>
  <cp:lastModifiedBy>João Rocha Labrego</cp:lastModifiedBy>
  <dcterms:created xsi:type="dcterms:W3CDTF">2024-02-10T11:10:23Z</dcterms:created>
  <dcterms:modified xsi:type="dcterms:W3CDTF">2024-11-08T09:18:31Z</dcterms:modified>
</cp:coreProperties>
</file>