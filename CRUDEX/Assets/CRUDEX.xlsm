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388B4601-C56A-40E0-B70C-EFFE0F24370E}" xr6:coauthVersionLast="47" xr6:coauthVersionMax="47" xr10:uidLastSave="{00000000-0000-0000-0000-000000000000}"/>
  <bookViews>
    <workbookView xWindow="-108" yWindow="-108" windowWidth="23256" windowHeight="13176" tabRatio="969" firstSheet="7" activeTab="1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Sessions" sheetId="15" r:id="rId17"/>
    <sheet name="Transactions" sheetId="19" r:id="rId18"/>
    <sheet name="Operations" sheetId="20" r:id="rId19"/>
    <sheet name="Unicities" sheetId="22" r:id="rId20"/>
  </sheets>
  <functionGroups builtInGroupCount="19"/>
  <definedNames>
    <definedName name="_xlnm._FilterDatabase" localSheetId="13" hidden="1">Columns!$F$1:$F$126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4" l="1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8" i="12"/>
  <c r="A141" i="12"/>
  <c r="A140" i="12"/>
  <c r="A139" i="12"/>
  <c r="E139" i="12"/>
  <c r="E140" i="12" s="1"/>
  <c r="E141" i="12" s="1"/>
  <c r="A21" i="17"/>
  <c r="A21" i="11"/>
  <c r="E114" i="12"/>
  <c r="A74" i="12"/>
  <c r="A75" i="12"/>
  <c r="F9" i="11" a="1"/>
  <c r="F7" i="11" a="1"/>
  <c r="H5" i="4" a="1"/>
  <c r="G13" i="4" a="1"/>
  <c r="H8" i="4" a="1"/>
  <c r="G17" i="4" a="1"/>
  <c r="H7" i="4" a="1"/>
  <c r="H13" i="4" a="1"/>
  <c r="G18" i="4" a="1"/>
  <c r="H20" i="4" a="1"/>
  <c r="H2" i="4" a="1"/>
  <c r="G16" i="4" a="1"/>
  <c r="G20" i="4" a="1"/>
  <c r="H11" i="4" a="1"/>
  <c r="H17" i="4" a="1"/>
  <c r="G21" i="4" a="1"/>
  <c r="G19" i="4" a="1"/>
  <c r="H6" i="4" a="1"/>
  <c r="G9" i="4" a="1"/>
  <c r="H2" i="22" a="1"/>
  <c r="H15" i="4" a="1"/>
  <c r="G7" i="4" a="1"/>
  <c r="H3" i="4" a="1"/>
  <c r="F2" i="22" a="1"/>
  <c r="C2" i="22" a="1"/>
  <c r="K2" i="22" a="1"/>
  <c r="H4" i="4" a="1"/>
  <c r="G5" i="4" a="1"/>
  <c r="H12" i="4" a="1"/>
  <c r="G3" i="4" a="1"/>
  <c r="F2" i="10" a="1"/>
  <c r="H2" i="9" a="1"/>
  <c r="H9" i="4" a="1"/>
  <c r="H18" i="4" a="1"/>
  <c r="H22" i="4" a="1"/>
  <c r="G14" i="4" a="1"/>
  <c r="H16" i="4" a="1"/>
  <c r="G6" i="4" a="1"/>
  <c r="G15" i="4" a="1"/>
  <c r="G4" i="4" a="1"/>
  <c r="H21" i="4" a="1"/>
  <c r="G22" i="4" a="1"/>
  <c r="H10" i="4" a="1"/>
  <c r="G12" i="4" a="1"/>
  <c r="H19" i="4" a="1"/>
  <c r="G11" i="4" a="1"/>
  <c r="G10" i="4" a="1"/>
  <c r="H14" i="4" a="1"/>
  <c r="G8" i="4" a="1"/>
  <c r="F21" i="11" a="1"/>
  <c r="D12" i="17" a="1"/>
  <c r="D2" i="17" a="1"/>
  <c r="D6" i="17" a="1"/>
  <c r="D3" i="17" a="1"/>
  <c r="D21" i="17" a="1"/>
  <c r="D14" i="17" a="1"/>
  <c r="D8" i="17" a="1"/>
  <c r="D9" i="17" a="1"/>
  <c r="D16" i="17" a="1"/>
  <c r="D11" i="17" a="1"/>
  <c r="D18" i="17" a="1"/>
  <c r="D5" i="17" a="1"/>
  <c r="F21" i="17" a="1"/>
  <c r="D20" i="17" a="1"/>
  <c r="D13" i="17" a="1"/>
  <c r="D4" i="17" a="1"/>
  <c r="D15" i="17" a="1"/>
  <c r="C21" i="17" a="1"/>
  <c r="D7" i="17" a="1"/>
  <c r="D17" i="17" a="1"/>
  <c r="D10" i="17" a="1"/>
  <c r="D19" i="17" a="1"/>
  <c r="C26" i="13" a="1"/>
  <c r="C28" i="13" a="1"/>
  <c r="C27" i="13" a="1"/>
  <c r="C29" i="13" a="1"/>
  <c r="C2" i="14" a="1"/>
  <c r="C39" i="14" a="1"/>
  <c r="C29" i="14" a="1"/>
  <c r="C19" i="14" a="1"/>
  <c r="C9" i="14" a="1"/>
  <c r="C24" i="14" a="1"/>
  <c r="C43" i="14" a="1"/>
  <c r="C32" i="14" a="1"/>
  <c r="C21" i="14" a="1"/>
  <c r="C30" i="14" a="1"/>
  <c r="C28" i="14" a="1"/>
  <c r="C18" i="14" a="1"/>
  <c r="C8" i="14" a="1"/>
  <c r="C16" i="14" a="1"/>
  <c r="C40" i="14" a="1"/>
  <c r="C26" i="14" a="1"/>
  <c r="C12" i="14" a="1"/>
  <c r="C11" i="14" a="1"/>
  <c r="C20" i="14" a="1"/>
  <c r="C27" i="14" a="1"/>
  <c r="C17" i="14" a="1"/>
  <c r="C7" i="14" a="1"/>
  <c r="C6" i="14" a="1"/>
  <c r="C45" i="14" a="1"/>
  <c r="C25" i="14" a="1"/>
  <c r="C15" i="14" a="1"/>
  <c r="C5" i="14" a="1"/>
  <c r="C44" i="14" a="1"/>
  <c r="C14" i="14" a="1"/>
  <c r="C23" i="14" a="1"/>
  <c r="C3" i="14" a="1"/>
  <c r="C42" i="14" a="1"/>
  <c r="C41" i="14" a="1"/>
  <c r="C10" i="14" a="1"/>
  <c r="C4" i="14" a="1"/>
  <c r="C33" i="14" a="1"/>
  <c r="C13" i="14" a="1"/>
  <c r="C22" i="14" a="1"/>
  <c r="C31" i="14" a="1"/>
  <c r="L52" i="12" a="1"/>
  <c r="L19" i="12" a="1"/>
  <c r="L27" i="12" a="1"/>
  <c r="L108" i="12" a="1"/>
  <c r="C139" i="12" a="1"/>
  <c r="L22" i="12" a="1"/>
  <c r="L77" i="12" a="1"/>
  <c r="L86" i="12" a="1"/>
  <c r="L17" i="12" a="1"/>
  <c r="L55" i="12" a="1"/>
  <c r="L127" i="12" a="1"/>
  <c r="L136" i="12" a="1"/>
  <c r="L33" i="12" a="1"/>
  <c r="L124" i="12" a="1"/>
  <c r="L117" i="12" a="1"/>
  <c r="D140" i="12" a="1"/>
  <c r="D141" i="12" a="1"/>
  <c r="L6" i="12" a="1"/>
  <c r="L134" i="12" a="1"/>
  <c r="C75" i="12" a="1"/>
  <c r="L80" i="12" a="1"/>
  <c r="L131" i="12" a="1"/>
  <c r="L14" i="12" a="1"/>
  <c r="L40" i="12" a="1"/>
  <c r="L85" i="12" a="1"/>
  <c r="L122" i="12" a="1"/>
  <c r="L57" i="12" a="1"/>
  <c r="L79" i="12" a="1"/>
  <c r="L72" i="12" a="1"/>
  <c r="D124" i="12" a="1"/>
  <c r="G74" i="12" a="1"/>
  <c r="L101" i="12" a="1"/>
  <c r="L59" i="12" a="1"/>
  <c r="L23" i="12" a="1"/>
  <c r="L3" i="12" a="1"/>
  <c r="L121" i="12" a="1"/>
  <c r="L37" i="12" a="1"/>
  <c r="L49" i="12" a="1"/>
  <c r="L102" i="12" a="1"/>
  <c r="C140" i="12" a="1"/>
  <c r="L98" i="12" a="1"/>
  <c r="L54" i="12" a="1"/>
  <c r="C138" i="12" a="1"/>
  <c r="L7" i="12" a="1"/>
  <c r="L120" i="12" a="1"/>
  <c r="L91" i="12" a="1"/>
  <c r="L39" i="12" a="1"/>
  <c r="L35" i="12" a="1"/>
  <c r="L48" i="12" a="1"/>
  <c r="L139" i="12" a="1"/>
  <c r="L38" i="12" a="1"/>
  <c r="L45" i="12" a="1"/>
  <c r="L25" i="12" a="1"/>
  <c r="L34" i="12" a="1"/>
  <c r="L119" i="12" a="1"/>
  <c r="L43" i="12" a="1"/>
  <c r="L105" i="12" a="1"/>
  <c r="L24" i="12" a="1"/>
  <c r="L138" i="12" a="1"/>
  <c r="L51" i="12" a="1"/>
  <c r="L75" i="12" a="1"/>
  <c r="L94" i="12" a="1"/>
  <c r="L70" i="12" a="1"/>
  <c r="L44" i="12" a="1"/>
  <c r="L84" i="12" a="1"/>
  <c r="G140" i="12" a="1"/>
  <c r="G138" i="12" a="1"/>
  <c r="L104" i="12" a="1"/>
  <c r="L109" i="12" a="1"/>
  <c r="L93" i="12" a="1"/>
  <c r="L71" i="12" a="1"/>
  <c r="L58" i="12" a="1"/>
  <c r="L129" i="12" a="1"/>
  <c r="L53" i="12" a="1"/>
  <c r="L74" i="12" a="1"/>
  <c r="L82" i="12" a="1"/>
  <c r="L97" i="12" a="1"/>
  <c r="L61" i="12" a="1"/>
  <c r="L87" i="12" a="1"/>
  <c r="L30" i="12" a="1"/>
  <c r="L32" i="12" a="1"/>
  <c r="L133" i="12" a="1"/>
  <c r="L5" i="12" a="1"/>
  <c r="L10" i="12" a="1"/>
  <c r="C141" i="12" a="1"/>
  <c r="L41" i="12" a="1"/>
  <c r="D122" i="12" a="1"/>
  <c r="L135" i="12" a="1"/>
  <c r="L56" i="12" a="1"/>
  <c r="D75" i="12" a="1"/>
  <c r="L81" i="12" a="1"/>
  <c r="G139" i="12" a="1"/>
  <c r="G75" i="12" a="1"/>
  <c r="L20" i="12" a="1"/>
  <c r="L62" i="12" a="1"/>
  <c r="L76" i="12" a="1"/>
  <c r="D26" i="12" a="1"/>
  <c r="C122" i="12" a="1"/>
  <c r="L130" i="12" a="1"/>
  <c r="L113" i="12" a="1"/>
  <c r="D123" i="12" a="1"/>
  <c r="L12" i="12" a="1"/>
  <c r="L103" i="12" a="1"/>
  <c r="L99" i="12" a="1"/>
  <c r="L66" i="12" a="1"/>
  <c r="L128" i="12" a="1"/>
  <c r="L4" i="12" a="1"/>
  <c r="C26" i="12" a="1"/>
  <c r="L116" i="12" a="1"/>
  <c r="L118" i="12" a="1"/>
  <c r="L9" i="12" a="1"/>
  <c r="L107" i="12" a="1"/>
  <c r="G141" i="12" a="1"/>
  <c r="L88" i="12" a="1"/>
  <c r="L63" i="12" a="1"/>
  <c r="D126" i="12" a="1"/>
  <c r="L64" i="12" a="1"/>
  <c r="L11" i="12" a="1"/>
  <c r="L90" i="12" a="1"/>
  <c r="L67" i="12" a="1"/>
  <c r="G26" i="12" a="1"/>
  <c r="C126" i="12" a="1"/>
  <c r="C74" i="12" a="1"/>
  <c r="L83" i="12" a="1"/>
  <c r="L42" i="12" a="1"/>
  <c r="L21" i="12" a="1"/>
  <c r="L28" i="12" a="1"/>
  <c r="L65" i="12" a="1"/>
  <c r="C124" i="12" a="1"/>
  <c r="L16" i="12" a="1"/>
  <c r="L78" i="12" a="1"/>
  <c r="D138" i="12" a="1"/>
  <c r="L18" i="12" a="1"/>
  <c r="L46" i="12" a="1"/>
  <c r="L106" i="12" a="1"/>
  <c r="C125" i="12" a="1"/>
  <c r="L89" i="12" a="1"/>
  <c r="L123" i="12" a="1"/>
  <c r="L50" i="12" a="1"/>
  <c r="L60" i="12" a="1"/>
  <c r="L112" i="12" a="1"/>
  <c r="C123" i="12" a="1"/>
  <c r="L68" i="12" a="1"/>
  <c r="L26" i="12" a="1"/>
  <c r="L137" i="12" a="1"/>
  <c r="L140" i="12" a="1"/>
  <c r="L31" i="12" a="1"/>
  <c r="L13" i="12" a="1"/>
  <c r="L114" i="12" a="1"/>
  <c r="L126" i="12" a="1"/>
  <c r="L15" i="12" a="1"/>
  <c r="L110" i="12" a="1"/>
  <c r="L73" i="12" a="1"/>
  <c r="D74" i="12" a="1"/>
  <c r="L29" i="12" a="1"/>
  <c r="L47" i="12" a="1"/>
  <c r="L115" i="12" a="1"/>
  <c r="L92" i="12" a="1"/>
  <c r="L96" i="12" a="1"/>
  <c r="L141" i="12" a="1"/>
  <c r="L111" i="12" a="1"/>
  <c r="D139" i="12" a="1"/>
  <c r="L8" i="12" a="1"/>
  <c r="L69" i="12" a="1"/>
  <c r="L100" i="12" a="1"/>
  <c r="D125" i="12" a="1"/>
  <c r="L36" i="12" a="1"/>
  <c r="L132" i="12" a="1"/>
  <c r="L95" i="12" a="1"/>
  <c r="L125" i="12" a="1"/>
  <c r="E23" i="4" a="1"/>
  <c r="H23" i="4" a="1"/>
  <c r="G23" i="4" a="1"/>
  <c r="D23" i="4" a="1"/>
  <c r="C23" i="4" a="1"/>
  <c r="C38" i="14" a="1"/>
  <c r="C37" i="14" a="1"/>
  <c r="C36" i="14" a="1"/>
  <c r="C35" i="14" a="1"/>
  <c r="C34" i="14" a="1"/>
  <c r="F2" i="14" a="1"/>
  <c r="F45" i="14" a="1"/>
  <c r="F25" i="14" a="1"/>
  <c r="F15" i="14" a="1"/>
  <c r="F5" i="14" a="1"/>
  <c r="F18" i="14" a="1"/>
  <c r="F17" i="14" a="1"/>
  <c r="F36" i="14" a="1"/>
  <c r="F35" i="14" a="1"/>
  <c r="F44" i="14" a="1"/>
  <c r="F34" i="14" a="1"/>
  <c r="F24" i="14" a="1"/>
  <c r="F14" i="14" a="1"/>
  <c r="F4" i="14" a="1"/>
  <c r="F7" i="14" a="1"/>
  <c r="F43" i="14" a="1"/>
  <c r="F33" i="14" a="1"/>
  <c r="F23" i="14" a="1"/>
  <c r="F13" i="14" a="1"/>
  <c r="F3" i="14" a="1"/>
  <c r="F42" i="14" a="1"/>
  <c r="F32" i="14" a="1"/>
  <c r="F22" i="14" a="1"/>
  <c r="F12" i="14" a="1"/>
  <c r="F39" i="14" a="1"/>
  <c r="F19" i="14" a="1"/>
  <c r="F38" i="14" a="1"/>
  <c r="F27" i="14" a="1"/>
  <c r="F16" i="14" a="1"/>
  <c r="F6" i="14" a="1"/>
  <c r="F41" i="14" a="1"/>
  <c r="F31" i="14" a="1"/>
  <c r="F21" i="14" a="1"/>
  <c r="F11" i="14" a="1"/>
  <c r="F40" i="14" a="1"/>
  <c r="F30" i="14" a="1"/>
  <c r="F20" i="14" a="1"/>
  <c r="F10" i="14" a="1"/>
  <c r="F29" i="14" a="1"/>
  <c r="F9" i="14" a="1"/>
  <c r="F28" i="14" a="1"/>
  <c r="F8" i="14" a="1"/>
  <c r="F37" i="14" a="1"/>
  <c r="F26" i="14" a="1"/>
  <c r="C66" i="12" a="1"/>
  <c r="C67" i="12" a="1"/>
  <c r="C67" i="12" l="1"/>
  <c r="C66" i="12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40" i="14"/>
  <c r="F11" i="14"/>
  <c r="F21" i="14"/>
  <c r="F31" i="14"/>
  <c r="F41" i="14"/>
  <c r="F6" i="14"/>
  <c r="F16" i="14"/>
  <c r="F27" i="14"/>
  <c r="F38" i="14"/>
  <c r="F19" i="14"/>
  <c r="F39" i="14"/>
  <c r="F12" i="14"/>
  <c r="F22" i="14"/>
  <c r="F32" i="14"/>
  <c r="F42" i="14"/>
  <c r="F3" i="14"/>
  <c r="F13" i="14"/>
  <c r="F23" i="14"/>
  <c r="F33" i="14"/>
  <c r="F43" i="14"/>
  <c r="F7" i="14"/>
  <c r="F4" i="14"/>
  <c r="F14" i="14"/>
  <c r="F24" i="14"/>
  <c r="F34" i="14"/>
  <c r="F44" i="14"/>
  <c r="F35" i="14"/>
  <c r="F36" i="14"/>
  <c r="F17" i="14"/>
  <c r="F18" i="14"/>
  <c r="F5" i="14"/>
  <c r="F15" i="14"/>
  <c r="F25" i="14"/>
  <c r="F45" i="14"/>
  <c r="E23" i="4"/>
  <c r="C23" i="4"/>
  <c r="D23" i="4"/>
  <c r="G23" i="4"/>
  <c r="H23" i="4"/>
  <c r="C31" i="14"/>
  <c r="C22" i="14"/>
  <c r="C13" i="14"/>
  <c r="C33" i="14"/>
  <c r="C4" i="14"/>
  <c r="C10" i="14"/>
  <c r="C41" i="14"/>
  <c r="C42" i="14"/>
  <c r="C3" i="14"/>
  <c r="C23" i="14"/>
  <c r="C14" i="14"/>
  <c r="C44" i="14"/>
  <c r="C5" i="14"/>
  <c r="C15" i="14"/>
  <c r="C25" i="14"/>
  <c r="C45" i="14"/>
  <c r="C6" i="14"/>
  <c r="C7" i="14"/>
  <c r="C17" i="14"/>
  <c r="C27" i="14"/>
  <c r="C20" i="14"/>
  <c r="C11" i="14"/>
  <c r="C12" i="14"/>
  <c r="C26" i="14"/>
  <c r="C40" i="14"/>
  <c r="C16" i="14"/>
  <c r="C8" i="14"/>
  <c r="C18" i="14"/>
  <c r="C28" i="14"/>
  <c r="C30" i="14"/>
  <c r="C21" i="14"/>
  <c r="C32" i="14"/>
  <c r="C43" i="14"/>
  <c r="C24" i="14"/>
  <c r="C9" i="14"/>
  <c r="C19" i="14"/>
  <c r="C29" i="14"/>
  <c r="C39" i="14"/>
  <c r="F9" i="11"/>
  <c r="F7" i="11"/>
  <c r="C122" i="12"/>
  <c r="C125" i="12"/>
  <c r="C124" i="12"/>
  <c r="C126" i="12"/>
  <c r="C123" i="12"/>
  <c r="D124" i="12"/>
  <c r="D126" i="12"/>
  <c r="D123" i="12"/>
  <c r="D125" i="12"/>
  <c r="D122" i="12"/>
  <c r="C26" i="12"/>
  <c r="D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2" i="22"/>
  <c r="C2" i="22"/>
  <c r="C2" i="14"/>
  <c r="C28" i="13"/>
  <c r="C29" i="13"/>
  <c r="C27" i="13"/>
  <c r="C26" i="13"/>
  <c r="K2" i="22"/>
  <c r="F2" i="22"/>
  <c r="C138" i="12"/>
  <c r="D138" i="12"/>
  <c r="G138" i="12"/>
  <c r="L138" i="12"/>
  <c r="L140" i="12"/>
  <c r="C141" i="12"/>
  <c r="D141" i="12"/>
  <c r="C140" i="12"/>
  <c r="G141" i="12"/>
  <c r="D140" i="12"/>
  <c r="C139" i="12"/>
  <c r="G140" i="12"/>
  <c r="D139" i="12"/>
  <c r="G139" i="12"/>
  <c r="L141" i="12"/>
  <c r="L139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4" i="12"/>
  <c r="L14" i="12"/>
  <c r="L34" i="12"/>
  <c r="L86" i="12"/>
  <c r="L106" i="12"/>
  <c r="L125" i="12"/>
  <c r="L15" i="12"/>
  <c r="L35" i="12"/>
  <c r="L55" i="12"/>
  <c r="L87" i="12"/>
  <c r="L107" i="12"/>
  <c r="L126" i="12"/>
  <c r="L16" i="12"/>
  <c r="L36" i="12"/>
  <c r="L56" i="12"/>
  <c r="L68" i="12"/>
  <c r="L88" i="12"/>
  <c r="L108" i="12"/>
  <c r="L127" i="12"/>
  <c r="L37" i="12"/>
  <c r="L57" i="12"/>
  <c r="L3" i="12"/>
  <c r="L22" i="12"/>
  <c r="L69" i="12"/>
  <c r="L89" i="12"/>
  <c r="L109" i="12"/>
  <c r="L128" i="12"/>
  <c r="L67" i="12"/>
  <c r="L79" i="12"/>
  <c r="L118" i="12"/>
  <c r="L33" i="12"/>
  <c r="L53" i="12"/>
  <c r="L85" i="12"/>
  <c r="L105" i="12"/>
  <c r="L54" i="12"/>
  <c r="L43" i="12"/>
  <c r="L4" i="12"/>
  <c r="L23" i="12"/>
  <c r="L63" i="12"/>
  <c r="L75" i="12"/>
  <c r="L95" i="12"/>
  <c r="L114" i="12"/>
  <c r="L134" i="12"/>
  <c r="L44" i="12"/>
  <c r="L5" i="12"/>
  <c r="L24" i="12"/>
  <c r="L64" i="12"/>
  <c r="L76" i="12"/>
  <c r="L96" i="12"/>
  <c r="L115" i="12"/>
  <c r="L135" i="12"/>
  <c r="L45" i="12"/>
  <c r="L6" i="12"/>
  <c r="L25" i="12"/>
  <c r="L65" i="12"/>
  <c r="L77" i="12"/>
  <c r="L97" i="12"/>
  <c r="L116" i="12"/>
  <c r="L136" i="12"/>
  <c r="L46" i="12"/>
  <c r="L27" i="12"/>
  <c r="L66" i="12"/>
  <c r="L78" i="12"/>
  <c r="L98" i="12"/>
  <c r="L117" i="12"/>
  <c r="L137" i="12"/>
  <c r="L12" i="12"/>
  <c r="L47" i="12"/>
  <c r="L7" i="12"/>
  <c r="L28" i="12"/>
  <c r="L38" i="12"/>
  <c r="L48" i="12"/>
  <c r="L70" i="12"/>
  <c r="L80" i="12"/>
  <c r="L90" i="12"/>
  <c r="L100" i="12"/>
  <c r="L110" i="12"/>
  <c r="L129" i="12"/>
  <c r="L18" i="12"/>
  <c r="L29" i="12"/>
  <c r="L39" i="12"/>
  <c r="L49" i="12"/>
  <c r="L59" i="12"/>
  <c r="L71" i="12"/>
  <c r="L81" i="12"/>
  <c r="L91" i="12"/>
  <c r="L101" i="12"/>
  <c r="L111" i="12"/>
  <c r="L130" i="12"/>
  <c r="L9" i="12"/>
  <c r="L19" i="12"/>
  <c r="L30" i="12"/>
  <c r="L40" i="12"/>
  <c r="L50" i="12"/>
  <c r="L60" i="12"/>
  <c r="L72" i="12"/>
  <c r="L82" i="12"/>
  <c r="L92" i="12"/>
  <c r="L102" i="12"/>
  <c r="L112" i="12"/>
  <c r="L121" i="12"/>
  <c r="L131" i="12"/>
  <c r="L10" i="12"/>
  <c r="L122" i="12"/>
  <c r="L17" i="12"/>
  <c r="L58" i="12"/>
  <c r="L119" i="12"/>
  <c r="L8" i="12"/>
  <c r="L120" i="12"/>
  <c r="L20" i="12"/>
  <c r="L31" i="12"/>
  <c r="L41" i="12"/>
  <c r="L51" i="12"/>
  <c r="L61" i="12"/>
  <c r="L73" i="12"/>
  <c r="L83" i="12"/>
  <c r="L93" i="12"/>
  <c r="L103" i="12"/>
  <c r="L113" i="12"/>
  <c r="L132" i="12"/>
  <c r="L11" i="12"/>
  <c r="L21" i="12"/>
  <c r="L32" i="12"/>
  <c r="L42" i="12"/>
  <c r="L52" i="12"/>
  <c r="L62" i="12"/>
  <c r="L74" i="12"/>
  <c r="L84" i="12"/>
  <c r="L94" i="12"/>
  <c r="L104" i="12"/>
  <c r="L123" i="12"/>
  <c r="L133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D2" i="22" a="1"/>
  <c r="I2" i="22" a="1"/>
  <c r="D67" i="12" a="1"/>
  <c r="G67" i="12" a="1"/>
  <c r="D2" i="22" l="1"/>
  <c r="I2" i="22"/>
  <c r="G21" i="17"/>
  <c r="G67" i="12"/>
  <c r="D67" i="12"/>
  <c r="A69" i="12"/>
  <c r="A25" i="13"/>
  <c r="A20" i="17"/>
  <c r="A19" i="17"/>
  <c r="A22" i="4"/>
  <c r="C22" i="4" a="1"/>
  <c r="F20" i="17" a="1"/>
  <c r="C20" i="17" a="1"/>
  <c r="C19" i="17" a="1"/>
  <c r="F19" i="17" a="1"/>
  <c r="C23" i="13" a="1"/>
  <c r="C3" i="13" a="1"/>
  <c r="C13" i="13" a="1"/>
  <c r="C8" i="13" a="1"/>
  <c r="C15" i="13" a="1"/>
  <c r="C10" i="13" a="1"/>
  <c r="C6" i="13" a="1"/>
  <c r="C19" i="13" a="1"/>
  <c r="C17" i="13" a="1"/>
  <c r="C21" i="13" a="1"/>
  <c r="C16" i="13" a="1"/>
  <c r="C25" i="13" a="1"/>
  <c r="C24" i="13" a="1"/>
  <c r="C4" i="13" a="1"/>
  <c r="C22" i="13" a="1"/>
  <c r="C20" i="13" a="1"/>
  <c r="C18" i="13" a="1"/>
  <c r="C9" i="13" a="1"/>
  <c r="C5" i="13" a="1"/>
  <c r="C12" i="13" a="1"/>
  <c r="C11" i="13" a="1"/>
  <c r="C7" i="13" a="1"/>
  <c r="C14" i="13" a="1"/>
  <c r="G69" i="12" a="1"/>
  <c r="C69" i="12" a="1"/>
  <c r="D69" i="12" a="1"/>
  <c r="C69" i="12" l="1"/>
  <c r="D69" i="12"/>
  <c r="G69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33" i="12"/>
  <c r="A137" i="12"/>
  <c r="A136" i="12"/>
  <c r="A135" i="12"/>
  <c r="A134" i="12"/>
  <c r="A132" i="12"/>
  <c r="E131" i="12"/>
  <c r="E132" i="12" s="1"/>
  <c r="E133" i="12" s="1"/>
  <c r="E134" i="12" s="1"/>
  <c r="E135" i="12" s="1"/>
  <c r="E136" i="12" s="1"/>
  <c r="E137" i="12" s="1"/>
  <c r="A131" i="12"/>
  <c r="A130" i="12"/>
  <c r="A97" i="12"/>
  <c r="C135" i="12" a="1"/>
  <c r="D134" i="12" a="1"/>
  <c r="G136" i="12" a="1"/>
  <c r="C137" i="12" a="1"/>
  <c r="C131" i="12" a="1"/>
  <c r="G114" i="12" a="1"/>
  <c r="C130" i="12" a="1"/>
  <c r="D133" i="12" a="1"/>
  <c r="C134" i="12" a="1"/>
  <c r="D136" i="12" a="1"/>
  <c r="G135" i="12" a="1"/>
  <c r="G131" i="12" a="1"/>
  <c r="C136" i="12" a="1"/>
  <c r="D130" i="12" a="1"/>
  <c r="C97" i="12" a="1"/>
  <c r="D135" i="12" a="1"/>
  <c r="D131" i="12" a="1"/>
  <c r="G133" i="12" a="1"/>
  <c r="G137" i="12" a="1"/>
  <c r="I134" i="12" a="1"/>
  <c r="G134" i="12" a="1"/>
  <c r="G130" i="12" a="1"/>
  <c r="C132" i="12" a="1"/>
  <c r="D132" i="12" a="1"/>
  <c r="D137" i="12" a="1"/>
  <c r="C133" i="12" a="1"/>
  <c r="G132" i="12" a="1"/>
  <c r="D97" i="12" a="1"/>
  <c r="G97" i="12" a="1"/>
  <c r="I134" i="12" l="1"/>
  <c r="G20" i="17"/>
  <c r="G133" i="12"/>
  <c r="C133" i="12"/>
  <c r="D133" i="12"/>
  <c r="C137" i="12"/>
  <c r="D137" i="12"/>
  <c r="C136" i="12"/>
  <c r="G137" i="12"/>
  <c r="D136" i="12"/>
  <c r="G136" i="12"/>
  <c r="C135" i="12"/>
  <c r="D135" i="12"/>
  <c r="C134" i="12"/>
  <c r="G135" i="12"/>
  <c r="D134" i="12"/>
  <c r="G134" i="12"/>
  <c r="C132" i="12"/>
  <c r="D132" i="12"/>
  <c r="C131" i="12"/>
  <c r="G132" i="12"/>
  <c r="D131" i="12"/>
  <c r="C130" i="12"/>
  <c r="G131" i="12"/>
  <c r="D130" i="12"/>
  <c r="G130" i="12"/>
  <c r="C97" i="12"/>
  <c r="D97" i="12"/>
  <c r="G97" i="12"/>
  <c r="G114" i="12"/>
  <c r="A129" i="12"/>
  <c r="E128" i="12"/>
  <c r="E129" i="12" s="1"/>
  <c r="A128" i="12"/>
  <c r="A127" i="12"/>
  <c r="A20" i="11"/>
  <c r="A19" i="11"/>
  <c r="A10" i="17"/>
  <c r="E66" i="12"/>
  <c r="E67" i="12" s="1"/>
  <c r="A66" i="12"/>
  <c r="A65" i="12"/>
  <c r="F19" i="11" a="1"/>
  <c r="F20" i="11" a="1"/>
  <c r="F18" i="11" a="1"/>
  <c r="F15" i="17" a="1"/>
  <c r="F13" i="17" a="1"/>
  <c r="F11" i="17" a="1"/>
  <c r="F6" i="17" a="1"/>
  <c r="F9" i="17" a="1"/>
  <c r="F14" i="17" a="1"/>
  <c r="F16" i="17" a="1"/>
  <c r="F3" i="17" a="1"/>
  <c r="F4" i="17" a="1"/>
  <c r="F8" i="17" a="1"/>
  <c r="F5" i="17" a="1"/>
  <c r="F18" i="17" a="1"/>
  <c r="F12" i="17" a="1"/>
  <c r="F17" i="17" a="1"/>
  <c r="F10" i="17" a="1"/>
  <c r="F7" i="17" a="1"/>
  <c r="C10" i="17" a="1"/>
  <c r="D128" i="12" a="1"/>
  <c r="G65" i="12" a="1"/>
  <c r="D66" i="12" a="1"/>
  <c r="D127" i="12" a="1"/>
  <c r="G129" i="12" a="1"/>
  <c r="G128" i="12" a="1"/>
  <c r="D129" i="12" a="1"/>
  <c r="C128" i="12" a="1"/>
  <c r="D65" i="12" a="1"/>
  <c r="G127" i="12" a="1"/>
  <c r="C127" i="12" a="1"/>
  <c r="C65" i="12" a="1"/>
  <c r="C129" i="12" a="1"/>
  <c r="G66" i="12" a="1"/>
  <c r="C129" i="12" l="1"/>
  <c r="D129" i="12"/>
  <c r="C128" i="12"/>
  <c r="G129" i="12"/>
  <c r="D128" i="12"/>
  <c r="C127" i="12"/>
  <c r="G128" i="12"/>
  <c r="D127" i="12"/>
  <c r="G127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1" i="12"/>
  <c r="A11" i="12"/>
  <c r="A17" i="12"/>
  <c r="C8" i="6" a="1"/>
  <c r="C3" i="8" a="1"/>
  <c r="C5" i="6" a="1"/>
  <c r="C37" i="2" a="1"/>
  <c r="C3" i="6" a="1"/>
  <c r="C9" i="6" a="1"/>
  <c r="C13" i="6" a="1"/>
  <c r="C6" i="6" a="1"/>
  <c r="C10" i="6" a="1"/>
  <c r="C7" i="6" a="1"/>
  <c r="C2" i="6" a="1"/>
  <c r="C12" i="6" a="1"/>
  <c r="C4" i="6" a="1"/>
  <c r="C22" i="2" a="1"/>
  <c r="C11" i="6" a="1"/>
  <c r="C35" i="2" a="1"/>
  <c r="C2" i="10" a="1"/>
  <c r="C2" i="8" a="1"/>
  <c r="C14" i="17" a="1"/>
  <c r="C2" i="17" a="1"/>
  <c r="C7" i="17" a="1"/>
  <c r="C13" i="17" a="1"/>
  <c r="C17" i="17" a="1"/>
  <c r="C16" i="17" a="1"/>
  <c r="C3" i="17" a="1"/>
  <c r="C8" i="17" a="1"/>
  <c r="C5" i="17" a="1"/>
  <c r="C15" i="17" a="1"/>
  <c r="C18" i="17" a="1"/>
  <c r="C11" i="17" a="1"/>
  <c r="C4" i="17" a="1"/>
  <c r="C6" i="17" a="1"/>
  <c r="C9" i="17" a="1"/>
  <c r="C12" i="17" a="1"/>
  <c r="D22" i="12" a="1"/>
  <c r="G90" i="12" a="1"/>
  <c r="G118" i="12" a="1"/>
  <c r="G124" i="12" a="1"/>
  <c r="D6" i="12" a="1"/>
  <c r="G88" i="12" a="1"/>
  <c r="D100" i="12" a="1"/>
  <c r="G107" i="12" a="1"/>
  <c r="G24" i="12" a="1"/>
  <c r="D30" i="12" a="1"/>
  <c r="D31" i="12" a="1"/>
  <c r="G96" i="12" a="1"/>
  <c r="D117" i="12" a="1"/>
  <c r="G126" i="12" a="1"/>
  <c r="G110" i="12" a="1"/>
  <c r="G99" i="12" a="1"/>
  <c r="D68" i="12" a="1"/>
  <c r="G30" i="12" a="1"/>
  <c r="D99" i="12" a="1"/>
  <c r="D24" i="12" a="1"/>
  <c r="G2" i="12" a="1"/>
  <c r="D20" i="12" a="1"/>
  <c r="D17" i="12" a="1"/>
  <c r="G19" i="12" a="1"/>
  <c r="G120" i="12" a="1"/>
  <c r="D115" i="12" a="1"/>
  <c r="G11" i="12" a="1"/>
  <c r="D44" i="12" a="1"/>
  <c r="G12" i="12" a="1"/>
  <c r="D103" i="12" a="1"/>
  <c r="G89" i="12" a="1"/>
  <c r="G95" i="12" a="1"/>
  <c r="D63" i="12" a="1"/>
  <c r="G29" i="12" a="1"/>
  <c r="D112" i="12" a="1"/>
  <c r="G31" i="12" a="1"/>
  <c r="G91" i="12" a="1"/>
  <c r="D12" i="12" a="1"/>
  <c r="D86" i="12" a="1"/>
  <c r="D57" i="12" a="1"/>
  <c r="D10" i="12" a="1"/>
  <c r="D91" i="12" a="1"/>
  <c r="D118" i="12" a="1"/>
  <c r="G112" i="12" a="1"/>
  <c r="G52" i="12" a="1"/>
  <c r="G113" i="12" a="1"/>
  <c r="D43" i="12" a="1"/>
  <c r="G125" i="12" a="1"/>
  <c r="G53" i="12" a="1"/>
  <c r="G38" i="12" a="1"/>
  <c r="G76" i="12" a="1"/>
  <c r="D36" i="12" a="1"/>
  <c r="G42" i="12" a="1"/>
  <c r="D39" i="12" a="1"/>
  <c r="D2" i="12" a="1"/>
  <c r="D41" i="12" a="1"/>
  <c r="G32" i="12" a="1"/>
  <c r="G122" i="12" a="1"/>
  <c r="D119" i="12" a="1"/>
  <c r="G49" i="12" a="1"/>
  <c r="D11" i="12" a="1"/>
  <c r="G83" i="12" a="1"/>
  <c r="D80" i="12" a="1"/>
  <c r="D7" i="12" a="1"/>
  <c r="G44" i="12" a="1"/>
  <c r="G5" i="12" a="1"/>
  <c r="G27" i="12" a="1"/>
  <c r="D13" i="12" a="1"/>
  <c r="D46" i="12" a="1"/>
  <c r="D53" i="12" a="1"/>
  <c r="G57" i="12" a="1"/>
  <c r="G61" i="12" a="1"/>
  <c r="D9" i="12" a="1"/>
  <c r="D27" i="12" a="1"/>
  <c r="G21" i="12" a="1"/>
  <c r="D28" i="12" a="1"/>
  <c r="G37" i="12" a="1"/>
  <c r="D38" i="12" a="1"/>
  <c r="G78" i="12" a="1"/>
  <c r="D82" i="12" a="1"/>
  <c r="G111" i="12" a="1"/>
  <c r="D37" i="12" a="1"/>
  <c r="G3" i="12" a="1"/>
  <c r="G4" i="12" a="1"/>
  <c r="G14" i="12" a="1"/>
  <c r="D96" i="12" a="1"/>
  <c r="D4" i="12" a="1"/>
  <c r="D48" i="12" a="1"/>
  <c r="D25" i="12" a="1"/>
  <c r="G10" i="12" a="1"/>
  <c r="D71" i="12" a="1"/>
  <c r="D52" i="12" a="1"/>
  <c r="G22" i="12" a="1"/>
  <c r="G71" i="12" a="1"/>
  <c r="D90" i="12" a="1"/>
  <c r="G28" i="12" a="1"/>
  <c r="G41" i="12" a="1"/>
  <c r="G102" i="12" a="1"/>
  <c r="D104" i="12" a="1"/>
  <c r="D109" i="12" a="1"/>
  <c r="D21" i="12" a="1"/>
  <c r="G7" i="12" a="1"/>
  <c r="D54" i="12" a="1"/>
  <c r="D50" i="12" a="1"/>
  <c r="G13" i="12" a="1"/>
  <c r="G109" i="12" a="1"/>
  <c r="G106" i="12" a="1"/>
  <c r="D3" i="12" a="1"/>
  <c r="G119" i="12" a="1"/>
  <c r="D78" i="12" a="1"/>
  <c r="G58" i="12" a="1"/>
  <c r="D56" i="12" a="1"/>
  <c r="D85" i="12" a="1"/>
  <c r="G46" i="12" a="1"/>
  <c r="D18" i="12" a="1"/>
  <c r="G48" i="12" a="1"/>
  <c r="G6" i="12" a="1"/>
  <c r="G54" i="12" a="1"/>
  <c r="D101" i="12" a="1"/>
  <c r="D19" i="12" a="1"/>
  <c r="D49" i="12" a="1"/>
  <c r="G25" i="12" a="1"/>
  <c r="G23" i="12" a="1"/>
  <c r="G34" i="12" a="1"/>
  <c r="G79" i="12" a="1"/>
  <c r="D51" i="12" a="1"/>
  <c r="G100" i="12" a="1"/>
  <c r="G9" i="12" a="1"/>
  <c r="D14" i="12" a="1"/>
  <c r="D45" i="12" a="1"/>
  <c r="D98" i="12" a="1"/>
  <c r="G86" i="12" a="1"/>
  <c r="D92" i="12" a="1"/>
  <c r="D77" i="12" a="1"/>
  <c r="D114" i="12" a="1"/>
  <c r="G101" i="12" a="1"/>
  <c r="D113" i="12" a="1"/>
  <c r="G104" i="12" a="1"/>
  <c r="D33" i="12" a="1"/>
  <c r="G93" i="12" a="1"/>
  <c r="G68" i="12" a="1"/>
  <c r="G123" i="12" a="1"/>
  <c r="G121" i="12" a="1"/>
  <c r="D73" i="12" a="1"/>
  <c r="D64" i="12" a="1"/>
  <c r="G84" i="12" a="1"/>
  <c r="D35" i="12" a="1"/>
  <c r="G8" i="12" a="1"/>
  <c r="D84" i="12" a="1"/>
  <c r="G18" i="12" a="1"/>
  <c r="G81" i="12" a="1"/>
  <c r="G82" i="12" a="1"/>
  <c r="G39" i="12" a="1"/>
  <c r="G98" i="12" a="1"/>
  <c r="D61" i="12" a="1"/>
  <c r="G15" i="12" a="1"/>
  <c r="G50" i="12" a="1"/>
  <c r="G43" i="12" a="1"/>
  <c r="G94" i="12" a="1"/>
  <c r="G103" i="12" a="1"/>
  <c r="G105" i="12" a="1"/>
  <c r="D87" i="12" a="1"/>
  <c r="C17" i="12" a="1"/>
  <c r="D79" i="12" a="1"/>
  <c r="D88" i="12" a="1"/>
  <c r="G108" i="12" a="1"/>
  <c r="D102" i="12" a="1"/>
  <c r="D34" i="12" a="1"/>
  <c r="D95" i="12" a="1"/>
  <c r="G47" i="12" a="1"/>
  <c r="D111" i="12" a="1"/>
  <c r="G45" i="12" a="1"/>
  <c r="G59" i="12" a="1"/>
  <c r="D62" i="12" a="1"/>
  <c r="D70" i="12" a="1"/>
  <c r="D94" i="12" a="1"/>
  <c r="G35" i="12" a="1"/>
  <c r="G70" i="12" a="1"/>
  <c r="G60" i="12" a="1"/>
  <c r="C11" i="12" a="1"/>
  <c r="D32" i="12" a="1"/>
  <c r="D120" i="12" a="1"/>
  <c r="G73" i="12" a="1"/>
  <c r="D60" i="12" a="1"/>
  <c r="D81" i="12" a="1"/>
  <c r="D55" i="12" a="1"/>
  <c r="G72" i="12" a="1"/>
  <c r="D110" i="12" a="1"/>
  <c r="G55" i="12" a="1"/>
  <c r="G16" i="12" a="1"/>
  <c r="D107" i="12" a="1"/>
  <c r="D72" i="12" a="1"/>
  <c r="G40" i="12" a="1"/>
  <c r="G33" i="12" a="1"/>
  <c r="D16" i="12" a="1"/>
  <c r="D5" i="12" a="1"/>
  <c r="D40" i="12" a="1"/>
  <c r="D105" i="12" a="1"/>
  <c r="D29" i="12" a="1"/>
  <c r="D121" i="12" a="1"/>
  <c r="G36" i="12" a="1"/>
  <c r="D47" i="12" a="1"/>
  <c r="G117" i="12" a="1"/>
  <c r="G51" i="12" a="1"/>
  <c r="G87" i="12" a="1"/>
  <c r="D23" i="12" a="1"/>
  <c r="D89" i="12" a="1"/>
  <c r="G63" i="12" a="1"/>
  <c r="C111" i="12" a="1"/>
  <c r="D93" i="12" a="1"/>
  <c r="G80" i="12" a="1"/>
  <c r="G85" i="12" a="1"/>
  <c r="G92" i="12" a="1"/>
  <c r="G56" i="12" a="1"/>
  <c r="D106" i="12" a="1"/>
  <c r="D8" i="12" a="1"/>
  <c r="D116" i="12" a="1"/>
  <c r="G115" i="12" a="1"/>
  <c r="G20" i="12" a="1"/>
  <c r="G116" i="12" a="1"/>
  <c r="D15" i="12" a="1"/>
  <c r="D42" i="12" a="1"/>
  <c r="G77" i="12" a="1"/>
  <c r="D108" i="12" a="1"/>
  <c r="G62" i="12" a="1"/>
  <c r="G64" i="12" a="1"/>
  <c r="D58" i="12" a="1"/>
  <c r="D59" i="12" a="1"/>
  <c r="D83" i="12" a="1"/>
  <c r="D76" i="12" a="1"/>
  <c r="G8" i="12" l="1"/>
  <c r="G27" i="12"/>
  <c r="G41" i="12"/>
  <c r="G59" i="12"/>
  <c r="G78" i="12"/>
  <c r="G92" i="12"/>
  <c r="G110" i="12"/>
  <c r="G9" i="12"/>
  <c r="G28" i="12"/>
  <c r="G42" i="12"/>
  <c r="G60" i="12"/>
  <c r="G79" i="12"/>
  <c r="G93" i="12"/>
  <c r="G111" i="12"/>
  <c r="G10" i="12"/>
  <c r="G29" i="12"/>
  <c r="G47" i="12"/>
  <c r="G61" i="12"/>
  <c r="G80" i="12"/>
  <c r="G99" i="12"/>
  <c r="G112" i="12"/>
  <c r="G11" i="12"/>
  <c r="G30" i="12"/>
  <c r="G48" i="12"/>
  <c r="G62" i="12"/>
  <c r="G81" i="12"/>
  <c r="G100" i="12"/>
  <c r="G113" i="12"/>
  <c r="G16" i="12"/>
  <c r="G31" i="12"/>
  <c r="G49" i="12"/>
  <c r="G72" i="12"/>
  <c r="G82" i="12"/>
  <c r="G117" i="12"/>
  <c r="G32" i="12"/>
  <c r="G50" i="12"/>
  <c r="G71" i="12"/>
  <c r="G83" i="12"/>
  <c r="G101" i="12"/>
  <c r="G118" i="12"/>
  <c r="G18" i="12"/>
  <c r="G37" i="12"/>
  <c r="G51" i="12"/>
  <c r="G88" i="12"/>
  <c r="G102" i="12"/>
  <c r="G119" i="12"/>
  <c r="G19" i="12"/>
  <c r="G38" i="12"/>
  <c r="G52" i="12"/>
  <c r="G89" i="12"/>
  <c r="G103" i="12"/>
  <c r="G120" i="12"/>
  <c r="G6" i="12"/>
  <c r="G20" i="12"/>
  <c r="G39" i="12"/>
  <c r="G57" i="12"/>
  <c r="G90" i="12"/>
  <c r="G108" i="12"/>
  <c r="G121" i="12"/>
  <c r="G7" i="12"/>
  <c r="G21" i="12"/>
  <c r="G40" i="12"/>
  <c r="G58" i="12"/>
  <c r="G91" i="12"/>
  <c r="G109" i="12"/>
  <c r="G122" i="12"/>
  <c r="G12" i="12"/>
  <c r="G22" i="12"/>
  <c r="G33" i="12"/>
  <c r="G43" i="12"/>
  <c r="G53" i="12"/>
  <c r="G63" i="12"/>
  <c r="G84" i="12"/>
  <c r="G94" i="12"/>
  <c r="G104" i="12"/>
  <c r="G123" i="12"/>
  <c r="G3" i="12"/>
  <c r="G13" i="12"/>
  <c r="G23" i="12"/>
  <c r="G34" i="12"/>
  <c r="G44" i="12"/>
  <c r="G54" i="12"/>
  <c r="G64" i="12"/>
  <c r="G73" i="12"/>
  <c r="G85" i="12"/>
  <c r="G95" i="12"/>
  <c r="G105" i="12"/>
  <c r="G124" i="12"/>
  <c r="G4" i="12"/>
  <c r="G14" i="12"/>
  <c r="G24" i="12"/>
  <c r="G35" i="12"/>
  <c r="G45" i="12"/>
  <c r="G55" i="12"/>
  <c r="G68" i="12"/>
  <c r="G76" i="12"/>
  <c r="G86" i="12"/>
  <c r="G96" i="12"/>
  <c r="G106" i="12"/>
  <c r="G115" i="12"/>
  <c r="G125" i="12"/>
  <c r="G5" i="12"/>
  <c r="G15" i="12"/>
  <c r="G25" i="12"/>
  <c r="G36" i="12"/>
  <c r="G46" i="12"/>
  <c r="G56" i="12"/>
  <c r="G70" i="12"/>
  <c r="G77" i="12"/>
  <c r="G87" i="12"/>
  <c r="G98" i="12"/>
  <c r="G107" i="12"/>
  <c r="G116" i="12"/>
  <c r="G126" i="12"/>
  <c r="C35" i="2"/>
  <c r="C22" i="2"/>
  <c r="C37" i="2"/>
  <c r="D27" i="12"/>
  <c r="D72" i="12"/>
  <c r="D99" i="12"/>
  <c r="D19" i="12"/>
  <c r="D58" i="12"/>
  <c r="D118" i="12"/>
  <c r="D20" i="12"/>
  <c r="D39" i="12"/>
  <c r="D49" i="12"/>
  <c r="D59" i="12"/>
  <c r="D80" i="12"/>
  <c r="D90" i="12"/>
  <c r="D110" i="12"/>
  <c r="D119" i="12"/>
  <c r="D11" i="12"/>
  <c r="D21" i="12"/>
  <c r="D30" i="12"/>
  <c r="D40" i="12"/>
  <c r="D50" i="12"/>
  <c r="D60" i="12"/>
  <c r="D81" i="12"/>
  <c r="D91" i="12"/>
  <c r="D101" i="12"/>
  <c r="D111" i="12"/>
  <c r="D120" i="12"/>
  <c r="D12" i="12"/>
  <c r="D22" i="12"/>
  <c r="D31" i="12"/>
  <c r="D41" i="12"/>
  <c r="D51" i="12"/>
  <c r="D61" i="12"/>
  <c r="D82" i="12"/>
  <c r="D92" i="12"/>
  <c r="D102" i="12"/>
  <c r="D112" i="12"/>
  <c r="D121" i="12"/>
  <c r="D47" i="12"/>
  <c r="D117" i="12"/>
  <c r="D38" i="12"/>
  <c r="D89" i="12"/>
  <c r="D103" i="12"/>
  <c r="D8" i="12"/>
  <c r="D37" i="12"/>
  <c r="D78" i="12"/>
  <c r="D88" i="12"/>
  <c r="D28" i="12"/>
  <c r="D71" i="12"/>
  <c r="D100" i="12"/>
  <c r="D29" i="12"/>
  <c r="D3" i="12"/>
  <c r="D23" i="12"/>
  <c r="D42" i="12"/>
  <c r="D52" i="12"/>
  <c r="D93" i="12"/>
  <c r="D113" i="12"/>
  <c r="D4" i="12"/>
  <c r="D24" i="12"/>
  <c r="D43" i="12"/>
  <c r="D63" i="12"/>
  <c r="D84" i="12"/>
  <c r="D104" i="12"/>
  <c r="D5" i="12"/>
  <c r="D15" i="12"/>
  <c r="D25" i="12"/>
  <c r="D44" i="12"/>
  <c r="D54" i="12"/>
  <c r="D64" i="12"/>
  <c r="D73" i="12"/>
  <c r="D95" i="12"/>
  <c r="D105" i="12"/>
  <c r="D114" i="12"/>
  <c r="D6" i="12"/>
  <c r="D16" i="12"/>
  <c r="D35" i="12"/>
  <c r="D55" i="12"/>
  <c r="D68" i="12"/>
  <c r="D76" i="12"/>
  <c r="D86" i="12"/>
  <c r="D96" i="12"/>
  <c r="D106" i="12"/>
  <c r="D115" i="12"/>
  <c r="D7" i="12"/>
  <c r="D17" i="12"/>
  <c r="D36" i="12"/>
  <c r="D46" i="12"/>
  <c r="D56" i="12"/>
  <c r="D70" i="12"/>
  <c r="D77" i="12"/>
  <c r="D87" i="12"/>
  <c r="D98" i="12"/>
  <c r="D107" i="12"/>
  <c r="D116" i="12"/>
  <c r="D18" i="12"/>
  <c r="D57" i="12"/>
  <c r="D108" i="12"/>
  <c r="D9" i="12"/>
  <c r="D48" i="12"/>
  <c r="D79" i="12"/>
  <c r="D109" i="12"/>
  <c r="D10" i="12"/>
  <c r="D13" i="12"/>
  <c r="D32" i="12"/>
  <c r="D62" i="12"/>
  <c r="D83" i="12"/>
  <c r="D14" i="12"/>
  <c r="D33" i="12"/>
  <c r="D53" i="12"/>
  <c r="D94" i="12"/>
  <c r="D34" i="12"/>
  <c r="D85" i="12"/>
  <c r="D45" i="12"/>
  <c r="D2" i="12"/>
  <c r="C111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D16" i="4" a="1"/>
  <c r="D15" i="4" a="1"/>
  <c r="E2" i="22" a="1"/>
  <c r="I2" i="6" a="1"/>
  <c r="I4" i="6" a="1"/>
  <c r="I3" i="6" a="1"/>
  <c r="I13" i="6" a="1"/>
  <c r="I9" i="6" a="1"/>
  <c r="I8" i="6" a="1"/>
  <c r="D14" i="4" a="1"/>
  <c r="D13" i="4" a="1"/>
  <c r="I7" i="6" a="1"/>
  <c r="I5" i="6" a="1"/>
  <c r="I11" i="6" a="1"/>
  <c r="J2" i="22" a="1"/>
  <c r="I12" i="6" a="1"/>
  <c r="I6" i="6" a="1"/>
  <c r="I10" i="6" a="1"/>
  <c r="D18" i="4" a="1"/>
  <c r="D13" i="4" l="1"/>
  <c r="D15" i="4"/>
  <c r="D18" i="4"/>
  <c r="D14" i="4"/>
  <c r="D16" i="4"/>
  <c r="J2" i="22"/>
  <c r="E2" i="22"/>
  <c r="I4" i="6"/>
  <c r="I9" i="6"/>
  <c r="I3" i="6"/>
  <c r="I13" i="6"/>
  <c r="I5" i="6"/>
  <c r="I6" i="6"/>
  <c r="I7" i="6"/>
  <c r="I8" i="6"/>
  <c r="I10" i="6"/>
  <c r="I11" i="6"/>
  <c r="I12" i="6"/>
  <c r="I2" i="6"/>
  <c r="A47" i="12"/>
  <c r="E82" i="12"/>
  <c r="E83" i="12" s="1"/>
  <c r="E84" i="12" s="1"/>
  <c r="E85" i="12" s="1"/>
  <c r="E86" i="12" s="1"/>
  <c r="G2" i="4" a="1"/>
  <c r="H17" i="12" a="1"/>
  <c r="C84" i="12" a="1"/>
  <c r="H18" i="12" a="1"/>
  <c r="H102" i="12" a="1"/>
  <c r="C47" i="12" a="1"/>
  <c r="H39" i="12" a="1"/>
  <c r="H38" i="12" a="1"/>
  <c r="H40" i="12" a="1"/>
  <c r="H37" i="12" a="1"/>
  <c r="H136" i="12" a="1"/>
  <c r="C2" i="12" a="1"/>
  <c r="H30" i="12" a="1"/>
  <c r="H101" i="12" a="1"/>
  <c r="H103" i="12" a="1"/>
  <c r="H135" i="12" a="1"/>
  <c r="H136" i="12" l="1"/>
  <c r="H37" i="12"/>
  <c r="H30" i="12"/>
  <c r="H135" i="12"/>
  <c r="H102" i="12"/>
  <c r="H40" i="12"/>
  <c r="H18" i="12"/>
  <c r="H17" i="12"/>
  <c r="H39" i="12"/>
  <c r="H103" i="12"/>
  <c r="H38" i="12"/>
  <c r="H101" i="12"/>
  <c r="C84" i="12"/>
  <c r="G2" i="4"/>
  <c r="C2" i="12"/>
  <c r="C47" i="12"/>
  <c r="A3" i="7" l="1"/>
  <c r="A3" i="8"/>
  <c r="A125" i="12"/>
  <c r="A36" i="14"/>
  <c r="A35" i="14"/>
  <c r="A34" i="14"/>
  <c r="A19" i="13"/>
  <c r="A15" i="13"/>
  <c r="A11" i="13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6" i="12"/>
  <c r="A124" i="12"/>
  <c r="E123" i="12"/>
  <c r="E124" i="12" s="1"/>
  <c r="E125" i="12" s="1"/>
  <c r="E126" i="12" s="1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4" i="4" a="1"/>
  <c r="E3" i="4" a="1"/>
  <c r="C25" i="2" a="1"/>
  <c r="C8" i="2" a="1"/>
  <c r="E21" i="4" a="1"/>
  <c r="C6" i="4" a="1"/>
  <c r="C12" i="2" a="1"/>
  <c r="C6" i="2" a="1"/>
  <c r="C30" i="2" a="1"/>
  <c r="C18" i="4" a="1"/>
  <c r="C36" i="2" a="1"/>
  <c r="C4" i="2" a="1"/>
  <c r="E19" i="4" a="1"/>
  <c r="C10" i="2" a="1"/>
  <c r="C17" i="4" a="1"/>
  <c r="E2" i="4" a="1"/>
  <c r="C14" i="2" a="1"/>
  <c r="C24" i="2" a="1"/>
  <c r="C5" i="4" a="1"/>
  <c r="E2" i="8" a="1"/>
  <c r="E6" i="4" a="1"/>
  <c r="E17" i="4" a="1"/>
  <c r="C2" i="4" a="1"/>
  <c r="C17" i="2" a="1"/>
  <c r="C18" i="2" a="1"/>
  <c r="C5" i="2" a="1"/>
  <c r="C3" i="4" a="1"/>
  <c r="C20" i="2" a="1"/>
  <c r="C3" i="2" a="1"/>
  <c r="C15" i="4" a="1"/>
  <c r="E5" i="4" a="1"/>
  <c r="C34" i="2" a="1"/>
  <c r="C14" i="4" a="1"/>
  <c r="E22" i="4" a="1"/>
  <c r="C12" i="4" a="1"/>
  <c r="C26" i="2" a="1"/>
  <c r="C19" i="4" a="1"/>
  <c r="C20" i="4" a="1"/>
  <c r="C29" i="2" a="1"/>
  <c r="C16" i="4" a="1"/>
  <c r="E20" i="4" a="1"/>
  <c r="C11" i="2" a="1"/>
  <c r="C10" i="4" a="1"/>
  <c r="C16" i="2" a="1"/>
  <c r="C21" i="4" a="1"/>
  <c r="E13" i="4" a="1"/>
  <c r="E2" i="10" a="1"/>
  <c r="E12" i="4" a="1"/>
  <c r="E18" i="4" a="1"/>
  <c r="C7" i="2" a="1"/>
  <c r="E4" i="4" a="1"/>
  <c r="C15" i="2" a="1"/>
  <c r="C32" i="2" a="1"/>
  <c r="C7" i="4" a="1"/>
  <c r="E11" i="4" a="1"/>
  <c r="C23" i="2" a="1"/>
  <c r="E9" i="4" a="1"/>
  <c r="E3" i="8" a="1"/>
  <c r="C38" i="2" a="1"/>
  <c r="C33" i="2" a="1"/>
  <c r="E8" i="4" a="1"/>
  <c r="C2" i="2" a="1"/>
  <c r="E16" i="4" a="1"/>
  <c r="C31" i="2" a="1"/>
  <c r="E14" i="4" a="1"/>
  <c r="E15" i="4" a="1"/>
  <c r="E7" i="4" a="1"/>
  <c r="C13" i="4" a="1"/>
  <c r="C11" i="4" a="1"/>
  <c r="C8" i="4" a="1"/>
  <c r="C28" i="2" a="1"/>
  <c r="C21" i="2" a="1"/>
  <c r="C9" i="2" a="1"/>
  <c r="C9" i="4" a="1"/>
  <c r="C13" i="2" a="1"/>
  <c r="E10" i="4" a="1"/>
  <c r="C19" i="2" a="1"/>
  <c r="C27" i="2" a="1"/>
  <c r="F11" i="11" a="1"/>
  <c r="F8" i="11" a="1"/>
  <c r="F16" i="11" a="1"/>
  <c r="F15" i="11" a="1"/>
  <c r="F5" i="11" a="1"/>
  <c r="F3" i="11" a="1"/>
  <c r="F17" i="11" a="1"/>
  <c r="F6" i="11" a="1"/>
  <c r="F2" i="11" a="1"/>
  <c r="F12" i="11" a="1"/>
  <c r="F14" i="11" a="1"/>
  <c r="F4" i="11" a="1"/>
  <c r="F13" i="11" a="1"/>
  <c r="H13" i="11" a="1"/>
  <c r="H20" i="11" a="1"/>
  <c r="H8" i="11" a="1"/>
  <c r="H10" i="11" a="1"/>
  <c r="H6" i="11" a="1"/>
  <c r="H3" i="11" a="1"/>
  <c r="H14" i="11" a="1"/>
  <c r="H21" i="11" a="1"/>
  <c r="H2" i="11" a="1"/>
  <c r="H15" i="11" a="1"/>
  <c r="H7" i="11" a="1"/>
  <c r="H16" i="11" a="1"/>
  <c r="H5" i="11" a="1"/>
  <c r="H17" i="11" a="1"/>
  <c r="H4" i="11" a="1"/>
  <c r="H11" i="11" a="1"/>
  <c r="H12" i="11" a="1"/>
  <c r="H9" i="11" a="1"/>
  <c r="H18" i="11" a="1"/>
  <c r="H19" i="11" a="1"/>
  <c r="F2" i="17" a="1"/>
  <c r="C2" i="13" a="1"/>
  <c r="H19" i="11" l="1"/>
  <c r="H18" i="11"/>
  <c r="H9" i="11"/>
  <c r="H12" i="11"/>
  <c r="H11" i="11"/>
  <c r="H4" i="11"/>
  <c r="H17" i="11"/>
  <c r="H5" i="11"/>
  <c r="H16" i="11"/>
  <c r="H7" i="11"/>
  <c r="H15" i="11"/>
  <c r="H2" i="11"/>
  <c r="H21" i="11"/>
  <c r="H14" i="11"/>
  <c r="H3" i="11"/>
  <c r="H6" i="11"/>
  <c r="H10" i="11"/>
  <c r="H8" i="11"/>
  <c r="H20" i="11"/>
  <c r="H13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2" i="11"/>
  <c r="F8" i="11"/>
  <c r="F6" i="11"/>
  <c r="F4" i="11"/>
  <c r="F5" i="11"/>
  <c r="D6" i="4" a="1"/>
  <c r="D21" i="4" a="1"/>
  <c r="D5" i="4" a="1"/>
  <c r="D19" i="4" a="1"/>
  <c r="D12" i="4" a="1"/>
  <c r="D8" i="4" a="1"/>
  <c r="D17" i="4" a="1"/>
  <c r="D9" i="4" a="1"/>
  <c r="D11" i="4" a="1"/>
  <c r="D20" i="4" a="1"/>
  <c r="D3" i="4" a="1"/>
  <c r="D7" i="4" a="1"/>
  <c r="D10" i="4" a="1"/>
  <c r="D2" i="4" a="1"/>
  <c r="D22" i="4" a="1"/>
  <c r="D4" i="4" a="1"/>
  <c r="C34" i="12" a="1"/>
  <c r="J94" i="12" a="1"/>
  <c r="J139" i="12" a="1"/>
  <c r="J127" i="12" a="1"/>
  <c r="I35" i="12" a="1"/>
  <c r="I60" i="12" a="1"/>
  <c r="I72" i="12" a="1"/>
  <c r="C83" i="12" a="1"/>
  <c r="I115" i="12" a="1"/>
  <c r="J71" i="12" a="1"/>
  <c r="J97" i="12" a="1"/>
  <c r="J70" i="12" a="1"/>
  <c r="C18" i="12" a="1"/>
  <c r="C32" i="12" a="1"/>
  <c r="J135" i="12" a="1"/>
  <c r="J68" i="12" a="1"/>
  <c r="J16" i="12" a="1"/>
  <c r="I132" i="12" a="1"/>
  <c r="I61" i="12" a="1"/>
  <c r="J4" i="12" a="1"/>
  <c r="J20" i="12" a="1"/>
  <c r="C103" i="12" a="1"/>
  <c r="J120" i="12" a="1"/>
  <c r="I52" i="12" a="1"/>
  <c r="I69" i="12" a="1"/>
  <c r="J100" i="12" a="1"/>
  <c r="C101" i="12" a="1"/>
  <c r="J90" i="12" a="1"/>
  <c r="J107" i="12" a="1"/>
  <c r="J56" i="12" a="1"/>
  <c r="C21" i="12" a="1"/>
  <c r="J112" i="12" a="1"/>
  <c r="J40" i="12" a="1"/>
  <c r="C105" i="12" a="1"/>
  <c r="C9" i="12" a="1"/>
  <c r="I74" i="12" a="1"/>
  <c r="I22" i="12" a="1"/>
  <c r="C14" i="12" a="1"/>
  <c r="J122" i="12" a="1"/>
  <c r="J38" i="12" a="1"/>
  <c r="I123" i="12" a="1"/>
  <c r="J33" i="12" a="1"/>
  <c r="J104" i="12" a="1"/>
  <c r="I51" i="12" a="1"/>
  <c r="C22" i="12" a="1"/>
  <c r="J98" i="12" a="1"/>
  <c r="J124" i="12" a="1"/>
  <c r="C49" i="12" a="1"/>
  <c r="J53" i="12" a="1"/>
  <c r="I91" i="12" a="1"/>
  <c r="C77" i="12" a="1"/>
  <c r="J140" i="12" a="1"/>
  <c r="I25" i="12" a="1"/>
  <c r="C10" i="12" a="1"/>
  <c r="C19" i="12" a="1"/>
  <c r="C116" i="12" a="1"/>
  <c r="I127" i="12" a="1"/>
  <c r="C52" i="12" a="1"/>
  <c r="I16" i="12" a="1"/>
  <c r="J54" i="12" a="1"/>
  <c r="C13" i="12" a="1"/>
  <c r="C60" i="12" a="1"/>
  <c r="J103" i="12" a="1"/>
  <c r="J80" i="12" a="1"/>
  <c r="J45" i="12" a="1"/>
  <c r="C104" i="12" a="1"/>
  <c r="J92" i="12" a="1"/>
  <c r="C76" i="12" a="1"/>
  <c r="I70" i="12" a="1"/>
  <c r="C15" i="12" a="1"/>
  <c r="C40" i="12" a="1"/>
  <c r="I34" i="12" a="1"/>
  <c r="J63" i="12" a="1"/>
  <c r="J86" i="12" a="1"/>
  <c r="I117" i="12" a="1"/>
  <c r="I113" i="12" a="1"/>
  <c r="I140" i="12" a="1"/>
  <c r="J2" i="12" a="1"/>
  <c r="C107" i="12" a="1"/>
  <c r="J136" i="12" a="1"/>
  <c r="C29" i="12" a="1"/>
  <c r="J126" i="12" a="1"/>
  <c r="J7" i="12" a="1"/>
  <c r="J10" i="12" a="1"/>
  <c r="J138" i="12" a="1"/>
  <c r="J29" i="12" a="1"/>
  <c r="J105" i="12" a="1"/>
  <c r="I114" i="12" a="1"/>
  <c r="J59" i="12" a="1"/>
  <c r="J88" i="12" a="1"/>
  <c r="J72" i="12" a="1"/>
  <c r="I46" i="12" a="1"/>
  <c r="I98" i="12" a="1"/>
  <c r="I129" i="12" a="1"/>
  <c r="C117" i="12" a="1"/>
  <c r="I107" i="12" a="1"/>
  <c r="I54" i="12" a="1"/>
  <c r="I128" i="12" a="1"/>
  <c r="C78" i="12" a="1"/>
  <c r="J125" i="12" a="1"/>
  <c r="I93" i="12" a="1"/>
  <c r="C50" i="12" a="1"/>
  <c r="J96" i="12" a="1"/>
  <c r="C113" i="12" a="1"/>
  <c r="C7" i="12" a="1"/>
  <c r="I112" i="12" a="1"/>
  <c r="J8" i="12" a="1"/>
  <c r="C23" i="12" a="1"/>
  <c r="I103" i="12" a="1"/>
  <c r="I58" i="12" a="1"/>
  <c r="C64" i="12" a="1"/>
  <c r="J130" i="12" a="1"/>
  <c r="J84" i="12" a="1"/>
  <c r="C24" i="12" a="1"/>
  <c r="I37" i="12" a="1"/>
  <c r="C28" i="12" a="1"/>
  <c r="C6" i="12" a="1"/>
  <c r="C20" i="12" a="1"/>
  <c r="I33" i="12" a="1"/>
  <c r="I124" i="12" a="1"/>
  <c r="I88" i="12" a="1"/>
  <c r="J121" i="12" a="1"/>
  <c r="J128" i="12" a="1"/>
  <c r="J52" i="12" a="1"/>
  <c r="C71" i="12" a="1"/>
  <c r="I62" i="12" a="1"/>
  <c r="J75" i="12" a="1"/>
  <c r="I95" i="12" a="1"/>
  <c r="I36" i="12" a="1"/>
  <c r="I141" i="12" a="1"/>
  <c r="C5" i="12" a="1"/>
  <c r="C44" i="12" a="1"/>
  <c r="I44" i="12" a="1"/>
  <c r="I118" i="12" a="1"/>
  <c r="I131" i="12" a="1"/>
  <c r="C80" i="12" a="1"/>
  <c r="I23" i="12" a="1"/>
  <c r="C121" i="12" a="1"/>
  <c r="J91" i="12" a="1"/>
  <c r="I2" i="12" a="1"/>
  <c r="I89" i="12" a="1"/>
  <c r="C36" i="12" a="1"/>
  <c r="J134" i="12" a="1"/>
  <c r="I19" i="12" a="1"/>
  <c r="J51" i="12" a="1"/>
  <c r="I121" i="12" a="1"/>
  <c r="J31" i="12" a="1"/>
  <c r="J114" i="12" a="1"/>
  <c r="J115" i="12" a="1"/>
  <c r="C59" i="12" a="1"/>
  <c r="I64" i="12" a="1"/>
  <c r="J30" i="12" a="1"/>
  <c r="I32" i="12" a="1"/>
  <c r="J82" i="12" a="1"/>
  <c r="J43" i="12" a="1"/>
  <c r="C112" i="12" a="1"/>
  <c r="J6" i="12" a="1"/>
  <c r="J21" i="12" a="1"/>
  <c r="J26" i="12" a="1"/>
  <c r="I122" i="12" a="1"/>
  <c r="I116" i="12" a="1"/>
  <c r="J99" i="12" a="1"/>
  <c r="J77" i="12" a="1"/>
  <c r="I100" i="12" a="1"/>
  <c r="C54" i="12" a="1"/>
  <c r="J79" i="12" a="1"/>
  <c r="J109" i="12" a="1"/>
  <c r="J85" i="12" a="1"/>
  <c r="I12" i="12" a="1"/>
  <c r="C114" i="12" a="1"/>
  <c r="J22" i="12" a="1"/>
  <c r="I13" i="12" a="1"/>
  <c r="J18" i="12" a="1"/>
  <c r="C90" i="12" a="1"/>
  <c r="I3" i="12" a="1"/>
  <c r="I110" i="12" a="1"/>
  <c r="C94" i="12" a="1"/>
  <c r="I39" i="12" a="1"/>
  <c r="C39" i="12" a="1"/>
  <c r="I28" i="12" a="1"/>
  <c r="I109" i="12" a="1"/>
  <c r="J19" i="12" a="1"/>
  <c r="I27" i="12" a="1"/>
  <c r="J102" i="12" a="1"/>
  <c r="C61" i="12" a="1"/>
  <c r="J74" i="12" a="1"/>
  <c r="C45" i="12" a="1"/>
  <c r="C72" i="12" a="1"/>
  <c r="I136" i="12" a="1"/>
  <c r="I82" i="12" a="1"/>
  <c r="I75" i="12" a="1"/>
  <c r="I86" i="12" a="1"/>
  <c r="I137" i="12" a="1"/>
  <c r="J46" i="12" a="1"/>
  <c r="I21" i="12" a="1"/>
  <c r="C41" i="12" a="1"/>
  <c r="J58" i="12" a="1"/>
  <c r="J23" i="12" a="1"/>
  <c r="C30" i="12" a="1"/>
  <c r="C115" i="12" a="1"/>
  <c r="J131" i="12" a="1"/>
  <c r="I43" i="12" a="1"/>
  <c r="I105" i="12" a="1"/>
  <c r="C31" i="12" a="1"/>
  <c r="J50" i="12" a="1"/>
  <c r="I126" i="12" a="1"/>
  <c r="C46" i="12" a="1"/>
  <c r="J44" i="12" a="1"/>
  <c r="C79" i="12" a="1"/>
  <c r="C99" i="12" a="1"/>
  <c r="C35" i="12" a="1"/>
  <c r="I53" i="12" a="1"/>
  <c r="I47" i="12" a="1"/>
  <c r="I11" i="12" a="1"/>
  <c r="I119" i="12" a="1"/>
  <c r="C120" i="12" a="1"/>
  <c r="I38" i="12" a="1"/>
  <c r="J34" i="12" a="1"/>
  <c r="C102" i="12" a="1"/>
  <c r="I130" i="12" a="1"/>
  <c r="I138" i="12" a="1"/>
  <c r="J27" i="12" a="1"/>
  <c r="J113" i="12" a="1"/>
  <c r="I111" i="12" a="1"/>
  <c r="I63" i="12" a="1"/>
  <c r="J93" i="12" a="1"/>
  <c r="C4" i="12" a="1"/>
  <c r="J89" i="12" a="1"/>
  <c r="I68" i="12" a="1"/>
  <c r="C109" i="12" a="1"/>
  <c r="C106" i="12" a="1"/>
  <c r="I104" i="12" a="1"/>
  <c r="J81" i="12" a="1"/>
  <c r="J37" i="12" a="1"/>
  <c r="J60" i="12" a="1"/>
  <c r="J137" i="12" a="1"/>
  <c r="C51" i="12" a="1"/>
  <c r="C95" i="12" a="1"/>
  <c r="I90" i="12" a="1"/>
  <c r="C91" i="12" a="1"/>
  <c r="I73" i="12" a="1"/>
  <c r="I135" i="12" a="1"/>
  <c r="I97" i="12" a="1"/>
  <c r="C27" i="12" a="1"/>
  <c r="C57" i="12" a="1"/>
  <c r="C73" i="12" a="1"/>
  <c r="I139" i="12" a="1"/>
  <c r="J11" i="12" a="1"/>
  <c r="C96" i="12" a="1"/>
  <c r="I106" i="12" a="1"/>
  <c r="C68" i="12" a="1"/>
  <c r="I133" i="12" a="1"/>
  <c r="C16" i="12" a="1"/>
  <c r="I4" i="12" a="1"/>
  <c r="I108" i="12" a="1"/>
  <c r="J76" i="12" a="1"/>
  <c r="J25" i="12" a="1"/>
  <c r="I99" i="12" a="1"/>
  <c r="I40" i="12" a="1"/>
  <c r="C62" i="12" a="1"/>
  <c r="J39" i="12" a="1"/>
  <c r="J116" i="12" a="1"/>
  <c r="J55" i="12" a="1"/>
  <c r="C119" i="12" a="1"/>
  <c r="J141" i="12" a="1"/>
  <c r="J118" i="12" a="1"/>
  <c r="J83" i="12" a="1"/>
  <c r="C88" i="12" a="1"/>
  <c r="C108" i="12" a="1"/>
  <c r="I17" i="12" a="1"/>
  <c r="J65" i="12" a="1"/>
  <c r="J35" i="12" a="1"/>
  <c r="J14" i="12" a="1"/>
  <c r="J48" i="12" a="1"/>
  <c r="C118" i="12" a="1"/>
  <c r="I85" i="12" a="1"/>
  <c r="I8" i="12" a="1"/>
  <c r="J61" i="12" a="1"/>
  <c r="I101" i="12" a="1"/>
  <c r="I94" i="12" a="1"/>
  <c r="C55" i="12" a="1"/>
  <c r="I45" i="12" a="1"/>
  <c r="C33" i="12" a="1"/>
  <c r="J13" i="12" a="1"/>
  <c r="I78" i="12" a="1"/>
  <c r="C63" i="12" a="1"/>
  <c r="C42" i="12" a="1"/>
  <c r="C85" i="12" a="1"/>
  <c r="I41" i="12" a="1"/>
  <c r="J28" i="12" a="1"/>
  <c r="C56" i="12" a="1"/>
  <c r="J78" i="12" a="1"/>
  <c r="J101" i="12" a="1"/>
  <c r="C92" i="12" a="1"/>
  <c r="C8" i="12" a="1"/>
  <c r="I56" i="12" a="1"/>
  <c r="I24" i="12" a="1"/>
  <c r="J3" i="12" a="1"/>
  <c r="C3" i="12" a="1"/>
  <c r="J69" i="12" a="1"/>
  <c r="I102" i="12" a="1"/>
  <c r="I76" i="12" a="1"/>
  <c r="I83" i="12" a="1"/>
  <c r="J64" i="12" a="1"/>
  <c r="I15" i="12" a="1"/>
  <c r="I30" i="12" a="1"/>
  <c r="C87" i="12" a="1"/>
  <c r="C12" i="12" a="1"/>
  <c r="J108" i="12" a="1"/>
  <c r="J12" i="12" a="1"/>
  <c r="C43" i="12" a="1"/>
  <c r="I18" i="12" a="1"/>
  <c r="I125" i="12" a="1"/>
  <c r="C110" i="12" a="1"/>
  <c r="J129" i="12" a="1"/>
  <c r="I65" i="12" a="1"/>
  <c r="C25" i="12" a="1"/>
  <c r="J106" i="12" a="1"/>
  <c r="I14" i="12" a="1"/>
  <c r="J117" i="12" a="1"/>
  <c r="C53" i="12" a="1"/>
  <c r="I6" i="12" a="1"/>
  <c r="J119" i="12" a="1"/>
  <c r="I9" i="12" a="1"/>
  <c r="I57" i="12" a="1"/>
  <c r="I80" i="12" a="1"/>
  <c r="I77" i="12" a="1"/>
  <c r="I26" i="12" a="1"/>
  <c r="C89" i="12" a="1"/>
  <c r="J57" i="12" a="1"/>
  <c r="I50" i="12" a="1"/>
  <c r="C100" i="12" a="1"/>
  <c r="I29" i="12" a="1"/>
  <c r="C58" i="12" a="1"/>
  <c r="J73" i="12" a="1"/>
  <c r="C98" i="12" a="1"/>
  <c r="I120" i="12" a="1"/>
  <c r="J132" i="12" a="1"/>
  <c r="I55" i="12" a="1"/>
  <c r="J110" i="12" a="1"/>
  <c r="J9" i="12" a="1"/>
  <c r="I49" i="12" a="1"/>
  <c r="I7" i="12" a="1"/>
  <c r="C37" i="12" a="1"/>
  <c r="J49" i="12" a="1"/>
  <c r="J24" i="12" a="1"/>
  <c r="I59" i="12" a="1"/>
  <c r="I42" i="12" a="1"/>
  <c r="I20" i="12" a="1"/>
  <c r="C82" i="12" a="1"/>
  <c r="J32" i="12" a="1"/>
  <c r="I92" i="12" a="1"/>
  <c r="C93" i="12" a="1"/>
  <c r="J36" i="12" a="1"/>
  <c r="C48" i="12" a="1"/>
  <c r="J111" i="12" a="1"/>
  <c r="I48" i="12" a="1"/>
  <c r="J62" i="12" a="1"/>
  <c r="L2" i="12" a="1"/>
  <c r="J42" i="12" a="1"/>
  <c r="I96" i="12" a="1"/>
  <c r="I79" i="12" a="1"/>
  <c r="J15" i="12" a="1"/>
  <c r="C70" i="12" a="1"/>
  <c r="I10" i="12" a="1"/>
  <c r="J5" i="12" a="1"/>
  <c r="I5" i="12" a="1"/>
  <c r="I87" i="12" a="1"/>
  <c r="J47" i="12" a="1"/>
  <c r="C38" i="12" a="1"/>
  <c r="C81" i="12" a="1"/>
  <c r="J133" i="12" a="1"/>
  <c r="I84" i="12" a="1"/>
  <c r="C86" i="12" a="1"/>
  <c r="J17" i="12" a="1"/>
  <c r="J95" i="12" a="1"/>
  <c r="J123" i="12" a="1"/>
  <c r="I31" i="12" a="1"/>
  <c r="J87" i="12" a="1"/>
  <c r="J41" i="12" a="1"/>
  <c r="I81" i="12" a="1"/>
  <c r="I71" i="12" a="1"/>
  <c r="J67" i="12" a="1"/>
  <c r="I67" i="12" a="1"/>
  <c r="J66" i="12" a="1"/>
  <c r="I66" i="12" a="1"/>
  <c r="J4" i="12" l="1"/>
  <c r="J16" i="12"/>
  <c r="J119" i="12"/>
  <c r="J93" i="12"/>
  <c r="J35" i="12"/>
  <c r="J50" i="12"/>
  <c r="J115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7" i="12"/>
  <c r="J139" i="12"/>
  <c r="J114" i="12"/>
  <c r="J89" i="12"/>
  <c r="J95" i="12"/>
  <c r="J49" i="12"/>
  <c r="J131" i="12"/>
  <c r="J117" i="12"/>
  <c r="J77" i="12"/>
  <c r="J65" i="12"/>
  <c r="J130" i="12"/>
  <c r="J33" i="12"/>
  <c r="J62" i="12"/>
  <c r="J75" i="12"/>
  <c r="J140" i="12"/>
  <c r="J42" i="12"/>
  <c r="J28" i="12"/>
  <c r="J76" i="12"/>
  <c r="J78" i="12"/>
  <c r="J123" i="12"/>
  <c r="J69" i="12"/>
  <c r="J113" i="12"/>
  <c r="J86" i="12"/>
  <c r="J31" i="12"/>
  <c r="J124" i="12"/>
  <c r="J88" i="12"/>
  <c r="J133" i="12"/>
  <c r="J120" i="12"/>
  <c r="J68" i="12"/>
  <c r="J122" i="12"/>
  <c r="J55" i="12"/>
  <c r="J118" i="12"/>
  <c r="J48" i="12"/>
  <c r="J61" i="12"/>
  <c r="J128" i="12"/>
  <c r="J87" i="12"/>
  <c r="J138" i="12"/>
  <c r="J84" i="12"/>
  <c r="J54" i="12"/>
  <c r="J80" i="12"/>
  <c r="J91" i="12"/>
  <c r="J92" i="12"/>
  <c r="J94" i="12"/>
  <c r="J63" i="12"/>
  <c r="J5" i="12"/>
  <c r="J134" i="12"/>
  <c r="J57" i="12"/>
  <c r="J73" i="12"/>
  <c r="J125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29" i="12"/>
  <c r="J116" i="12"/>
  <c r="J24" i="12"/>
  <c r="J141" i="12"/>
  <c r="J74" i="12"/>
  <c r="J121" i="12"/>
  <c r="J23" i="12"/>
  <c r="J107" i="12"/>
  <c r="J22" i="12"/>
  <c r="J112" i="12"/>
  <c r="J10" i="12"/>
  <c r="J7" i="12"/>
  <c r="J126" i="12"/>
  <c r="J137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2" i="12"/>
  <c r="J96" i="12"/>
  <c r="J51" i="12"/>
  <c r="J136" i="12"/>
  <c r="J37" i="12"/>
  <c r="J30" i="12"/>
  <c r="J135" i="12"/>
  <c r="J40" i="12"/>
  <c r="J39" i="12"/>
  <c r="J38" i="12"/>
  <c r="J103" i="12"/>
  <c r="J18" i="12"/>
  <c r="J102" i="12"/>
  <c r="J101" i="12"/>
  <c r="J17" i="12"/>
  <c r="J45" i="12"/>
  <c r="D7" i="4"/>
  <c r="I30" i="12"/>
  <c r="I136" i="12"/>
  <c r="I37" i="12"/>
  <c r="I135" i="12"/>
  <c r="D5" i="4"/>
  <c r="I71" i="12"/>
  <c r="I96" i="12"/>
  <c r="I67" i="12"/>
  <c r="I132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19" i="12"/>
  <c r="I35" i="12"/>
  <c r="D17" i="4"/>
  <c r="I53" i="12"/>
  <c r="I72" i="12"/>
  <c r="I66" i="12"/>
  <c r="I79" i="12"/>
  <c r="I90" i="12"/>
  <c r="I44" i="12"/>
  <c r="I115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5" i="12"/>
  <c r="I16" i="12"/>
  <c r="I112" i="12"/>
  <c r="I109" i="12"/>
  <c r="I129" i="12"/>
  <c r="I23" i="12"/>
  <c r="I24" i="12"/>
  <c r="I107" i="12"/>
  <c r="I47" i="12"/>
  <c r="I108" i="12"/>
  <c r="I20" i="12"/>
  <c r="I137" i="12"/>
  <c r="I10" i="12"/>
  <c r="I19" i="12"/>
  <c r="I25" i="12"/>
  <c r="I111" i="12"/>
  <c r="I21" i="12"/>
  <c r="I116" i="12"/>
  <c r="I104" i="12"/>
  <c r="I126" i="12"/>
  <c r="I141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1" i="12"/>
  <c r="I28" i="12"/>
  <c r="I130" i="12"/>
  <c r="I140" i="12"/>
  <c r="I76" i="12"/>
  <c r="I123" i="12"/>
  <c r="I89" i="12"/>
  <c r="I31" i="12"/>
  <c r="I113" i="12"/>
  <c r="I133" i="12"/>
  <c r="I128" i="12"/>
  <c r="I86" i="12"/>
  <c r="I49" i="12"/>
  <c r="I77" i="12"/>
  <c r="I88" i="12"/>
  <c r="I95" i="12"/>
  <c r="I80" i="12"/>
  <c r="I139" i="12"/>
  <c r="I75" i="12"/>
  <c r="I120" i="12"/>
  <c r="I118" i="12"/>
  <c r="I124" i="12"/>
  <c r="I91" i="12"/>
  <c r="I42" i="12"/>
  <c r="I54" i="12"/>
  <c r="I78" i="12"/>
  <c r="I127" i="12"/>
  <c r="I62" i="12"/>
  <c r="I92" i="12"/>
  <c r="I63" i="12"/>
  <c r="I131" i="12"/>
  <c r="I61" i="12"/>
  <c r="I94" i="12"/>
  <c r="I138" i="12"/>
  <c r="I87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4" i="12"/>
  <c r="C6" i="12"/>
  <c r="C78" i="12"/>
  <c r="C116" i="12"/>
  <c r="C5" i="12"/>
  <c r="C110" i="12"/>
  <c r="C34" i="12"/>
  <c r="C4" i="12"/>
  <c r="C76" i="12"/>
  <c r="C79" i="12"/>
  <c r="C37" i="12"/>
  <c r="C36" i="12"/>
  <c r="C30" i="12"/>
  <c r="C119" i="12"/>
  <c r="C112" i="12"/>
  <c r="C101" i="12"/>
  <c r="C63" i="12"/>
  <c r="C58" i="12"/>
  <c r="C35" i="12"/>
  <c r="C49" i="12"/>
  <c r="C64" i="12"/>
  <c r="C13" i="12"/>
  <c r="C121" i="12"/>
  <c r="C40" i="12"/>
  <c r="C118" i="12"/>
  <c r="C89" i="12"/>
  <c r="C114" i="12"/>
  <c r="C73" i="12"/>
  <c r="C42" i="12"/>
  <c r="C105" i="12"/>
  <c r="C32" i="12"/>
  <c r="C45" i="12"/>
  <c r="C33" i="12"/>
  <c r="C3" i="12"/>
  <c r="C31" i="12"/>
  <c r="C72" i="12"/>
  <c r="C43" i="12"/>
  <c r="C61" i="12"/>
  <c r="C117" i="12"/>
  <c r="C62" i="12"/>
  <c r="C93" i="12"/>
  <c r="C120" i="12"/>
  <c r="C50" i="12"/>
  <c r="C70" i="12"/>
  <c r="C108" i="12"/>
  <c r="C29" i="12"/>
  <c r="C8" i="12"/>
  <c r="C53" i="12"/>
  <c r="C68" i="12"/>
  <c r="C24" i="12"/>
  <c r="C102" i="12"/>
  <c r="C95" i="12"/>
  <c r="C85" i="12"/>
  <c r="C115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3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84" i="12" a="1"/>
  <c r="H43" i="12" a="1"/>
  <c r="H119" i="12" a="1"/>
  <c r="H32" i="12" a="1"/>
  <c r="H44" i="12" a="1"/>
  <c r="H36" i="12" a="1"/>
  <c r="H54" i="12" a="1"/>
  <c r="H85" i="12" a="1"/>
  <c r="H46" i="12" a="1"/>
  <c r="H88" i="12" a="1"/>
  <c r="H122" i="12" a="1"/>
  <c r="H24" i="12" a="1"/>
  <c r="H82" i="12" a="1"/>
  <c r="H3" i="12" a="1"/>
  <c r="H62" i="12" a="1"/>
  <c r="H4" i="12" a="1"/>
  <c r="H45" i="12" a="1"/>
  <c r="H27" i="12" a="1"/>
  <c r="H78" i="12" a="1"/>
  <c r="H16" i="12" a="1"/>
  <c r="H57" i="12" a="1"/>
  <c r="H128" i="12" a="1"/>
  <c r="H64" i="12" a="1"/>
  <c r="H35" i="12" a="1"/>
  <c r="H79" i="12" a="1"/>
  <c r="H108" i="12" a="1"/>
  <c r="H107" i="12" a="1"/>
  <c r="H139" i="12" a="1"/>
  <c r="H86" i="12" a="1"/>
  <c r="H121" i="12" a="1"/>
  <c r="H124" i="12" a="1"/>
  <c r="H65" i="12" a="1"/>
  <c r="H71" i="12" a="1"/>
  <c r="H104" i="12" a="1"/>
  <c r="H34" i="12" a="1"/>
  <c r="H19" i="12" a="1"/>
  <c r="H33" i="12" a="1"/>
  <c r="H114" i="12" a="1"/>
  <c r="H21" i="12" a="1"/>
  <c r="H41" i="12" a="1"/>
  <c r="H115" i="12" a="1"/>
  <c r="H105" i="12" a="1"/>
  <c r="H20" i="12" a="1"/>
  <c r="H83" i="12" a="1"/>
  <c r="H56" i="12" a="1"/>
  <c r="H131" i="12" a="1"/>
  <c r="H31" i="12" a="1"/>
  <c r="H118" i="12" a="1"/>
  <c r="H72" i="12" a="1"/>
  <c r="H53" i="12" a="1"/>
  <c r="H80" i="12" a="1"/>
  <c r="H141" i="12" a="1"/>
  <c r="H77" i="12" a="1"/>
  <c r="H137" i="12" a="1"/>
  <c r="H10" i="12" a="1"/>
  <c r="H94" i="12" a="1"/>
  <c r="H134" i="12" a="1"/>
  <c r="H111" i="12" a="1"/>
  <c r="H132" i="12" a="1"/>
  <c r="H74" i="12" a="1"/>
  <c r="H28" i="12" a="1"/>
  <c r="H109" i="12" a="1"/>
  <c r="H100" i="12" a="1"/>
  <c r="H95" i="12" a="1"/>
  <c r="H58" i="12" a="1"/>
  <c r="H6" i="12" a="1"/>
  <c r="H25" i="12" a="1"/>
  <c r="H116" i="12" a="1"/>
  <c r="H51" i="12" a="1"/>
  <c r="H130" i="12" a="1"/>
  <c r="H12" i="12" a="1"/>
  <c r="H125" i="12" a="1"/>
  <c r="H106" i="12" a="1"/>
  <c r="H22" i="12" a="1"/>
  <c r="H15" i="12" a="1"/>
  <c r="H76" i="12" a="1"/>
  <c r="H42" i="12" a="1"/>
  <c r="H8" i="12" a="1"/>
  <c r="H69" i="12" a="1"/>
  <c r="H55" i="12" a="1"/>
  <c r="H91" i="12" a="1"/>
  <c r="H11" i="12" a="1"/>
  <c r="H75" i="12" a="1"/>
  <c r="H90" i="12" a="1"/>
  <c r="H120" i="12" a="1"/>
  <c r="H50" i="12" a="1"/>
  <c r="H70" i="12" a="1"/>
  <c r="H113" i="12" a="1"/>
  <c r="H14" i="12" a="1"/>
  <c r="H99" i="12" a="1"/>
  <c r="H138" i="12" a="1"/>
  <c r="H81" i="12" a="1"/>
  <c r="H61" i="12" a="1"/>
  <c r="H2" i="12" a="1"/>
  <c r="H112" i="12" a="1"/>
  <c r="H9" i="12" a="1"/>
  <c r="H89" i="12" a="1"/>
  <c r="H110" i="12" a="1"/>
  <c r="H133" i="12" a="1"/>
  <c r="H73" i="12" a="1"/>
  <c r="H49" i="12" a="1"/>
  <c r="H47" i="12" a="1"/>
  <c r="H48" i="12" a="1"/>
  <c r="H129" i="12" a="1"/>
  <c r="H93" i="12" a="1"/>
  <c r="H52" i="12" a="1"/>
  <c r="H127" i="12" a="1"/>
  <c r="H126" i="12" a="1"/>
  <c r="H117" i="12" a="1"/>
  <c r="H97" i="12" a="1"/>
  <c r="H7" i="12" a="1"/>
  <c r="H5" i="12" a="1"/>
  <c r="H92" i="12" a="1"/>
  <c r="H63" i="12" a="1"/>
  <c r="H68" i="12" a="1"/>
  <c r="H140" i="12" a="1"/>
  <c r="H13" i="12" a="1"/>
  <c r="H26" i="12" a="1"/>
  <c r="H23" i="12" a="1"/>
  <c r="H59" i="12" a="1"/>
  <c r="H60" i="12" a="1"/>
  <c r="H123" i="12" a="1"/>
  <c r="H96" i="12" a="1"/>
  <c r="H29" i="12" a="1"/>
  <c r="H87" i="12" a="1"/>
  <c r="H98" i="12" a="1"/>
  <c r="H67" i="12" a="1"/>
  <c r="H66" i="12" a="1"/>
  <c r="H26" i="12" l="1"/>
  <c r="H5" i="12"/>
  <c r="H45" i="12"/>
  <c r="H107" i="12"/>
  <c r="H111" i="12"/>
  <c r="H112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7" i="12"/>
  <c r="H126" i="12"/>
  <c r="H110" i="12"/>
  <c r="H106" i="12"/>
  <c r="H8" i="12"/>
  <c r="H129" i="12"/>
  <c r="H9" i="12"/>
  <c r="H116" i="12"/>
  <c r="H121" i="12"/>
  <c r="H47" i="12"/>
  <c r="H25" i="12"/>
  <c r="H27" i="12"/>
  <c r="H108" i="12"/>
  <c r="H74" i="12"/>
  <c r="H20" i="12"/>
  <c r="H19" i="12"/>
  <c r="H141" i="12"/>
  <c r="H85" i="12"/>
  <c r="H10" i="12"/>
  <c r="H46" i="12"/>
  <c r="H32" i="12"/>
  <c r="H59" i="12"/>
  <c r="H13" i="12"/>
  <c r="H14" i="12"/>
  <c r="H36" i="12"/>
  <c r="H2" i="12"/>
  <c r="H73" i="12"/>
  <c r="H57" i="12"/>
  <c r="H125" i="12"/>
  <c r="H93" i="12"/>
  <c r="H35" i="12"/>
  <c r="H119" i="12"/>
  <c r="H50" i="12"/>
  <c r="H33" i="12"/>
  <c r="H84" i="12"/>
  <c r="H138" i="12"/>
  <c r="H76" i="12"/>
  <c r="H118" i="12"/>
  <c r="H92" i="12"/>
  <c r="H77" i="12"/>
  <c r="H86" i="12"/>
  <c r="H28" i="12"/>
  <c r="H113" i="12"/>
  <c r="H114" i="12"/>
  <c r="H124" i="12"/>
  <c r="H140" i="12"/>
  <c r="H54" i="12"/>
  <c r="H55" i="12"/>
  <c r="H123" i="12"/>
  <c r="H75" i="12"/>
  <c r="H87" i="12"/>
  <c r="H127" i="12"/>
  <c r="H31" i="12"/>
  <c r="H91" i="12"/>
  <c r="H89" i="12"/>
  <c r="H68" i="12"/>
  <c r="H128" i="12"/>
  <c r="H80" i="12"/>
  <c r="H63" i="12"/>
  <c r="H49" i="12"/>
  <c r="H95" i="12"/>
  <c r="H120" i="12"/>
  <c r="H88" i="12"/>
  <c r="H94" i="12"/>
  <c r="H65" i="12"/>
  <c r="H130" i="12"/>
  <c r="H133" i="12"/>
  <c r="H117" i="12"/>
  <c r="H61" i="12"/>
  <c r="H131" i="12"/>
  <c r="H139" i="12"/>
  <c r="H42" i="12"/>
  <c r="H78" i="12"/>
  <c r="H122" i="12"/>
  <c r="H48" i="12"/>
  <c r="H69" i="12"/>
  <c r="H62" i="12"/>
  <c r="H134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2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<sst xmlns="http://schemas.openxmlformats.org/spreadsheetml/2006/main" count="1144" uniqueCount="568">
  <si>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</si>
  <si>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</si>
  <si>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</si>
  <si>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</si>
  <si>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</si>
  <si>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</si>
  <si>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</si>
  <si>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</si>
  <si>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</si>
  <si>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</si>
  <si>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</si>
  <si>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</si>
  <si>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</si>
  <si>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</si>
  <si>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</si>
  <si>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</si>
  <si>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</si>
  <si>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</si>
  <si>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</si>
  <si>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</si>
  <si>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</si>
  <si>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</si>
  <si>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</si>
  <si>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</si>
  <si>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</si>
  <si>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</si>
  <si>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</si>
  <si>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</si>
  <si>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</si>
  <si>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</si>
  <si>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</si>
  <si>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</si>
  <si>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</si>
  <si>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</si>
  <si>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</si>
  <si>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</si>
  <si>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</si>
  <si>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</si>
  <si>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</si>
  <si>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</si>
  <si>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</si>
  <si>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</si>
  <si>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</si>
  <si>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</si>
  <si>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</si>
  <si>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</si>
  <si>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</si>
  <si>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</si>
  <si>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</si>
  <si>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</si>
  <si>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</si>
  <si>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</si>
  <si>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</si>
  <si>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</si>
  <si>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</si>
  <si>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</si>
  <si>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</si>
  <si>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</si>
  <si>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</si>
  <si>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</si>
  <si>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</si>
  <si>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</si>
  <si>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</si>
  <si>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</si>
  <si>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</si>
  <si>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</si>
  <si>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</si>
  <si>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</si>
  <si>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</si>
  <si>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</si>
  <si>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</si>
  <si>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</si>
  <si>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</si>
  <si>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</si>
  <si>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</si>
  <si>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</si>
  <si>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</si>
  <si>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</si>
  <si>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</si>
  <si>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</si>
  <si>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</si>
  <si>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</si>
  <si>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</si>
  <si>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</si>
  <si>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</si>
  <si>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</si>
  <si>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</si>
  <si>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</si>
  <si>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</si>
  <si>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</si>
  <si>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</si>
  <si>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</si>
  <si>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</si>
  <si>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</si>
  <si>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</si>
  <si>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</si>
  <si>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</si>
  <si>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</si>
  <si>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</si>
  <si>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</si>
  <si>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</si>
  <si>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</si>
  <si>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</si>
  <si>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</si>
  <si>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</si>
  <si>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</si>
  <si>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</si>
  <si>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</si>
  <si>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</si>
  <si>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</si>
  <si>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</si>
  <si>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</si>
  <si>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</si>
  <si>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</si>
  <si>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</si>
  <si>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</si>
  <si>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</si>
  <si>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</si>
  <si>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</si>
  <si>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</si>
  <si>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</si>
  <si>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</si>
  <si>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</si>
  <si>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</si>
  <si>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</si>
  <si>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</si>
  <si>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</si>
  <si>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</si>
  <si>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</si>
  <si>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</si>
  <si>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</si>
  <si>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</si>
  <si>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</si>
  <si>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</si>
  <si>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</si>
  <si>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</si>
  <si>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</si>
  <si>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</si>
  <si>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</si>
  <si>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</si>
  <si>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</si>
  <si>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</si>
  <si>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</si>
  <si>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</si>
  <si>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</si>
  <si>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</si>
  <si>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</si>
  <si>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</si>
  <si>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</si>
  <si>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</si>
  <si>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</si>
  <si>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</si>
  <si>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</si>
  <si>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</si>
  <si>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</si>
  <si>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</si>
  <si>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</si>
  <si>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</si>
  <si>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</si>
  <si>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</si>
  <si>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</si>
  <si>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</si>
  <si>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</si>
  <si>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</si>
  <si>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</si>
  <si>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</si>
  <si>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</si>
  <si>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</si>
  <si>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</si>
  <si>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</si>
  <si>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</si>
  <si>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</si>
  <si>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</si>
  <si>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</si>
  <si>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</si>
  <si>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</si>
  <si>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</si>
  <si>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</si>
  <si>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</si>
  <si>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</si>
  <si>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</si>
  <si>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</si>
  <si>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</si>
  <si>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</si>
  <si>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</si>
  <si>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</si>
  <si>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</si>
  <si>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</si>
  <si>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</si>
  <si>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</si>
  <si>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</si>
  <si>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</si>
  <si>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</si>
  <si>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</si>
  <si>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</si>
  <si>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</si>
  <si>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</si>
  <si>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</si>
  <si>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</si>
  <si>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</si>
  <si>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</si>
  <si>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</si>
  <si>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</si>
  <si>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</si>
  <si>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</si>
  <si>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</si>
  <si>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</si>
  <si>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</si>
  <si>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</si>
  <si>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</si>
  <si>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</si>
  <si>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</si>
  <si>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</si>
  <si>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</si>
  <si>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</si>
  <si>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</si>
  <si>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</si>
  <si>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</si>
  <si>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</si>
  <si>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</si>
  <si>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</si>
  <si>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</si>
  <si>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</si>
  <si>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</si>
  <si>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</si>
  <si>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</si>
  <si>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</si>
  <si>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</si>
  <si>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</si>
  <si>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</si>
  <si>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</si>
  <si>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</si>
  <si>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</si>
  <si>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</si>
  <si>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</si>
  <si>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</si>
  <si>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</si>
  <si>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</si>
  <si>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</si>
  <si>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</si>
  <si>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</si>
  <si>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</si>
  <si>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</si>
  <si>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</si>
  <si>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</si>
  <si>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</si>
  <si>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</si>
  <si>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</si>
  <si>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</si>
  <si>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</si>
  <si>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</si>
  <si>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</si>
  <si>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</si>
  <si>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</si>
  <si>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</si>
  <si>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</si>
  <si>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</si>
  <si>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</si>
  <si>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</si>
  <si>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</si>
  <si>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</si>
  <si>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</si>
  <si>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</si>
  <si>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</si>
  <si>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</si>
  <si>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</si>
  <si>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</si>
  <si>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</si>
  <si>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</si>
  <si>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</si>
  <si>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</si>
  <si>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</si>
  <si>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</si>
  <si>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</si>
  <si>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</si>
  <si>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</si>
  <si>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</si>
  <si>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</si>
  <si>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</si>
  <si>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</si>
  <si>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</si>
  <si>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</si>
  <si>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</si>
  <si>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</si>
  <si>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</si>
  <si>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</si>
  <si>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</si>
  <si>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</si>
  <si>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</si>
  <si>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</si>
  <si>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</si>
  <si>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</si>
  <si>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</si>
  <si>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</si>
  <si>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</si>
  <si>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</si>
  <si>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</si>
  <si>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</si>
  <si>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</si>
  <si>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</si>
  <si>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</si>
  <si>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</si>
  <si>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</si>
  <si>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</si>
  <si>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</si>
  <si>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</si>
  <si>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</si>
  <si>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</si>
  <si>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</si>
  <si>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</si>
  <si>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</si>
  <si>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</si>
  <si>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</si>
  <si>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</si>
  <si>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</si>
  <si>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</si>
  <si>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</si>
  <si>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</si>
  <si>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</si>
  <si>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</si>
  <si>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</si>
  <si>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</si>
  <si>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</si>
  <si>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</si>
  <si>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</si>
  <si>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</si>
  <si>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</si>
  <si>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</si>
  <si>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</si>
  <si>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</si>
  <si>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</si>
  <si>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</si>
  <si>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</si>
  <si>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</si>
  <si>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</si>
  <si>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</si>
  <si>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</si>
  <si>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</si>
  <si>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</si>
  <si>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</si>
  <si>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</si>
  <si>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</si>
  <si>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</si>
  <si>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</si>
  <si>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</si>
  <si>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</si>
  <si>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</si>
  <si>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</si>
  <si>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</si>
  <si>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</si>
  <si>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</si>
  <si>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</si>
  <si>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</si>
  <si>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</si>
  <si>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</si>
  <si>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</si>
  <si>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</si>
  <si>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</si>
  <si>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</si>
  <si>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</si>
  <si>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</si>
  <si>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</si>
  <si>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</si>
  <si>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</si>
  <si>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</si>
  <si>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</si>
  <si>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</si>
  <si>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</si>
  <si>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</si>
  <si>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</si>
  <si>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</si>
  <si>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</si>
  <si>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</si>
  <si>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</si>
  <si>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</si>
  <si>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</si>
  <si>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</si>
  <si>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</si>
  <si>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</si>
  <si>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</si>
  <si>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</si>
  <si>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</si>
  <si>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</si>
  <si>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</si>
  <si>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</si>
  <si>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</si>
  <si>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</si>
  <si>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</si>
  <si>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</si>
  <si>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</si>
  <si>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</si>
  <si>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</si>
  <si>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</si>
  <si>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</si>
  <si>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</si>
  <si>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</si>
  <si>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</si>
  <si>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</si>
  <si>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</si>
  <si>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</si>
  <si>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</si>
  <si>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</si>
  <si>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</si>
  <si>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</si>
  <si>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</si>
  <si>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</si>
  <si>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</si>
  <si>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</si>
  <si>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</si>
  <si>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</si>
  <si>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</si>
  <si>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</si>
  <si>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</si>
  <si>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</si>
  <si>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</si>
  <si>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</si>
  <si>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</si>
  <si>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</si>
  <si>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</si>
  <si>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</si>
  <si>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</si>
  <si>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</si>
  <si>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</si>
  <si>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</si>
  <si>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</si>
  <si>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</si>
  <si>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</si>
  <si>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</si>
  <si>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</si>
  <si>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</si>
  <si>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</si>
  <si>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</si>
  <si>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</si>
  <si>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</si>
  <si>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</si>
  <si>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</si>
  <si>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</si>
  <si>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</si>
  <si>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</si>
  <si>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</si>
  <si>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</si>
  <si>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</si>
  <si>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</si>
  <si>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</si>
  <si>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</si>
  <si>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</si>
  <si>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</si>
  <si>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</si>
  <si>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</si>
  <si>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</si>
  <si>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</si>
  <si>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</si>
  <si>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</si>
  <si>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</si>
  <si>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</si>
  <si>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</si>
  <si>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ParentOperationId</t>
  </si>
  <si>
    <t>ID da operação-pai</t>
  </si>
  <si>
    <t>Operação-pai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</si>
  <si>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</si>
  <si>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</si>
  <si>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</si>
  <si>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</si>
  <si>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</si>
  <si>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</si>
  <si>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</si>
  <si>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</si>
  <si>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</si>
  <si>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</si>
  <si>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</si>
  <si>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</si>
  <si>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</si>
  <si>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</si>
  <si>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</si>
  <si>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</si>
  <si>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</si>
  <si>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</si>
  <si>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</si>
  <si>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</si>
  <si>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</si>
  <si>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</si>
  <si>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</si>
  <si>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</si>
  <si>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</si>
  <si>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</si>
  <si>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</si>
  <si>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</si>
  <si>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</si>
  <si>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</si>
  <si>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</si>
  <si>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</si>
  <si>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</si>
  <si>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</si>
  <si>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</si>
  <si>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</si>
  <si>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</si>
  <si>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</si>
  <si>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</si>
  <si>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</si>
  <si>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</si>
  <si>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</si>
  <si>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</si>
  <si>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</si>
  <si>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</si>
  <si>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</si>
  <si>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</si>
  <si>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</si>
  <si>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</si>
  <si>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</si>
  <si>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</si>
  <si>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</si>
  <si>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</si>
  <si>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</si>
  <si>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</si>
  <si>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</si>
  <si>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</si>
  <si>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</si>
  <si>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</si>
  <si>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</si>
  <si>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</si>
  <si>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</si>
  <si>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</si>
  <si>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</si>
  <si>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</si>
  <si>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</si>
  <si>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</si>
  <si>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</si>
  <si>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</si>
  <si>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</si>
  <si>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</si>
  <si>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</si>
  <si>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</si>
  <si>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</si>
  <si>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</si>
  <si>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</si>
  <si>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</si>
  <si>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</si>
  <si>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</si>
  <si>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</si>
  <si>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</si>
  <si>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</si>
  <si>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</si>
  <si>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</si>
  <si>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</si>
  <si>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</si>
  <si>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</si>
  <si>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</si>
  <si>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</si>
  <si>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</si>
  <si>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</si>
  <si>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</si>
  <si>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</si>
  <si>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</si>
  <si>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</si>
  <si>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</si>
  <si>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</si>
  <si>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Environment</t>
  </si>
  <si>
    <t>dev;hml;prd</t>
  </si>
  <si>
    <t>js;json;sql</t>
  </si>
  <si>
    <t>js</t>
  </si>
  <si>
    <t>sql</t>
  </si>
  <si>
    <t>json</t>
  </si>
  <si>
    <t>ConnectionString</t>
  </si>
  <si>
    <t>Provider=MSOLEDBSQL;Data Source=localhost,1433;Initial Catalog=crudex;Integrated Security=SSPI;Encrypt=yes;TrustServerCertificate=yes;Persist Security Info=False;Connect Timeout=30;</t>
  </si>
  <si>
    <t>dev</t>
  </si>
  <si>
    <t>Ambiente</t>
  </si>
  <si>
    <t>IDX_Sessions_SystemId_UserId_IsLogged</t>
  </si>
  <si>
    <t>IDX_Transactions_SessionId_IsConfirmed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</si>
</sst>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3" borderId="1" xfId="0" quotePrefix="1" applyFill="1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395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502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381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11" activePane="bottomLeft" state="frozen"/>
      <selection pane="bottomLeft" activeCell="A38" sqref="A38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337</v>
      </c>
      <c r="D1" s="1" t="s">
        <v>1</v>
      </c>
      <c r="E1" s="1" t="s">
        <v>362</v>
      </c>
      <c r="F1" s="1" t="s">
        <v>382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368</v>
      </c>
      <c r="O1" s="1" t="s">
        <v>299</v>
      </c>
      <c r="P1" s="1" t="s">
        <v>546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492</v>
      </c>
      <c r="H6" s="6" t="s">
        <v>493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494</v>
      </c>
      <c r="H7" s="6" t="s">
        <v>495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496</v>
      </c>
      <c r="H8" s="6" t="s">
        <v>497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496</v>
      </c>
      <c r="H9" s="6" t="s">
        <v>497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410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498</v>
      </c>
      <c r="H24" s="6" t="s">
        <v>499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500</v>
      </c>
      <c r="H30" s="6" t="s">
        <v>501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411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409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515</v>
      </c>
      <c r="C7" t="s">
        <v>521</v>
      </c>
    </row>
    <row r="8" spans="1:3" x14ac:dyDescent="0.3">
      <c r="A8">
        <f>ROW(A8)-1</f>
        <v>7</v>
      </c>
      <c r="B8" t="s">
        <v>514</v>
      </c>
      <c r="C8" t="s">
        <v>82</v>
      </c>
    </row>
    <row r="9" spans="1:3" x14ac:dyDescent="0.3">
      <c r="A9">
        <f t="shared" si="0"/>
        <v>8</v>
      </c>
      <c r="B9" t="s">
        <v>516</v>
      </c>
      <c r="C9" t="s">
        <v>542</v>
      </c>
    </row>
    <row r="10" spans="1:3" x14ac:dyDescent="0.3">
      <c r="A10">
        <f t="shared" si="0"/>
        <v>9</v>
      </c>
      <c r="B10" t="s">
        <v>526</v>
      </c>
      <c r="C10" t="s">
        <v>522</v>
      </c>
    </row>
    <row r="11" spans="1:3" x14ac:dyDescent="0.3">
      <c r="A11">
        <f>ROW(A11)-1</f>
        <v>10</v>
      </c>
      <c r="B11" t="s">
        <v>527</v>
      </c>
      <c r="C11" t="s">
        <v>520</v>
      </c>
    </row>
    <row r="12" spans="1:3" x14ac:dyDescent="0.3">
      <c r="A12">
        <f t="shared" si="0"/>
        <v>11</v>
      </c>
      <c r="B12" t="s">
        <v>528</v>
      </c>
      <c r="C12" t="s">
        <v>541</v>
      </c>
    </row>
    <row r="13" spans="1:3" x14ac:dyDescent="0.3">
      <c r="A13">
        <f t="shared" si="0"/>
        <v>12</v>
      </c>
      <c r="B13" t="s">
        <v>517</v>
      </c>
      <c r="C13" t="s">
        <v>530</v>
      </c>
    </row>
    <row r="14" spans="1:3" x14ac:dyDescent="0.3">
      <c r="A14">
        <f>ROW(A14)-1</f>
        <v>13</v>
      </c>
      <c r="B14" t="s">
        <v>518</v>
      </c>
      <c r="C14" t="s">
        <v>529</v>
      </c>
    </row>
    <row r="15" spans="1:3" x14ac:dyDescent="0.3">
      <c r="A15">
        <f t="shared" si="0"/>
        <v>14</v>
      </c>
      <c r="B15" t="s">
        <v>519</v>
      </c>
      <c r="C15" t="s">
        <v>540</v>
      </c>
    </row>
    <row r="16" spans="1:3" x14ac:dyDescent="0.3">
      <c r="A16">
        <f t="shared" si="0"/>
        <v>15</v>
      </c>
      <c r="B16" t="s">
        <v>523</v>
      </c>
      <c r="C16" t="s">
        <v>532</v>
      </c>
    </row>
    <row r="17" spans="1:3" x14ac:dyDescent="0.3">
      <c r="A17">
        <f>ROW(A17)-1</f>
        <v>16</v>
      </c>
      <c r="B17" t="s">
        <v>524</v>
      </c>
      <c r="C17" t="s">
        <v>531</v>
      </c>
    </row>
    <row r="18" spans="1:3" x14ac:dyDescent="0.3">
      <c r="A18">
        <f t="shared" si="0"/>
        <v>17</v>
      </c>
      <c r="B18" t="s">
        <v>525</v>
      </c>
      <c r="C18" t="s">
        <v>539</v>
      </c>
    </row>
    <row r="19" spans="1:3" x14ac:dyDescent="0.3">
      <c r="A19">
        <f t="shared" ref="A19:A26" si="1">ROW(A19)-1</f>
        <v>18</v>
      </c>
      <c r="B19" t="s">
        <v>510</v>
      </c>
      <c r="C19" t="s">
        <v>511</v>
      </c>
    </row>
    <row r="20" spans="1:3" x14ac:dyDescent="0.3">
      <c r="A20">
        <f t="shared" si="1"/>
        <v>19</v>
      </c>
      <c r="B20" t="s">
        <v>509</v>
      </c>
      <c r="C20" t="s">
        <v>506</v>
      </c>
    </row>
    <row r="21" spans="1:3" x14ac:dyDescent="0.3">
      <c r="A21">
        <f t="shared" si="1"/>
        <v>20</v>
      </c>
      <c r="B21" t="s">
        <v>512</v>
      </c>
      <c r="C21" t="s">
        <v>513</v>
      </c>
    </row>
    <row r="22" spans="1:3" x14ac:dyDescent="0.3">
      <c r="A22">
        <f t="shared" si="1"/>
        <v>21</v>
      </c>
      <c r="B22" t="s">
        <v>536</v>
      </c>
      <c r="C22" t="s">
        <v>533</v>
      </c>
    </row>
    <row r="23" spans="1:3" x14ac:dyDescent="0.3">
      <c r="A23">
        <f t="shared" si="1"/>
        <v>22</v>
      </c>
      <c r="B23" t="s">
        <v>537</v>
      </c>
      <c r="C23" t="s">
        <v>534</v>
      </c>
    </row>
    <row r="24" spans="1:3" x14ac:dyDescent="0.3">
      <c r="A24">
        <f t="shared" si="1"/>
        <v>23</v>
      </c>
      <c r="B24" t="s">
        <v>538</v>
      </c>
      <c r="C24" t="s">
        <v>535</v>
      </c>
    </row>
    <row r="25" spans="1:3" x14ac:dyDescent="0.3">
      <c r="A25">
        <f t="shared" si="1"/>
        <v>24</v>
      </c>
      <c r="B25" t="s">
        <v>507</v>
      </c>
      <c r="C25" t="s">
        <v>508</v>
      </c>
    </row>
    <row r="26" spans="1:3" x14ac:dyDescent="0.3">
      <c r="A26">
        <f t="shared" si="1"/>
        <v>25</v>
      </c>
      <c r="B26" t="s">
        <v>544</v>
      </c>
      <c r="C26" t="s">
        <v>543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3"/>
  <sheetViews>
    <sheetView workbookViewId="0">
      <pane ySplit="1" topLeftCell="A8" activePane="bottomLeft" state="frozen"/>
      <selection pane="bottomLeft" activeCell="P17" sqref="P1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338</v>
      </c>
      <c r="D1" s="1" t="s">
        <v>337</v>
      </c>
      <c r="E1" s="1" t="s">
        <v>362</v>
      </c>
      <c r="F1" s="1" t="s">
        <v>63</v>
      </c>
      <c r="G1" s="1" t="s">
        <v>339</v>
      </c>
      <c r="H1" s="1" t="s">
        <v>545</v>
      </c>
      <c r="I1" s="1" t="s">
        <v>1</v>
      </c>
      <c r="J1" s="1" t="s">
        <v>64</v>
      </c>
      <c r="K1" s="1" t="s">
        <v>65</v>
      </c>
      <c r="L1" s="1" t="s">
        <v>308</v>
      </c>
      <c r="M1" s="1" t="s">
        <v>66</v>
      </c>
      <c r="N1" s="1" t="s">
        <v>26</v>
      </c>
      <c r="O1" s="1" t="s">
        <v>27</v>
      </c>
      <c r="P1" s="1" t="s">
        <v>300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412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413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414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415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416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417</v>
      </c>
    </row>
    <row r="14" spans="1:16" x14ac:dyDescent="0.3">
      <c r="A14">
        <f t="shared" ref="A14:A23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559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560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561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300</v>
      </c>
      <c r="J19">
        <v>5</v>
      </c>
      <c r="L19" t="s">
        <v>558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302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335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442</v>
      </c>
      <c r="J22">
        <v>15</v>
      </c>
      <c r="L22" t="s">
        <v>460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556</v>
      </c>
      <c r="J23">
        <v>3</v>
      </c>
      <c r="L23" t="s">
        <v>557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358</v>
      </c>
    </row>
    <row r="2" spans="1:6" x14ac:dyDescent="0.3">
      <c r="A2">
        <f>ROW(A2)-1</f>
        <v>1</v>
      </c>
      <c r="B2" t="s">
        <v>384</v>
      </c>
      <c r="C2" t="s">
        <v>385</v>
      </c>
      <c r="D2" t="s">
        <v>406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341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366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386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387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388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389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390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391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392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393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394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309</v>
      </c>
      <c r="C2" t="s">
        <v>309</v>
      </c>
      <c r="D2" t="s">
        <v>310</v>
      </c>
      <c r="E2">
        <v>0</v>
      </c>
      <c r="F2" t="b">
        <v>1</v>
      </c>
    </row>
    <row r="3" spans="1:6" x14ac:dyDescent="0.3">
      <c r="A3">
        <f>ROW(A3)-1</f>
        <v>2</v>
      </c>
      <c r="B3" t="s">
        <v>333</v>
      </c>
      <c r="C3" t="s">
        <v>120</v>
      </c>
      <c r="D3" t="s">
        <v>334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4" sqref="F4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341</v>
      </c>
      <c r="D1" s="1" t="s">
        <v>121</v>
      </c>
      <c r="E1" s="1" t="s">
        <v>340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18" sqref="C18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556</v>
      </c>
      <c r="C1" s="1" t="s">
        <v>562</v>
      </c>
    </row>
    <row r="2" spans="1:3" x14ac:dyDescent="0.3">
      <c r="A2">
        <v>1</v>
      </c>
      <c r="B2" t="s">
        <v>564</v>
      </c>
      <c r="C2" t="s">
        <v>563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7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461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438</v>
      </c>
      <c r="H1" s="1" t="s">
        <v>459</v>
      </c>
    </row>
    <row r="2" spans="1:8" x14ac:dyDescent="0.3">
      <c r="A2">
        <f>ROW(A2)-1</f>
        <v>1</v>
      </c>
      <c r="B2">
        <v>1</v>
      </c>
      <c r="C2" t="s">
        <v>384</v>
      </c>
      <c r="D2" t="s">
        <v>384</v>
      </c>
      <c r="E2" t="s">
        <v>385</v>
      </c>
      <c r="F2" t="s">
        <v>505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341</v>
      </c>
      <c r="D1" s="1" t="s">
        <v>124</v>
      </c>
      <c r="E1" s="1" t="s">
        <v>342</v>
      </c>
      <c r="F1" s="1" t="s">
        <v>469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1"/>
  <sheetViews>
    <sheetView workbookViewId="0">
      <pane ySplit="1" topLeftCell="A2" activePane="bottomLeft" state="frozen"/>
      <selection pane="bottomLeft" activeCell="F10" sqref="F10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355</v>
      </c>
      <c r="G1" s="1" t="s">
        <v>438</v>
      </c>
      <c r="H1" s="1" t="s">
        <v>356</v>
      </c>
    </row>
    <row r="2" spans="1:8" x14ac:dyDescent="0.3">
      <c r="A2">
        <f t="shared" ref="A2:A9" si="0">ROW(A2)-1</f>
        <v>1</v>
      </c>
      <c r="B2" t="s">
        <v>142</v>
      </c>
      <c r="C2" t="s">
        <v>315</v>
      </c>
      <c r="D2" t="s">
        <v>143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126</v>
      </c>
      <c r="C3" t="s">
        <v>316</v>
      </c>
      <c r="D3" t="s">
        <v>432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127</v>
      </c>
      <c r="C5" t="s">
        <v>317</v>
      </c>
      <c r="D5" t="s">
        <v>433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130</v>
      </c>
      <c r="C6" t="s">
        <v>318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319</v>
      </c>
      <c r="D7" t="s">
        <v>431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131</v>
      </c>
      <c r="C8" t="s">
        <v>320</v>
      </c>
      <c r="D8" t="s">
        <v>430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132</v>
      </c>
      <c r="C9" t="s">
        <v>321</v>
      </c>
      <c r="D9" t="s">
        <v>133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424</v>
      </c>
      <c r="C10" t="s">
        <v>425</v>
      </c>
      <c r="D10" t="s">
        <v>429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1" si="1">ROW(A11)-1</f>
        <v>10</v>
      </c>
      <c r="B11" t="s">
        <v>134</v>
      </c>
      <c r="C11" t="s">
        <v>322</v>
      </c>
      <c r="D11" t="s">
        <v>135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136</v>
      </c>
      <c r="C12" t="s">
        <v>323</v>
      </c>
      <c r="D12" t="s">
        <v>137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138</v>
      </c>
      <c r="C13" t="s">
        <v>324</v>
      </c>
      <c r="D13" t="s">
        <v>434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20</v>
      </c>
    </row>
    <row r="14" spans="1:8" x14ac:dyDescent="0.3">
      <c r="A14">
        <f t="shared" si="1"/>
        <v>13</v>
      </c>
      <c r="B14" t="s">
        <v>311</v>
      </c>
      <c r="C14" t="s">
        <v>325</v>
      </c>
      <c r="D14" t="s">
        <v>312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139</v>
      </c>
      <c r="C15" t="s">
        <v>326</v>
      </c>
      <c r="D15" t="s">
        <v>427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152</v>
      </c>
    </row>
    <row r="16" spans="1:8" x14ac:dyDescent="0.3">
      <c r="A16">
        <f t="shared" si="1"/>
        <v>15</v>
      </c>
      <c r="B16" t="s">
        <v>140</v>
      </c>
      <c r="C16" t="s">
        <v>327</v>
      </c>
      <c r="D16" t="s">
        <v>428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303</v>
      </c>
      <c r="C17" t="s">
        <v>328</v>
      </c>
      <c r="D17" t="s">
        <v>141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548</v>
      </c>
      <c r="C18" t="s">
        <v>549</v>
      </c>
      <c r="D18" t="s">
        <v>550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435</v>
      </c>
      <c r="C19" t="s">
        <v>436</v>
      </c>
      <c r="D19" t="s">
        <v>437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441</v>
      </c>
      <c r="C20" t="s">
        <v>442</v>
      </c>
      <c r="D20" t="s">
        <v>443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503</v>
      </c>
      <c r="C21" t="s">
        <v>504</v>
      </c>
      <c r="D21" t="s">
        <v>471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1"/>
  <sheetViews>
    <sheetView workbookViewId="0">
      <selection activeCell="D10" sqref="D10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342</v>
      </c>
      <c r="D1" s="1" t="s">
        <v>469</v>
      </c>
      <c r="E1" s="1" t="s">
        <v>144</v>
      </c>
      <c r="F1" s="1" t="s">
        <v>343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1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41"/>
  <sheetViews>
    <sheetView tabSelected="1" zoomScaleNormal="100" workbookViewId="0">
      <pane ySplit="1" topLeftCell="A53" activePane="bottomLeft" state="frozen"/>
      <selection pane="bottomLeft" activeCell="C66" sqref="C66:C67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144</v>
      </c>
      <c r="C1" s="10" t="s">
        <v>343</v>
      </c>
      <c r="D1" s="10" t="s">
        <v>408</v>
      </c>
      <c r="E1" s="10" t="s">
        <v>88</v>
      </c>
      <c r="F1" s="10" t="s">
        <v>145</v>
      </c>
      <c r="G1" s="10" t="s">
        <v>344</v>
      </c>
      <c r="H1" s="10" t="s">
        <v>337</v>
      </c>
      <c r="I1" s="10" t="s">
        <v>338</v>
      </c>
      <c r="J1" s="10" t="s">
        <v>362</v>
      </c>
      <c r="K1" s="10" t="s">
        <v>146</v>
      </c>
      <c r="L1" s="10" t="s">
        <v>345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369</v>
      </c>
      <c r="AB1" s="10" t="s">
        <v>154</v>
      </c>
      <c r="AC1" s="10" t="s">
        <v>405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403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402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401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400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399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398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395</v>
      </c>
      <c r="N12" s="7"/>
      <c r="O12" s="7" t="s">
        <v>397</v>
      </c>
      <c r="P12" s="7" t="s">
        <v>396</v>
      </c>
      <c r="Q12" s="7" t="s">
        <v>396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382</v>
      </c>
      <c r="N16" s="9"/>
      <c r="O16" s="9" t="s">
        <v>383</v>
      </c>
      <c r="P16" s="9" t="s">
        <v>383</v>
      </c>
      <c r="Q16" s="9" t="s">
        <v>383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368</v>
      </c>
      <c r="N24" s="9"/>
      <c r="O24" s="9" t="s">
        <v>370</v>
      </c>
      <c r="P24" s="9" t="s">
        <v>371</v>
      </c>
      <c r="Q24" s="9" t="s">
        <v>371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299</v>
      </c>
      <c r="N25" s="9"/>
      <c r="O25" s="9" t="s">
        <v>304</v>
      </c>
      <c r="P25" s="9" t="s">
        <v>305</v>
      </c>
      <c r="Q25" s="9" t="s">
        <v>305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546</v>
      </c>
      <c r="N26" s="9"/>
      <c r="O26" s="9" t="s">
        <v>547</v>
      </c>
      <c r="P26" s="9" t="s">
        <v>547</v>
      </c>
      <c r="Q26" s="9" t="s">
        <v>547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</row>
    <row r="30" spans="1:29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</row>
    <row r="37" spans="1:29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308</v>
      </c>
      <c r="N37" s="9"/>
      <c r="O37" s="9" t="s">
        <v>307</v>
      </c>
      <c r="P37" s="9" t="s">
        <v>307</v>
      </c>
      <c r="Q37" s="9" t="s">
        <v>307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</row>
    <row r="41" spans="1:29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300</v>
      </c>
      <c r="N41" s="9"/>
      <c r="O41" s="9" t="s">
        <v>363</v>
      </c>
      <c r="P41" s="9" t="s">
        <v>306</v>
      </c>
      <c r="Q41" s="9" t="s">
        <v>306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</row>
    <row r="47" spans="1:29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358</v>
      </c>
      <c r="N47" s="7"/>
      <c r="O47" s="7" t="s">
        <v>359</v>
      </c>
      <c r="P47" s="7" t="s">
        <v>360</v>
      </c>
      <c r="Q47" s="7" t="s">
        <v>360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</row>
    <row r="54" spans="1:29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</row>
    <row r="60" spans="1:29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</row>
    <row r="64" spans="1:29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418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426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556</v>
      </c>
      <c r="N66" s="7"/>
      <c r="O66" s="7" t="s">
        <v>565</v>
      </c>
      <c r="P66" s="7" t="s">
        <v>565</v>
      </c>
      <c r="Q66" s="7" t="s">
        <v>565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562</v>
      </c>
      <c r="N67" s="7"/>
      <c r="O67" s="7" t="s">
        <v>562</v>
      </c>
      <c r="P67" s="7" t="s">
        <v>562</v>
      </c>
      <c r="Q67" s="7" t="s">
        <v>562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</row>
    <row r="69" spans="1:29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461</v>
      </c>
      <c r="N69" s="9"/>
      <c r="O69" s="9" t="s">
        <v>462</v>
      </c>
      <c r="P69" s="9" t="s">
        <v>463</v>
      </c>
      <c r="Q69" s="9" t="s">
        <v>463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</row>
    <row r="70" spans="1:29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</row>
    <row r="71" spans="1:29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</row>
    <row r="72" spans="1:29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</row>
    <row r="73" spans="1:29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</row>
    <row r="74" spans="1:29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438</v>
      </c>
      <c r="N74" s="9"/>
      <c r="O74" s="9" t="s">
        <v>466</v>
      </c>
      <c r="P74" s="9" t="s">
        <v>467</v>
      </c>
      <c r="Q74" s="9" t="s">
        <v>467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459</v>
      </c>
      <c r="N75" s="9"/>
      <c r="O75" s="9" t="s">
        <v>465</v>
      </c>
      <c r="P75" s="9" t="s">
        <v>464</v>
      </c>
      <c r="Q75" s="9" t="s">
        <v>464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</row>
    <row r="77" spans="1:29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</row>
    <row r="78" spans="1:29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</row>
    <row r="79" spans="1:29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421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</row>
    <row r="80" spans="1:29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</row>
    <row r="81" spans="1:29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</row>
    <row r="82" spans="1:29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6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</row>
    <row r="83" spans="1:29" x14ac:dyDescent="0.3">
      <c r="A83" s="9">
        <f t="shared" ref="A83:A141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</row>
    <row r="84" spans="1:29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365</v>
      </c>
      <c r="P84" s="9" t="s">
        <v>364</v>
      </c>
      <c r="Q84" s="9" t="s">
        <v>364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</row>
    <row r="85" spans="1:29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6</v>
      </c>
      <c r="G85" s="9" t="str">
        <f t="array" ref="G85">GetValue("Domains",F85,"Name")</f>
        <v>Boolean</v>
      </c>
      <c r="H85" s="9" t="str" cm="1">
        <f t="array" ref="H85">GetValue("Domains",F85,"#CategoryName")</f>
        <v>boolean</v>
      </c>
      <c r="I85" s="9" t="str" cm="1">
        <f t="array" ref="I85">GetValue("Domains",F85,"#TypeName")</f>
        <v>bit</v>
      </c>
      <c r="J85" s="9" t="str" cm="1">
        <f t="array" ref="J85">GetValue("Domains",F85,"#DataType")</f>
        <v>bit</v>
      </c>
      <c r="K85" s="9"/>
      <c r="L85" s="9" t="str">
        <f t="array" ref="L85">GetValue("Tables",K85,"Name")</f>
        <v/>
      </c>
      <c r="M85" s="9" t="s">
        <v>438</v>
      </c>
      <c r="N85" s="9"/>
      <c r="O85" s="9" t="s">
        <v>440</v>
      </c>
      <c r="P85" s="9" t="s">
        <v>439</v>
      </c>
      <c r="Q85" s="9" t="s">
        <v>439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/>
      <c r="Y85" s="9" t="b">
        <v>1</v>
      </c>
      <c r="Z85" s="9" t="b">
        <v>1</v>
      </c>
      <c r="AA85" s="9" t="b">
        <v>1</v>
      </c>
      <c r="AB85" s="9"/>
      <c r="AC85" s="9"/>
    </row>
    <row r="86" spans="1:29" x14ac:dyDescent="0.3">
      <c r="A86" s="9">
        <f t="shared" si="10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si="9"/>
        <v>35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number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356</v>
      </c>
      <c r="N86" s="9"/>
      <c r="O86" s="9" t="s">
        <v>357</v>
      </c>
      <c r="P86" s="9" t="s">
        <v>357</v>
      </c>
      <c r="Q86" s="9" t="s">
        <v>357</v>
      </c>
      <c r="R86" s="15">
        <v>0</v>
      </c>
      <c r="S86" s="16">
        <v>0</v>
      </c>
      <c r="T86" s="16"/>
      <c r="U86" s="9" t="b">
        <v>0</v>
      </c>
      <c r="V86" s="9" t="b">
        <v>0</v>
      </c>
      <c r="W86" s="9" t="b">
        <v>1</v>
      </c>
      <c r="X86" s="9" t="b">
        <v>0</v>
      </c>
      <c r="Y86" s="9" t="b">
        <v>0</v>
      </c>
      <c r="Z86" s="9" t="b">
        <v>0</v>
      </c>
      <c r="AA86" s="9" t="b">
        <v>0</v>
      </c>
      <c r="AB86" s="9"/>
      <c r="AC86" s="9" t="b">
        <v>0</v>
      </c>
    </row>
    <row r="87" spans="1:29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v>5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/>
      <c r="L87" s="7" t="str">
        <f t="array" ref="L87">GetValue("Tables",K87,"Name")</f>
        <v/>
      </c>
      <c r="M87" s="7" t="s">
        <v>0</v>
      </c>
      <c r="N87" s="7"/>
      <c r="O87" s="7" t="s">
        <v>314</v>
      </c>
      <c r="P87" s="7" t="s">
        <v>156</v>
      </c>
      <c r="Q87" s="7" t="s">
        <v>156</v>
      </c>
      <c r="R87" s="14"/>
      <c r="S87" s="14">
        <v>1</v>
      </c>
      <c r="T87" s="14"/>
      <c r="U87" s="7" t="b">
        <v>1</v>
      </c>
      <c r="V87" s="7" t="b">
        <v>1</v>
      </c>
      <c r="W87" s="7" t="b">
        <v>1</v>
      </c>
      <c r="X87" s="7"/>
      <c r="Y87" s="7" t="b">
        <v>1</v>
      </c>
      <c r="Z87" s="7" t="b">
        <v>0</v>
      </c>
      <c r="AA87" s="7" t="b">
        <v>0</v>
      </c>
      <c r="AB87" s="7"/>
      <c r="AC87" s="7" t="b">
        <v>0</v>
      </c>
    </row>
    <row r="88" spans="1:29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10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10</v>
      </c>
      <c r="L88" s="7" t="str">
        <f t="array" ref="L88">GetValue("Tables",K88,"Name")</f>
        <v>Databases</v>
      </c>
      <c r="M88" s="7" t="s">
        <v>124</v>
      </c>
      <c r="N88" s="7"/>
      <c r="O88" s="7" t="s">
        <v>224</v>
      </c>
      <c r="P88" s="7" t="s">
        <v>203</v>
      </c>
      <c r="Q88" s="7" t="s">
        <v>203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</row>
    <row r="89" spans="1:29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15</v>
      </c>
      <c r="F89" s="7">
        <v>1</v>
      </c>
      <c r="G89" s="7" t="str">
        <f t="array" ref="G89">GetValue("Domains",F89,"Name")</f>
        <v>BigInteger</v>
      </c>
      <c r="H89" s="7" t="str" cm="1">
        <f t="array" ref="H89">GetValue("Domains",F89,"#CategoryName")</f>
        <v>number</v>
      </c>
      <c r="I89" s="7" t="str" cm="1">
        <f t="array" ref="I89">GetValue("Domains",F89,"#TypeName")</f>
        <v>bigint</v>
      </c>
      <c r="J89" s="7" t="str" cm="1">
        <f t="array" ref="J89">GetValue("Domains",F89,"#DataType")</f>
        <v>bigint</v>
      </c>
      <c r="K89" s="7">
        <v>12</v>
      </c>
      <c r="L89" s="7" t="str">
        <f t="array" ref="L89">GetValue("Tables",K89,"Name")</f>
        <v>Tables</v>
      </c>
      <c r="M89" s="7" t="s">
        <v>144</v>
      </c>
      <c r="N89" s="7"/>
      <c r="O89" s="7" t="s">
        <v>232</v>
      </c>
      <c r="P89" s="7" t="s">
        <v>231</v>
      </c>
      <c r="Q89" s="7" t="s">
        <v>231</v>
      </c>
      <c r="R89" s="14"/>
      <c r="S89" s="14">
        <v>1</v>
      </c>
      <c r="T89" s="14"/>
      <c r="U89" s="7" t="b">
        <v>0</v>
      </c>
      <c r="V89" s="7" t="b">
        <v>0</v>
      </c>
      <c r="W89" s="7" t="b">
        <v>1</v>
      </c>
      <c r="X89" s="7"/>
      <c r="Y89" s="7" t="b">
        <v>1</v>
      </c>
      <c r="Z89" s="7" t="b">
        <v>1</v>
      </c>
      <c r="AA89" s="7" t="b">
        <v>1</v>
      </c>
      <c r="AB89" s="7"/>
      <c r="AC89" s="7" t="b">
        <v>0</v>
      </c>
    </row>
    <row r="90" spans="1:29" x14ac:dyDescent="0.3">
      <c r="A90" s="7">
        <f t="shared" si="10"/>
        <v>89</v>
      </c>
      <c r="B90" s="7">
        <v>13</v>
      </c>
      <c r="C90" s="7" t="str">
        <f t="array" ref="C90">GetValue("Tables",B90,"Name")</f>
        <v>DatabasesTables</v>
      </c>
      <c r="D90" s="8" t="str" cm="1">
        <f t="array" ref="D90">GetValue("Tables",B90,"Alias")</f>
        <v>DatabaseTable</v>
      </c>
      <c r="E90" s="7">
        <f>E89+5</f>
        <v>20</v>
      </c>
      <c r="F90" s="7">
        <v>10</v>
      </c>
      <c r="G90" s="7" t="str">
        <f t="array" ref="G90">GetValue("Domains",F90,"Name")</f>
        <v>Nvarchar(50)</v>
      </c>
      <c r="H90" s="7" t="str" cm="1">
        <f t="array" ref="H90">GetValue("Domains",F90,"#CategoryName")</f>
        <v>string</v>
      </c>
      <c r="I90" s="7" t="str" cm="1">
        <f t="array" ref="I90">GetValue("Domains",F90,"#TypeName")</f>
        <v>nvarchar</v>
      </c>
      <c r="J90" s="7" t="str" cm="1">
        <f t="array" ref="J90">GetValue("Domains",F90,"#DataType")</f>
        <v>nvarchar(50)</v>
      </c>
      <c r="K90" s="7"/>
      <c r="L90" s="7" t="str">
        <f t="array" ref="L90">GetValue("Tables",K90,"Name")</f>
        <v/>
      </c>
      <c r="M90" s="7" t="s">
        <v>1</v>
      </c>
      <c r="N90" s="7"/>
      <c r="O90" s="7" t="s">
        <v>422</v>
      </c>
      <c r="P90" s="7" t="s">
        <v>158</v>
      </c>
      <c r="Q90" s="7" t="s">
        <v>158</v>
      </c>
      <c r="R90" s="14"/>
      <c r="S90" s="14"/>
      <c r="T90" s="14"/>
      <c r="U90" s="7" t="b">
        <v>0</v>
      </c>
      <c r="V90" s="7"/>
      <c r="W90" s="7" t="b">
        <v>1</v>
      </c>
      <c r="X90" s="7" t="b">
        <v>1</v>
      </c>
      <c r="Y90" s="7" t="b">
        <v>1</v>
      </c>
      <c r="Z90" s="7" t="b">
        <v>1</v>
      </c>
      <c r="AA90" s="7" t="b">
        <v>1</v>
      </c>
      <c r="AB90" s="7" t="b">
        <v>0</v>
      </c>
      <c r="AC90" s="7"/>
    </row>
    <row r="91" spans="1:29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v>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0</v>
      </c>
      <c r="N91" s="9"/>
      <c r="O91" s="9" t="s">
        <v>236</v>
      </c>
      <c r="P91" s="9" t="s">
        <v>156</v>
      </c>
      <c r="Q91" s="9" t="s">
        <v>156</v>
      </c>
      <c r="R91" s="15"/>
      <c r="S91" s="16">
        <v>1</v>
      </c>
      <c r="T91" s="16"/>
      <c r="U91" s="9" t="b">
        <v>1</v>
      </c>
      <c r="V91" s="9" t="b">
        <v>1</v>
      </c>
      <c r="W91" s="9" t="b">
        <v>1</v>
      </c>
      <c r="X91" s="9"/>
      <c r="Y91" s="9" t="b">
        <v>1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ref="E92:E112" si="11">E91+5</f>
        <v>10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144</v>
      </c>
      <c r="N92" s="9"/>
      <c r="O92" s="9" t="s">
        <v>237</v>
      </c>
      <c r="P92" s="9" t="s">
        <v>237</v>
      </c>
      <c r="Q92" s="9" t="s">
        <v>237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 t="b">
        <v>0</v>
      </c>
    </row>
    <row r="93" spans="1:29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15</v>
      </c>
      <c r="F93" s="9">
        <v>4</v>
      </c>
      <c r="G93" s="9" t="str">
        <f t="array" ref="G93">GetValue("Domains",F93,"Name")</f>
        <v>SmallInteger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smallint</v>
      </c>
      <c r="J93" s="9" t="str" cm="1">
        <f t="array" ref="J93">GetValue("Domains",F93,"#DataType")</f>
        <v>smallint</v>
      </c>
      <c r="K93" s="9"/>
      <c r="L93" s="9" t="str">
        <f t="array" ref="L93">GetValue("Tables",K93,"Name")</f>
        <v/>
      </c>
      <c r="M93" s="9" t="s">
        <v>88</v>
      </c>
      <c r="N93" s="9"/>
      <c r="O93" s="9" t="s">
        <v>205</v>
      </c>
      <c r="P93" s="9" t="s">
        <v>205</v>
      </c>
      <c r="Q93" s="9" t="s">
        <v>205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0</v>
      </c>
      <c r="Z93" s="9" t="b">
        <v>1</v>
      </c>
      <c r="AA93" s="9" t="b">
        <v>1</v>
      </c>
      <c r="AB93" s="9"/>
      <c r="AC93" s="9" t="b">
        <v>0</v>
      </c>
    </row>
    <row r="94" spans="1:29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20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4</v>
      </c>
      <c r="L94" s="9" t="str">
        <f t="array" ref="L94">GetValue("Tables",K94,"Name")</f>
        <v>Domains</v>
      </c>
      <c r="M94" s="9" t="s">
        <v>145</v>
      </c>
      <c r="N94" s="9"/>
      <c r="O94" s="9" t="s">
        <v>238</v>
      </c>
      <c r="P94" s="9" t="s">
        <v>239</v>
      </c>
      <c r="Q94" s="9" t="s">
        <v>239</v>
      </c>
      <c r="R94" s="15"/>
      <c r="S94" s="16">
        <v>1</v>
      </c>
      <c r="T94" s="16"/>
      <c r="U94" s="9" t="b">
        <v>0</v>
      </c>
      <c r="V94" s="9" t="b">
        <v>0</v>
      </c>
      <c r="W94" s="9" t="b">
        <v>1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</row>
    <row r="95" spans="1:29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25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number</v>
      </c>
      <c r="I95" s="9" t="str" cm="1">
        <f t="array" ref="I95">GetValue("Domains",F95,"#TypeName")</f>
        <v>bigint</v>
      </c>
      <c r="J95" s="9" t="str" cm="1">
        <f t="array" ref="J95">GetValue("Domains",F95,"#DataType")</f>
        <v>bigint</v>
      </c>
      <c r="K95" s="9">
        <v>12</v>
      </c>
      <c r="L95" s="9" t="str">
        <f t="array" ref="L95">GetValue("Tables",K95,"Name")</f>
        <v>Tables</v>
      </c>
      <c r="M95" s="9" t="s">
        <v>146</v>
      </c>
      <c r="N95" s="9"/>
      <c r="O95" s="9" t="s">
        <v>240</v>
      </c>
      <c r="P95" s="9" t="s">
        <v>241</v>
      </c>
      <c r="Q95" s="9" t="s">
        <v>241</v>
      </c>
      <c r="R95" s="15"/>
      <c r="S95" s="16">
        <v>1</v>
      </c>
      <c r="T95" s="16"/>
      <c r="U95" s="9" t="b">
        <v>0</v>
      </c>
      <c r="V95" s="9" t="b">
        <v>0</v>
      </c>
      <c r="W95" s="9" t="b">
        <v>0</v>
      </c>
      <c r="X95" s="9"/>
      <c r="Y95" s="9" t="b">
        <v>1</v>
      </c>
      <c r="Z95" s="9" t="b">
        <v>1</v>
      </c>
      <c r="AA95" s="9" t="b">
        <v>1</v>
      </c>
      <c r="AB95" s="9"/>
      <c r="AC95" s="9" t="b">
        <v>0</v>
      </c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30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</v>
      </c>
      <c r="N96" s="9"/>
      <c r="O96" s="9" t="s">
        <v>242</v>
      </c>
      <c r="P96" s="9" t="s">
        <v>158</v>
      </c>
      <c r="Q96" s="9" t="s">
        <v>158</v>
      </c>
      <c r="R96" s="15"/>
      <c r="S96" s="16" t="s">
        <v>35</v>
      </c>
      <c r="T96" s="16"/>
      <c r="U96" s="9" t="b">
        <v>0</v>
      </c>
      <c r="V96" s="9"/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 t="b">
        <v>0</v>
      </c>
      <c r="AC96" s="9"/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35</v>
      </c>
      <c r="F97" s="9">
        <v>9</v>
      </c>
      <c r="G97" s="9" t="str">
        <f t="array" ref="G97">GetValue("Domains",F97,"Name")</f>
        <v>Nvarchar(25)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nvarchar(25)</v>
      </c>
      <c r="K97" s="9"/>
      <c r="L97" s="9" t="str">
        <f t="array" ref="L97">GetValue("Tables",K97,"Name")</f>
        <v/>
      </c>
      <c r="M97" s="9" t="s">
        <v>122</v>
      </c>
      <c r="N97" s="9"/>
      <c r="O97" s="9" t="s">
        <v>450</v>
      </c>
      <c r="P97" s="9" t="s">
        <v>122</v>
      </c>
      <c r="Q97" s="9" t="s">
        <v>122</v>
      </c>
      <c r="R97" s="15"/>
      <c r="S97" s="16" t="s">
        <v>35</v>
      </c>
      <c r="T97" s="16"/>
      <c r="U97" s="9" t="b">
        <v>0</v>
      </c>
      <c r="V97" s="9"/>
      <c r="W97" s="9" t="b">
        <v>0</v>
      </c>
      <c r="X97" s="9"/>
      <c r="Y97" s="9" t="b">
        <v>1</v>
      </c>
      <c r="Z97" s="9" t="b">
        <v>1</v>
      </c>
      <c r="AA97" s="9" t="b">
        <v>0</v>
      </c>
      <c r="AB97" s="9" t="b">
        <v>0</v>
      </c>
      <c r="AC97" s="9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40</v>
      </c>
      <c r="F98" s="9">
        <v>10</v>
      </c>
      <c r="G98" s="9" t="str">
        <f t="array" ref="G98">GetValue("Domains",F98,"Name")</f>
        <v>Nvarchar(50)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nvarchar(50)</v>
      </c>
      <c r="K98" s="9"/>
      <c r="L98" s="9" t="str">
        <f t="array" ref="L98">GetValue("Tables",K98,"Name")</f>
        <v/>
      </c>
      <c r="M98" s="9" t="s">
        <v>84</v>
      </c>
      <c r="N98" s="9"/>
      <c r="O98" s="9" t="s">
        <v>243</v>
      </c>
      <c r="P98" s="9" t="s">
        <v>196</v>
      </c>
      <c r="Q98" s="9" t="s">
        <v>196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45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147</v>
      </c>
      <c r="N99" s="9"/>
      <c r="O99" s="9" t="s">
        <v>244</v>
      </c>
      <c r="P99" s="9" t="s">
        <v>245</v>
      </c>
      <c r="Q99" s="9" t="s">
        <v>245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89</v>
      </c>
      <c r="N100" s="9"/>
      <c r="O100" s="9" t="s">
        <v>246</v>
      </c>
      <c r="P100" s="9" t="s">
        <v>247</v>
      </c>
      <c r="Q100" s="9" t="s">
        <v>247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 t="b">
        <v>0</v>
      </c>
      <c r="AC100" s="9"/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55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66</v>
      </c>
      <c r="N101" s="9"/>
      <c r="O101" s="9" t="s">
        <v>248</v>
      </c>
      <c r="P101" s="9" t="s">
        <v>249</v>
      </c>
      <c r="Q101" s="9" t="s">
        <v>249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60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26</v>
      </c>
      <c r="N102" s="9"/>
      <c r="O102" s="9" t="s">
        <v>250</v>
      </c>
      <c r="P102" s="9" t="s">
        <v>162</v>
      </c>
      <c r="Q102" s="9" t="s">
        <v>162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65</v>
      </c>
      <c r="F103" s="9">
        <v>17</v>
      </c>
      <c r="G103" s="9" t="str">
        <f t="array" ref="G103">GetValue("Domains",F103,"Name")</f>
        <v>Variant</v>
      </c>
      <c r="H103" s="9" t="str" cm="1">
        <f t="array" ref="H103">GetValue("Domains",F103,"#CategoryName")</f>
        <v>text</v>
      </c>
      <c r="I103" s="9" t="str" cm="1">
        <f t="array" ref="I103">GetValue("Domains",F103,"#TypeName")</f>
        <v>nvarchar(max)</v>
      </c>
      <c r="J103" s="9" t="str" cm="1">
        <f t="array" ref="J103">GetValue("Domains",F103,"#DataType")</f>
        <v>nvarchar(max)</v>
      </c>
      <c r="K103" s="9"/>
      <c r="L103" s="9" t="str">
        <f t="array" ref="L103">GetValue("Tables",K103,"Name")</f>
        <v/>
      </c>
      <c r="M103" s="9" t="s">
        <v>27</v>
      </c>
      <c r="N103" s="9"/>
      <c r="O103" s="9" t="s">
        <v>251</v>
      </c>
      <c r="P103" s="9" t="s">
        <v>164</v>
      </c>
      <c r="Q103" s="9" t="s">
        <v>164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70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148</v>
      </c>
      <c r="N104" s="9"/>
      <c r="O104" s="9" t="s">
        <v>252</v>
      </c>
      <c r="P104" s="9" t="s">
        <v>373</v>
      </c>
      <c r="Q104" s="9" t="s">
        <v>373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/>
      <c r="Z104" s="9" t="b">
        <v>1</v>
      </c>
      <c r="AA104" s="9" t="b">
        <v>0</v>
      </c>
      <c r="AB104" s="9"/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75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149</v>
      </c>
      <c r="N105" s="9"/>
      <c r="O105" s="9" t="s">
        <v>253</v>
      </c>
      <c r="P105" s="9" t="s">
        <v>374</v>
      </c>
      <c r="Q105" s="9" t="s">
        <v>374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/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80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150</v>
      </c>
      <c r="N106" s="9"/>
      <c r="O106" s="9" t="s">
        <v>254</v>
      </c>
      <c r="P106" s="9" t="s">
        <v>375</v>
      </c>
      <c r="Q106" s="9" t="s">
        <v>375</v>
      </c>
      <c r="R106" s="15"/>
      <c r="S106" s="16" t="s">
        <v>35</v>
      </c>
      <c r="T106" s="16"/>
      <c r="U106" s="9"/>
      <c r="V106" s="9"/>
      <c r="W106" s="9" t="b">
        <v>1</v>
      </c>
      <c r="X106" s="9"/>
      <c r="Y106" s="9" t="b">
        <v>1</v>
      </c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85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255</v>
      </c>
      <c r="P107" s="9" t="s">
        <v>376</v>
      </c>
      <c r="Q107" s="9" t="s">
        <v>376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90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256</v>
      </c>
      <c r="P108" s="9" t="s">
        <v>377</v>
      </c>
      <c r="Q108" s="9" t="s">
        <v>377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95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257</v>
      </c>
      <c r="P109" s="9" t="s">
        <v>378</v>
      </c>
      <c r="Q109" s="9" t="s">
        <v>378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369</v>
      </c>
      <c r="N110" s="9"/>
      <c r="O110" s="9" t="s">
        <v>372</v>
      </c>
      <c r="P110" s="9" t="s">
        <v>379</v>
      </c>
      <c r="Q110" s="9" t="s">
        <v>379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105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258</v>
      </c>
      <c r="P111" s="9" t="s">
        <v>380</v>
      </c>
      <c r="Q111" s="9" t="s">
        <v>380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405</v>
      </c>
      <c r="N112" s="9"/>
      <c r="O112" s="9" t="s">
        <v>404</v>
      </c>
      <c r="P112" s="9" t="s">
        <v>407</v>
      </c>
      <c r="Q112" s="9" t="s">
        <v>407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</row>
    <row r="114" spans="1:29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</row>
    <row r="115" spans="1:29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</row>
    <row r="116" spans="1:29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</row>
    <row r="117" spans="1:29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</row>
    <row r="118" spans="1:29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</row>
    <row r="119" spans="1:29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</row>
    <row r="120" spans="1:29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</row>
    <row r="121" spans="1:29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</row>
    <row r="122" spans="1:29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329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</row>
    <row r="123" spans="1:29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</row>
    <row r="124" spans="1:29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</row>
    <row r="125" spans="1:29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>E124+5</f>
        <v>20</v>
      </c>
      <c r="F125" s="7">
        <v>11</v>
      </c>
      <c r="G125" s="7" t="str">
        <f t="array" ref="G125">GetValue("Domains",F125,"Name")</f>
        <v>Nvarchar(256)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nvarchar(256)</v>
      </c>
      <c r="K125" s="7"/>
      <c r="L125" s="7" t="str">
        <f t="array" ref="L125">GetValue("Tables",K125,"Name")</f>
        <v/>
      </c>
      <c r="M125" s="7" t="s">
        <v>330</v>
      </c>
      <c r="N125" s="7"/>
      <c r="O125" s="7" t="s">
        <v>332</v>
      </c>
      <c r="P125" s="7" t="s">
        <v>331</v>
      </c>
      <c r="Q125" s="7" t="s">
        <v>331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</row>
    <row r="126" spans="1:29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>E125+5</f>
        <v>25</v>
      </c>
      <c r="F126" s="7">
        <v>6</v>
      </c>
      <c r="G126" s="7" t="str">
        <f t="array" ref="G126">GetValue("Domains",F126,"Name")</f>
        <v>Boolean</v>
      </c>
      <c r="H126" s="7" t="str" cm="1">
        <f t="array" ref="H126">GetValue("Domains",F126,"#CategoryName")</f>
        <v>boolean</v>
      </c>
      <c r="I126" s="7" t="str" cm="1">
        <f t="array" ref="I126">GetValue("Domains",F126,"#TypeName")</f>
        <v>bit</v>
      </c>
      <c r="J126" s="7" t="str" cm="1">
        <f t="array" ref="J126">GetValue("Domains",F126,"#DataType")</f>
        <v>bit</v>
      </c>
      <c r="K126" s="7"/>
      <c r="L126" s="7" t="str">
        <f t="array" ref="L126">GetValue("Tables",K126,"Name")</f>
        <v/>
      </c>
      <c r="M126" s="7" t="s">
        <v>336</v>
      </c>
      <c r="N126" s="7"/>
      <c r="O126" s="7" t="s">
        <v>289</v>
      </c>
      <c r="P126" s="7" t="s">
        <v>289</v>
      </c>
      <c r="Q126" s="7" t="s">
        <v>289</v>
      </c>
      <c r="R126" s="14"/>
      <c r="S126" s="14" t="s">
        <v>35</v>
      </c>
      <c r="T126" s="14"/>
      <c r="U126" s="7"/>
      <c r="V126" s="7"/>
      <c r="W126" s="7" t="b">
        <v>1</v>
      </c>
      <c r="X126" s="7"/>
      <c r="Y126" s="7" t="b">
        <v>1</v>
      </c>
      <c r="Z126" s="7" t="b">
        <v>1</v>
      </c>
      <c r="AA126" s="7" t="b">
        <v>0</v>
      </c>
      <c r="AB126" s="7"/>
      <c r="AC126" s="7"/>
    </row>
    <row r="127" spans="1:29" x14ac:dyDescent="0.3">
      <c r="A127" s="9">
        <f t="shared" si="10"/>
        <v>126</v>
      </c>
      <c r="B127" s="9">
        <v>18</v>
      </c>
      <c r="C127" s="9" t="str">
        <f t="array" ref="C127">GetValue("Tables",B127,"Name")</f>
        <v>Transactions</v>
      </c>
      <c r="D127" s="9" t="str" cm="1">
        <f t="array" ref="D127">GetValue("Tables",B127,"Alias")</f>
        <v>Transaction</v>
      </c>
      <c r="E127" s="9">
        <v>5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number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/>
      <c r="L127" s="9" t="str">
        <f t="array" ref="L127">GetValue("Tables",K127,"Name")</f>
        <v/>
      </c>
      <c r="M127" s="9" t="s">
        <v>0</v>
      </c>
      <c r="N127" s="9"/>
      <c r="O127" s="9" t="s">
        <v>451</v>
      </c>
      <c r="P127" s="9" t="s">
        <v>156</v>
      </c>
      <c r="Q127" s="9" t="s">
        <v>156</v>
      </c>
      <c r="R127" s="15"/>
      <c r="S127" s="16">
        <v>1</v>
      </c>
      <c r="T127" s="16"/>
      <c r="U127" s="9" t="b">
        <v>1</v>
      </c>
      <c r="V127" s="9" t="b">
        <v>1</v>
      </c>
      <c r="W127" s="9" t="b">
        <v>1</v>
      </c>
      <c r="X127" s="9"/>
      <c r="Y127" s="9" t="b">
        <v>1</v>
      </c>
      <c r="Z127" s="9" t="b">
        <v>0</v>
      </c>
      <c r="AA127" s="9" t="b">
        <v>0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f>E127+5</f>
        <v>10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>
        <v>17</v>
      </c>
      <c r="L128" s="9" t="str">
        <f t="array" ref="L128">GetValue("Tables",K128,"Name")</f>
        <v>Sessions</v>
      </c>
      <c r="M128" s="9" t="s">
        <v>551</v>
      </c>
      <c r="N128" s="9"/>
      <c r="O128" s="9" t="s">
        <v>552</v>
      </c>
      <c r="P128" s="9" t="s">
        <v>553</v>
      </c>
      <c r="Q128" s="9" t="s">
        <v>553</v>
      </c>
      <c r="R128" s="15"/>
      <c r="S128" s="16">
        <v>1</v>
      </c>
      <c r="T128" s="16"/>
      <c r="U128" s="9" t="b">
        <v>0</v>
      </c>
      <c r="V128" s="9" t="b">
        <v>0</v>
      </c>
      <c r="W128" s="9" t="b">
        <v>1</v>
      </c>
      <c r="X128" s="9"/>
      <c r="Y128" s="9" t="b">
        <v>0</v>
      </c>
      <c r="Z128" s="9" t="b">
        <v>0</v>
      </c>
      <c r="AA128" s="9" t="b">
        <v>0</v>
      </c>
      <c r="AB128" s="9"/>
      <c r="AC128" s="9" t="b">
        <v>0</v>
      </c>
    </row>
    <row r="129" spans="1:29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15</v>
      </c>
      <c r="F129" s="9">
        <v>6</v>
      </c>
      <c r="G129" s="9" t="str">
        <f t="array" ref="G129">GetValue("Domains",F129,"Name")</f>
        <v>Boolean</v>
      </c>
      <c r="H129" s="9" t="str" cm="1">
        <f t="array" ref="H129">GetValue("Domains",F129,"#CategoryName")</f>
        <v>boolean</v>
      </c>
      <c r="I129" s="9" t="str" cm="1">
        <f t="array" ref="I129">GetValue("Domains",F129,"#TypeName")</f>
        <v>bit</v>
      </c>
      <c r="J129" s="9" t="str" cm="1">
        <f t="array" ref="J129">GetValue("Domains",F129,"#DataType")</f>
        <v>bit</v>
      </c>
      <c r="K129" s="9"/>
      <c r="L129" s="9" t="str">
        <f t="array" ref="L129">GetValue("Tables",K129,"Name")</f>
        <v/>
      </c>
      <c r="M129" s="9" t="s">
        <v>444</v>
      </c>
      <c r="N129" s="9"/>
      <c r="O129" s="9" t="s">
        <v>448</v>
      </c>
      <c r="P129" s="9" t="s">
        <v>449</v>
      </c>
      <c r="Q129" s="9" t="s">
        <v>449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</row>
    <row r="130" spans="1:29" x14ac:dyDescent="0.3">
      <c r="A130" s="7">
        <f t="shared" si="10"/>
        <v>129</v>
      </c>
      <c r="B130" s="7">
        <v>19</v>
      </c>
      <c r="C130" s="7" t="str">
        <f t="array" ref="C130">GetValue("Tables",B130,"Name")</f>
        <v>Operations</v>
      </c>
      <c r="D130" s="8" t="str" cm="1">
        <f t="array" ref="D130">GetValue("Tables",B130,"Alias")</f>
        <v>Operation</v>
      </c>
      <c r="E130" s="7">
        <v>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number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/>
      <c r="L130" s="7" t="str">
        <f t="array" ref="L130">GetValue("Tables",K130,"Name")</f>
        <v/>
      </c>
      <c r="M130" s="7" t="s">
        <v>0</v>
      </c>
      <c r="N130" s="7"/>
      <c r="O130" s="7" t="s">
        <v>452</v>
      </c>
      <c r="P130" s="7" t="s">
        <v>156</v>
      </c>
      <c r="Q130" s="7" t="s">
        <v>156</v>
      </c>
      <c r="R130" s="14"/>
      <c r="S130" s="14">
        <v>1</v>
      </c>
      <c r="T130" s="14"/>
      <c r="U130" s="7" t="b">
        <v>1</v>
      </c>
      <c r="V130" s="7" t="b">
        <v>1</v>
      </c>
      <c r="W130" s="7" t="b">
        <v>1</v>
      </c>
      <c r="X130" s="7"/>
      <c r="Y130" s="7" t="b">
        <v>1</v>
      </c>
      <c r="Z130" s="7" t="b">
        <v>0</v>
      </c>
      <c r="AA130" s="7" t="b">
        <v>0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f>E130+5</f>
        <v>10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18</v>
      </c>
      <c r="L131" s="7" t="str">
        <f t="array" ref="L131">GetValue("Tables",K131,"Name")</f>
        <v>Transactions</v>
      </c>
      <c r="M131" s="7" t="s">
        <v>445</v>
      </c>
      <c r="N131" s="7"/>
      <c r="O131" s="7" t="s">
        <v>451</v>
      </c>
      <c r="P131" s="7" t="s">
        <v>453</v>
      </c>
      <c r="Q131" s="7" t="s">
        <v>453</v>
      </c>
      <c r="R131" s="14"/>
      <c r="S131" s="14">
        <v>1</v>
      </c>
      <c r="T131" s="14"/>
      <c r="U131" s="7" t="b">
        <v>0</v>
      </c>
      <c r="V131" s="7" t="b">
        <v>0</v>
      </c>
      <c r="W131" s="7" t="b">
        <v>1</v>
      </c>
      <c r="X131" s="7"/>
      <c r="Y131" s="7" t="b">
        <v>0</v>
      </c>
      <c r="Z131" s="7" t="b">
        <v>0</v>
      </c>
      <c r="AA131" s="7" t="b">
        <v>0</v>
      </c>
      <c r="AB131" s="7"/>
      <c r="AC131" s="7" t="b">
        <v>0</v>
      </c>
    </row>
    <row r="132" spans="1:29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 t="shared" ref="E132:E137" si="12">E131+5</f>
        <v>15</v>
      </c>
      <c r="F132" s="7">
        <v>9</v>
      </c>
      <c r="G132" s="7" t="str">
        <f t="array" ref="G132">GetValue("Domains",F132,"Name")</f>
        <v>Nvarchar(25)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nvarchar(25)</v>
      </c>
      <c r="K132" s="7"/>
      <c r="L132" s="7" t="str">
        <f t="array" ref="L132">GetValue("Tables",K132,"Name")</f>
        <v/>
      </c>
      <c r="M132" s="7" t="s">
        <v>446</v>
      </c>
      <c r="N132" s="7"/>
      <c r="O132" s="7" t="s">
        <v>233</v>
      </c>
      <c r="P132" s="7" t="s">
        <v>237</v>
      </c>
      <c r="Q132" s="7" t="s">
        <v>237</v>
      </c>
      <c r="R132" s="14"/>
      <c r="S132" s="14"/>
      <c r="T132" s="14"/>
      <c r="U132" s="7" t="b">
        <v>0</v>
      </c>
      <c r="V132" s="7"/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 t="b">
        <v>0</v>
      </c>
      <c r="AC132" s="7"/>
    </row>
    <row r="133" spans="1:29" x14ac:dyDescent="0.3">
      <c r="A133" s="7">
        <f>ROW(A133)-1</f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si="12"/>
        <v>20</v>
      </c>
      <c r="F133" s="7">
        <v>1</v>
      </c>
      <c r="G133" s="7" t="str">
        <f t="array" ref="G133">GetValue("Domains",F133,"Name")</f>
        <v>BigInteger</v>
      </c>
      <c r="H133" s="7" t="str" cm="1">
        <f t="array" ref="H133">GetValue("Domains",F133,"#CategoryName")</f>
        <v>number</v>
      </c>
      <c r="I133" s="7" t="str" cm="1">
        <f t="array" ref="I133">GetValue("Domains",F133,"#TypeName")</f>
        <v>bigint</v>
      </c>
      <c r="J133" s="7" t="str" cm="1">
        <f t="array" ref="J133">GetValue("Domains",F133,"#DataType")</f>
        <v>bigint</v>
      </c>
      <c r="K133" s="7">
        <v>19</v>
      </c>
      <c r="L133" s="7" t="str">
        <f t="array" ref="L133">GetValue("Tables",K133,"Name")</f>
        <v>Operations</v>
      </c>
      <c r="M133" s="7" t="s">
        <v>456</v>
      </c>
      <c r="N133" s="7"/>
      <c r="O133" s="7" t="s">
        <v>457</v>
      </c>
      <c r="P133" s="7" t="s">
        <v>458</v>
      </c>
      <c r="Q133" s="7" t="s">
        <v>458</v>
      </c>
      <c r="R133" s="14"/>
      <c r="S133" s="14">
        <v>1</v>
      </c>
      <c r="T133" s="14"/>
      <c r="U133" s="7" t="b">
        <v>0</v>
      </c>
      <c r="V133" s="7" t="b">
        <v>0</v>
      </c>
      <c r="W133" s="7" t="b">
        <v>0</v>
      </c>
      <c r="X133" s="7"/>
      <c r="Y133" s="7" t="b">
        <v>0</v>
      </c>
      <c r="Z133" s="7" t="b">
        <v>0</v>
      </c>
      <c r="AA133" s="7" t="b">
        <v>0</v>
      </c>
      <c r="AB133" s="7"/>
      <c r="AC133" s="7" t="b">
        <v>0</v>
      </c>
    </row>
    <row r="134" spans="1:29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>E133+5</f>
        <v>25</v>
      </c>
      <c r="F134" s="7">
        <v>21</v>
      </c>
      <c r="G134" s="7" t="str">
        <f t="array" ref="G134">GetValue("Domains",F134,"Name")</f>
        <v>Operation</v>
      </c>
      <c r="H134" s="7" t="str" cm="1">
        <f t="array" ref="H134">GetValue("Domains",F134,"#CategoryName")</f>
        <v>string</v>
      </c>
      <c r="I134" s="7" t="str" cm="1">
        <f t="array" ref="I134">GetValue("Domains",F134,"#TypeName")</f>
        <v>nvarchar</v>
      </c>
      <c r="J134" s="7" t="str" cm="1">
        <f t="array" ref="J134">GetValue("Domains",F134,"#DataType")</f>
        <v>nvarchar(15)</v>
      </c>
      <c r="K134" s="7"/>
      <c r="L134" s="7" t="str">
        <f t="array" ref="L134">GetValue("Tables",K134,"Name")</f>
        <v/>
      </c>
      <c r="M134" s="7" t="s">
        <v>91</v>
      </c>
      <c r="N134" s="7"/>
      <c r="O134" s="7" t="s">
        <v>454</v>
      </c>
      <c r="P134" s="7" t="s">
        <v>211</v>
      </c>
      <c r="Q134" s="7" t="s">
        <v>211</v>
      </c>
      <c r="R134" s="14"/>
      <c r="S134" s="14"/>
      <c r="T134" s="14"/>
      <c r="U134" s="7" t="b">
        <v>0</v>
      </c>
      <c r="V134" s="7"/>
      <c r="W134" s="7" t="b">
        <v>1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</row>
    <row r="135" spans="1:29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2"/>
        <v>30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490</v>
      </c>
      <c r="N135" s="7"/>
      <c r="O135" s="7" t="s">
        <v>491</v>
      </c>
      <c r="P135" s="7" t="s">
        <v>491</v>
      </c>
      <c r="Q135" s="7" t="s">
        <v>491</v>
      </c>
      <c r="R135" s="14"/>
      <c r="S135" s="14"/>
      <c r="T135" s="14"/>
      <c r="U135" s="7" t="b">
        <v>0</v>
      </c>
      <c r="V135" s="7"/>
      <c r="W135" s="7" t="b">
        <v>0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2"/>
        <v>35</v>
      </c>
      <c r="F136" s="7">
        <v>12</v>
      </c>
      <c r="G136" s="7" t="str">
        <f t="array" ref="G136">GetValue("Domains",F136,"Name")</f>
        <v>Nvarchar(MAX)</v>
      </c>
      <c r="H136" s="7" t="str" cm="1">
        <f t="array" ref="H136">GetValue("Domains",F136,"#CategoryName")</f>
        <v>text</v>
      </c>
      <c r="I136" s="7" t="str" cm="1">
        <f t="array" ref="I136">GetValue("Domains",F136,"#TypeName")</f>
        <v>nvarchar(max)</v>
      </c>
      <c r="J136" s="7" t="str" cm="1">
        <f t="array" ref="J136">GetValue("Domains",F136,"#DataType")</f>
        <v>nvarchar(max)</v>
      </c>
      <c r="K136" s="7"/>
      <c r="L136" s="7" t="str">
        <f t="array" ref="L136">GetValue("Tables",K136,"Name")</f>
        <v/>
      </c>
      <c r="M136" s="7" t="s">
        <v>447</v>
      </c>
      <c r="N136" s="7"/>
      <c r="O136" s="7" t="s">
        <v>455</v>
      </c>
      <c r="P136" s="7" t="s">
        <v>455</v>
      </c>
      <c r="Q136" s="7" t="s">
        <v>455</v>
      </c>
      <c r="R136" s="14"/>
      <c r="S136" s="14"/>
      <c r="T136" s="14"/>
      <c r="U136" s="7" t="b">
        <v>0</v>
      </c>
      <c r="V136" s="7"/>
      <c r="W136" s="7" t="b">
        <v>1</v>
      </c>
      <c r="X136" s="7"/>
      <c r="Y136" s="7" t="b">
        <v>0</v>
      </c>
      <c r="Z136" s="7" t="b">
        <v>0</v>
      </c>
      <c r="AA136" s="7" t="b">
        <v>0</v>
      </c>
      <c r="AB136" s="7" t="b">
        <v>0</v>
      </c>
      <c r="AC136" s="7"/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f t="shared" si="12"/>
        <v>40</v>
      </c>
      <c r="F137" s="7">
        <v>6</v>
      </c>
      <c r="G137" s="7" t="str">
        <f t="array" ref="G137">GetValue("Domains",F137,"Name")</f>
        <v>Boolean</v>
      </c>
      <c r="H137" s="7" t="str" cm="1">
        <f t="array" ref="H137">GetValue("Domains",F137,"#CategoryName")</f>
        <v>boolean</v>
      </c>
      <c r="I137" s="7" t="str" cm="1">
        <f t="array" ref="I137">GetValue("Domains",F137,"#TypeName")</f>
        <v>bit</v>
      </c>
      <c r="J137" s="7" t="str" cm="1">
        <f t="array" ref="J137">GetValue("Domains",F137,"#DataType")</f>
        <v>bit</v>
      </c>
      <c r="K137" s="7"/>
      <c r="L137" s="7" t="str">
        <f t="array" ref="L137">GetValue("Tables",K137,"Name")</f>
        <v/>
      </c>
      <c r="M137" s="7" t="s">
        <v>444</v>
      </c>
      <c r="N137" s="7"/>
      <c r="O137" s="7" t="s">
        <v>448</v>
      </c>
      <c r="P137" s="7" t="s">
        <v>449</v>
      </c>
      <c r="Q137" s="7" t="s">
        <v>449</v>
      </c>
      <c r="R137" s="14"/>
      <c r="S137" s="14"/>
      <c r="T137" s="14"/>
      <c r="U137" s="7" t="b">
        <v>0</v>
      </c>
      <c r="V137" s="7"/>
      <c r="W137" s="7" t="b">
        <v>0</v>
      </c>
      <c r="X137" s="7"/>
      <c r="Y137" s="7" t="b">
        <v>0</v>
      </c>
      <c r="Z137" s="7" t="b">
        <v>0</v>
      </c>
      <c r="AA137" s="7" t="b">
        <v>0</v>
      </c>
      <c r="AB137" s="7"/>
      <c r="AC137" s="7"/>
    </row>
    <row r="138" spans="1:29" s="20" customFormat="1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19" t="str" cm="1">
        <f t="array" ref="D138">GetValue("Tables",B138,"Alias")</f>
        <v>Unicity</v>
      </c>
      <c r="E138" s="9">
        <v>5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/>
      <c r="L138" s="9" t="str">
        <f t="array" ref="L138">GetValue("Tables",K138,"Name")</f>
        <v/>
      </c>
      <c r="M138" s="9" t="s">
        <v>0</v>
      </c>
      <c r="N138" s="9"/>
      <c r="O138" s="9" t="s">
        <v>472</v>
      </c>
      <c r="P138" s="9" t="s">
        <v>156</v>
      </c>
      <c r="Q138" s="9" t="s">
        <v>156</v>
      </c>
      <c r="R138" s="15"/>
      <c r="S138" s="15">
        <v>1</v>
      </c>
      <c r="T138" s="15"/>
      <c r="U138" s="9" t="b">
        <v>1</v>
      </c>
      <c r="V138" s="9" t="b">
        <v>1</v>
      </c>
      <c r="W138" s="9" t="b">
        <v>1</v>
      </c>
      <c r="X138" s="9"/>
      <c r="Y138" s="9" t="b">
        <v>1</v>
      </c>
      <c r="Z138" s="9" t="b">
        <v>0</v>
      </c>
      <c r="AA138" s="9" t="b">
        <v>0</v>
      </c>
      <c r="AB138" s="9"/>
      <c r="AC138" s="9" t="b">
        <v>0</v>
      </c>
    </row>
    <row r="139" spans="1:29" s="20" customFormat="1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19" t="str" cm="1">
        <f t="array" ref="D139">GetValue("Tables",B139,"Alias")</f>
        <v>Unicity</v>
      </c>
      <c r="E139" s="9">
        <f t="shared" ref="E139:E141" si="13">E138+5</f>
        <v>10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473</v>
      </c>
      <c r="N139" s="9"/>
      <c r="O139" s="9" t="s">
        <v>475</v>
      </c>
      <c r="P139" s="9" t="s">
        <v>475</v>
      </c>
      <c r="Q139" s="9" t="s">
        <v>477</v>
      </c>
      <c r="R139" s="15"/>
      <c r="S139" s="15"/>
      <c r="T139" s="15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</row>
    <row r="140" spans="1:29" s="20" customFormat="1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19" t="str" cm="1">
        <f t="array" ref="D140">GetValue("Tables",B140,"Alias")</f>
        <v>Unicity</v>
      </c>
      <c r="E140" s="9">
        <f t="shared" si="13"/>
        <v>15</v>
      </c>
      <c r="F140" s="9">
        <v>1</v>
      </c>
      <c r="G140" s="9" t="str">
        <f t="array" ref="G140">GetValue("Domains",F140,"Name")</f>
        <v>BigInteger</v>
      </c>
      <c r="H140" s="9" t="str" cm="1">
        <f t="array" ref="H140">GetValue("Domains",F140,"#CategoryName")</f>
        <v>number</v>
      </c>
      <c r="I140" s="9" t="str" cm="1">
        <f t="array" ref="I140">GetValue("Domains",F140,"#TypeName")</f>
        <v>bigint</v>
      </c>
      <c r="J140" s="9" t="str" cm="1">
        <f t="array" ref="J140">GetValue("Domains",F140,"#DataType")</f>
        <v>bigint</v>
      </c>
      <c r="K140" s="9">
        <v>14</v>
      </c>
      <c r="L140" s="9" t="str">
        <f t="array" ref="L140">GetValue("Tables",K140,"Name")</f>
        <v>Columns</v>
      </c>
      <c r="M140" s="9" t="s">
        <v>474</v>
      </c>
      <c r="N140" s="9"/>
      <c r="O140" s="9" t="s">
        <v>476</v>
      </c>
      <c r="P140" s="9" t="s">
        <v>476</v>
      </c>
      <c r="Q140" s="9" t="s">
        <v>478</v>
      </c>
      <c r="R140" s="15"/>
      <c r="S140" s="15"/>
      <c r="T140" s="15"/>
      <c r="U140" s="9" t="b">
        <v>0</v>
      </c>
      <c r="V140" s="9" t="b">
        <v>0</v>
      </c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 t="b">
        <v>0</v>
      </c>
    </row>
    <row r="141" spans="1:29" s="20" customFormat="1" x14ac:dyDescent="0.3">
      <c r="A141" s="9">
        <f t="shared" si="10"/>
        <v>140</v>
      </c>
      <c r="B141" s="9">
        <v>20</v>
      </c>
      <c r="C141" s="9" t="str">
        <f t="array" ref="C141">GetValue("Tables",B141,"Name")</f>
        <v>Unicities</v>
      </c>
      <c r="D141" s="19" t="str" cm="1">
        <f t="array" ref="D141">GetValue("Tables",B141,"Alias")</f>
        <v>Unicity</v>
      </c>
      <c r="E141" s="9">
        <f t="shared" si="13"/>
        <v>20</v>
      </c>
      <c r="F141" s="9">
        <v>6</v>
      </c>
      <c r="G141" s="9" t="str">
        <f t="array" ref="G141">GetValue("Domains",F141,"Name")</f>
        <v>Boolean</v>
      </c>
      <c r="H141" s="9" t="str" cm="1">
        <f t="array" ref="H141">GetValue("Domains",F141,"#CategoryName")</f>
        <v>boolean</v>
      </c>
      <c r="I141" s="9" t="str" cm="1">
        <f t="array" ref="I141">GetValue("Domains",F141,"#TypeName")</f>
        <v>bit</v>
      </c>
      <c r="J141" s="9" t="str" cm="1">
        <f t="array" ref="J141">GetValue("Domains",F141,"#DataType")</f>
        <v>bit</v>
      </c>
      <c r="K141" s="9"/>
      <c r="L141" s="9" t="str">
        <f t="array" ref="L141">GetValue("Tables",K141,"Name")</f>
        <v/>
      </c>
      <c r="M141" s="9" t="s">
        <v>470</v>
      </c>
      <c r="N141" s="9"/>
      <c r="O141" s="9" t="s">
        <v>485</v>
      </c>
      <c r="P141" s="9" t="s">
        <v>486</v>
      </c>
      <c r="Q141" s="9" t="s">
        <v>486</v>
      </c>
      <c r="R141" s="15"/>
      <c r="S141" s="15"/>
      <c r="T141" s="15"/>
      <c r="U141" s="9"/>
      <c r="V141" s="9"/>
      <c r="W141" s="9" t="b">
        <v>1</v>
      </c>
      <c r="X141" s="9"/>
      <c r="Y141" s="9" t="b">
        <v>1</v>
      </c>
      <c r="Z141" s="9" t="b">
        <v>1</v>
      </c>
      <c r="AA141" s="9" t="b">
        <v>1</v>
      </c>
      <c r="AB141" s="9"/>
      <c r="AC141" s="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343</v>
      </c>
      <c r="D1" s="1" t="s">
        <v>1</v>
      </c>
      <c r="E1" s="1" t="s">
        <v>262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298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290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292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291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293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348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367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294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354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420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295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296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349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419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313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297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350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423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351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352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468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353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361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566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567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487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554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555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346</v>
      </c>
      <c r="D1" s="1" t="s">
        <v>88</v>
      </c>
      <c r="E1" s="1" t="s">
        <v>270</v>
      </c>
      <c r="F1" s="1" t="s">
        <v>347</v>
      </c>
      <c r="G1" s="1" t="s">
        <v>273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136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138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139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139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138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330</v>
      </c>
      <c r="E1" s="1" t="s">
        <v>33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551</v>
      </c>
      <c r="C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D2" sqref="D2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445</v>
      </c>
      <c r="C1" s="1" t="s">
        <v>446</v>
      </c>
      <c r="D1" s="1" t="s">
        <v>456</v>
      </c>
      <c r="E1" s="1" t="s">
        <v>91</v>
      </c>
      <c r="F1" s="1" t="s">
        <v>490</v>
      </c>
      <c r="G1" s="1" t="s">
        <v>447</v>
      </c>
      <c r="H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473</v>
      </c>
      <c r="C1" s="1" t="s">
        <v>488</v>
      </c>
      <c r="D1" s="1" t="s">
        <v>479</v>
      </c>
      <c r="E1" s="1" t="s">
        <v>482</v>
      </c>
      <c r="F1" s="1" t="s">
        <v>483</v>
      </c>
      <c r="G1" s="1" t="s">
        <v>474</v>
      </c>
      <c r="H1" s="1" t="s">
        <v>489</v>
      </c>
      <c r="I1" s="1" t="s">
        <v>480</v>
      </c>
      <c r="J1" s="1" t="s">
        <v>481</v>
      </c>
      <c r="K1" s="1" t="s">
        <v>484</v>
      </c>
      <c r="L1" s="1" t="s">
        <v>470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12</v>
      </c>
      <c r="D2" t="str" cm="1">
        <f t="array" ref="D2">GetValue("Tables",C2,"Name",FALSE)</f>
        <v>Tables</v>
      </c>
      <c r="E2" t="str" cm="1">
        <f t="array" ref="E2">GetValue("Columns",B2,"#TableAlias",FALSE)</f>
        <v>Table</v>
      </c>
      <c r="F2" t="str" cm="1">
        <f t="array" ref="F2">GetValue("Columns",B2,"Name",FALSE)</f>
        <v>Id</v>
      </c>
      <c r="G2">
        <v>88</v>
      </c>
      <c r="H2" cm="1">
        <f t="array" ref="H2">GetValue("Columns",G2,"TableId",FALSE)</f>
        <v>12</v>
      </c>
      <c r="I2" t="str" cm="1">
        <f t="array" ref="I2">GetValue("Tables",H2,"Name",FALSE)</f>
        <v>Tables</v>
      </c>
      <c r="J2" t="str" cm="1">
        <f t="array" ref="J2">GetValue("Columns",G2,"#TableAlias",FALSE)</f>
        <v>Table</v>
      </c>
      <c r="K2" t="str" cm="1">
        <f t="array" ref="K2">GetValue("Columns",G2,"Name",FALSE)</f>
        <v>Name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20</vt:i4>
      </vt:variant>
    </vt:vector>
  </HeadingPairs>
  <TitlesOfParts>
    <vt:vector size="20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2025-04-16T03:56:39Z</dcterms:modified>
</cp:coreProperties>
</file>