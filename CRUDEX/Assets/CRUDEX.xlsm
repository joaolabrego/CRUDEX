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SGSI_CRUDEX\CRUDEX\Assets\"/>
    </mc:Choice>
  </mc:AlternateContent>
  <xr:revisionPtr revIDLastSave="0" documentId="13_ncr:1_{7DE5DEDF-7088-48DD-BEE5-A1D360634A2D}" xr6:coauthVersionLast="47" xr6:coauthVersionMax="47" xr10:uidLastSave="{00000000-0000-0000-0000-000000000000}"/>
  <bookViews>
    <workbookView xWindow="-108" yWindow="-108" windowWidth="23256" windowHeight="13176" tabRatio="969" activeTab="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citi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3" l="1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49" i="14"/>
  <c r="A48" i="14"/>
  <c r="A47" i="14"/>
  <c r="A30" i="13"/>
  <c r="A29" i="13"/>
  <c r="A46" i="14"/>
  <c r="A45" i="14"/>
  <c r="A44" i="14"/>
  <c r="A43" i="14"/>
  <c r="A42" i="14"/>
  <c r="A41" i="14"/>
  <c r="A40" i="14"/>
  <c r="A39" i="14"/>
  <c r="A38" i="14"/>
  <c r="A37" i="14"/>
  <c r="A31" i="13"/>
  <c r="A28" i="13"/>
  <c r="A27" i="13"/>
  <c r="A26" i="13"/>
  <c r="A2" i="22"/>
  <c r="A4" i="21"/>
  <c r="A3" i="21"/>
  <c r="A2" i="21"/>
  <c r="A149" i="12"/>
  <c r="A152" i="12"/>
  <c r="A151" i="12"/>
  <c r="A150" i="12"/>
  <c r="E150" i="12"/>
  <c r="E151" i="12" s="1"/>
  <c r="E152" i="12" s="1"/>
  <c r="A148" i="12"/>
  <c r="A147" i="12"/>
  <c r="E146" i="12"/>
  <c r="E147" i="12" s="1"/>
  <c r="E148" i="12" s="1"/>
  <c r="A146" i="12"/>
  <c r="A145" i="12"/>
  <c r="A22" i="17"/>
  <c r="A21" i="17"/>
  <c r="A22" i="11"/>
  <c r="A21" i="11"/>
  <c r="E121" i="12"/>
  <c r="A81" i="12"/>
  <c r="A82" i="12"/>
  <c r="H3" i="11" a="1"/>
  <c r="L63" i="12" a="1"/>
  <c r="L38" i="12" a="1"/>
  <c r="H19" i="11" a="1"/>
  <c r="C150" i="12" a="1"/>
  <c r="L79" i="12" a="1"/>
  <c r="D22" i="17" a="1"/>
  <c r="E19" i="4" a="1"/>
  <c r="L17" i="12" a="1"/>
  <c r="D5" i="17" a="1"/>
  <c r="L94" i="12" a="1"/>
  <c r="E20" i="4" a="1"/>
  <c r="E4" i="21" a="1"/>
  <c r="F29" i="14" a="1"/>
  <c r="L135" i="12" a="1"/>
  <c r="C11" i="14" a="1"/>
  <c r="L37" i="12" a="1"/>
  <c r="C21" i="14" a="1"/>
  <c r="E6" i="4" a="1"/>
  <c r="L67" i="12" a="1"/>
  <c r="D146" i="12" a="1"/>
  <c r="L30" i="12" a="1"/>
  <c r="L95" i="12" a="1"/>
  <c r="F14" i="14" a="1"/>
  <c r="C12" i="14" a="1"/>
  <c r="L115" i="12" a="1"/>
  <c r="C23" i="14" a="1"/>
  <c r="L90" i="12" a="1"/>
  <c r="C7" i="14" a="1"/>
  <c r="C10" i="14" a="1"/>
  <c r="D152" i="12" a="1"/>
  <c r="L40" i="12" a="1"/>
  <c r="C148" i="12" a="1"/>
  <c r="L71" i="12" a="1"/>
  <c r="F3" i="14" a="1"/>
  <c r="L59" i="12" a="1"/>
  <c r="F2" i="22" a="1"/>
  <c r="F43" i="14" a="1"/>
  <c r="L146" i="12" a="1"/>
  <c r="L93" i="12" a="1"/>
  <c r="G149" i="12" a="1"/>
  <c r="L60" i="12" a="1"/>
  <c r="F32" i="14" a="1"/>
  <c r="E3" i="21" a="1"/>
  <c r="C2" i="22" a="1"/>
  <c r="H11" i="11" a="1"/>
  <c r="L27" i="12" a="1"/>
  <c r="C19" i="14" a="1"/>
  <c r="F48" i="14" a="1"/>
  <c r="E22" i="4" a="1"/>
  <c r="L102" i="12" a="1"/>
  <c r="D10" i="17" a="1"/>
  <c r="L12" i="12" a="1"/>
  <c r="E17" i="4" a="1"/>
  <c r="G2" i="21" a="1"/>
  <c r="F7" i="14" a="1"/>
  <c r="L58" i="12" a="1"/>
  <c r="L46" i="12" a="1"/>
  <c r="G150" i="12" a="1"/>
  <c r="L119" i="12" a="1"/>
  <c r="D4" i="21" a="1"/>
  <c r="L84" i="12" a="1"/>
  <c r="C36" i="14" a="1"/>
  <c r="H7" i="11" a="1"/>
  <c r="D82" i="12" a="1"/>
  <c r="C6" i="14" a="1"/>
  <c r="F42" i="14" a="1"/>
  <c r="E12" i="4" a="1"/>
  <c r="G151" i="12" a="1"/>
  <c r="F2" i="10" a="1"/>
  <c r="L120" i="12" a="1"/>
  <c r="F15" i="14" a="1"/>
  <c r="C21" i="17" a="1"/>
  <c r="D3" i="17" a="1"/>
  <c r="L138" i="12" a="1"/>
  <c r="C9" i="14" a="1"/>
  <c r="L25" i="12" a="1"/>
  <c r="C46" i="14" a="1"/>
  <c r="L101" i="12" a="1"/>
  <c r="L64" i="12" a="1"/>
  <c r="C42" i="14" a="1"/>
  <c r="H10" i="11" a="1"/>
  <c r="L86" i="12" a="1"/>
  <c r="C43" i="14" a="1"/>
  <c r="C27" i="13" a="1"/>
  <c r="F35" i="14" a="1"/>
  <c r="L72" i="12" a="1"/>
  <c r="H4" i="21" a="1"/>
  <c r="L139" i="12" a="1"/>
  <c r="F13" i="14" a="1"/>
  <c r="F46" i="14" a="1"/>
  <c r="D8" i="17" a="1"/>
  <c r="L49" i="12" a="1"/>
  <c r="C25" i="14" a="1"/>
  <c r="L134" i="12" a="1"/>
  <c r="E16" i="4" a="1"/>
  <c r="L148" i="12" a="1"/>
  <c r="C18" i="14" a="1"/>
  <c r="C34" i="14" a="1"/>
  <c r="E2" i="4" a="1"/>
  <c r="L78" i="12" a="1"/>
  <c r="C3" i="14" a="1"/>
  <c r="L136" i="12" a="1"/>
  <c r="F33" i="14" a="1"/>
  <c r="L103" i="12" a="1"/>
  <c r="F21" i="17" a="1"/>
  <c r="L131" i="12" a="1"/>
  <c r="F30" i="14" a="1"/>
  <c r="F38" i="14" a="1"/>
  <c r="H3" i="21" a="1"/>
  <c r="L81" i="12" a="1"/>
  <c r="C40" i="14" a="1"/>
  <c r="L43" i="12" a="1"/>
  <c r="D18" i="17" a="1"/>
  <c r="L35" i="12" a="1"/>
  <c r="F22" i="11" a="1"/>
  <c r="E4" i="4" a="1"/>
  <c r="L8" i="12" a="1"/>
  <c r="C33" i="14" a="1"/>
  <c r="L24" i="12" a="1"/>
  <c r="F21" i="14" a="1"/>
  <c r="L70" i="12" a="1"/>
  <c r="C30" i="13" a="1"/>
  <c r="D150" i="12" a="1"/>
  <c r="G145" i="12" a="1"/>
  <c r="D2" i="21" a="1"/>
  <c r="L87" i="12" a="1"/>
  <c r="C2" i="14" a="1"/>
  <c r="L132" i="12" a="1"/>
  <c r="L16" i="12" a="1"/>
  <c r="L125" i="12" a="1"/>
  <c r="F28" i="14" a="1"/>
  <c r="L65" i="12" a="1"/>
  <c r="F40" i="14" a="1"/>
  <c r="D14" i="17" a="1"/>
  <c r="C82" i="12" a="1"/>
  <c r="L104" i="12" a="1"/>
  <c r="C26" i="14" a="1"/>
  <c r="C149" i="12" a="1"/>
  <c r="G147" i="12" a="1"/>
  <c r="L14" i="12" a="1"/>
  <c r="D15" i="17" a="1"/>
  <c r="L152" i="12" a="1"/>
  <c r="L61" i="12" a="1"/>
  <c r="C22" i="14" a="1"/>
  <c r="D21" i="17" a="1"/>
  <c r="D20" i="17" a="1"/>
  <c r="C152" i="12" a="1"/>
  <c r="C31" i="13" a="1"/>
  <c r="C26" i="13" a="1"/>
  <c r="L97" i="12" a="1"/>
  <c r="C45" i="14" a="1"/>
  <c r="C30" i="14" a="1"/>
  <c r="F22" i="17" a="1"/>
  <c r="C31" i="14" a="1"/>
  <c r="L75" i="12" a="1"/>
  <c r="C5" i="14" a="1"/>
  <c r="L34" i="12" a="1"/>
  <c r="L99" i="12" a="1"/>
  <c r="L56" i="12" a="1"/>
  <c r="L69" i="12" a="1"/>
  <c r="D145" i="12" a="1"/>
  <c r="L51" i="12" a="1"/>
  <c r="L29" i="12" a="1"/>
  <c r="F36" i="14" a="1"/>
  <c r="C28" i="13" a="1"/>
  <c r="F11" i="14" a="1"/>
  <c r="F24" i="14" a="1"/>
  <c r="C37" i="14" a="1"/>
  <c r="L126" i="12" a="1"/>
  <c r="F18" i="14" a="1"/>
  <c r="H2" i="22" a="1"/>
  <c r="H2" i="11" a="1"/>
  <c r="F8" i="14" a="1"/>
  <c r="L106" i="12" a="1"/>
  <c r="K2" i="22" a="1"/>
  <c r="L82" i="12" a="1"/>
  <c r="L23" i="12" a="1"/>
  <c r="L11" i="12" a="1"/>
  <c r="C8" i="14" a="1"/>
  <c r="F16" i="14" a="1"/>
  <c r="D151" i="12" a="1"/>
  <c r="D19" i="17" a="1"/>
  <c r="L108" i="12" a="1"/>
  <c r="L114" i="12" a="1"/>
  <c r="G152" i="12" a="1"/>
  <c r="L42" i="12" a="1"/>
  <c r="L48" i="12" a="1"/>
  <c r="L18" i="12" a="1"/>
  <c r="L50" i="12" a="1"/>
  <c r="L13" i="12" a="1"/>
  <c r="C14" i="14" a="1"/>
  <c r="C39" i="14" a="1"/>
  <c r="L150" i="12" a="1"/>
  <c r="L111" i="12" a="1"/>
  <c r="F5" i="14" a="1"/>
  <c r="L149" i="12" a="1"/>
  <c r="C4" i="14" a="1"/>
  <c r="L53" i="12" a="1"/>
  <c r="L147" i="12" a="1"/>
  <c r="L140" i="12" a="1"/>
  <c r="L129" i="12" a="1"/>
  <c r="F27" i="14" a="1"/>
  <c r="D7" i="17" a="1"/>
  <c r="D4" i="17" a="1"/>
  <c r="L109" i="12" a="1"/>
  <c r="E8" i="4" a="1"/>
  <c r="H9" i="11" a="1"/>
  <c r="L141" i="12" a="1"/>
  <c r="L74" i="12" a="1"/>
  <c r="L76" i="12" a="1"/>
  <c r="L45" i="12" a="1"/>
  <c r="E14" i="4" a="1"/>
  <c r="F21" i="11" a="1"/>
  <c r="C24" i="14" a="1"/>
  <c r="C17" i="14" a="1"/>
  <c r="D148" i="12" a="1"/>
  <c r="L62" i="12" a="1"/>
  <c r="F44" i="14" a="1"/>
  <c r="L117" i="12" a="1"/>
  <c r="F45" i="14" a="1"/>
  <c r="L96" i="12" a="1"/>
  <c r="G4" i="21" a="1"/>
  <c r="L91" i="12" a="1"/>
  <c r="L105" i="12" a="1"/>
  <c r="G3" i="21" a="1"/>
  <c r="L127" i="12" a="1"/>
  <c r="L143" i="12" a="1"/>
  <c r="C147" i="12" a="1"/>
  <c r="L151" i="12" a="1"/>
  <c r="L41" i="12" a="1"/>
  <c r="F49" i="14" a="1"/>
  <c r="L4" i="12" a="1"/>
  <c r="L116" i="12" a="1"/>
  <c r="F26" i="14" a="1"/>
  <c r="L145" i="12" a="1"/>
  <c r="L39" i="12" a="1"/>
  <c r="E2" i="21" a="1"/>
  <c r="D149" i="12" a="1"/>
  <c r="C35" i="14" a="1"/>
  <c r="L144" i="12" a="1"/>
  <c r="H5" i="11" a="1"/>
  <c r="H16" i="11" a="1"/>
  <c r="H15" i="11" a="1"/>
  <c r="C49" i="14" a="1"/>
  <c r="H22" i="11" a="1"/>
  <c r="H18" i="11" a="1"/>
  <c r="F12" i="14" a="1"/>
  <c r="L83" i="12" a="1"/>
  <c r="E10" i="4" a="1"/>
  <c r="L85" i="12" a="1"/>
  <c r="D2" i="17" a="1"/>
  <c r="L20" i="12" a="1"/>
  <c r="L124" i="12" a="1"/>
  <c r="L32" i="12" a="1"/>
  <c r="C29" i="13" a="1"/>
  <c r="G146" i="12" a="1"/>
  <c r="G81" i="12" a="1"/>
  <c r="L54" i="12" a="1"/>
  <c r="L47" i="12" a="1"/>
  <c r="D81" i="12" a="1"/>
  <c r="L52" i="12" a="1"/>
  <c r="G82" i="12" a="1"/>
  <c r="F10" i="14" a="1"/>
  <c r="F19" i="14" a="1"/>
  <c r="L68" i="12" a="1"/>
  <c r="E13" i="4" a="1"/>
  <c r="L73" i="12" a="1"/>
  <c r="D3" i="21" a="1"/>
  <c r="L21" i="12" a="1"/>
  <c r="L130" i="12" a="1"/>
  <c r="L133" i="12" a="1"/>
  <c r="F39" i="14" a="1"/>
  <c r="D147" i="12" a="1"/>
  <c r="L121" i="12" a="1"/>
  <c r="C151" i="12" a="1"/>
  <c r="C48" i="14" a="1"/>
  <c r="L123" i="12" a="1"/>
  <c r="L89" i="12" a="1"/>
  <c r="L88" i="12" a="1"/>
  <c r="F37" i="14" a="1"/>
  <c r="D16" i="17" a="1"/>
  <c r="L113" i="12" a="1"/>
  <c r="E3" i="4" a="1"/>
  <c r="L77" i="12" a="1"/>
  <c r="C22" i="17" a="1"/>
  <c r="L26" i="12" a="1"/>
  <c r="L57" i="12" a="1"/>
  <c r="G148" i="12" a="1"/>
  <c r="E7" i="4" a="1"/>
  <c r="L36" i="12" a="1"/>
  <c r="L55" i="12" a="1"/>
  <c r="C29" i="14" a="1"/>
  <c r="C32" i="14" a="1"/>
  <c r="L7" i="12" a="1"/>
  <c r="L107" i="12" a="1"/>
  <c r="C28" i="14" a="1"/>
  <c r="L118" i="12" a="1"/>
  <c r="D12" i="17" a="1"/>
  <c r="C145" i="12" a="1"/>
  <c r="F6" i="14" a="1"/>
  <c r="L9" i="12" a="1"/>
  <c r="F47" i="14" a="1"/>
  <c r="L28" i="12" a="1"/>
  <c r="L19" i="12" a="1"/>
  <c r="L122" i="12" a="1"/>
  <c r="E9" i="4" a="1"/>
  <c r="L112" i="12" a="1"/>
  <c r="C81" i="12" a="1"/>
  <c r="C47" i="14" a="1"/>
  <c r="C15" i="14" a="1"/>
  <c r="D13" i="17" a="1"/>
  <c r="L128" i="12" a="1"/>
  <c r="C20" i="14" a="1"/>
  <c r="C146" i="12" a="1"/>
  <c r="D17" i="17" a="1"/>
  <c r="L137" i="12" a="1"/>
  <c r="F4" i="14" a="1"/>
  <c r="L33" i="12" a="1"/>
  <c r="F41" i="14" a="1"/>
  <c r="E18" i="4" a="1"/>
  <c r="L5" i="12" a="1"/>
  <c r="C38" i="14" a="1"/>
  <c r="H2" i="9" a="1"/>
  <c r="L6" i="12" a="1"/>
  <c r="L110" i="12" a="1"/>
  <c r="C16" i="14" a="1"/>
  <c r="F31" i="14" a="1"/>
  <c r="E11" i="4" a="1"/>
  <c r="E21" i="4" a="1"/>
  <c r="E15" i="4" a="1"/>
  <c r="H2" i="21" a="1"/>
  <c r="L3" i="12" a="1"/>
  <c r="L92" i="12" a="1"/>
  <c r="L80" i="12" a="1"/>
  <c r="F25" i="14" a="1"/>
  <c r="L100" i="12" a="1"/>
  <c r="F20" i="14" a="1"/>
  <c r="E5" i="4" a="1"/>
  <c r="C41" i="14" a="1"/>
  <c r="D11" i="17" a="1"/>
  <c r="C13" i="14" a="1"/>
  <c r="L142" i="12" a="1"/>
  <c r="C27" i="14" a="1"/>
  <c r="D9" i="17" a="1"/>
  <c r="H14" i="11" a="1"/>
  <c r="L98" i="12" a="1"/>
  <c r="F34" i="14" a="1"/>
  <c r="F9" i="14" a="1"/>
  <c r="D6" i="17" a="1"/>
  <c r="L66" i="12" a="1"/>
  <c r="F23" i="14" a="1"/>
  <c r="C44" i="14" a="1"/>
  <c r="L22" i="12" a="1"/>
  <c r="L15" i="12" a="1"/>
  <c r="L31" i="12" a="1"/>
  <c r="L10" i="12" a="1"/>
  <c r="F17" i="14" a="1"/>
  <c r="L44" i="12" a="1"/>
  <c r="H6" i="11" a="1"/>
  <c r="H12" i="11" a="1"/>
  <c r="H8" i="11" a="1"/>
  <c r="H4" i="11" a="1"/>
  <c r="H20" i="11" a="1"/>
  <c r="H21" i="11" a="1"/>
  <c r="H17" i="11" a="1"/>
  <c r="H13" i="11" a="1"/>
  <c r="F22" i="14" a="1"/>
  <c r="H10" i="11" l="1"/>
  <c r="H7" i="11"/>
  <c r="H11" i="11"/>
  <c r="H19" i="11"/>
  <c r="H3" i="11"/>
  <c r="H13" i="11"/>
  <c r="H17" i="11"/>
  <c r="H21" i="11"/>
  <c r="H20" i="11"/>
  <c r="H4" i="11"/>
  <c r="H8" i="11"/>
  <c r="H12" i="11"/>
  <c r="H6" i="11"/>
  <c r="H14" i="11"/>
  <c r="H18" i="11"/>
  <c r="H22" i="11"/>
  <c r="H15" i="11"/>
  <c r="H16" i="11"/>
  <c r="H5" i="11"/>
  <c r="H9" i="11"/>
  <c r="H2" i="11"/>
  <c r="H2" i="22"/>
  <c r="C2" i="22"/>
  <c r="C44" i="14"/>
  <c r="C2" i="14"/>
  <c r="C10" i="14"/>
  <c r="C40" i="14"/>
  <c r="C11" i="14"/>
  <c r="C41" i="14"/>
  <c r="C12" i="14"/>
  <c r="C22" i="14"/>
  <c r="C42" i="14"/>
  <c r="C13" i="14"/>
  <c r="C23" i="14"/>
  <c r="C33" i="14"/>
  <c r="C43" i="14"/>
  <c r="C4" i="14"/>
  <c r="C14" i="14"/>
  <c r="C24" i="14"/>
  <c r="C34" i="14"/>
  <c r="C5" i="14"/>
  <c r="C15" i="14"/>
  <c r="C25" i="14"/>
  <c r="C35" i="14"/>
  <c r="C45" i="14"/>
  <c r="C20" i="14"/>
  <c r="C30" i="14"/>
  <c r="C21" i="14"/>
  <c r="C31" i="14"/>
  <c r="C32" i="14"/>
  <c r="C3" i="14"/>
  <c r="C6" i="14"/>
  <c r="C16" i="14"/>
  <c r="C26" i="14"/>
  <c r="C36" i="14"/>
  <c r="C46" i="14"/>
  <c r="C7" i="14"/>
  <c r="C17" i="14"/>
  <c r="C27" i="14"/>
  <c r="C37" i="14"/>
  <c r="C47" i="14"/>
  <c r="C8" i="14"/>
  <c r="C18" i="14"/>
  <c r="C28" i="14"/>
  <c r="C38" i="14"/>
  <c r="C48" i="14"/>
  <c r="C9" i="14"/>
  <c r="C19" i="14"/>
  <c r="C29" i="14"/>
  <c r="C39" i="14"/>
  <c r="C49" i="14"/>
  <c r="F47" i="14"/>
  <c r="F48" i="14"/>
  <c r="F49" i="14"/>
  <c r="C30" i="13"/>
  <c r="C29" i="13"/>
  <c r="F46" i="14"/>
  <c r="F45" i="14"/>
  <c r="F44" i="14"/>
  <c r="F43" i="14"/>
  <c r="F42" i="14"/>
  <c r="F41" i="14"/>
  <c r="F40" i="14"/>
  <c r="F39" i="14"/>
  <c r="F38" i="14"/>
  <c r="F37" i="14"/>
  <c r="C31" i="13"/>
  <c r="C28" i="13"/>
  <c r="C27" i="13"/>
  <c r="C26" i="13"/>
  <c r="K2" i="22"/>
  <c r="F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L149" i="12"/>
  <c r="L151" i="12"/>
  <c r="C152" i="12"/>
  <c r="D152" i="12"/>
  <c r="C151" i="12"/>
  <c r="G152" i="12"/>
  <c r="D151" i="12"/>
  <c r="C150" i="12"/>
  <c r="G151" i="12"/>
  <c r="D150" i="12"/>
  <c r="G150" i="12"/>
  <c r="L152" i="12"/>
  <c r="L150" i="12"/>
  <c r="C148" i="12"/>
  <c r="D148" i="12"/>
  <c r="G148" i="12"/>
  <c r="L148" i="12"/>
  <c r="L146" i="12"/>
  <c r="C147" i="12"/>
  <c r="D146" i="12"/>
  <c r="C145" i="12"/>
  <c r="D145" i="12"/>
  <c r="G145" i="12"/>
  <c r="L147" i="12"/>
  <c r="L145" i="12"/>
  <c r="D147" i="12"/>
  <c r="C146" i="12"/>
  <c r="G147" i="12"/>
  <c r="G146" i="12"/>
  <c r="C21" i="17"/>
  <c r="D21" i="17"/>
  <c r="F21" i="17"/>
  <c r="C22" i="17"/>
  <c r="D22" i="17"/>
  <c r="F22" i="17"/>
  <c r="F21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C81" i="12"/>
  <c r="G81" i="12"/>
  <c r="G82" i="12"/>
  <c r="C82" i="12"/>
  <c r="D82" i="12"/>
  <c r="H2" i="9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J56" i="12" a="1"/>
  <c r="J143" i="12" a="1"/>
  <c r="J3" i="12" a="1"/>
  <c r="J119" i="12" a="1"/>
  <c r="I2" i="22" a="1"/>
  <c r="J84" i="12" a="1"/>
  <c r="J98" i="12" a="1"/>
  <c r="J35" i="12" a="1"/>
  <c r="J72" i="12" a="1"/>
  <c r="J74" i="12" a="1"/>
  <c r="J77" i="12" a="1"/>
  <c r="J12" i="12" a="1"/>
  <c r="J67" i="12" a="1"/>
  <c r="J47" i="12" a="1"/>
  <c r="J62" i="12" a="1"/>
  <c r="J31" i="12" a="1"/>
  <c r="J80" i="12" a="1"/>
  <c r="J70" i="12" a="1"/>
  <c r="J66" i="12" a="1"/>
  <c r="J152" i="12" a="1"/>
  <c r="D66" i="12" a="1"/>
  <c r="J125" i="12" a="1"/>
  <c r="J32" i="12" a="1"/>
  <c r="J14" i="12" a="1"/>
  <c r="J132" i="12" a="1"/>
  <c r="J36" i="12" a="1"/>
  <c r="J8" i="12" a="1"/>
  <c r="J118" i="12" a="1"/>
  <c r="J75" i="12" a="1"/>
  <c r="J41" i="12" a="1"/>
  <c r="J130" i="12" a="1"/>
  <c r="J45" i="12" a="1"/>
  <c r="J141" i="12" a="1"/>
  <c r="J142" i="12" a="1"/>
  <c r="J73" i="12" a="1"/>
  <c r="J6" i="12" a="1"/>
  <c r="J137" i="12" a="1"/>
  <c r="J87" i="12" a="1"/>
  <c r="J27" i="12" a="1"/>
  <c r="J58" i="12" a="1"/>
  <c r="J40" i="12" a="1"/>
  <c r="J29" i="12" a="1"/>
  <c r="J136" i="12" a="1"/>
  <c r="J11" i="12" a="1"/>
  <c r="J48" i="12" a="1"/>
  <c r="J30" i="12" a="1"/>
  <c r="J102" i="12" a="1"/>
  <c r="G66" i="12" a="1"/>
  <c r="F2" i="14" a="1"/>
  <c r="J33" i="12" a="1"/>
  <c r="J92" i="12" a="1"/>
  <c r="J148" i="12" a="1"/>
  <c r="J101" i="12" a="1"/>
  <c r="J151" i="12" a="1"/>
  <c r="J138" i="12" a="1"/>
  <c r="J57" i="12" a="1"/>
  <c r="J55" i="12" a="1"/>
  <c r="J9" i="12" a="1"/>
  <c r="J20" i="12" a="1"/>
  <c r="J121" i="12" a="1"/>
  <c r="J91" i="12" a="1"/>
  <c r="J82" i="12" a="1"/>
  <c r="J122" i="12" a="1"/>
  <c r="J107" i="12" a="1"/>
  <c r="J116" i="12" a="1"/>
  <c r="J68" i="12" a="1"/>
  <c r="J60" i="12" a="1"/>
  <c r="J85" i="12" a="1"/>
  <c r="J94" i="12" a="1"/>
  <c r="J139" i="12" a="1"/>
  <c r="J93" i="12" a="1"/>
  <c r="J108" i="12" a="1"/>
  <c r="J105" i="12" a="1"/>
  <c r="J78" i="12" a="1"/>
  <c r="J81" i="12" a="1"/>
  <c r="J10" i="12" a="1"/>
  <c r="J96" i="12" a="1"/>
  <c r="J145" i="12" a="1"/>
  <c r="J18" i="12" a="1"/>
  <c r="J104" i="12" a="1"/>
  <c r="J123" i="12" a="1"/>
  <c r="J5" i="12" a="1"/>
  <c r="J135" i="12" a="1"/>
  <c r="J90" i="12" a="1"/>
  <c r="J28" i="12" a="1"/>
  <c r="J7" i="12" a="1"/>
  <c r="J112" i="12" a="1"/>
  <c r="J120" i="12" a="1"/>
  <c r="J149" i="12" a="1"/>
  <c r="J83" i="12" a="1"/>
  <c r="J50" i="12" a="1"/>
  <c r="J52" i="12" a="1"/>
  <c r="J71" i="12" a="1"/>
  <c r="J113" i="12" a="1"/>
  <c r="J19" i="12" a="1"/>
  <c r="J76" i="12" a="1"/>
  <c r="J127" i="12" a="1"/>
  <c r="J4" i="12" a="1"/>
  <c r="J44" i="12" a="1"/>
  <c r="J86" i="12" a="1"/>
  <c r="J89" i="12" a="1"/>
  <c r="J128" i="12" a="1"/>
  <c r="J115" i="12" a="1"/>
  <c r="J129" i="12" a="1"/>
  <c r="J124" i="12" a="1"/>
  <c r="D2" i="22" a="1"/>
  <c r="J17" i="12" a="1"/>
  <c r="J63" i="12" a="1"/>
  <c r="J88" i="12" a="1"/>
  <c r="J111" i="12" a="1"/>
  <c r="J23" i="12" a="1"/>
  <c r="J146" i="12" a="1"/>
  <c r="J53" i="12" a="1"/>
  <c r="J69" i="12" a="1"/>
  <c r="J38" i="12" a="1"/>
  <c r="J65" i="12" a="1"/>
  <c r="J15" i="12" a="1"/>
  <c r="J144" i="12" a="1"/>
  <c r="J26" i="12" a="1"/>
  <c r="J140" i="12" a="1"/>
  <c r="J99" i="12" a="1"/>
  <c r="J49" i="12" a="1"/>
  <c r="J110" i="12" a="1"/>
  <c r="J79" i="12" a="1"/>
  <c r="J42" i="12" a="1"/>
  <c r="J25" i="12" a="1"/>
  <c r="J24" i="12" a="1"/>
  <c r="J64" i="12" a="1"/>
  <c r="J54" i="12" a="1"/>
  <c r="J126" i="12" a="1"/>
  <c r="J109" i="12" a="1"/>
  <c r="J51" i="12" a="1"/>
  <c r="J103" i="12" a="1"/>
  <c r="J21" i="12" a="1"/>
  <c r="J117" i="12" a="1"/>
  <c r="J150" i="12" a="1"/>
  <c r="J147" i="12" a="1"/>
  <c r="J34" i="12" a="1"/>
  <c r="J39" i="12" a="1"/>
  <c r="J97" i="12" a="1"/>
  <c r="J59" i="12" a="1"/>
  <c r="J46" i="12" a="1"/>
  <c r="J95" i="12" a="1"/>
  <c r="J100" i="12" a="1"/>
  <c r="C66" i="12" a="1"/>
  <c r="J43" i="12" a="1"/>
  <c r="J22" i="12" a="1"/>
  <c r="J131" i="12" a="1"/>
  <c r="J61" i="12" a="1"/>
  <c r="J37" i="12" a="1"/>
  <c r="J16" i="12" a="1"/>
  <c r="J106" i="12" a="1"/>
  <c r="J133" i="12" a="1"/>
  <c r="J114" i="12" a="1"/>
  <c r="J134" i="12" a="1"/>
  <c r="J13" i="12" a="1"/>
  <c r="J58" i="12" l="1"/>
  <c r="J45" i="12"/>
  <c r="J14" i="12"/>
  <c r="J31" i="12"/>
  <c r="J35" i="12"/>
  <c r="J13" i="12"/>
  <c r="J5" i="12"/>
  <c r="J100" i="12"/>
  <c r="J34" i="12"/>
  <c r="J126" i="12"/>
  <c r="J49" i="12"/>
  <c r="J69" i="12"/>
  <c r="D2" i="22"/>
  <c r="J4" i="12"/>
  <c r="J83" i="12"/>
  <c r="J94" i="12"/>
  <c r="J82" i="12"/>
  <c r="J138" i="12"/>
  <c r="J102" i="12"/>
  <c r="J27" i="12"/>
  <c r="J130" i="12"/>
  <c r="J32" i="12"/>
  <c r="J62" i="12"/>
  <c r="J98" i="12"/>
  <c r="J135" i="12"/>
  <c r="J61" i="12"/>
  <c r="J145" i="12"/>
  <c r="J93" i="12"/>
  <c r="J147" i="12"/>
  <c r="J54" i="12"/>
  <c r="J99" i="12"/>
  <c r="J53" i="12"/>
  <c r="J124" i="12"/>
  <c r="J127" i="12"/>
  <c r="J149" i="12"/>
  <c r="J85" i="12"/>
  <c r="J91" i="12"/>
  <c r="J151" i="12"/>
  <c r="J30" i="12"/>
  <c r="J87" i="12"/>
  <c r="J41" i="12"/>
  <c r="J125" i="12"/>
  <c r="J47" i="12"/>
  <c r="J84" i="12"/>
  <c r="J134" i="12"/>
  <c r="J131" i="12"/>
  <c r="J96" i="12"/>
  <c r="J95" i="12"/>
  <c r="J150" i="12"/>
  <c r="J64" i="12"/>
  <c r="J140" i="12"/>
  <c r="J146" i="12"/>
  <c r="J129" i="12"/>
  <c r="J76" i="12"/>
  <c r="J120" i="12"/>
  <c r="J60" i="12"/>
  <c r="J121" i="12"/>
  <c r="J101" i="12"/>
  <c r="J48" i="12"/>
  <c r="J137" i="12"/>
  <c r="J75" i="12"/>
  <c r="J67" i="12"/>
  <c r="I2" i="22"/>
  <c r="J114" i="12"/>
  <c r="J123" i="12"/>
  <c r="J10" i="12"/>
  <c r="J46" i="12"/>
  <c r="J117" i="12"/>
  <c r="J24" i="12"/>
  <c r="J26" i="12"/>
  <c r="J23" i="12"/>
  <c r="J115" i="12"/>
  <c r="J19" i="12"/>
  <c r="J112" i="12"/>
  <c r="J68" i="12"/>
  <c r="J20" i="12"/>
  <c r="J148" i="12"/>
  <c r="J11" i="12"/>
  <c r="J6" i="12"/>
  <c r="J118" i="12"/>
  <c r="J152" i="12"/>
  <c r="J12" i="12"/>
  <c r="J119" i="12"/>
  <c r="J133" i="12"/>
  <c r="J22" i="12"/>
  <c r="J81" i="12"/>
  <c r="J59" i="12"/>
  <c r="J21" i="12"/>
  <c r="J25" i="12"/>
  <c r="J144" i="12"/>
  <c r="J111" i="12"/>
  <c r="J128" i="12"/>
  <c r="J113" i="12"/>
  <c r="J7" i="12"/>
  <c r="J116" i="12"/>
  <c r="J9" i="12"/>
  <c r="J92" i="12"/>
  <c r="J136" i="12"/>
  <c r="J73" i="12"/>
  <c r="J8" i="12"/>
  <c r="J66" i="12"/>
  <c r="J77" i="12"/>
  <c r="J3" i="12"/>
  <c r="J106" i="12"/>
  <c r="J104" i="12"/>
  <c r="J78" i="12"/>
  <c r="J139" i="12"/>
  <c r="J103" i="12"/>
  <c r="J42" i="12"/>
  <c r="J15" i="12"/>
  <c r="J88" i="12"/>
  <c r="J89" i="12"/>
  <c r="J71" i="12"/>
  <c r="J28" i="12"/>
  <c r="J107" i="12"/>
  <c r="J55" i="12"/>
  <c r="J33" i="12"/>
  <c r="J29" i="12"/>
  <c r="J142" i="12"/>
  <c r="J36" i="12"/>
  <c r="J70" i="12"/>
  <c r="J74" i="12"/>
  <c r="J143" i="12"/>
  <c r="J16" i="12"/>
  <c r="J43" i="12"/>
  <c r="J105" i="12"/>
  <c r="J97" i="12"/>
  <c r="J51" i="12"/>
  <c r="J79" i="12"/>
  <c r="J65" i="12"/>
  <c r="J63" i="12"/>
  <c r="J86" i="12"/>
  <c r="J52" i="12"/>
  <c r="J90" i="12"/>
  <c r="J122" i="12"/>
  <c r="J57" i="12"/>
  <c r="J40" i="12"/>
  <c r="J141" i="12"/>
  <c r="J132" i="12"/>
  <c r="J80" i="12"/>
  <c r="J72" i="12"/>
  <c r="J56" i="12"/>
  <c r="J37" i="12"/>
  <c r="J18" i="12"/>
  <c r="J108" i="12"/>
  <c r="J39" i="12"/>
  <c r="J109" i="12"/>
  <c r="J110" i="12"/>
  <c r="J38" i="12"/>
  <c r="J17" i="12"/>
  <c r="J44" i="12"/>
  <c r="J50" i="12"/>
  <c r="B3" i="21"/>
  <c r="B4" i="21"/>
  <c r="G22" i="17"/>
  <c r="G21" i="17"/>
  <c r="G66" i="12"/>
  <c r="C66" i="12"/>
  <c r="D66" i="12"/>
  <c r="F2" i="14"/>
  <c r="A76" i="12"/>
  <c r="A25" i="13"/>
  <c r="A20" i="17"/>
  <c r="A19" i="17"/>
  <c r="A22" i="4"/>
  <c r="C11" i="13" a="1"/>
  <c r="C25" i="13" a="1"/>
  <c r="C20" i="13" a="1"/>
  <c r="C18" i="13" a="1"/>
  <c r="C20" i="17" a="1"/>
  <c r="C6" i="13" a="1"/>
  <c r="C23" i="13" a="1"/>
  <c r="C14" i="13" a="1"/>
  <c r="C3" i="13" a="1"/>
  <c r="C7" i="13" a="1"/>
  <c r="D76" i="12" a="1"/>
  <c r="F20" i="17" a="1"/>
  <c r="C19" i="13" a="1"/>
  <c r="C22" i="4" a="1"/>
  <c r="C17" i="13" a="1"/>
  <c r="C8" i="13" a="1"/>
  <c r="C21" i="13" a="1"/>
  <c r="C13" i="13" a="1"/>
  <c r="F19" i="17" a="1"/>
  <c r="C16" i="13" a="1"/>
  <c r="C12" i="13" a="1"/>
  <c r="C24" i="13" a="1"/>
  <c r="C22" i="13" a="1"/>
  <c r="C76" i="12" a="1"/>
  <c r="C4" i="13" a="1"/>
  <c r="C15" i="13" a="1"/>
  <c r="C19" i="17" a="1"/>
  <c r="C10" i="13" a="1"/>
  <c r="C5" i="13" a="1"/>
  <c r="C9" i="13" a="1"/>
  <c r="G76" i="12" a="1"/>
  <c r="C76" i="12" l="1"/>
  <c r="D76" i="12"/>
  <c r="G76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G144" i="12" a="1"/>
  <c r="I141" i="12" a="1"/>
  <c r="C139" i="12" a="1"/>
  <c r="G121" i="12" a="1"/>
  <c r="C141" i="12" a="1"/>
  <c r="C142" i="12" a="1"/>
  <c r="C140" i="12" a="1"/>
  <c r="G142" i="12" a="1"/>
  <c r="D141" i="12" a="1"/>
  <c r="G140" i="12" a="1"/>
  <c r="C144" i="12" a="1"/>
  <c r="C138" i="12" a="1"/>
  <c r="C143" i="12" a="1"/>
  <c r="G137" i="12" a="1"/>
  <c r="C137" i="12" a="1"/>
  <c r="G104" i="12" a="1"/>
  <c r="D139" i="12" a="1"/>
  <c r="D137" i="12" a="1"/>
  <c r="C104" i="12" a="1"/>
  <c r="D144" i="12" a="1"/>
  <c r="G141" i="12" a="1"/>
  <c r="D143" i="12" a="1"/>
  <c r="D142" i="12" a="1"/>
  <c r="D104" i="12" a="1"/>
  <c r="D140" i="12" a="1"/>
  <c r="G143" i="12" a="1"/>
  <c r="D138" i="12" a="1"/>
  <c r="G138" i="12" a="1"/>
  <c r="G139" i="12" a="1"/>
  <c r="I141" i="12" l="1"/>
  <c r="G20" i="17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G73" i="12" a="1"/>
  <c r="F8" i="17" a="1"/>
  <c r="G69" i="12" a="1"/>
  <c r="F10" i="17" a="1"/>
  <c r="F17" i="17" a="1"/>
  <c r="G72" i="12" a="1"/>
  <c r="F13" i="17" a="1"/>
  <c r="C68" i="12" a="1"/>
  <c r="G68" i="12" a="1"/>
  <c r="D69" i="12" a="1"/>
  <c r="D72" i="12" a="1"/>
  <c r="G74" i="12" a="1"/>
  <c r="D64" i="12" a="1"/>
  <c r="D134" i="12" a="1"/>
  <c r="D136" i="12" a="1"/>
  <c r="F6" i="17" a="1"/>
  <c r="F14" i="17" a="1"/>
  <c r="F9" i="17" a="1"/>
  <c r="C67" i="12" a="1"/>
  <c r="C71" i="12" a="1"/>
  <c r="G65" i="12" a="1"/>
  <c r="G136" i="12" a="1"/>
  <c r="C73" i="12" a="1"/>
  <c r="G67" i="12" a="1"/>
  <c r="D68" i="12" a="1"/>
  <c r="G134" i="12" a="1"/>
  <c r="G135" i="12" a="1"/>
  <c r="F20" i="11" a="1"/>
  <c r="F19" i="11" a="1"/>
  <c r="F7" i="17" a="1"/>
  <c r="D73" i="12" a="1"/>
  <c r="G64" i="12" a="1"/>
  <c r="C70" i="12" a="1"/>
  <c r="C69" i="12" a="1"/>
  <c r="G71" i="12" a="1"/>
  <c r="F15" i="17" a="1"/>
  <c r="C72" i="12" a="1"/>
  <c r="F4" i="17" a="1"/>
  <c r="C65" i="12" a="1"/>
  <c r="D74" i="12" a="1"/>
  <c r="F5" i="17" a="1"/>
  <c r="D65" i="12" a="1"/>
  <c r="F18" i="11" a="1"/>
  <c r="F18" i="17" a="1"/>
  <c r="D70" i="12" a="1"/>
  <c r="F12" i="17" a="1"/>
  <c r="D67" i="12" a="1"/>
  <c r="C74" i="12" a="1"/>
  <c r="C135" i="12" a="1"/>
  <c r="C136" i="12" a="1"/>
  <c r="D135" i="12" a="1"/>
  <c r="C64" i="12" a="1"/>
  <c r="C10" i="17" a="1"/>
  <c r="F16" i="17" a="1"/>
  <c r="F3" i="17" a="1"/>
  <c r="F11" i="17" a="1"/>
  <c r="G70" i="12" a="1"/>
  <c r="D71" i="12" a="1"/>
  <c r="C134" i="12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G115" i="12" a="1"/>
  <c r="G111" i="12" a="1"/>
  <c r="D41" i="12" a="1"/>
  <c r="G4" i="12" a="1"/>
  <c r="C14" i="17" a="1"/>
  <c r="G79" i="12" a="1"/>
  <c r="G25" i="12" a="1"/>
  <c r="G113" i="12" a="1"/>
  <c r="D77" i="12" a="1"/>
  <c r="D62" i="12" a="1"/>
  <c r="D121" i="12" a="1"/>
  <c r="G91" i="12" a="1"/>
  <c r="G36" i="12" a="1"/>
  <c r="D133" i="12" a="1"/>
  <c r="G117" i="12" a="1"/>
  <c r="D57" i="12" a="1"/>
  <c r="G102" i="12" a="1"/>
  <c r="C3" i="17" a="1"/>
  <c r="G53" i="12" a="1"/>
  <c r="D5" i="12" a="1"/>
  <c r="D19" i="12" a="1"/>
  <c r="D9" i="12" a="1"/>
  <c r="D37" i="12" a="1"/>
  <c r="D48" i="12" a="1"/>
  <c r="D89" i="12" a="1"/>
  <c r="D17" i="12" a="1"/>
  <c r="D109" i="12" a="1"/>
  <c r="C5" i="6" a="1"/>
  <c r="G75" i="12" a="1"/>
  <c r="D103" i="12" a="1"/>
  <c r="D123" i="12" a="1"/>
  <c r="D127" i="12" a="1"/>
  <c r="D122" i="12" a="1"/>
  <c r="G85" i="12" a="1"/>
  <c r="C11" i="6" a="1"/>
  <c r="G86" i="12" a="1"/>
  <c r="D101" i="12" a="1"/>
  <c r="D28" i="12" a="1"/>
  <c r="C13" i="6" a="1"/>
  <c r="D79" i="12" a="1"/>
  <c r="G27" i="12" a="1"/>
  <c r="D31" i="12" a="1"/>
  <c r="G78" i="12" a="1"/>
  <c r="D45" i="12" a="1"/>
  <c r="D112" i="12" a="1"/>
  <c r="G87" i="12" a="1"/>
  <c r="G43" i="12" a="1"/>
  <c r="D93" i="12" a="1"/>
  <c r="G30" i="12" a="1"/>
  <c r="C6" i="6" a="1"/>
  <c r="D4" i="12" a="1"/>
  <c r="G114" i="12" a="1"/>
  <c r="G109" i="12" a="1"/>
  <c r="D43" i="12" a="1"/>
  <c r="D59" i="12" a="1"/>
  <c r="D87" i="12" a="1"/>
  <c r="D98" i="12" a="1"/>
  <c r="D107" i="12" a="1"/>
  <c r="G22" i="12" a="1"/>
  <c r="G7" i="12" a="1"/>
  <c r="C2" i="10" a="1"/>
  <c r="G24" i="12" a="1"/>
  <c r="D97" i="12" a="1"/>
  <c r="C16" i="17" a="1"/>
  <c r="C7" i="6" a="1"/>
  <c r="G51" i="12" a="1"/>
  <c r="D36" i="12" a="1"/>
  <c r="G58" i="12" a="1"/>
  <c r="G2" i="12" a="1"/>
  <c r="G83" i="12" a="1"/>
  <c r="D26" i="12" a="1"/>
  <c r="G123" i="12" a="1"/>
  <c r="D105" i="12" a="1"/>
  <c r="G44" i="12" a="1"/>
  <c r="D83" i="12" a="1"/>
  <c r="G52" i="12" a="1"/>
  <c r="D3" i="12" a="1"/>
  <c r="G15" i="12" a="1"/>
  <c r="C17" i="12" a="1"/>
  <c r="D113" i="12" a="1"/>
  <c r="G122" i="12" a="1"/>
  <c r="D61" i="12" a="1"/>
  <c r="C5" i="17" a="1"/>
  <c r="G18" i="12" a="1"/>
  <c r="C4" i="17" a="1"/>
  <c r="D75" i="12" a="1"/>
  <c r="C35" i="2" a="1"/>
  <c r="D25" i="12" a="1"/>
  <c r="D102" i="12" a="1"/>
  <c r="D95" i="12" a="1"/>
  <c r="D94" i="12" a="1"/>
  <c r="G23" i="12" a="1"/>
  <c r="D24" i="12" a="1"/>
  <c r="C8" i="6" a="1"/>
  <c r="G103" i="12" a="1"/>
  <c r="D125" i="12" a="1"/>
  <c r="D33" i="12" a="1"/>
  <c r="D10" i="12" a="1"/>
  <c r="D58" i="12" a="1"/>
  <c r="D129" i="12" a="1"/>
  <c r="D6" i="12" a="1"/>
  <c r="D46" i="12" a="1"/>
  <c r="C3" i="8" a="1"/>
  <c r="G95" i="12" a="1"/>
  <c r="D96" i="12" a="1"/>
  <c r="G116" i="12" a="1"/>
  <c r="D50" i="12" a="1"/>
  <c r="D44" i="12" a="1"/>
  <c r="D130" i="12" a="1"/>
  <c r="D30" i="12" a="1"/>
  <c r="G110" i="12" a="1"/>
  <c r="G101" i="12" a="1"/>
  <c r="G55" i="12" a="1"/>
  <c r="C3" i="6" a="1"/>
  <c r="G45" i="12" a="1"/>
  <c r="D115" i="12" a="1"/>
  <c r="D60" i="12" a="1"/>
  <c r="D120" i="12" a="1"/>
  <c r="C2" i="6" a="1"/>
  <c r="C12" i="6" a="1"/>
  <c r="D80" i="12" a="1"/>
  <c r="D128" i="12" a="1"/>
  <c r="D32" i="12" a="1"/>
  <c r="D47" i="12" a="1"/>
  <c r="G120" i="12" a="1"/>
  <c r="D111" i="12" a="1"/>
  <c r="C6" i="17" a="1"/>
  <c r="G28" i="12" a="1"/>
  <c r="D99" i="12" a="1"/>
  <c r="G105" i="12" a="1"/>
  <c r="C18" i="17" a="1"/>
  <c r="D14" i="12" a="1"/>
  <c r="C11" i="17" a="1"/>
  <c r="D13" i="12" a="1"/>
  <c r="D126" i="12" a="1"/>
  <c r="G16" i="12" a="1"/>
  <c r="G32" i="12" a="1"/>
  <c r="D114" i="12" a="1"/>
  <c r="G8" i="12" a="1"/>
  <c r="G50" i="12" a="1"/>
  <c r="D8" i="12" a="1"/>
  <c r="G119" i="12" a="1"/>
  <c r="C37" i="2" a="1"/>
  <c r="D54" i="12" a="1"/>
  <c r="D12" i="12" a="1"/>
  <c r="C9" i="6" a="1"/>
  <c r="G62" i="12" a="1"/>
  <c r="G20" i="12" a="1"/>
  <c r="D18" i="12" a="1"/>
  <c r="D88" i="12" a="1"/>
  <c r="G125" i="12" a="1"/>
  <c r="D40" i="12" a="1"/>
  <c r="G126" i="12" a="1"/>
  <c r="G6" i="12" a="1"/>
  <c r="D38" i="12" a="1"/>
  <c r="D86" i="12" a="1"/>
  <c r="C4" i="6" a="1"/>
  <c r="G21" i="12" a="1"/>
  <c r="G57" i="12" a="1"/>
  <c r="G99" i="12" a="1"/>
  <c r="D52" i="12" a="1"/>
  <c r="G49" i="12" a="1"/>
  <c r="G124" i="12" a="1"/>
  <c r="D55" i="12" a="1"/>
  <c r="G19" i="12" a="1"/>
  <c r="G38" i="12" a="1"/>
  <c r="G90" i="12" a="1"/>
  <c r="G31" i="12" a="1"/>
  <c r="G127" i="12" a="1"/>
  <c r="D22" i="12" a="1"/>
  <c r="G129" i="12" a="1"/>
  <c r="D49" i="12" a="1"/>
  <c r="G13" i="12" a="1"/>
  <c r="D2" i="12" a="1"/>
  <c r="G77" i="12" a="1"/>
  <c r="D106" i="12" a="1"/>
  <c r="D85" i="12" a="1"/>
  <c r="D110" i="12" a="1"/>
  <c r="G59" i="12" a="1"/>
  <c r="D118" i="12" a="1"/>
  <c r="G94" i="12" a="1"/>
  <c r="G56" i="12" a="1"/>
  <c r="G89" i="12" a="1"/>
  <c r="G5" i="12" a="1"/>
  <c r="C15" i="17" a="1"/>
  <c r="C8" i="17" a="1"/>
  <c r="G108" i="12" a="1"/>
  <c r="D100" i="12" a="1"/>
  <c r="G63" i="12" a="1"/>
  <c r="D29" i="12" a="1"/>
  <c r="G26" i="12" a="1"/>
  <c r="C17" i="17" a="1"/>
  <c r="D117" i="12" a="1"/>
  <c r="C2" i="17" a="1"/>
  <c r="G131" i="12" a="1"/>
  <c r="G80" i="12" a="1"/>
  <c r="G60" i="12" a="1"/>
  <c r="D92" i="12" a="1"/>
  <c r="G33" i="12" a="1"/>
  <c r="C12" i="17" a="1"/>
  <c r="G46" i="12" a="1"/>
  <c r="G133" i="12" a="1"/>
  <c r="D16" i="12" a="1"/>
  <c r="C11" i="12" a="1"/>
  <c r="D124" i="12" a="1"/>
  <c r="G10" i="12" a="1"/>
  <c r="G132" i="12" a="1"/>
  <c r="D15" i="12" a="1"/>
  <c r="C10" i="6" a="1"/>
  <c r="G11" i="12" a="1"/>
  <c r="D20" i="12" a="1"/>
  <c r="C2" i="8" a="1"/>
  <c r="D53" i="12" a="1"/>
  <c r="G88" i="12" a="1"/>
  <c r="D27" i="12" a="1"/>
  <c r="D132" i="12" a="1"/>
  <c r="C13" i="17" a="1"/>
  <c r="G84" i="12" a="1"/>
  <c r="D35" i="12" a="1"/>
  <c r="G48" i="12" a="1"/>
  <c r="G3" i="12" a="1"/>
  <c r="G54" i="12" a="1"/>
  <c r="D51" i="12" a="1"/>
  <c r="G34" i="12" a="1"/>
  <c r="D119" i="12" a="1"/>
  <c r="G96" i="12" a="1"/>
  <c r="G112" i="12" a="1"/>
  <c r="G92" i="12" a="1"/>
  <c r="G106" i="12" a="1"/>
  <c r="D39" i="12" a="1"/>
  <c r="G35" i="12" a="1"/>
  <c r="D11" i="12" a="1"/>
  <c r="D21" i="12" a="1"/>
  <c r="D116" i="12" a="1"/>
  <c r="G47" i="12" a="1"/>
  <c r="C22" i="2" a="1"/>
  <c r="C118" i="12" a="1"/>
  <c r="G97" i="12" a="1"/>
  <c r="G118" i="12" a="1"/>
  <c r="G14" i="12" a="1"/>
  <c r="G42" i="12" a="1"/>
  <c r="G39" i="12" a="1"/>
  <c r="D63" i="12" a="1"/>
  <c r="G107" i="12" a="1"/>
  <c r="G61" i="12" a="1"/>
  <c r="G41" i="12" a="1"/>
  <c r="D91" i="12" a="1"/>
  <c r="G100" i="12" a="1"/>
  <c r="G93" i="12" a="1"/>
  <c r="C7" i="17" a="1"/>
  <c r="G98" i="12" a="1"/>
  <c r="D108" i="12" a="1"/>
  <c r="D56" i="12" a="1"/>
  <c r="G40" i="12" a="1"/>
  <c r="G128" i="12" a="1"/>
  <c r="D34" i="12" a="1"/>
  <c r="D23" i="12" a="1"/>
  <c r="G12" i="12" a="1"/>
  <c r="D42" i="12" a="1"/>
  <c r="D84" i="12" a="1"/>
  <c r="D78" i="12" a="1"/>
  <c r="G29" i="12" a="1"/>
  <c r="G130" i="12" a="1"/>
  <c r="D7" i="12" a="1"/>
  <c r="D90" i="12" a="1"/>
  <c r="G37" i="12" a="1"/>
  <c r="G9" i="12" a="1"/>
  <c r="D131" i="12" a="1"/>
  <c r="C9" i="17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2" i="6" a="1"/>
  <c r="I6" i="6" a="1"/>
  <c r="I4" i="6" a="1"/>
  <c r="I3" i="6" a="1"/>
  <c r="I7" i="6" a="1"/>
  <c r="I13" i="6" a="1"/>
  <c r="E2" i="22" a="1"/>
  <c r="I5" i="6" a="1"/>
  <c r="I11" i="6" a="1"/>
  <c r="J2" i="22" a="1"/>
  <c r="I10" i="6" a="1"/>
  <c r="D16" i="4" a="1"/>
  <c r="D14" i="4" a="1"/>
  <c r="D18" i="4" a="1"/>
  <c r="D15" i="4" a="1"/>
  <c r="D13" i="4" a="1"/>
  <c r="I2" i="6" a="1"/>
  <c r="I9" i="6" a="1"/>
  <c r="I8" i="6" a="1"/>
  <c r="D13" i="4" l="1"/>
  <c r="D15" i="4"/>
  <c r="D18" i="4"/>
  <c r="D14" i="4"/>
  <c r="D16" i="4"/>
  <c r="J2" i="22"/>
  <c r="E2" i="22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5" i="4" a="1"/>
  <c r="G17" i="4" a="1"/>
  <c r="C46" i="12" a="1"/>
  <c r="G6" i="4" a="1"/>
  <c r="G2" i="4" a="1"/>
  <c r="G12" i="4" a="1"/>
  <c r="G18" i="4" a="1"/>
  <c r="G7" i="4" a="1"/>
  <c r="G13" i="4" a="1"/>
  <c r="G5" i="4" a="1"/>
  <c r="H108" i="12" a="1"/>
  <c r="G16" i="4" a="1"/>
  <c r="H37" i="12" a="1"/>
  <c r="G10" i="4" a="1"/>
  <c r="H110" i="12" a="1"/>
  <c r="G9" i="4" a="1"/>
  <c r="H38" i="12" a="1"/>
  <c r="G19" i="4" a="1"/>
  <c r="H17" i="12" a="1"/>
  <c r="G20" i="4" a="1"/>
  <c r="H18" i="12" a="1"/>
  <c r="H142" i="12" a="1"/>
  <c r="H39" i="12" a="1"/>
  <c r="H70" i="12" a="1"/>
  <c r="H109" i="12" a="1"/>
  <c r="H29" i="12" a="1"/>
  <c r="G3" i="4" a="1"/>
  <c r="H74" i="12" a="1"/>
  <c r="G14" i="4" a="1"/>
  <c r="H36" i="12" a="1"/>
  <c r="C2" i="12" a="1"/>
  <c r="H143" i="12" a="1"/>
  <c r="G8" i="4" a="1"/>
  <c r="G4" i="4" a="1"/>
  <c r="G21" i="4" a="1"/>
  <c r="C91" i="12" a="1"/>
  <c r="G11" i="4" a="1"/>
  <c r="H143" i="12" l="1"/>
  <c r="H36" i="12"/>
  <c r="H74" i="12"/>
  <c r="H29" i="12"/>
  <c r="H70" i="12"/>
  <c r="H142" i="12"/>
  <c r="H109" i="12"/>
  <c r="H39" i="12"/>
  <c r="H18" i="12"/>
  <c r="H17" i="12"/>
  <c r="H38" i="12"/>
  <c r="H110" i="12"/>
  <c r="H37" i="12"/>
  <c r="H108" i="12"/>
  <c r="C91" i="12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F5" i="11" a="1"/>
  <c r="C6" i="4" a="1"/>
  <c r="F4" i="11" a="1"/>
  <c r="C2" i="13" a="1"/>
  <c r="F2" i="17" a="1"/>
  <c r="C9" i="2" a="1"/>
  <c r="C27" i="2" a="1"/>
  <c r="C34" i="2" a="1"/>
  <c r="C13" i="2" a="1"/>
  <c r="C33" i="2" a="1"/>
  <c r="C14" i="4" a="1"/>
  <c r="C7" i="2" a="1"/>
  <c r="F3" i="11" a="1"/>
  <c r="C5" i="2" a="1"/>
  <c r="C4" i="2" a="1"/>
  <c r="C23" i="2" a="1"/>
  <c r="C11" i="4" a="1"/>
  <c r="C21" i="2" a="1"/>
  <c r="F17" i="11" a="1"/>
  <c r="C10" i="2" a="1"/>
  <c r="C19" i="2" a="1"/>
  <c r="C3" i="2" a="1"/>
  <c r="E2" i="10" a="1"/>
  <c r="F8" i="11" a="1"/>
  <c r="F13" i="11" a="1"/>
  <c r="C12" i="2" a="1"/>
  <c r="C20" i="4" a="1"/>
  <c r="C29" i="2" a="1"/>
  <c r="C30" i="2" a="1"/>
  <c r="C25" i="2" a="1"/>
  <c r="C5" i="4" a="1"/>
  <c r="C12" i="4" a="1"/>
  <c r="F16" i="11" a="1"/>
  <c r="F6" i="11" a="1"/>
  <c r="C26" i="2" a="1"/>
  <c r="C36" i="2" a="1"/>
  <c r="C16" i="2" a="1"/>
  <c r="C28" i="2" a="1"/>
  <c r="C4" i="4" a="1"/>
  <c r="F15" i="11" a="1"/>
  <c r="C9" i="4" a="1"/>
  <c r="F7" i="11" a="1"/>
  <c r="F2" i="11" a="1"/>
  <c r="C20" i="2" a="1"/>
  <c r="C6" i="2" a="1"/>
  <c r="C17" i="2" a="1"/>
  <c r="C10" i="4" a="1"/>
  <c r="C32" i="2" a="1"/>
  <c r="E3" i="8" a="1"/>
  <c r="C8" i="2" a="1"/>
  <c r="C7" i="4" a="1"/>
  <c r="C16" i="4" a="1"/>
  <c r="F12" i="11" a="1"/>
  <c r="C13" i="4" a="1"/>
  <c r="C2" i="4" a="1"/>
  <c r="C21" i="4" a="1"/>
  <c r="C2" i="2" a="1"/>
  <c r="C31" i="2" a="1"/>
  <c r="C11" i="2" a="1"/>
  <c r="C14" i="2" a="1"/>
  <c r="C24" i="2" a="1"/>
  <c r="C18" i="4" a="1"/>
  <c r="C8" i="4" a="1"/>
  <c r="C19" i="4" a="1"/>
  <c r="C38" i="2" a="1"/>
  <c r="F9" i="11" a="1"/>
  <c r="F14" i="11" a="1"/>
  <c r="C18" i="2" a="1"/>
  <c r="C17" i="4" a="1"/>
  <c r="C15" i="4" a="1"/>
  <c r="E2" i="8" a="1"/>
  <c r="C3" i="4" a="1"/>
  <c r="C15" i="2" a="1"/>
  <c r="F11" i="11" a="1"/>
  <c r="F15" i="11" l="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C77" i="12" a="1"/>
  <c r="I138" i="12" a="1"/>
  <c r="I93" i="12" a="1"/>
  <c r="C83" i="12" a="1"/>
  <c r="I22" i="12" a="1"/>
  <c r="I46" i="12" a="1"/>
  <c r="C115" i="12" a="1"/>
  <c r="I4" i="12" a="1"/>
  <c r="D4" i="4" a="1"/>
  <c r="C59" i="12" a="1"/>
  <c r="I52" i="12" a="1"/>
  <c r="I33" i="12" a="1"/>
  <c r="C7" i="12" a="1"/>
  <c r="C41" i="12" a="1"/>
  <c r="I35" i="12" a="1"/>
  <c r="I88" i="12" a="1"/>
  <c r="C88" i="12" a="1"/>
  <c r="C102" i="12" a="1"/>
  <c r="C54" i="12" a="1"/>
  <c r="I99" i="12" a="1"/>
  <c r="I140" i="12" a="1"/>
  <c r="L2" i="12" a="1"/>
  <c r="I24" i="12" a="1"/>
  <c r="C57" i="12" a="1"/>
  <c r="D10" i="4" a="1"/>
  <c r="I13" i="12" a="1"/>
  <c r="C40" i="12" a="1"/>
  <c r="I61" i="12" a="1"/>
  <c r="C126" i="12" a="1"/>
  <c r="I23" i="12" a="1"/>
  <c r="D11" i="4" a="1"/>
  <c r="C43" i="12" a="1"/>
  <c r="C120" i="12" a="1"/>
  <c r="I76" i="12" a="1"/>
  <c r="I134" i="12" a="1"/>
  <c r="I30" i="12" a="1"/>
  <c r="I6" i="12" a="1"/>
  <c r="I136" i="12" a="1"/>
  <c r="C84" i="12" a="1"/>
  <c r="C29" i="12" a="1"/>
  <c r="I58" i="12" a="1"/>
  <c r="C124" i="12" a="1"/>
  <c r="C112" i="12" a="1"/>
  <c r="C98" i="12" a="1"/>
  <c r="I75" i="12" a="1"/>
  <c r="I85" i="12" a="1"/>
  <c r="I96" i="12" a="1"/>
  <c r="C27" i="12" a="1"/>
  <c r="I152" i="12" a="1"/>
  <c r="I116" i="12" a="1"/>
  <c r="C117" i="12" a="1"/>
  <c r="D21" i="4" a="1"/>
  <c r="I31" i="12" a="1"/>
  <c r="C32" i="12" a="1"/>
  <c r="I106" i="12" a="1"/>
  <c r="C86" i="12" a="1"/>
  <c r="C14" i="12" a="1"/>
  <c r="I32" i="12" a="1"/>
  <c r="I53" i="12" a="1"/>
  <c r="I130" i="12" a="1"/>
  <c r="I133" i="12" a="1"/>
  <c r="I119" i="12" a="1"/>
  <c r="C130" i="12" a="1"/>
  <c r="C80" i="12" a="1"/>
  <c r="I14" i="12" a="1"/>
  <c r="I28" i="12" a="1"/>
  <c r="C127" i="12" a="1"/>
  <c r="I111" i="12" a="1"/>
  <c r="C31" i="12" a="1"/>
  <c r="I42" i="12" a="1"/>
  <c r="C36" i="12" a="1"/>
  <c r="I129" i="12" a="1"/>
  <c r="I16" i="12" a="1"/>
  <c r="C47" i="12" a="1"/>
  <c r="C101" i="12" a="1"/>
  <c r="C89" i="12" a="1"/>
  <c r="C19" i="12" a="1"/>
  <c r="I137" i="12" a="1"/>
  <c r="D9" i="4" a="1"/>
  <c r="I104" i="12" a="1"/>
  <c r="I121" i="12" a="1"/>
  <c r="I27" i="12" a="1"/>
  <c r="I21" i="12" a="1"/>
  <c r="C61" i="12" a="1"/>
  <c r="C4" i="12" a="1"/>
  <c r="C33" i="12" a="1"/>
  <c r="I142" i="12" a="1"/>
  <c r="I91" i="12" a="1"/>
  <c r="C107" i="12" a="1"/>
  <c r="I118" i="12" a="1"/>
  <c r="C63" i="12" a="1"/>
  <c r="C45" i="12" a="1"/>
  <c r="I34" i="12" a="1"/>
  <c r="I36" i="12" a="1"/>
  <c r="I124" i="12" a="1"/>
  <c r="I127" i="12" a="1"/>
  <c r="C20" i="12" a="1"/>
  <c r="I8" i="12" a="1"/>
  <c r="I72" i="12" a="1"/>
  <c r="C111" i="12" a="1"/>
  <c r="I108" i="12" a="1"/>
  <c r="C44" i="12" a="1"/>
  <c r="I69" i="12" a="1"/>
  <c r="I66" i="12" a="1"/>
  <c r="I143" i="12" a="1"/>
  <c r="I40" i="12" a="1"/>
  <c r="I47" i="12" a="1"/>
  <c r="I82" i="12" a="1"/>
  <c r="I11" i="12" a="1"/>
  <c r="I68" i="12" a="1"/>
  <c r="D6" i="4" a="1"/>
  <c r="I109" i="12" a="1"/>
  <c r="I126" i="12" a="1"/>
  <c r="I50" i="12" a="1"/>
  <c r="I94" i="12" a="1"/>
  <c r="I150" i="12" a="1"/>
  <c r="C78" i="12" a="1"/>
  <c r="I117" i="12" a="1"/>
  <c r="I25" i="12" a="1"/>
  <c r="C58" i="12" a="1"/>
  <c r="I38" i="12" a="1"/>
  <c r="C85" i="12" a="1"/>
  <c r="I100" i="12" a="1"/>
  <c r="I78" i="12" a="1"/>
  <c r="I29" i="12" a="1"/>
  <c r="C93" i="12" a="1"/>
  <c r="I149" i="12" a="1"/>
  <c r="C25" i="12" a="1"/>
  <c r="I62" i="12" a="1"/>
  <c r="I135" i="12" a="1"/>
  <c r="C116" i="12" a="1"/>
  <c r="I9" i="12" a="1"/>
  <c r="I114" i="12" a="1"/>
  <c r="C79" i="12" a="1"/>
  <c r="D20" i="4" a="1"/>
  <c r="D3" i="4" a="1"/>
  <c r="D17" i="4" a="1"/>
  <c r="I7" i="12" a="1"/>
  <c r="C95" i="12" a="1"/>
  <c r="C99" i="12" a="1"/>
  <c r="I3" i="12" a="1"/>
  <c r="C122" i="12" a="1"/>
  <c r="I67" i="12" a="1"/>
  <c r="I120" i="12" a="1"/>
  <c r="I113" i="12" a="1"/>
  <c r="C123" i="12" a="1"/>
  <c r="C87" i="12" a="1"/>
  <c r="I45" i="12" a="1"/>
  <c r="I15" i="12" a="1"/>
  <c r="C60" i="12" a="1"/>
  <c r="C23" i="12" a="1"/>
  <c r="D19" i="4" a="1"/>
  <c r="I55" i="12" a="1"/>
  <c r="C114" i="12" a="1"/>
  <c r="C62" i="12" a="1"/>
  <c r="D8" i="4" a="1"/>
  <c r="C53" i="12" a="1"/>
  <c r="J2" i="12" a="1"/>
  <c r="I64" i="12" a="1"/>
  <c r="I41" i="12" a="1"/>
  <c r="I83" i="12" a="1"/>
  <c r="C96" i="12" a="1"/>
  <c r="C3" i="12" a="1"/>
  <c r="C90" i="12" a="1"/>
  <c r="D12" i="4" a="1"/>
  <c r="C18" i="12" a="1"/>
  <c r="C34" i="12" a="1"/>
  <c r="C13" i="12" a="1"/>
  <c r="I98" i="12" a="1"/>
  <c r="I151" i="12" a="1"/>
  <c r="C51" i="12" a="1"/>
  <c r="I73" i="12" a="1"/>
  <c r="C94" i="12" a="1"/>
  <c r="D22" i="4" a="1"/>
  <c r="I44" i="12" a="1"/>
  <c r="I71" i="12" a="1"/>
  <c r="I54" i="12" a="1"/>
  <c r="I131" i="12" a="1"/>
  <c r="C15" i="12" a="1"/>
  <c r="I123" i="12" a="1"/>
  <c r="I132" i="12" a="1"/>
  <c r="C56" i="12" a="1"/>
  <c r="C24" i="12" a="1"/>
  <c r="I105" i="12" a="1"/>
  <c r="C26" i="12" a="1"/>
  <c r="C12" i="12" a="1"/>
  <c r="C132" i="12" a="1"/>
  <c r="I145" i="12" a="1"/>
  <c r="I128" i="12" a="1"/>
  <c r="I80" i="12" a="1"/>
  <c r="C6" i="12" a="1"/>
  <c r="I63" i="12" a="1"/>
  <c r="I89" i="12" a="1"/>
  <c r="C22" i="12" a="1"/>
  <c r="I125" i="12" a="1"/>
  <c r="I59" i="12" a="1"/>
  <c r="I56" i="12" a="1"/>
  <c r="I39" i="12" a="1"/>
  <c r="I51" i="12" a="1"/>
  <c r="I139" i="12" a="1"/>
  <c r="C75" i="12" a="1"/>
  <c r="I148" i="12" a="1"/>
  <c r="I90" i="12" a="1"/>
  <c r="C42" i="12" a="1"/>
  <c r="C35" i="12" a="1"/>
  <c r="C108" i="12" a="1"/>
  <c r="I57" i="12" a="1"/>
  <c r="I103" i="12" a="1"/>
  <c r="I70" i="12" a="1"/>
  <c r="D2" i="4" a="1"/>
  <c r="I122" i="12" a="1"/>
  <c r="I147" i="12" a="1"/>
  <c r="I20" i="12" a="1"/>
  <c r="C100" i="12" a="1"/>
  <c r="C92" i="12" a="1"/>
  <c r="I60" i="12" a="1"/>
  <c r="I115" i="12" a="1"/>
  <c r="C50" i="12" a="1"/>
  <c r="C30" i="12" a="1"/>
  <c r="I87" i="12" a="1"/>
  <c r="C38" i="12" a="1"/>
  <c r="I43" i="12" a="1"/>
  <c r="I102" i="12" a="1"/>
  <c r="C52" i="12" a="1"/>
  <c r="I97" i="12" a="1"/>
  <c r="I95" i="12" a="1"/>
  <c r="C106" i="12" a="1"/>
  <c r="I86" i="12" a="1"/>
  <c r="I84" i="12" a="1"/>
  <c r="C113" i="12" a="1"/>
  <c r="I65" i="12" a="1"/>
  <c r="I48" i="12" a="1"/>
  <c r="I2" i="12" a="1"/>
  <c r="I79" i="12" a="1"/>
  <c r="C109" i="12" a="1"/>
  <c r="C105" i="12" a="1"/>
  <c r="I49" i="12" a="1"/>
  <c r="C37" i="12" a="1"/>
  <c r="C125" i="12" a="1"/>
  <c r="C5" i="12" a="1"/>
  <c r="D5" i="4" a="1"/>
  <c r="I37" i="12" a="1"/>
  <c r="I112" i="12" a="1"/>
  <c r="C10" i="12" a="1"/>
  <c r="I81" i="12" a="1"/>
  <c r="C8" i="12" a="1"/>
  <c r="I26" i="12" a="1"/>
  <c r="C110" i="12" a="1"/>
  <c r="C9" i="12" a="1"/>
  <c r="I101" i="12" a="1"/>
  <c r="C119" i="12" a="1"/>
  <c r="C48" i="12" a="1"/>
  <c r="C97" i="12" a="1"/>
  <c r="C55" i="12" a="1"/>
  <c r="C129" i="12" a="1"/>
  <c r="C21" i="12" a="1"/>
  <c r="I77" i="12" a="1"/>
  <c r="C128" i="12" a="1"/>
  <c r="C49" i="12" a="1"/>
  <c r="I107" i="12" a="1"/>
  <c r="I12" i="12" a="1"/>
  <c r="I110" i="12" a="1"/>
  <c r="I92" i="12" a="1"/>
  <c r="C16" i="12" a="1"/>
  <c r="C131" i="12" a="1"/>
  <c r="I18" i="12" a="1"/>
  <c r="C121" i="12" a="1"/>
  <c r="I17" i="12" a="1"/>
  <c r="C28" i="12" a="1"/>
  <c r="I5" i="12" a="1"/>
  <c r="C133" i="12" a="1"/>
  <c r="I19" i="12" a="1"/>
  <c r="I74" i="12" a="1"/>
  <c r="I146" i="12" a="1"/>
  <c r="I10" i="12" a="1"/>
  <c r="C39" i="12" a="1"/>
  <c r="D7" i="4" a="1"/>
  <c r="I144" i="12" a="1"/>
  <c r="C103" i="12" a="1"/>
  <c r="D7" i="4" l="1"/>
  <c r="I74" i="12"/>
  <c r="I29" i="12"/>
  <c r="I70" i="12"/>
  <c r="I143" i="12"/>
  <c r="I36" i="12"/>
  <c r="I142" i="12"/>
  <c r="D5" i="4"/>
  <c r="I78" i="12"/>
  <c r="I103" i="12"/>
  <c r="I66" i="12"/>
  <c r="I139" i="12"/>
  <c r="I89" i="12"/>
  <c r="I104" i="12"/>
  <c r="I71" i="12"/>
  <c r="I42" i="12"/>
  <c r="I28" i="12"/>
  <c r="I106" i="12"/>
  <c r="I55" i="12"/>
  <c r="I15" i="12"/>
  <c r="I3" i="12"/>
  <c r="I88" i="12"/>
  <c r="I33" i="12"/>
  <c r="I107" i="12"/>
  <c r="I77" i="12"/>
  <c r="I49" i="12"/>
  <c r="I100" i="12"/>
  <c r="I126" i="12"/>
  <c r="I69" i="12"/>
  <c r="I34" i="12"/>
  <c r="D17" i="4"/>
  <c r="I52" i="12"/>
  <c r="I79" i="12"/>
  <c r="I65" i="12"/>
  <c r="I86" i="12"/>
  <c r="I97" i="12"/>
  <c r="I43" i="12"/>
  <c r="I122" i="12"/>
  <c r="I57" i="12"/>
  <c r="I90" i="12"/>
  <c r="I51" i="12"/>
  <c r="I63" i="12"/>
  <c r="I105" i="12"/>
  <c r="I44" i="12"/>
  <c r="I14" i="12"/>
  <c r="I31" i="12"/>
  <c r="I58" i="12"/>
  <c r="I45" i="12"/>
  <c r="I13" i="12"/>
  <c r="I35" i="12"/>
  <c r="D3" i="4"/>
  <c r="D4" i="4"/>
  <c r="I5" i="12"/>
  <c r="I17" i="12"/>
  <c r="I18" i="12"/>
  <c r="I37" i="12"/>
  <c r="I110" i="12"/>
  <c r="I38" i="12"/>
  <c r="I109" i="12"/>
  <c r="I108" i="12"/>
  <c r="I39" i="12"/>
  <c r="D9" i="4"/>
  <c r="D22" i="4"/>
  <c r="D12" i="4"/>
  <c r="D8" i="4"/>
  <c r="D21" i="4"/>
  <c r="D19" i="4"/>
  <c r="D11" i="4"/>
  <c r="D10" i="4"/>
  <c r="D20" i="4"/>
  <c r="I4" i="12"/>
  <c r="D6" i="4"/>
  <c r="I72" i="12"/>
  <c r="I56" i="12"/>
  <c r="I80" i="12"/>
  <c r="I132" i="12"/>
  <c r="I16" i="12"/>
  <c r="I119" i="12"/>
  <c r="I116" i="12"/>
  <c r="I136" i="12"/>
  <c r="I23" i="12"/>
  <c r="I24" i="12"/>
  <c r="I114" i="12"/>
  <c r="I46" i="12"/>
  <c r="I115" i="12"/>
  <c r="I20" i="12"/>
  <c r="I144" i="12"/>
  <c r="I10" i="12"/>
  <c r="I19" i="12"/>
  <c r="I25" i="12"/>
  <c r="I68" i="12"/>
  <c r="I148" i="12"/>
  <c r="I118" i="12"/>
  <c r="I21" i="12"/>
  <c r="I123" i="12"/>
  <c r="I73" i="12"/>
  <c r="I111" i="12"/>
  <c r="I133" i="12"/>
  <c r="I152" i="12"/>
  <c r="I6" i="12"/>
  <c r="I113" i="12"/>
  <c r="I7" i="12"/>
  <c r="I9" i="12"/>
  <c r="I22" i="12"/>
  <c r="I26" i="12"/>
  <c r="I81" i="12"/>
  <c r="I112" i="12"/>
  <c r="I92" i="12"/>
  <c r="I12" i="12"/>
  <c r="I117" i="12"/>
  <c r="I11" i="12"/>
  <c r="I8" i="12"/>
  <c r="I59" i="12"/>
  <c r="I128" i="12"/>
  <c r="I27" i="12"/>
  <c r="I137" i="12"/>
  <c r="I151" i="12"/>
  <c r="I83" i="12"/>
  <c r="I130" i="12"/>
  <c r="I96" i="12"/>
  <c r="I30" i="12"/>
  <c r="I120" i="12"/>
  <c r="I140" i="12"/>
  <c r="I135" i="12"/>
  <c r="I93" i="12"/>
  <c r="I48" i="12"/>
  <c r="I84" i="12"/>
  <c r="I95" i="12"/>
  <c r="I102" i="12"/>
  <c r="I87" i="12"/>
  <c r="I150" i="12"/>
  <c r="I82" i="12"/>
  <c r="I127" i="12"/>
  <c r="I125" i="12"/>
  <c r="I145" i="12"/>
  <c r="I131" i="12"/>
  <c r="I98" i="12"/>
  <c r="I41" i="12"/>
  <c r="I53" i="12"/>
  <c r="I85" i="12"/>
  <c r="I134" i="12"/>
  <c r="I61" i="12"/>
  <c r="I99" i="12"/>
  <c r="I62" i="12"/>
  <c r="I138" i="12"/>
  <c r="I60" i="12"/>
  <c r="I147" i="12"/>
  <c r="I101" i="12"/>
  <c r="I146" i="12"/>
  <c r="I149" i="12"/>
  <c r="I94" i="12"/>
  <c r="I47" i="12"/>
  <c r="I124" i="12"/>
  <c r="I91" i="12"/>
  <c r="I121" i="12"/>
  <c r="I54" i="12"/>
  <c r="I129" i="12"/>
  <c r="I64" i="12"/>
  <c r="I32" i="12"/>
  <c r="I75" i="12"/>
  <c r="I76" i="12"/>
  <c r="I67" i="12"/>
  <c r="I50" i="12"/>
  <c r="I40" i="12"/>
  <c r="J2" i="12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  <c r="H40" i="12" a="1"/>
  <c r="H71" i="12" a="1"/>
  <c r="H150" i="12" a="1"/>
  <c r="H134" i="12" a="1"/>
  <c r="H32" i="12" a="1"/>
  <c r="H152" i="12" a="1"/>
  <c r="H7" i="12" a="1"/>
  <c r="H43" i="12" a="1"/>
  <c r="H106" i="12" a="1"/>
  <c r="H138" i="12" a="1"/>
  <c r="H94" i="12" a="1"/>
  <c r="H49" i="12" a="1"/>
  <c r="H19" i="12" a="1"/>
  <c r="H111" i="12" a="1"/>
  <c r="H122" i="12" a="1"/>
  <c r="H78" i="12" a="1"/>
  <c r="H60" i="12" a="1"/>
  <c r="H147" i="12" a="1"/>
  <c r="H126" i="12" a="1"/>
  <c r="H20" i="12" a="1"/>
  <c r="H11" i="12" a="1"/>
  <c r="H65" i="12" a="1"/>
  <c r="H42" i="12" a="1"/>
  <c r="H124" i="12" a="1"/>
  <c r="H82" i="12" a="1"/>
  <c r="H69" i="12" a="1"/>
  <c r="H81" i="12" a="1"/>
  <c r="H73" i="12" a="1"/>
  <c r="H97" i="12" a="1"/>
  <c r="H55" i="12" a="1"/>
  <c r="H140" i="12" a="1"/>
  <c r="H130" i="12" a="1"/>
  <c r="H34" i="12" a="1"/>
  <c r="H115" i="12" a="1"/>
  <c r="H12" i="12" a="1"/>
  <c r="H57" i="12" a="1"/>
  <c r="H33" i="12" a="1"/>
  <c r="H137" i="12" a="1"/>
  <c r="H54" i="12" a="1"/>
  <c r="H100" i="12" a="1"/>
  <c r="H26" i="12" a="1"/>
  <c r="H23" i="12" a="1"/>
  <c r="H79" i="12" a="1"/>
  <c r="H15" i="12" a="1"/>
  <c r="H64" i="12" a="1"/>
  <c r="H53" i="12" a="1"/>
  <c r="H132" i="12" a="1"/>
  <c r="H25" i="12" a="1"/>
  <c r="H112" i="12" a="1"/>
  <c r="H51" i="12" a="1"/>
  <c r="H89" i="12" a="1"/>
  <c r="H101" i="12" a="1"/>
  <c r="H151" i="12" a="1"/>
  <c r="H56" i="12" a="1"/>
  <c r="H46" i="12" a="1"/>
  <c r="H24" i="12" a="1"/>
  <c r="H52" i="12" a="1"/>
  <c r="H77" i="12" a="1"/>
  <c r="H95" i="12" a="1"/>
  <c r="H131" i="12" a="1"/>
  <c r="H72" i="12" a="1"/>
  <c r="H128" i="12" a="1"/>
  <c r="H116" i="12" a="1"/>
  <c r="H44" i="12" a="1"/>
  <c r="H117" i="12" a="1"/>
  <c r="H47" i="12" a="1"/>
  <c r="H45" i="12" a="1"/>
  <c r="H107" i="12" a="1"/>
  <c r="H129" i="12" a="1"/>
  <c r="H96" i="12" a="1"/>
  <c r="H10" i="12" a="1"/>
  <c r="H144" i="12" a="1"/>
  <c r="H103" i="12" a="1"/>
  <c r="H21" i="12" a="1"/>
  <c r="H16" i="12" a="1"/>
  <c r="H41" i="12" a="1"/>
  <c r="H30" i="12" a="1"/>
  <c r="H91" i="12" a="1"/>
  <c r="H92" i="12" a="1"/>
  <c r="H105" i="12" a="1"/>
  <c r="H28" i="12" a="1"/>
  <c r="H127" i="12" a="1"/>
  <c r="H145" i="12" a="1"/>
  <c r="H80" i="12" a="1"/>
  <c r="H123" i="12" a="1"/>
  <c r="H22" i="12" a="1"/>
  <c r="H63" i="12" a="1"/>
  <c r="H50" i="12" a="1"/>
  <c r="H102" i="12" a="1"/>
  <c r="H121" i="12" a="1"/>
  <c r="H2" i="12" a="1"/>
  <c r="H9" i="12" a="1"/>
  <c r="H59" i="12" a="1"/>
  <c r="H86" i="12" a="1"/>
  <c r="H67" i="12" a="1"/>
  <c r="H48" i="12" a="1"/>
  <c r="H120" i="12" a="1"/>
  <c r="H35" i="12" a="1"/>
  <c r="H136" i="12" a="1"/>
  <c r="H119" i="12" a="1"/>
  <c r="H90" i="12" a="1"/>
  <c r="H4" i="12" a="1"/>
  <c r="H62" i="12" a="1"/>
  <c r="H27" i="12" a="1"/>
  <c r="H14" i="12" a="1"/>
  <c r="H8" i="12" a="1"/>
  <c r="H118" i="12" a="1"/>
  <c r="H88" i="12" a="1"/>
  <c r="H141" i="12" a="1"/>
  <c r="H146" i="12" a="1"/>
  <c r="H93" i="12" a="1"/>
  <c r="H13" i="12" a="1"/>
  <c r="H113" i="12" a="1"/>
  <c r="H114" i="12" a="1"/>
  <c r="H66" i="12" a="1"/>
  <c r="H61" i="12" a="1"/>
  <c r="H87" i="12" a="1"/>
  <c r="H84" i="12" a="1"/>
  <c r="H58" i="12" a="1"/>
  <c r="H68" i="12" a="1"/>
  <c r="H104" i="12" a="1"/>
  <c r="H76" i="12" a="1"/>
  <c r="H135" i="12" a="1"/>
  <c r="H99" i="12" a="1"/>
  <c r="H31" i="12" a="1"/>
  <c r="H5" i="12" a="1"/>
  <c r="H139" i="12" a="1"/>
  <c r="H75" i="12" a="1"/>
  <c r="H125" i="12" a="1"/>
  <c r="H133" i="12" a="1"/>
  <c r="H83" i="12" a="1"/>
  <c r="H85" i="12" a="1"/>
  <c r="H98" i="12" a="1"/>
  <c r="H149" i="12" a="1"/>
  <c r="H148" i="12" a="1"/>
  <c r="H3" i="12" a="1"/>
  <c r="H6" i="12" a="1"/>
  <c r="H5" i="12" l="1"/>
  <c r="H44" i="12"/>
  <c r="H114" i="12"/>
  <c r="H118" i="12"/>
  <c r="H119" i="12"/>
  <c r="H59" i="12"/>
  <c r="H22" i="12"/>
  <c r="H116" i="12"/>
  <c r="H24" i="12"/>
  <c r="H112" i="12"/>
  <c r="H23" i="12"/>
  <c r="H12" i="12"/>
  <c r="H73" i="12"/>
  <c r="H11" i="12"/>
  <c r="H111" i="12"/>
  <c r="H7" i="12"/>
  <c r="H6" i="12"/>
  <c r="H21" i="12"/>
  <c r="H144" i="12"/>
  <c r="H133" i="12"/>
  <c r="H117" i="12"/>
  <c r="H68" i="12"/>
  <c r="H113" i="12"/>
  <c r="H8" i="12"/>
  <c r="H136" i="12"/>
  <c r="H9" i="12"/>
  <c r="H123" i="12"/>
  <c r="H128" i="12"/>
  <c r="H46" i="12"/>
  <c r="H25" i="12"/>
  <c r="H26" i="12"/>
  <c r="H115" i="12"/>
  <c r="H81" i="12"/>
  <c r="H20" i="12"/>
  <c r="H19" i="12"/>
  <c r="H152" i="12"/>
  <c r="H92" i="12"/>
  <c r="H148" i="12"/>
  <c r="H10" i="12"/>
  <c r="H45" i="12"/>
  <c r="H31" i="12"/>
  <c r="H58" i="12"/>
  <c r="H13" i="12"/>
  <c r="H14" i="12"/>
  <c r="H35" i="12"/>
  <c r="H2" i="12"/>
  <c r="H80" i="12"/>
  <c r="H72" i="12"/>
  <c r="H56" i="12"/>
  <c r="H132" i="12"/>
  <c r="H100" i="12"/>
  <c r="H34" i="12"/>
  <c r="H69" i="12"/>
  <c r="H126" i="12"/>
  <c r="H49" i="12"/>
  <c r="H32" i="12"/>
  <c r="H91" i="12"/>
  <c r="H149" i="12"/>
  <c r="H83" i="12"/>
  <c r="H125" i="12"/>
  <c r="H99" i="12"/>
  <c r="H84" i="12"/>
  <c r="H93" i="12"/>
  <c r="H27" i="12"/>
  <c r="H120" i="12"/>
  <c r="H121" i="12"/>
  <c r="H145" i="12"/>
  <c r="H131" i="12"/>
  <c r="H151" i="12"/>
  <c r="H53" i="12"/>
  <c r="H54" i="12"/>
  <c r="H130" i="12"/>
  <c r="H82" i="12"/>
  <c r="H147" i="12"/>
  <c r="H94" i="12"/>
  <c r="H134" i="12"/>
  <c r="H30" i="12"/>
  <c r="H98" i="12"/>
  <c r="H96" i="12"/>
  <c r="H75" i="12"/>
  <c r="H135" i="12"/>
  <c r="H87" i="12"/>
  <c r="H146" i="12"/>
  <c r="H62" i="12"/>
  <c r="H48" i="12"/>
  <c r="H102" i="12"/>
  <c r="H127" i="12"/>
  <c r="H95" i="12"/>
  <c r="H101" i="12"/>
  <c r="H64" i="12"/>
  <c r="H137" i="12"/>
  <c r="H140" i="12"/>
  <c r="H124" i="12"/>
  <c r="H60" i="12"/>
  <c r="H138" i="12"/>
  <c r="H150" i="12"/>
  <c r="H41" i="12"/>
  <c r="H85" i="12"/>
  <c r="H129" i="12"/>
  <c r="H47" i="12"/>
  <c r="H76" i="12"/>
  <c r="H61" i="12"/>
  <c r="H141" i="12"/>
  <c r="H4" i="12"/>
  <c r="H67" i="12"/>
  <c r="H50" i="12"/>
  <c r="H28" i="12"/>
  <c r="H77" i="12"/>
  <c r="H89" i="12"/>
  <c r="H15" i="12"/>
  <c r="H33" i="12"/>
  <c r="H55" i="12"/>
  <c r="H42" i="12"/>
  <c r="H78" i="12"/>
  <c r="H106" i="12"/>
  <c r="H71" i="12"/>
  <c r="H3" i="12"/>
  <c r="H103" i="12"/>
  <c r="H107" i="12"/>
  <c r="H139" i="12"/>
  <c r="H104" i="12"/>
  <c r="H66" i="12"/>
  <c r="H88" i="12"/>
  <c r="H90" i="12"/>
  <c r="H86" i="12"/>
  <c r="H63" i="12"/>
  <c r="H105" i="12"/>
  <c r="H52" i="12"/>
  <c r="H51" i="12"/>
  <c r="H79" i="12"/>
  <c r="H57" i="12"/>
  <c r="H97" i="12"/>
  <c r="H65" i="12"/>
  <c r="H122" i="12"/>
  <c r="H43" i="12"/>
  <c r="H40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<sst xmlns="http://schemas.openxmlformats.org/spreadsheetml/2006/main" count="1207" uniqueCount="596">
  <si>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</si>
  <si>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</si>
  <si>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</si>
  <si>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</si>
  <si>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</si>
  <si>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</si>
  <si>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</si>
  <si>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</si>
  <si>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</si>
  <si>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</si>
  <si>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</si>
  <si>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</si>
  <si>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</si>
  <si>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</si>
  <si>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</si>
  <si>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</si>
  <si>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</si>
  <si>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</si>
  <si>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</si>
  <si>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</si>
  <si>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</si>
  <si>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</si>
  <si>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</si>
  <si>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</si>
  <si>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</si>
  <si>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</si>
  <si>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</si>
  <si>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</si>
  <si>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</si>
  <si>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</si>
  <si>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</si>
  <si>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</si>
  <si>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</si>
  <si>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</si>
  <si>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</si>
  <si>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</si>
  <si>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</si>
  <si>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</si>
  <si>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</si>
  <si>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</si>
  <si>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</si>
  <si>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</si>
  <si>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</si>
  <si>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</si>
  <si>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</si>
  <si>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</si>
  <si>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</si>
  <si>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</si>
  <si>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</si>
  <si>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</si>
  <si>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</si>
  <si>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</si>
  <si>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</si>
  <si>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</si>
  <si>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</si>
  <si>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</si>
  <si>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</si>
  <si>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</si>
  <si>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</si>
  <si>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</si>
  <si>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</si>
  <si>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</si>
  <si>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</si>
  <si>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</si>
  <si>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</si>
  <si>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</si>
  <si>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</si>
  <si>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</si>
  <si>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</si>
  <si>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</si>
  <si>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</si>
  <si>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</si>
  <si>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</si>
  <si>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</si>
  <si>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</si>
  <si>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</si>
  <si>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</si>
  <si>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</si>
  <si>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</si>
  <si>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</si>
  <si>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</si>
  <si>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</si>
  <si>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</si>
  <si>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</si>
  <si>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</si>
  <si>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</si>
  <si>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</si>
  <si>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</si>
  <si>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</si>
  <si>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</si>
  <si>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</si>
  <si>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</si>
  <si>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</si>
  <si>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</si>
  <si>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</si>
  <si>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</si>
  <si>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</si>
  <si>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</si>
  <si>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</si>
  <si>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</si>
  <si>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</si>
  <si>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</si>
  <si>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</si>
  <si>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</si>
  <si>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</si>
  <si>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</si>
  <si>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</si>
  <si>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</si>
  <si>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</si>
  <si>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</si>
  <si>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</si>
  <si>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</si>
  <si>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</si>
  <si>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</si>
  <si>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</si>
  <si>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</si>
  <si>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</si>
  <si>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</si>
  <si>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</si>
  <si>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</si>
  <si>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</si>
  <si>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</si>
  <si>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</si>
  <si>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</si>
  <si>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</si>
  <si>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</si>
  <si>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</si>
  <si>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</si>
  <si>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</si>
  <si>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</si>
  <si>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</si>
  <si>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</si>
  <si>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</si>
  <si>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</si>
  <si>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</si>
  <si>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</si>
  <si>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</si>
  <si>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</si>
  <si>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</si>
  <si>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</si>
  <si>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</si>
  <si>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</si>
  <si>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</si>
  <si>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</si>
  <si>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</si>
  <si>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</si>
  <si>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</si>
  <si>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</si>
  <si>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</si>
  <si>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</si>
  <si>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</si>
  <si>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</si>
  <si>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</si>
  <si>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</si>
  <si>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</si>
  <si>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</si>
  <si>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</si>
  <si>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</si>
  <si>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</si>
  <si>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</si>
  <si>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</si>
  <si>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</si>
  <si>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</si>
  <si>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</si>
  <si>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</si>
  <si>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</si>
  <si>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</si>
  <si>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</si>
  <si>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</si>
  <si>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</si>
  <si>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</si>
  <si>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</si>
  <si>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</si>
  <si>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</si>
  <si>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</si>
  <si>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</si>
  <si>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</si>
  <si>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</si>
  <si>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</si>
  <si>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</si>
  <si>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</si>
  <si>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</si>
  <si>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</si>
  <si>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</si>
  <si>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</si>
  <si>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</si>
  <si>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</si>
  <si>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</si>
  <si>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</si>
  <si>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</si>
  <si>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</si>
  <si>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</si>
  <si>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</si>
  <si>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</si>
  <si>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</si>
  <si>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</si>
  <si>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</si>
  <si>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</si>
  <si>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</si>
  <si>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</si>
  <si>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</si>
  <si>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</si>
  <si>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</si>
  <si>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</si>
  <si>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</si>
  <si>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</si>
  <si>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</si>
  <si>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</si>
  <si>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</si>
  <si>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</si>
  <si>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</si>
  <si>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</si>
  <si>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</si>
  <si>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</si>
  <si>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</si>
  <si>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</si>
  <si>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</si>
  <si>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</si>
  <si>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</si>
  <si>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</si>
  <si>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</si>
  <si>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</si>
  <si>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</si>
  <si>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</si>
  <si>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</si>
  <si>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</si>
  <si>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</si>
  <si>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</si>
  <si>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</si>
  <si>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</si>
  <si>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</si>
  <si>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</si>
  <si>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</si>
  <si>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</si>
  <si>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</si>
  <si>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</si>
  <si>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</si>
  <si>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</si>
  <si>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</si>
  <si>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</si>
  <si>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</si>
  <si>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</si>
  <si>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</si>
  <si>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</si>
  <si>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</si>
  <si>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</si>
  <si>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</si>
  <si>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</si>
  <si>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</si>
  <si>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</si>
  <si>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</si>
  <si>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</si>
  <si>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</si>
  <si>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</si>
  <si>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</si>
  <si>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</si>
  <si>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</si>
  <si>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</si>
  <si>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</si>
  <si>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</si>
  <si>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</si>
  <si>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</si>
  <si>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</si>
  <si>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</si>
  <si>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</si>
  <si>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</si>
  <si>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</si>
  <si>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</si>
  <si>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</si>
  <si>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</si>
  <si>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</si>
  <si>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</si>
  <si>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</si>
  <si>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</si>
  <si>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</si>
  <si>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</si>
  <si>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</si>
  <si>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</si>
  <si>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</si>
  <si>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</si>
  <si>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</si>
  <si>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</si>
  <si>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</si>
  <si>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</si>
  <si>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</si>
  <si>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</si>
  <si>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</si>
  <si>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</si>
  <si>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</si>
  <si>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</si>
  <si>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</si>
  <si>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</si>
  <si>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</si>
  <si>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</si>
  <si>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</si>
  <si>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</si>
  <si>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</si>
  <si>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</si>
  <si>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</si>
  <si>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</si>
  <si>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</si>
  <si>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</si>
  <si>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</si>
  <si>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</si>
  <si>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</si>
  <si>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</si>
  <si>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</si>
  <si>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</si>
  <si>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</si>
  <si>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</si>
  <si>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</si>
  <si>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</si>
  <si>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</si>
  <si>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</si>
  <si>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</si>
  <si>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</si>
  <si>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</si>
  <si>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</si>
  <si>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</si>
  <si>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</si>
  <si>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</si>
  <si>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</si>
  <si>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</si>
  <si>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</si>
  <si>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</si>
  <si>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</si>
  <si>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</si>
  <si>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</si>
  <si>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</si>
  <si>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</si>
  <si>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</si>
  <si>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</si>
  <si>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</si>
  <si>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</si>
  <si>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</si>
  <si>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</si>
  <si>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</si>
  <si>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</si>
  <si>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</si>
  <si>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</si>
  <si>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</si>
  <si>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</si>
  <si>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</si>
  <si>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</si>
  <si>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</si>
  <si>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</si>
  <si>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</si>
  <si>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</si>
  <si>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</si>
  <si>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</si>
  <si>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</si>
  <si>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</si>
  <si>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</si>
  <si>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</si>
  <si>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</si>
  <si>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</si>
  <si>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</si>
  <si>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</si>
  <si>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</si>
  <si>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</si>
  <si>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</si>
  <si>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</si>
  <si>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</si>
  <si>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</si>
  <si>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</si>
  <si>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</si>
  <si>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</si>
  <si>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</si>
  <si>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</si>
  <si>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</si>
  <si>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</si>
  <si>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</si>
  <si>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</si>
  <si>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</si>
  <si>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</si>
  <si>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</si>
  <si>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</si>
  <si>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</si>
  <si>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</si>
  <si>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</si>
  <si>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</si>
  <si>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</si>
  <si>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</si>
  <si>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</si>
  <si>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</si>
  <si>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</si>
  <si>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</si>
  <si>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</si>
  <si>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</si>
  <si>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</si>
  <si>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</si>
  <si>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</si>
  <si>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</si>
  <si>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</si>
  <si>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</si>
  <si>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</si>
  <si>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</si>
  <si>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</si>
  <si>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</si>
  <si>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</si>
  <si>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</si>
  <si>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</si>
  <si>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</si>
  <si>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</si>
  <si>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</si>
  <si>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</si>
  <si>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</si>
  <si>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</si>
  <si>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</si>
  <si>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</si>
  <si>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</si>
  <si>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</si>
  <si>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</si>
  <si>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</si>
  <si>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</si>
  <si>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</si>
  <si>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</si>
  <si>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</si>
  <si>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</si>
  <si>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</si>
  <si>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</si>
  <si>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</si>
  <si>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</si>
  <si>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</si>
  <si>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</si>
  <si>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</si>
  <si>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</si>
  <si>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</si>
  <si>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</si>
  <si>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</si>
  <si>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</si>
  <si>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</si>
  <si>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</si>
  <si>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</si>
  <si>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</si>
  <si>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</si>
  <si>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</si>
  <si>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</si>
  <si>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</si>
  <si>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</si>
  <si>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</si>
  <si>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</si>
  <si>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</si>
  <si>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</si>
  <si>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</si>
  <si>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</si>
  <si>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</si>
  <si>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</si>
  <si>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</si>
  <si>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</si>
  <si>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</si>
  <si>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</si>
  <si>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</si>
  <si>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</si>
  <si>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</si>
  <si>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</si>
  <si>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</si>
  <si>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</si>
  <si>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</si>
  <si>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</si>
  <si>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</si>
  <si>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</si>
  <si>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</si>
  <si>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</si>
  <si>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</si>
  <si>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</si>
  <si>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</si>
  <si>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</si>
  <si>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</si>
  <si>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</si>
  <si>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</si>
  <si>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</si>
  <si>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</si>
  <si>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</si>
  <si>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</si>
  <si>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</si>
  <si>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</si>
  <si>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</si>
  <si>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</si>
  <si>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</si>
  <si>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</si>
  <si>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</si>
  <si>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</si>
  <si>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</si>
  <si>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</si>
  <si>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</si>
  <si>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</si>
  <si>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</si>
  <si>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</si>
  <si>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</si>
  <si>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</si>
  <si>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</si>
  <si>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</si>
  <si>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</si>
  <si>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</si>
  <si>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</si>
  <si>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</si>
  <si>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</si>
  <si>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</si>
  <si>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</si>
  <si>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</si>
  <si>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</si>
  <si>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</si>
  <si>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</si>
  <si>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</si>
  <si>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</si>
  <si>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</si>
  <si>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</si>
  <si>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</si>
  <si>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</si>
  <si>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</si>
  <si>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</si>
  <si>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</si>
  <si>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</si>
  <si>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</si>
  <si>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</si>
  <si>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</si>
  <si>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</si>
  <si>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</si>
  <si>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</si>
  <si>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</si>
  <si>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</si>
  <si>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</si>
  <si>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</si>
  <si>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</si>
  <si>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</si>
  <si>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</si>
  <si>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</si>
  <si>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</si>
  <si>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</si>
  <si>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</si>
  <si>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</si>
  <si>
    <t>UNQ_Associations_TableId1_TableId2</t>
  </si>
  <si>
    <t>UNQ_Uniques_ColumnId1_ColumnId2</t>
  </si>
  <si>
    <t>UNQ_Associations_TableId2_TableId1</t>
  </si>
  <si>
    <t>UNQ_Uniques_ColumnId2_ColumnId1</t>
  </si>
  <si>
    <t>IDX_Logins_SystemId_UserId_IsLogged</t>
  </si>
  <si>
    <t>IDX_Transactions_LoginId_IsConfirmed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</si>
  <si>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</si>
  <si>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</si>
  <si>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</si>
  <si>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</si>
  <si>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</si>
  <si>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</si>
  <si>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</si>
  <si>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</si>
  <si>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</si>
  <si>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</si>
  <si>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</si>
  <si>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</si>
  <si>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</si>
  <si>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</si>
  <si>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</si>
  <si>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</si>
  <si>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</si>
  <si>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</si>
  <si>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D:\CRUDEX-C#\SGSI_CRUDEX\CRUDEX\db\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</si>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</sst>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404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553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390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1" activePane="bottomLeft" state="frozen"/>
      <selection pane="bottomLeft" activeCell="D31" sqref="D31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346</v>
      </c>
      <c r="D1" s="1" t="s">
        <v>1</v>
      </c>
      <c r="E1" s="1" t="s">
        <v>371</v>
      </c>
      <c r="F1" s="1" t="s">
        <v>391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377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543</v>
      </c>
      <c r="H6" s="6" t="s">
        <v>544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545</v>
      </c>
      <c r="H7" s="6" t="s">
        <v>546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547</v>
      </c>
      <c r="H8" s="6" t="s">
        <v>548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547</v>
      </c>
      <c r="H9" s="6" t="s">
        <v>548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419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549</v>
      </c>
      <c r="H24" s="6" t="s">
        <v>550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551</v>
      </c>
      <c r="H30" s="6" t="s">
        <v>552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420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418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tabSelected="1"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566</v>
      </c>
      <c r="C7" t="s">
        <v>572</v>
      </c>
    </row>
    <row r="8" spans="1:3" x14ac:dyDescent="0.3">
      <c r="A8">
        <f>ROW(A8)-1</f>
        <v>7</v>
      </c>
      <c r="B8" t="s">
        <v>565</v>
      </c>
      <c r="C8" t="s">
        <v>82</v>
      </c>
    </row>
    <row r="9" spans="1:3" x14ac:dyDescent="0.3">
      <c r="A9">
        <f t="shared" si="0"/>
        <v>8</v>
      </c>
      <c r="B9" t="s">
        <v>567</v>
      </c>
      <c r="C9" t="s">
        <v>593</v>
      </c>
    </row>
    <row r="10" spans="1:3" x14ac:dyDescent="0.3">
      <c r="A10">
        <f t="shared" si="0"/>
        <v>9</v>
      </c>
      <c r="B10" t="s">
        <v>577</v>
      </c>
      <c r="C10" t="s">
        <v>573</v>
      </c>
    </row>
    <row r="11" spans="1:3" x14ac:dyDescent="0.3">
      <c r="A11">
        <f>ROW(A11)-1</f>
        <v>10</v>
      </c>
      <c r="B11" t="s">
        <v>578</v>
      </c>
      <c r="C11" t="s">
        <v>571</v>
      </c>
    </row>
    <row r="12" spans="1:3" x14ac:dyDescent="0.3">
      <c r="A12">
        <f t="shared" si="0"/>
        <v>11</v>
      </c>
      <c r="B12" t="s">
        <v>579</v>
      </c>
      <c r="C12" t="s">
        <v>592</v>
      </c>
    </row>
    <row r="13" spans="1:3" x14ac:dyDescent="0.3">
      <c r="A13">
        <f t="shared" si="0"/>
        <v>12</v>
      </c>
      <c r="B13" t="s">
        <v>568</v>
      </c>
      <c r="C13" t="s">
        <v>581</v>
      </c>
    </row>
    <row r="14" spans="1:3" x14ac:dyDescent="0.3">
      <c r="A14">
        <f>ROW(A14)-1</f>
        <v>13</v>
      </c>
      <c r="B14" t="s">
        <v>569</v>
      </c>
      <c r="C14" t="s">
        <v>580</v>
      </c>
    </row>
    <row r="15" spans="1:3" x14ac:dyDescent="0.3">
      <c r="A15">
        <f t="shared" si="0"/>
        <v>14</v>
      </c>
      <c r="B15" t="s">
        <v>570</v>
      </c>
      <c r="C15" t="s">
        <v>591</v>
      </c>
    </row>
    <row r="16" spans="1:3" x14ac:dyDescent="0.3">
      <c r="A16">
        <f t="shared" si="0"/>
        <v>15</v>
      </c>
      <c r="B16" t="s">
        <v>574</v>
      </c>
      <c r="C16" t="s">
        <v>583</v>
      </c>
    </row>
    <row r="17" spans="1:3" x14ac:dyDescent="0.3">
      <c r="A17">
        <f>ROW(A17)-1</f>
        <v>16</v>
      </c>
      <c r="B17" t="s">
        <v>575</v>
      </c>
      <c r="C17" t="s">
        <v>582</v>
      </c>
    </row>
    <row r="18" spans="1:3" x14ac:dyDescent="0.3">
      <c r="A18">
        <f t="shared" si="0"/>
        <v>17</v>
      </c>
      <c r="B18" t="s">
        <v>576</v>
      </c>
      <c r="C18" t="s">
        <v>590</v>
      </c>
    </row>
    <row r="19" spans="1:3" x14ac:dyDescent="0.3">
      <c r="A19">
        <f>ROW(A19)-1</f>
        <v>18</v>
      </c>
      <c r="B19" t="s">
        <v>561</v>
      </c>
      <c r="C19" t="s">
        <v>562</v>
      </c>
    </row>
    <row r="20" spans="1:3" x14ac:dyDescent="0.3">
      <c r="A20">
        <f>ROW(A20)-1</f>
        <v>19</v>
      </c>
      <c r="B20" t="s">
        <v>560</v>
      </c>
      <c r="C20" t="s">
        <v>557</v>
      </c>
    </row>
    <row r="21" spans="1:3" x14ac:dyDescent="0.3">
      <c r="A21">
        <f>ROW(A21)-1</f>
        <v>20</v>
      </c>
      <c r="B21" t="s">
        <v>563</v>
      </c>
      <c r="C21" t="s">
        <v>564</v>
      </c>
    </row>
    <row r="22" spans="1:3" x14ac:dyDescent="0.3">
      <c r="A22">
        <f>ROW(A22)-1</f>
        <v>21</v>
      </c>
      <c r="B22" t="s">
        <v>587</v>
      </c>
      <c r="C22" t="s">
        <v>584</v>
      </c>
    </row>
    <row r="23" spans="1:3" x14ac:dyDescent="0.3">
      <c r="A23">
        <f>ROW(A23)-1</f>
        <v>22</v>
      </c>
      <c r="B23" t="s">
        <v>588</v>
      </c>
      <c r="C23" t="s">
        <v>585</v>
      </c>
    </row>
    <row r="24" spans="1:3" x14ac:dyDescent="0.3">
      <c r="A24">
        <f>ROW(A24)-1</f>
        <v>23</v>
      </c>
      <c r="B24" t="s">
        <v>589</v>
      </c>
      <c r="C24" t="s">
        <v>586</v>
      </c>
    </row>
    <row r="25" spans="1:3" x14ac:dyDescent="0.3">
      <c r="A25">
        <f>ROW(A25)-1</f>
        <v>24</v>
      </c>
      <c r="B25" t="s">
        <v>558</v>
      </c>
      <c r="C25" t="s">
        <v>559</v>
      </c>
    </row>
    <row r="26" spans="1:3" x14ac:dyDescent="0.3">
      <c r="A26">
        <f>ROW(A26)-1</f>
        <v>25</v>
      </c>
      <c r="B26" t="s">
        <v>595</v>
      </c>
      <c r="C26" t="s">
        <v>594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347</v>
      </c>
      <c r="D1" s="1" t="s">
        <v>346</v>
      </c>
      <c r="E1" s="1" t="s">
        <v>371</v>
      </c>
      <c r="F1" s="1" t="s">
        <v>63</v>
      </c>
      <c r="G1" s="1" t="s">
        <v>348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421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422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423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424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425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426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343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344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493</v>
      </c>
      <c r="I22">
        <v>15</v>
      </c>
      <c r="K22" t="s">
        <v>494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367</v>
      </c>
    </row>
    <row r="2" spans="1:6" x14ac:dyDescent="0.3">
      <c r="A2">
        <f>ROW(A2)-1</f>
        <v>1</v>
      </c>
      <c r="B2" t="s">
        <v>393</v>
      </c>
      <c r="C2" t="s">
        <v>394</v>
      </c>
      <c r="D2" t="s">
        <v>415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350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395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396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397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398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399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400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401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402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403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341</v>
      </c>
      <c r="C3" t="s">
        <v>120</v>
      </c>
      <c r="D3" t="s">
        <v>342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4" sqref="F4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350</v>
      </c>
      <c r="D1" s="1" t="s">
        <v>121</v>
      </c>
      <c r="E1" s="1" t="s">
        <v>349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433</v>
      </c>
      <c r="C1" s="1" t="s">
        <v>123</v>
      </c>
      <c r="D1" s="1" t="s">
        <v>124</v>
      </c>
      <c r="E1" s="1" t="s">
        <v>434</v>
      </c>
      <c r="F1" s="1" t="s">
        <v>435</v>
      </c>
      <c r="G1" s="1" t="s">
        <v>436</v>
      </c>
      <c r="H1" s="1" t="s">
        <v>437</v>
      </c>
      <c r="I1" s="1" t="s">
        <v>117</v>
      </c>
      <c r="J1" s="1" t="s">
        <v>438</v>
      </c>
      <c r="K1" s="1" t="s">
        <v>439</v>
      </c>
    </row>
    <row r="2" spans="1:11" x14ac:dyDescent="0.3">
      <c r="A2">
        <v>1</v>
      </c>
      <c r="B2" t="s">
        <v>440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7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495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469</v>
      </c>
      <c r="H1" s="1" t="s">
        <v>492</v>
      </c>
    </row>
    <row r="2" spans="1:8" x14ac:dyDescent="0.3">
      <c r="A2">
        <f>ROW(A2)-1</f>
        <v>1</v>
      </c>
      <c r="B2">
        <v>1</v>
      </c>
      <c r="C2" t="s">
        <v>393</v>
      </c>
      <c r="D2" t="s">
        <v>393</v>
      </c>
      <c r="E2" t="s">
        <v>394</v>
      </c>
      <c r="F2" t="s">
        <v>556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350</v>
      </c>
      <c r="D1" s="1" t="s">
        <v>128</v>
      </c>
      <c r="E1" s="1" t="s">
        <v>351</v>
      </c>
      <c r="F1" s="1" t="s">
        <v>505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D25" sqref="D25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364</v>
      </c>
      <c r="G1" s="1" t="s">
        <v>469</v>
      </c>
      <c r="H1" s="1" t="s">
        <v>365</v>
      </c>
    </row>
    <row r="2" spans="1:8" x14ac:dyDescent="0.3">
      <c r="A2">
        <f t="shared" ref="A2:A9" si="0">ROW(A2)-1</f>
        <v>1</v>
      </c>
      <c r="B2" t="s">
        <v>146</v>
      </c>
      <c r="C2" t="s">
        <v>321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322</v>
      </c>
      <c r="D3" t="s">
        <v>462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323</v>
      </c>
      <c r="D5" t="s">
        <v>463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324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325</v>
      </c>
      <c r="D7" t="s">
        <v>461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326</v>
      </c>
      <c r="D8" t="s">
        <v>460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327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441</v>
      </c>
      <c r="C10" t="s">
        <v>442</v>
      </c>
      <c r="D10" t="s">
        <v>459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328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329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330</v>
      </c>
      <c r="D13" t="s">
        <v>464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317</v>
      </c>
      <c r="C14" t="s">
        <v>331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143</v>
      </c>
      <c r="C15" t="s">
        <v>332</v>
      </c>
      <c r="D15" t="s">
        <v>457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151</v>
      </c>
    </row>
    <row r="16" spans="1:8" x14ac:dyDescent="0.3">
      <c r="A16">
        <f t="shared" si="1"/>
        <v>15</v>
      </c>
      <c r="B16" t="s">
        <v>144</v>
      </c>
      <c r="C16" t="s">
        <v>333</v>
      </c>
      <c r="D16" t="s">
        <v>458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30</v>
      </c>
    </row>
    <row r="17" spans="1:8" x14ac:dyDescent="0.3">
      <c r="A17">
        <f t="shared" si="1"/>
        <v>16</v>
      </c>
      <c r="B17" t="s">
        <v>308</v>
      </c>
      <c r="C17" t="s">
        <v>334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48</v>
      </c>
    </row>
    <row r="18" spans="1:8" x14ac:dyDescent="0.3">
      <c r="A18">
        <f t="shared" si="1"/>
        <v>17</v>
      </c>
      <c r="B18" t="s">
        <v>335</v>
      </c>
      <c r="C18" t="s">
        <v>336</v>
      </c>
      <c r="D18" t="s">
        <v>468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465</v>
      </c>
      <c r="C19" t="s">
        <v>466</v>
      </c>
      <c r="D19" t="s">
        <v>467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472</v>
      </c>
      <c r="C20" t="s">
        <v>473</v>
      </c>
      <c r="D20" t="s">
        <v>474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507</v>
      </c>
      <c r="C21" t="s">
        <v>508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3</v>
      </c>
    </row>
    <row r="22" spans="1:8" x14ac:dyDescent="0.3">
      <c r="A22">
        <f t="shared" si="1"/>
        <v>21</v>
      </c>
      <c r="B22" t="s">
        <v>554</v>
      </c>
      <c r="C22" t="s">
        <v>555</v>
      </c>
      <c r="D22" t="s">
        <v>509</v>
      </c>
      <c r="F22" t="str">
        <f t="array" ref="F22">GetValue("Tables",E22,"Name")</f>
        <v/>
      </c>
      <c r="G22" t="b">
        <v>0</v>
      </c>
      <c r="H22" cm="1">
        <f t="array" ref="H22">GetLastId(A22)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I17" sqref="I17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351</v>
      </c>
      <c r="D1" s="1" t="s">
        <v>505</v>
      </c>
      <c r="E1" s="1" t="s">
        <v>148</v>
      </c>
      <c r="F1" s="1" t="s">
        <v>352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Unicities</v>
      </c>
      <c r="G22" t="str">
        <f t="shared" si="2"/>
        <v>crudex x Unicities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opLeftCell="N1" zoomScaleNormal="100" workbookViewId="0">
      <pane ySplit="1" topLeftCell="A119" activePane="bottomLeft" state="frozen"/>
      <selection pane="bottomLeft" activeCell="W132" sqref="W132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352</v>
      </c>
      <c r="D1" s="10" t="s">
        <v>417</v>
      </c>
      <c r="E1" s="10" t="s">
        <v>88</v>
      </c>
      <c r="F1" s="10" t="s">
        <v>149</v>
      </c>
      <c r="G1" s="10" t="s">
        <v>353</v>
      </c>
      <c r="H1" s="10" t="s">
        <v>346</v>
      </c>
      <c r="I1" s="10" t="s">
        <v>347</v>
      </c>
      <c r="J1" s="10" t="s">
        <v>371</v>
      </c>
      <c r="K1" s="10" t="s">
        <v>150</v>
      </c>
      <c r="L1" s="10" t="s">
        <v>354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378</v>
      </c>
      <c r="AB1" s="10" t="s">
        <v>158</v>
      </c>
      <c r="AC1" s="10" t="s">
        <v>414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412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411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410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409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408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407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404</v>
      </c>
      <c r="N12" s="7"/>
      <c r="O12" s="7" t="s">
        <v>406</v>
      </c>
      <c r="P12" s="7" t="s">
        <v>405</v>
      </c>
      <c r="Q12" s="7" t="s">
        <v>405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391</v>
      </c>
      <c r="N16" s="9"/>
      <c r="O16" s="9" t="s">
        <v>392</v>
      </c>
      <c r="P16" s="9" t="s">
        <v>392</v>
      </c>
      <c r="Q16" s="9" t="s">
        <v>392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377</v>
      </c>
      <c r="N24" s="9"/>
      <c r="O24" s="9" t="s">
        <v>379</v>
      </c>
      <c r="P24" s="9" t="s">
        <v>380</v>
      </c>
      <c r="Q24" s="9" t="s">
        <v>380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number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number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number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372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number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number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367</v>
      </c>
      <c r="N46" s="7"/>
      <c r="O46" s="7" t="s">
        <v>368</v>
      </c>
      <c r="P46" s="7" t="s">
        <v>369</v>
      </c>
      <c r="Q46" s="7" t="s">
        <v>369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number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number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number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number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number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427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number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443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433</v>
      </c>
      <c r="N65" s="7"/>
      <c r="O65" s="7" t="s">
        <v>444</v>
      </c>
      <c r="P65" s="7" t="s">
        <v>445</v>
      </c>
      <c r="Q65" s="7" t="s">
        <v>445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498</v>
      </c>
      <c r="P66" s="7" t="s">
        <v>499</v>
      </c>
      <c r="Q66" s="7" t="s">
        <v>499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number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446</v>
      </c>
      <c r="Q67" s="7" t="s">
        <v>446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434</v>
      </c>
      <c r="N68" s="7"/>
      <c r="O68" s="7" t="s">
        <v>447</v>
      </c>
      <c r="P68" s="7" t="s">
        <v>447</v>
      </c>
      <c r="Q68" s="7" t="s">
        <v>447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number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435</v>
      </c>
      <c r="N69" s="7"/>
      <c r="O69" s="7" t="s">
        <v>448</v>
      </c>
      <c r="P69" s="7" t="s">
        <v>449</v>
      </c>
      <c r="Q69" s="7" t="s">
        <v>449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436</v>
      </c>
      <c r="N70" s="7"/>
      <c r="O70" s="7" t="s">
        <v>450</v>
      </c>
      <c r="P70" s="7" t="s">
        <v>451</v>
      </c>
      <c r="Q70" s="7" t="s">
        <v>451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437</v>
      </c>
      <c r="N71" s="7"/>
      <c r="O71" s="7" t="s">
        <v>452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438</v>
      </c>
      <c r="N73" s="7"/>
      <c r="O73" s="7" t="s">
        <v>453</v>
      </c>
      <c r="P73" s="7" t="s">
        <v>454</v>
      </c>
      <c r="Q73" s="7" t="s">
        <v>454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439</v>
      </c>
      <c r="N74" s="7"/>
      <c r="O74" s="7" t="s">
        <v>455</v>
      </c>
      <c r="P74" s="7" t="s">
        <v>456</v>
      </c>
      <c r="Q74" s="7" t="s">
        <v>456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number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495</v>
      </c>
      <c r="N76" s="9"/>
      <c r="O76" s="9" t="s">
        <v>496</v>
      </c>
      <c r="P76" s="9" t="s">
        <v>497</v>
      </c>
      <c r="Q76" s="9" t="s">
        <v>497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469</v>
      </c>
      <c r="N81" s="9"/>
      <c r="O81" s="9" t="s">
        <v>502</v>
      </c>
      <c r="P81" s="9" t="s">
        <v>503</v>
      </c>
      <c r="Q81" s="9" t="s">
        <v>503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number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492</v>
      </c>
      <c r="N82" s="9"/>
      <c r="O82" s="9" t="s">
        <v>501</v>
      </c>
      <c r="P82" s="9" t="s">
        <v>500</v>
      </c>
      <c r="Q82" s="9" t="s">
        <v>500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number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number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number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430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number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>
        <v>12</v>
      </c>
      <c r="L91" s="9" t="str">
        <f t="array" ref="L91">GetValue("Tables",K91,"Name")</f>
        <v>Tables</v>
      </c>
      <c r="M91" s="9" t="s">
        <v>129</v>
      </c>
      <c r="N91" s="9"/>
      <c r="O91" s="9" t="s">
        <v>374</v>
      </c>
      <c r="P91" s="9" t="s">
        <v>373</v>
      </c>
      <c r="Q91" s="9" t="s">
        <v>373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469</v>
      </c>
      <c r="N92" s="9"/>
      <c r="O92" s="9" t="s">
        <v>471</v>
      </c>
      <c r="P92" s="9" t="s">
        <v>470</v>
      </c>
      <c r="Q92" s="9" t="s">
        <v>470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365</v>
      </c>
      <c r="N93" s="9"/>
      <c r="O93" s="9" t="s">
        <v>366</v>
      </c>
      <c r="P93" s="9" t="s">
        <v>366</v>
      </c>
      <c r="Q93" s="9" t="s">
        <v>366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number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320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number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number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431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number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number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number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number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number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483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382</v>
      </c>
      <c r="Q111" s="9" t="s">
        <v>382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383</v>
      </c>
      <c r="Q112" s="9" t="s">
        <v>383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384</v>
      </c>
      <c r="Q113" s="9" t="s">
        <v>384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385</v>
      </c>
      <c r="Q114" s="9" t="s">
        <v>385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386</v>
      </c>
      <c r="Q115" s="9" t="s">
        <v>386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387</v>
      </c>
      <c r="Q116" s="9" t="s">
        <v>387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378</v>
      </c>
      <c r="N117" s="9"/>
      <c r="O117" s="9" t="s">
        <v>381</v>
      </c>
      <c r="P117" s="9" t="s">
        <v>388</v>
      </c>
      <c r="Q117" s="9" t="s">
        <v>388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389</v>
      </c>
      <c r="Q118" s="9" t="s">
        <v>389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414</v>
      </c>
      <c r="N119" s="9"/>
      <c r="O119" s="9" t="s">
        <v>413</v>
      </c>
      <c r="P119" s="9" t="s">
        <v>416</v>
      </c>
      <c r="Q119" s="9" t="s">
        <v>416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number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number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number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number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number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number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337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338</v>
      </c>
      <c r="N132" s="7"/>
      <c r="O132" s="7" t="s">
        <v>340</v>
      </c>
      <c r="P132" s="7" t="s">
        <v>339</v>
      </c>
      <c r="Q132" s="7" t="s">
        <v>339</v>
      </c>
      <c r="R132" s="14"/>
      <c r="S132" s="14"/>
      <c r="T132" s="14"/>
      <c r="U132" s="7" t="b">
        <v>0</v>
      </c>
      <c r="V132" s="7"/>
      <c r="W132" s="7" t="b">
        <v>0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345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number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484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number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475</v>
      </c>
      <c r="N135" s="9"/>
      <c r="O135" s="9" t="s">
        <v>480</v>
      </c>
      <c r="P135" s="9" t="s">
        <v>336</v>
      </c>
      <c r="Q135" s="9" t="s">
        <v>336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476</v>
      </c>
      <c r="N136" s="9"/>
      <c r="O136" s="9" t="s">
        <v>481</v>
      </c>
      <c r="P136" s="9" t="s">
        <v>482</v>
      </c>
      <c r="Q136" s="9" t="s">
        <v>482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number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485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number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477</v>
      </c>
      <c r="N138" s="7"/>
      <c r="O138" s="7" t="s">
        <v>484</v>
      </c>
      <c r="P138" s="7" t="s">
        <v>486</v>
      </c>
      <c r="Q138" s="7" t="s">
        <v>486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478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number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489</v>
      </c>
      <c r="N140" s="7"/>
      <c r="O140" s="7" t="s">
        <v>490</v>
      </c>
      <c r="P140" s="7" t="s">
        <v>491</v>
      </c>
      <c r="Q140" s="7" t="s">
        <v>491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>E140+5</f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487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541</v>
      </c>
      <c r="N142" s="7"/>
      <c r="O142" s="7" t="s">
        <v>542</v>
      </c>
      <c r="P142" s="7" t="s">
        <v>542</v>
      </c>
      <c r="Q142" s="7" t="s">
        <v>542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479</v>
      </c>
      <c r="N143" s="7"/>
      <c r="O143" s="7" t="s">
        <v>488</v>
      </c>
      <c r="P143" s="7" t="s">
        <v>488</v>
      </c>
      <c r="Q143" s="7" t="s">
        <v>488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476</v>
      </c>
      <c r="N144" s="7"/>
      <c r="O144" s="7" t="s">
        <v>481</v>
      </c>
      <c r="P144" s="7" t="s">
        <v>482</v>
      </c>
      <c r="Q144" s="7" t="s">
        <v>482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number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484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number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>
        <v>12</v>
      </c>
      <c r="L146" s="9" t="str">
        <f t="array" ref="L146">GetValue("Tables",K146,"Name")</f>
        <v>Tables</v>
      </c>
      <c r="M146" s="9" t="s">
        <v>511</v>
      </c>
      <c r="N146" s="9"/>
      <c r="O146" s="9" t="s">
        <v>510</v>
      </c>
      <c r="P146" s="9" t="s">
        <v>514</v>
      </c>
      <c r="Q146" s="9" t="s">
        <v>514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number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>
        <v>12</v>
      </c>
      <c r="L147" s="9" t="str">
        <f t="array" ref="L147">GetValue("Tables",K147,"Name")</f>
        <v>Tables</v>
      </c>
      <c r="M147" s="9" t="s">
        <v>512</v>
      </c>
      <c r="N147" s="9"/>
      <c r="O147" s="9" t="s">
        <v>513</v>
      </c>
      <c r="P147" s="9" t="s">
        <v>515</v>
      </c>
      <c r="Q147" s="9" t="s">
        <v>515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506</v>
      </c>
      <c r="N148" s="9"/>
      <c r="O148" s="9" t="s">
        <v>530</v>
      </c>
      <c r="P148" s="9" t="s">
        <v>531</v>
      </c>
      <c r="Q148" s="9" t="s">
        <v>531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Unicities</v>
      </c>
      <c r="D149" s="8" t="str" cm="1">
        <f t="array" ref="D149">GetValue("Tables",B149,"Alias")</f>
        <v>Unicity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number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516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Unicities</v>
      </c>
      <c r="D150" s="8" t="str" cm="1">
        <f t="array" ref="D150">GetValue("Tables",B150,"Alias")</f>
        <v>Unicity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number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>
        <v>14</v>
      </c>
      <c r="L150" s="7" t="str">
        <f t="array" ref="L150">GetValue("Tables",K150,"Name")</f>
        <v>Columns</v>
      </c>
      <c r="M150" s="7" t="s">
        <v>517</v>
      </c>
      <c r="N150" s="7"/>
      <c r="O150" s="7" t="s">
        <v>519</v>
      </c>
      <c r="P150" s="7" t="s">
        <v>519</v>
      </c>
      <c r="Q150" s="7" t="s">
        <v>521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Unicities</v>
      </c>
      <c r="D151" s="8" t="str" cm="1">
        <f t="array" ref="D151">GetValue("Tables",B151,"Alias")</f>
        <v>Unicity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number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>
        <v>14</v>
      </c>
      <c r="L151" s="7" t="str">
        <f t="array" ref="L151">GetValue("Tables",K151,"Name")</f>
        <v>Columns</v>
      </c>
      <c r="M151" s="7" t="s">
        <v>518</v>
      </c>
      <c r="N151" s="7"/>
      <c r="O151" s="7" t="s">
        <v>520</v>
      </c>
      <c r="P151" s="7" t="s">
        <v>520</v>
      </c>
      <c r="Q151" s="7" t="s">
        <v>522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Unicities</v>
      </c>
      <c r="D152" s="8" t="str" cm="1">
        <f t="array" ref="D152">GetValue("Tables",B152,"Alias")</f>
        <v>Unicity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506</v>
      </c>
      <c r="N152" s="7"/>
      <c r="O152" s="7" t="s">
        <v>530</v>
      </c>
      <c r="P152" s="7" t="s">
        <v>531</v>
      </c>
      <c r="Q152" s="7" t="s">
        <v>531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31"/>
  <sheetViews>
    <sheetView workbookViewId="0">
      <pane ySplit="1" topLeftCell="A11" activePane="bottomLeft" state="frozen"/>
      <selection pane="bottomLeft" activeCell="D28" sqref="D28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352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31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357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376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363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429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358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428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359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432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360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361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504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362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370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536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537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538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Associations</v>
      </c>
      <c r="D28" t="s">
        <v>532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Associations</v>
      </c>
      <c r="D29" t="s">
        <v>534</v>
      </c>
      <c r="E29" t="b">
        <v>1</v>
      </c>
    </row>
    <row r="30" spans="1:5" x14ac:dyDescent="0.3">
      <c r="A30">
        <f t="shared" si="0"/>
        <v>29</v>
      </c>
      <c r="B30">
        <v>21</v>
      </c>
      <c r="C30" t="str">
        <f t="array" ref="C30">GetValue("Tables",B30,"Name")</f>
        <v>Unicities</v>
      </c>
      <c r="D30" t="s">
        <v>533</v>
      </c>
      <c r="E30" t="b">
        <v>1</v>
      </c>
    </row>
    <row r="31" spans="1:5" x14ac:dyDescent="0.3">
      <c r="A31">
        <f t="shared" si="0"/>
        <v>30</v>
      </c>
      <c r="B31">
        <v>21</v>
      </c>
      <c r="C31" t="str">
        <f t="array" ref="C31">GetValue("Tables",B31,"Name")</f>
        <v>Unicities</v>
      </c>
      <c r="D31" t="s">
        <v>535</v>
      </c>
      <c r="E3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9"/>
  <sheetViews>
    <sheetView workbookViewId="0">
      <pane ySplit="1" topLeftCell="A29" activePane="bottomLeft" state="frozen"/>
      <selection pane="bottomLeft" activeCell="C44" sqref="C44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355</v>
      </c>
      <c r="D1" s="1" t="s">
        <v>88</v>
      </c>
      <c r="E1" s="1" t="s">
        <v>275</v>
      </c>
      <c r="F1" s="1" t="s">
        <v>356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9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IDX_Logins_SystemId_UserId_IsLogged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>
        <f t="array" ref="C37">GetValue("Indexes",B37,"Name")</f>
        <v>IDX_Transactions_LoginId_IsConfirmed</v>
      </c>
      <c r="D37">
        <v>5</v>
      </c>
      <c r="E37">
        <v>134</v>
      </c>
      <c r="F37" t="str">
        <f t="array" ref="F37">GetValue("Columns",E37,"Name")</f>
        <v>LoginId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>
        <f t="array" ref="C38">GetValue("Indexes",B38,"Name")</f>
        <v>IDX_Transactions_LoginId_IsConfirmed</v>
      </c>
      <c r="D38">
        <v>10</v>
      </c>
      <c r="E38">
        <v>135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137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138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143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UNQ_Associations_TableId1_TableId2</v>
      </c>
      <c r="D42">
        <v>5</v>
      </c>
      <c r="E42">
        <v>145</v>
      </c>
      <c r="F42" t="str">
        <f t="array" ref="F42">GetValue("Columns",E42,"Name")</f>
        <v>TableId1 (Associations)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UNQ_Associations_TableId1_TableId2</v>
      </c>
      <c r="D43">
        <v>10</v>
      </c>
      <c r="E43">
        <v>146</v>
      </c>
      <c r="F43" t="str">
        <f t="array" ref="F43">GetValue("Columns",E43,"Name")</f>
        <v>TableId2 (Associations)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 cm="1">
        <f t="array" ref="C44">GetValue("Indexes",B44,"Name")</f>
        <v>UNQ_Associations_TableId2_TableId1</v>
      </c>
      <c r="D44">
        <v>5</v>
      </c>
      <c r="E44">
        <v>146</v>
      </c>
      <c r="F44" t="str">
        <f t="array" ref="F44">GetValue("Columns",E44,"Name")</f>
        <v>TableId2 (Associations)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UNQ_Associations_TableId2_TableId1</v>
      </c>
      <c r="D45">
        <v>10</v>
      </c>
      <c r="E45">
        <v>145</v>
      </c>
      <c r="F45" t="str">
        <f t="array" ref="F45">GetValue("Columns",E45,"Name")</f>
        <v>TableId1 (Associations)</v>
      </c>
      <c r="G45" t="b">
        <v>0</v>
      </c>
    </row>
    <row r="46" spans="1:7" x14ac:dyDescent="0.3">
      <c r="A46">
        <f t="shared" si="0"/>
        <v>45</v>
      </c>
      <c r="B46">
        <v>29</v>
      </c>
      <c r="C46" t="str">
        <f t="array" ref="C46">GetValue("Indexes",B46,"Name")</f>
        <v>UNQ_Uniques_ColumnId1_ColumnId2</v>
      </c>
      <c r="D46">
        <v>5</v>
      </c>
      <c r="E46">
        <v>149</v>
      </c>
      <c r="F46" t="str">
        <f t="array" ref="F46">GetValue("Columns",E46,"Name")</f>
        <v>ColumnId1 (Unicities)</v>
      </c>
      <c r="G46" t="b">
        <v>0</v>
      </c>
    </row>
    <row r="47" spans="1:7" x14ac:dyDescent="0.3">
      <c r="A47">
        <f t="shared" si="0"/>
        <v>46</v>
      </c>
      <c r="B47">
        <v>29</v>
      </c>
      <c r="C47" t="str">
        <f t="array" ref="C47">GetValue("Indexes",B47,"Name")</f>
        <v>UNQ_Uniques_ColumnId1_ColumnId2</v>
      </c>
      <c r="D47">
        <v>10</v>
      </c>
      <c r="E47">
        <v>150</v>
      </c>
      <c r="F47" t="str">
        <f t="array" ref="F47">GetValue("Columns",E47,"Name")</f>
        <v>ColumnId2 (Unicities)</v>
      </c>
      <c r="G47" t="b">
        <v>0</v>
      </c>
    </row>
    <row r="48" spans="1:7" x14ac:dyDescent="0.3">
      <c r="A48">
        <f t="shared" si="0"/>
        <v>47</v>
      </c>
      <c r="B48">
        <v>30</v>
      </c>
      <c r="C48" t="str">
        <f t="array" ref="C48">GetValue("Indexes",B48,"Name")</f>
        <v>UNQ_Uniques_ColumnId2_ColumnId1</v>
      </c>
      <c r="D48">
        <v>5</v>
      </c>
      <c r="E48">
        <v>150</v>
      </c>
      <c r="F48" t="str">
        <f t="array" ref="F48">GetValue("Columns",E48,"Name")</f>
        <v>ColumnId2 (Unicities)</v>
      </c>
      <c r="G48" t="b">
        <v>0</v>
      </c>
    </row>
    <row r="49" spans="1:7" x14ac:dyDescent="0.3">
      <c r="A49">
        <f t="shared" si="0"/>
        <v>48</v>
      </c>
      <c r="B49">
        <v>30</v>
      </c>
      <c r="C49" t="str">
        <f t="array" ref="C49">GetValue("Indexes",B49,"Name")</f>
        <v>UNQ_Uniques_ColumnId2_ColumnId1</v>
      </c>
      <c r="D49">
        <v>10</v>
      </c>
      <c r="E49">
        <v>149</v>
      </c>
      <c r="F49" t="str">
        <f t="array" ref="F49">GetValue("Columns",E49,"Name")</f>
        <v>ColumnId1 (Unicities)</v>
      </c>
      <c r="G4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338</v>
      </c>
      <c r="E1" s="1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475</v>
      </c>
      <c r="C1" s="1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E3" sqref="E3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477</v>
      </c>
      <c r="C1" s="1" t="s">
        <v>478</v>
      </c>
      <c r="D1" s="1" t="s">
        <v>489</v>
      </c>
      <c r="E1" s="1" t="s">
        <v>91</v>
      </c>
      <c r="F1" s="1" t="s">
        <v>541</v>
      </c>
      <c r="G1" s="1" t="s">
        <v>479</v>
      </c>
      <c r="H1" s="1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527</v>
      </c>
      <c r="C1" s="1" t="s">
        <v>511</v>
      </c>
      <c r="D1" s="1" t="s">
        <v>523</v>
      </c>
      <c r="E1" s="1" t="s">
        <v>526</v>
      </c>
      <c r="F1" s="1" t="s">
        <v>512</v>
      </c>
      <c r="G1" s="1" t="s">
        <v>524</v>
      </c>
      <c r="H1" s="1" t="s">
        <v>525</v>
      </c>
      <c r="I1" s="1" t="s">
        <v>506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517</v>
      </c>
      <c r="C1" s="1" t="s">
        <v>539</v>
      </c>
      <c r="D1" s="1" t="s">
        <v>523</v>
      </c>
      <c r="E1" s="1" t="s">
        <v>526</v>
      </c>
      <c r="F1" s="1" t="s">
        <v>528</v>
      </c>
      <c r="G1" s="1" t="s">
        <v>518</v>
      </c>
      <c r="H1" s="1" t="s">
        <v>540</v>
      </c>
      <c r="I1" s="1" t="s">
        <v>524</v>
      </c>
      <c r="J1" s="1" t="s">
        <v>525</v>
      </c>
      <c r="K1" s="1" t="s">
        <v>529</v>
      </c>
      <c r="L1" s="1" t="s">
        <v>506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12</v>
      </c>
      <c r="D2" t="str" cm="1">
        <f t="array" ref="D2">GetValue("Tables",C2,"Name",FALSE)</f>
        <v>Tables</v>
      </c>
      <c r="E2" t="str" cm="1">
        <f t="array" ref="E2">GetValue("Columns",B2,"#TableAlias",FALSE)</f>
        <v>Table</v>
      </c>
      <c r="F2" t="str" cm="1">
        <f t="array" ref="F2">GetValue("Columns",B2,"Name",FALSE)</f>
        <v>Name</v>
      </c>
      <c r="G2">
        <v>88</v>
      </c>
      <c r="H2" cm="1">
        <f t="array" ref="H2">GetValue("Columns",G2,"TableId",FALSE)</f>
        <v>12</v>
      </c>
      <c r="I2" t="str" cm="1">
        <f t="array" ref="I2">GetValue("Tables",H2,"Name",FALSE)</f>
        <v>Tables</v>
      </c>
      <c r="J2" t="str" cm="1">
        <f t="array" ref="J2">GetValue("Columns",G2,"#TableAlias",FALSE)</f>
        <v>Table</v>
      </c>
      <c r="K2" t="str" cm="1">
        <f t="array" ref="K2">GetValue("Columns",G2,"Name",FALSE)</f>
        <v>Alias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Unicities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2025-04-09T21:30:56Z</dcterms:modified>
</cp:coreProperties>
</file>