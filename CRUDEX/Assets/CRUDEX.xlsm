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69E2B078-4D97-4AB0-A9BA-4F57154D2EAC}" xr6:coauthVersionLast="47" xr6:coauthVersionMax="47" xr10:uidLastSave="{00000000-0000-0000-0000-000000000000}"/>
  <bookViews>
    <workbookView xWindow="-108" yWindow="-108" windowWidth="23256" windowHeight="13176" tabRatio="925" firstSheet="2" activeTab="8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12" l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A16" i="12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F2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24" i="14" a="1"/>
  <c r="F14" i="14" a="1"/>
  <c r="F4" i="14" a="1"/>
  <c r="F32" i="14" a="1"/>
  <c r="F22" i="14" a="1"/>
  <c r="F12" i="14" a="1"/>
  <c r="F31" i="14" a="1"/>
  <c r="F21" i="14" a="1"/>
  <c r="F11" i="14" a="1"/>
  <c r="F20" i="14" a="1"/>
  <c r="F10" i="14" a="1"/>
  <c r="F19" i="14" a="1"/>
  <c r="F28" i="14" a="1"/>
  <c r="F8" i="14" a="1"/>
  <c r="F34" i="14" a="1"/>
  <c r="F33" i="14" a="1"/>
  <c r="F23" i="14" a="1"/>
  <c r="F13" i="14" a="1"/>
  <c r="F30" i="14" a="1"/>
  <c r="F29" i="14" a="1"/>
  <c r="F9" i="14" a="1"/>
  <c r="F18" i="14" a="1"/>
  <c r="K16" i="12" a="1"/>
  <c r="I16" i="12" a="1"/>
  <c r="H16" i="12" a="1"/>
  <c r="G16" i="12" a="1"/>
  <c r="F16" i="12" a="1"/>
  <c r="C16" i="12" a="1"/>
  <c r="I105" i="12" a="1"/>
  <c r="I111" i="12" a="1"/>
  <c r="I57" i="12" a="1"/>
  <c r="I44" i="12" a="1"/>
  <c r="I90" i="12" a="1"/>
  <c r="I110" i="12" a="1"/>
  <c r="I15" i="12" a="1"/>
  <c r="I123" i="12" a="1"/>
  <c r="I20" i="12" a="1"/>
  <c r="F2" i="12" a="1"/>
  <c r="I66" i="12" a="1"/>
  <c r="I109" i="12" a="1"/>
  <c r="I120" i="12" a="1"/>
  <c r="I69" i="12" a="1"/>
  <c r="I34" i="12" a="1"/>
  <c r="I49" i="12" a="1"/>
  <c r="I95" i="12" a="1"/>
  <c r="I19" i="12" a="1"/>
  <c r="I99" i="12" a="1"/>
  <c r="I78" i="12" a="1"/>
  <c r="I93" i="12" a="1"/>
  <c r="I38" i="12" a="1"/>
  <c r="I65" i="12" a="1"/>
  <c r="I7" i="12" a="1"/>
  <c r="I53" i="12" a="1"/>
  <c r="I117" i="12" a="1"/>
  <c r="I33" i="12" a="1"/>
  <c r="I42" i="12" a="1"/>
  <c r="F9" i="12" a="1"/>
  <c r="I35" i="12" a="1"/>
  <c r="I47" i="12" a="1"/>
  <c r="I14" i="12" a="1"/>
  <c r="I106" i="12" a="1"/>
  <c r="I68" i="12" a="1"/>
  <c r="I91" i="12" a="1"/>
  <c r="I62" i="12" a="1"/>
  <c r="I46" i="12" a="1"/>
  <c r="I104" i="12" a="1"/>
  <c r="I41" i="12" a="1"/>
  <c r="I32" i="12" a="1"/>
  <c r="I10" i="12" a="1"/>
  <c r="I64" i="12" a="1"/>
  <c r="I31" i="12" a="1"/>
  <c r="I25" i="12" a="1"/>
  <c r="I101" i="12" a="1"/>
  <c r="I27" i="12" a="1"/>
  <c r="I24" i="12" a="1"/>
  <c r="I60" i="12" a="1"/>
  <c r="I80" i="12" a="1"/>
  <c r="I5" i="12" a="1"/>
  <c r="I51" i="12" a="1"/>
  <c r="I9" i="12" a="1"/>
  <c r="I74" i="12" a="1"/>
  <c r="I103" i="12" a="1"/>
  <c r="F11" i="12" a="1"/>
  <c r="I125" i="12" a="1"/>
  <c r="I83" i="12" a="1"/>
  <c r="F8" i="12" a="1"/>
  <c r="I115" i="12" a="1"/>
  <c r="I29" i="12" a="1"/>
  <c r="I40" i="12" a="1"/>
  <c r="I108" i="12" a="1"/>
  <c r="I113" i="12" a="1"/>
  <c r="I118" i="12" a="1"/>
  <c r="I89" i="12" a="1"/>
  <c r="I122" i="12" a="1"/>
  <c r="F4" i="12" a="1"/>
  <c r="I59" i="12" a="1"/>
  <c r="I102" i="12" a="1"/>
  <c r="I18" i="12" a="1"/>
  <c r="I39" i="12" a="1"/>
  <c r="I72" i="12" a="1"/>
  <c r="F10" i="12" a="1"/>
  <c r="I8" i="12" a="1"/>
  <c r="I77" i="12" a="1"/>
  <c r="I98" i="12" a="1"/>
  <c r="I22" i="12" a="1"/>
  <c r="I88" i="12" a="1"/>
  <c r="I92" i="12" a="1"/>
  <c r="I116" i="12" a="1"/>
  <c r="I48" i="12" a="1"/>
  <c r="I61" i="12" a="1"/>
  <c r="I28" i="12" a="1"/>
  <c r="I82" i="12" a="1"/>
  <c r="I97" i="12" a="1"/>
  <c r="I81" i="12" a="1"/>
  <c r="I87" i="12" a="1"/>
  <c r="I124" i="12" a="1"/>
  <c r="I71" i="12" a="1"/>
  <c r="I6" i="12" a="1"/>
  <c r="I3" i="12" a="1"/>
  <c r="I30" i="12" a="1"/>
  <c r="I50" i="12" a="1"/>
  <c r="I2" i="12" a="1"/>
  <c r="I96" i="12" a="1"/>
  <c r="I21" i="12" a="1"/>
  <c r="I119" i="12" a="1"/>
  <c r="I54" i="12" a="1"/>
  <c r="I79" i="12" a="1"/>
  <c r="I70" i="12" a="1"/>
  <c r="I63" i="12" a="1"/>
  <c r="F7" i="12" a="1"/>
  <c r="I43" i="12" a="1"/>
  <c r="F6" i="12" a="1"/>
  <c r="I85" i="12" a="1"/>
  <c r="I23" i="12" a="1"/>
  <c r="F5" i="12" a="1"/>
  <c r="I75" i="12" a="1"/>
  <c r="I58" i="12" a="1"/>
  <c r="I73" i="12" a="1"/>
  <c r="F3" i="12" a="1"/>
  <c r="I55" i="12" a="1"/>
  <c r="I107" i="12" a="1"/>
  <c r="I45" i="12" a="1"/>
  <c r="I67" i="12" a="1"/>
  <c r="I12" i="12" a="1"/>
  <c r="I37" i="12" a="1"/>
  <c r="I112" i="12" a="1"/>
  <c r="I17" i="12" a="1"/>
  <c r="I4" i="12" a="1"/>
  <c r="I76" i="12" a="1"/>
  <c r="I114" i="12" a="1"/>
  <c r="I86" i="12" a="1"/>
  <c r="I52" i="12" a="1"/>
  <c r="I56" i="12" a="1"/>
  <c r="I84" i="12" a="1"/>
  <c r="I26" i="12" a="1"/>
  <c r="I100" i="12" a="1"/>
  <c r="I36" i="12" a="1"/>
  <c r="I94" i="12" a="1"/>
  <c r="I11" i="12" a="1"/>
  <c r="I121" i="12" a="1"/>
  <c r="I13" i="12" a="1"/>
  <c r="H2" i="11" a="1"/>
  <c r="H17" i="11" a="1"/>
  <c r="H7" i="11" a="1"/>
  <c r="H16" i="11" a="1"/>
  <c r="H6" i="11" a="1"/>
  <c r="H15" i="11" a="1"/>
  <c r="H5" i="11" a="1"/>
  <c r="H14" i="11" a="1"/>
  <c r="H4" i="11" a="1"/>
  <c r="H3" i="11" a="1"/>
  <c r="H12" i="11" a="1"/>
  <c r="H11" i="11" a="1"/>
  <c r="H10" i="11" a="1"/>
  <c r="H9" i="11" a="1"/>
  <c r="H8" i="11" a="1"/>
  <c r="H13" i="11" a="1"/>
  <c r="C2" i="6" a="1"/>
  <c r="C13" i="6" a="1"/>
  <c r="C3" i="6" a="1"/>
  <c r="C12" i="6" a="1"/>
  <c r="C11" i="6" a="1"/>
  <c r="C10" i="6" a="1"/>
  <c r="C9" i="6" a="1"/>
  <c r="C8" i="6" a="1"/>
  <c r="C7" i="6" a="1"/>
  <c r="C6" i="6" a="1"/>
  <c r="C5" i="6" a="1"/>
  <c r="C4" i="6" a="1"/>
  <c r="C2" i="13" a="1"/>
  <c r="C25" i="13" a="1"/>
  <c r="C15" i="13" a="1"/>
  <c r="C5" i="13" a="1"/>
  <c r="C23" i="13" a="1"/>
  <c r="C13" i="13" a="1"/>
  <c r="C3" i="13" a="1"/>
  <c r="C11" i="13" a="1"/>
  <c r="C20" i="13" a="1"/>
  <c r="C9" i="13" a="1"/>
  <c r="C8" i="13" a="1"/>
  <c r="C17" i="13" a="1"/>
  <c r="C6" i="13" a="1"/>
  <c r="C7" i="13" a="1"/>
  <c r="C24" i="13" a="1"/>
  <c r="C14" i="13" a="1"/>
  <c r="C4" i="13" a="1"/>
  <c r="C22" i="13" a="1"/>
  <c r="C12" i="13" a="1"/>
  <c r="C21" i="13" a="1"/>
  <c r="C10" i="13" a="1"/>
  <c r="C19" i="13" a="1"/>
  <c r="C18" i="13" a="1"/>
  <c r="C16" i="13" a="1"/>
  <c r="C2" i="17" a="1"/>
  <c r="C7" i="17" a="1"/>
  <c r="C16" i="17" a="1"/>
  <c r="C6" i="17" a="1"/>
  <c r="C15" i="17" a="1"/>
  <c r="C5" i="17" a="1"/>
  <c r="C14" i="17" a="1"/>
  <c r="C13" i="17" a="1"/>
  <c r="C11" i="17" a="1"/>
  <c r="C9" i="17" a="1"/>
  <c r="C8" i="17" a="1"/>
  <c r="C17" i="17" a="1"/>
  <c r="C4" i="17" a="1"/>
  <c r="C3" i="17" a="1"/>
  <c r="C12" i="17" a="1"/>
  <c r="C10" i="17" a="1"/>
  <c r="C2" i="10" a="1"/>
  <c r="C2" i="8" a="1"/>
  <c r="C3" i="8" a="1"/>
  <c r="C2" i="6" l="1"/>
  <c r="C4" i="6"/>
  <c r="C5" i="6"/>
  <c r="C6" i="6"/>
  <c r="C7" i="6"/>
  <c r="C8" i="6"/>
  <c r="C9" i="6"/>
  <c r="C10" i="6"/>
  <c r="C11" i="6"/>
  <c r="C12" i="6"/>
  <c r="C3" i="6"/>
  <c r="C13" i="6"/>
  <c r="C2" i="13"/>
  <c r="C16" i="13"/>
  <c r="C18" i="13"/>
  <c r="C19" i="13"/>
  <c r="C10" i="13"/>
  <c r="C21" i="13"/>
  <c r="C12" i="13"/>
  <c r="C22" i="13"/>
  <c r="C4" i="13"/>
  <c r="C14" i="13"/>
  <c r="C24" i="13"/>
  <c r="C7" i="13"/>
  <c r="C6" i="13"/>
  <c r="C17" i="13"/>
  <c r="C8" i="13"/>
  <c r="C9" i="13"/>
  <c r="C20" i="13"/>
  <c r="C11" i="13"/>
  <c r="C3" i="13"/>
  <c r="C13" i="13"/>
  <c r="C23" i="13"/>
  <c r="C5" i="13"/>
  <c r="C15" i="13"/>
  <c r="C25" i="13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H2" i="11"/>
  <c r="H13" i="11"/>
  <c r="H8" i="11"/>
  <c r="H9" i="11"/>
  <c r="H10" i="11"/>
  <c r="H11" i="11"/>
  <c r="H12" i="11"/>
  <c r="H3" i="11"/>
  <c r="H4" i="11"/>
  <c r="H14" i="11"/>
  <c r="H5" i="11"/>
  <c r="H15" i="11"/>
  <c r="H6" i="11"/>
  <c r="H16" i="11"/>
  <c r="H7" i="11"/>
  <c r="H17" i="11"/>
  <c r="F2" i="14"/>
  <c r="F18" i="14"/>
  <c r="F9" i="14"/>
  <c r="F29" i="14"/>
  <c r="F30" i="14"/>
  <c r="F13" i="14"/>
  <c r="F23" i="14"/>
  <c r="F33" i="14"/>
  <c r="F34" i="14"/>
  <c r="F8" i="14"/>
  <c r="F28" i="14"/>
  <c r="F19" i="14"/>
  <c r="F10" i="14"/>
  <c r="F20" i="14"/>
  <c r="F11" i="14"/>
  <c r="F21" i="14"/>
  <c r="F31" i="14"/>
  <c r="F12" i="14"/>
  <c r="F22" i="14"/>
  <c r="F32" i="14"/>
  <c r="F4" i="14"/>
  <c r="F14" i="14"/>
  <c r="F2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6" i="12"/>
  <c r="F16" i="12"/>
  <c r="G16" i="12"/>
  <c r="H16" i="12"/>
  <c r="I16" i="12"/>
  <c r="K16" i="12"/>
  <c r="I5" i="12"/>
  <c r="I15" i="12"/>
  <c r="I36" i="12"/>
  <c r="I26" i="12"/>
  <c r="I56" i="12"/>
  <c r="I86" i="12"/>
  <c r="I116" i="12"/>
  <c r="I17" i="12"/>
  <c r="I47" i="12"/>
  <c r="I77" i="12"/>
  <c r="I107" i="12"/>
  <c r="I18" i="12"/>
  <c r="I58" i="12"/>
  <c r="I118" i="12"/>
  <c r="I19" i="12"/>
  <c r="I49" i="12"/>
  <c r="I79" i="12"/>
  <c r="I109" i="12"/>
  <c r="I20" i="12"/>
  <c r="I50" i="12"/>
  <c r="I80" i="12"/>
  <c r="I110" i="12"/>
  <c r="I31" i="12"/>
  <c r="I81" i="12"/>
  <c r="I82" i="12"/>
  <c r="I46" i="12"/>
  <c r="I76" i="12"/>
  <c r="I106" i="12"/>
  <c r="I37" i="12"/>
  <c r="I67" i="12"/>
  <c r="I117" i="12"/>
  <c r="I7" i="12"/>
  <c r="I38" i="12"/>
  <c r="I78" i="12"/>
  <c r="I108" i="12"/>
  <c r="I29" i="12"/>
  <c r="I69" i="12"/>
  <c r="I119" i="12"/>
  <c r="I9" i="12"/>
  <c r="I30" i="12"/>
  <c r="I60" i="12"/>
  <c r="I90" i="12"/>
  <c r="I100" i="12"/>
  <c r="I10" i="12"/>
  <c r="I41" i="12"/>
  <c r="I61" i="12"/>
  <c r="I91" i="12"/>
  <c r="I121" i="12"/>
  <c r="I22" i="12"/>
  <c r="I42" i="12"/>
  <c r="I72" i="12"/>
  <c r="I102" i="12"/>
  <c r="I122" i="12"/>
  <c r="I23" i="12"/>
  <c r="I43" i="12"/>
  <c r="I63" i="12"/>
  <c r="I83" i="12"/>
  <c r="I103" i="12"/>
  <c r="I123" i="12"/>
  <c r="I3" i="12"/>
  <c r="I24" i="12"/>
  <c r="I44" i="12"/>
  <c r="I64" i="12"/>
  <c r="I84" i="12"/>
  <c r="I104" i="12"/>
  <c r="I114" i="12"/>
  <c r="I4" i="12"/>
  <c r="I14" i="12"/>
  <c r="I35" i="12"/>
  <c r="I45" i="12"/>
  <c r="I55" i="12"/>
  <c r="I65" i="12"/>
  <c r="I75" i="12"/>
  <c r="I85" i="12"/>
  <c r="I95" i="12"/>
  <c r="I115" i="12"/>
  <c r="I125" i="12"/>
  <c r="I66" i="12"/>
  <c r="I96" i="12"/>
  <c r="I6" i="12"/>
  <c r="I27" i="12"/>
  <c r="I57" i="12"/>
  <c r="I87" i="12"/>
  <c r="I97" i="12"/>
  <c r="I28" i="12"/>
  <c r="I48" i="12"/>
  <c r="I68" i="12"/>
  <c r="I88" i="12"/>
  <c r="I98" i="12"/>
  <c r="I8" i="12"/>
  <c r="I39" i="12"/>
  <c r="I59" i="12"/>
  <c r="I89" i="12"/>
  <c r="I99" i="12"/>
  <c r="I40" i="12"/>
  <c r="I70" i="12"/>
  <c r="I120" i="12"/>
  <c r="I21" i="12"/>
  <c r="I51" i="12"/>
  <c r="I71" i="12"/>
  <c r="I101" i="12"/>
  <c r="I111" i="12"/>
  <c r="I11" i="12"/>
  <c r="I32" i="12"/>
  <c r="I52" i="12"/>
  <c r="I62" i="12"/>
  <c r="I92" i="12"/>
  <c r="I112" i="12"/>
  <c r="I12" i="12"/>
  <c r="I33" i="12"/>
  <c r="I53" i="12"/>
  <c r="I73" i="12"/>
  <c r="I93" i="12"/>
  <c r="I113" i="12"/>
  <c r="I13" i="12"/>
  <c r="I34" i="12"/>
  <c r="I54" i="12"/>
  <c r="I74" i="12"/>
  <c r="I94" i="12"/>
  <c r="I124" i="12"/>
  <c r="I25" i="12"/>
  <c r="I105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3" i="12"/>
  <c r="D80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" i="14" a="1"/>
  <c r="H115" i="12" a="1"/>
  <c r="H44" i="12" a="1"/>
  <c r="H23" i="12" a="1"/>
  <c r="H61" i="12" a="1"/>
  <c r="H96" i="12" a="1"/>
  <c r="H58" i="12" a="1"/>
  <c r="H48" i="12" a="1"/>
  <c r="F104" i="12" a="1"/>
  <c r="F109" i="12" a="1"/>
  <c r="F53" i="12" a="1"/>
  <c r="F107" i="12" a="1"/>
  <c r="G115" i="12" a="1"/>
  <c r="F58" i="12" a="1"/>
  <c r="F37" i="12" a="1"/>
  <c r="F91" i="12" a="1"/>
  <c r="F54" i="12" a="1"/>
  <c r="G76" i="12" a="1"/>
  <c r="F121" i="12" a="1"/>
  <c r="H102" i="12" a="1"/>
  <c r="F38" i="12" a="1"/>
  <c r="F119" i="12" a="1"/>
  <c r="F110" i="12" a="1"/>
  <c r="F101" i="12" a="1"/>
  <c r="G94" i="12" a="1"/>
  <c r="H10" i="12" a="1"/>
  <c r="H90" i="12" a="1"/>
  <c r="H106" i="12" a="1"/>
  <c r="F48" i="12" a="1"/>
  <c r="G62" i="12" a="1"/>
  <c r="G28" i="12" a="1"/>
  <c r="G7" i="12" a="1"/>
  <c r="G44" i="12" a="1"/>
  <c r="F118" i="12" a="1"/>
  <c r="H66" i="12" a="1"/>
  <c r="F94" i="12" a="1"/>
  <c r="F56" i="12" a="1"/>
  <c r="G102" i="12" a="1"/>
  <c r="G125" i="12" a="1"/>
  <c r="F88" i="12" a="1"/>
  <c r="H22" i="12" a="1"/>
  <c r="G51" i="12" a="1"/>
  <c r="G59" i="12" a="1"/>
  <c r="G3" i="12" a="1"/>
  <c r="H93" i="12" a="1"/>
  <c r="H109" i="12" a="1"/>
  <c r="F66" i="12" a="1"/>
  <c r="G106" i="12" a="1"/>
  <c r="F34" i="12" a="1"/>
  <c r="H104" i="12" a="1"/>
  <c r="H87" i="12" a="1"/>
  <c r="G91" i="12" a="1"/>
  <c r="G15" i="12" a="1"/>
  <c r="G53" i="12" a="1"/>
  <c r="F46" i="12" a="1"/>
  <c r="H111" i="12" a="1"/>
  <c r="F24" i="12" a="1"/>
  <c r="G104" i="12" a="1"/>
  <c r="G43" i="12" a="1"/>
  <c r="H84" i="12" a="1"/>
  <c r="H69" i="12" a="1"/>
  <c r="H28" i="12" a="1"/>
  <c r="G34" i="12" a="1"/>
  <c r="F86" i="12" a="1"/>
  <c r="G19" i="12" a="1"/>
  <c r="H105" i="12" a="1"/>
  <c r="H34" i="12" a="1"/>
  <c r="H12" i="12" a="1"/>
  <c r="H41" i="12" a="1"/>
  <c r="H68" i="12" a="1"/>
  <c r="H7" i="12" a="1"/>
  <c r="H2" i="12" a="1"/>
  <c r="G86" i="12" a="1"/>
  <c r="F75" i="12" a="1"/>
  <c r="F70" i="12" a="1"/>
  <c r="G39" i="12" a="1"/>
  <c r="F26" i="12" a="1"/>
  <c r="G12" i="12" a="1"/>
  <c r="F125" i="12" a="1"/>
  <c r="G103" i="12" a="1"/>
  <c r="G107" i="12" a="1"/>
  <c r="G6" i="12" a="1"/>
  <c r="F74" i="12" a="1"/>
  <c r="H95" i="12" a="1"/>
  <c r="H24" i="12" a="1"/>
  <c r="H122" i="12" a="1"/>
  <c r="H31" i="12" a="1"/>
  <c r="H46" i="12" a="1"/>
  <c r="H107" i="12" a="1"/>
  <c r="G2" i="12" a="1"/>
  <c r="G50" i="12" a="1"/>
  <c r="F95" i="12" a="1"/>
  <c r="F28" i="12" a="1"/>
  <c r="G4" i="12" a="1"/>
  <c r="F44" i="12" a="1"/>
  <c r="F120" i="12" a="1"/>
  <c r="G5" i="12" a="1"/>
  <c r="G97" i="12" a="1"/>
  <c r="G116" i="12" a="1"/>
  <c r="F114" i="12" a="1"/>
  <c r="G99" i="12" a="1"/>
  <c r="H85" i="12" a="1"/>
  <c r="H13" i="12" a="1"/>
  <c r="H112" i="12" a="1"/>
  <c r="H21" i="12" a="1"/>
  <c r="H18" i="12" a="1"/>
  <c r="H57" i="12" a="1"/>
  <c r="F35" i="12" a="1"/>
  <c r="G11" i="12" a="1"/>
  <c r="G93" i="12" a="1"/>
  <c r="G74" i="12" a="1"/>
  <c r="F42" i="12" a="1"/>
  <c r="F78" i="12" a="1"/>
  <c r="G61" i="12" a="1"/>
  <c r="G79" i="12" a="1"/>
  <c r="G85" i="12" a="1"/>
  <c r="G13" i="12" a="1"/>
  <c r="F47" i="12" a="1"/>
  <c r="F33" i="12" a="1"/>
  <c r="H75" i="12" a="1"/>
  <c r="H3" i="12" a="1"/>
  <c r="H120" i="12" a="1"/>
  <c r="H117" i="12" a="1"/>
  <c r="H29" i="12" a="1"/>
  <c r="F36" i="12" a="1"/>
  <c r="F93" i="12" a="1"/>
  <c r="G71" i="12" a="1"/>
  <c r="G30" i="12" a="1"/>
  <c r="G67" i="12" a="1"/>
  <c r="G82" i="12" a="1"/>
  <c r="G55" i="12" a="1"/>
  <c r="F30" i="12" a="1"/>
  <c r="F83" i="12" a="1"/>
  <c r="H65" i="12" a="1"/>
  <c r="H51" i="12" a="1"/>
  <c r="H92" i="12" a="1"/>
  <c r="H110" i="12" a="1"/>
  <c r="H89" i="12" a="1"/>
  <c r="H6" i="12" a="1"/>
  <c r="F50" i="12" a="1"/>
  <c r="G9" i="12" a="1"/>
  <c r="F13" i="12" a="1"/>
  <c r="G45" i="12" a="1"/>
  <c r="F67" i="12" a="1"/>
  <c r="G22" i="12" a="1"/>
  <c r="F102" i="12" a="1"/>
  <c r="G90" i="12" a="1"/>
  <c r="G46" i="12" a="1"/>
  <c r="F40" i="12" a="1"/>
  <c r="H55" i="12" a="1"/>
  <c r="H82" i="12" a="1"/>
  <c r="H67" i="12" a="1"/>
  <c r="F84" i="12" a="1"/>
  <c r="F45" i="12" a="1"/>
  <c r="F123" i="12" a="1"/>
  <c r="F96" i="12" a="1"/>
  <c r="G105" i="12" a="1"/>
  <c r="F14" i="12" a="1"/>
  <c r="H32" i="12" a="1"/>
  <c r="K83" i="12" a="1"/>
  <c r="G100" i="12" a="1"/>
  <c r="F100" i="12" a="1"/>
  <c r="H15" i="12" a="1"/>
  <c r="F65" i="12" a="1"/>
  <c r="G14" i="12" a="1"/>
  <c r="G35" i="12" a="1"/>
  <c r="H114" i="12" a="1"/>
  <c r="H11" i="12" a="1"/>
  <c r="H38" i="12" a="1"/>
  <c r="C83" i="12" a="1"/>
  <c r="F87" i="12" a="1"/>
  <c r="G25" i="12" a="1"/>
  <c r="G95" i="12" a="1"/>
  <c r="F15" i="12" a="1"/>
  <c r="H121" i="12" a="1"/>
  <c r="H79" i="12" a="1"/>
  <c r="G54" i="12" a="1"/>
  <c r="F27" i="12" a="1"/>
  <c r="G101" i="12" a="1"/>
  <c r="F73" i="12" a="1"/>
  <c r="H94" i="12" a="1"/>
  <c r="H97" i="12" a="1"/>
  <c r="H78" i="12" a="1"/>
  <c r="G57" i="12" a="1"/>
  <c r="F117" i="12" a="1"/>
  <c r="G41" i="12" a="1"/>
  <c r="F29" i="12" a="1"/>
  <c r="G64" i="12" a="1"/>
  <c r="F39" i="12" a="1"/>
  <c r="H101" i="12" a="1"/>
  <c r="F122" i="12" a="1"/>
  <c r="G77" i="12" a="1"/>
  <c r="H45" i="12" a="1"/>
  <c r="H100" i="12" a="1"/>
  <c r="H72" i="12" a="1"/>
  <c r="H80" i="12" a="1"/>
  <c r="H39" i="12" a="1"/>
  <c r="H56" i="12" a="1"/>
  <c r="F51" i="12" a="1"/>
  <c r="G89" i="12" a="1"/>
  <c r="F22" i="12" a="1"/>
  <c r="F43" i="12" a="1"/>
  <c r="F52" i="12" a="1"/>
  <c r="G122" i="12" a="1"/>
  <c r="G88" i="12" a="1"/>
  <c r="G119" i="12" a="1"/>
  <c r="F111" i="12" a="1"/>
  <c r="G84" i="12" a="1"/>
  <c r="G66" i="12" a="1"/>
  <c r="F82" i="12" a="1"/>
  <c r="H35" i="12" a="1"/>
  <c r="H50" i="12" a="1"/>
  <c r="H62" i="12" a="1"/>
  <c r="H70" i="12" a="1"/>
  <c r="H17" i="12" a="1"/>
  <c r="H5" i="12" a="1"/>
  <c r="G48" i="12" a="1"/>
  <c r="F12" i="12" a="1"/>
  <c r="F76" i="12" a="1"/>
  <c r="G36" i="12" a="1"/>
  <c r="F80" i="12" a="1"/>
  <c r="G121" i="12" a="1"/>
  <c r="G37" i="12" a="1"/>
  <c r="G29" i="12" a="1"/>
  <c r="G78" i="12" a="1"/>
  <c r="F79" i="12" a="1"/>
  <c r="G33" i="12" a="1"/>
  <c r="G65" i="12" a="1"/>
  <c r="H25" i="12" a="1"/>
  <c r="H9" i="12" a="1"/>
  <c r="H52" i="12" a="1"/>
  <c r="H60" i="12" a="1"/>
  <c r="H116" i="12" a="1"/>
  <c r="H77" i="12" a="1"/>
  <c r="G21" i="12" a="1"/>
  <c r="F89" i="12" a="1"/>
  <c r="G98" i="12" a="1"/>
  <c r="F21" i="12" a="1"/>
  <c r="F98" i="12" a="1"/>
  <c r="F90" i="12" a="1"/>
  <c r="F63" i="12" a="1"/>
  <c r="G42" i="12" a="1"/>
  <c r="F69" i="12" a="1"/>
  <c r="F92" i="12" a="1"/>
  <c r="G114" i="12" a="1"/>
  <c r="G26" i="12" a="1"/>
  <c r="H14" i="12" a="1"/>
  <c r="H123" i="12" a="1"/>
  <c r="H42" i="12" a="1"/>
  <c r="H40" i="12" a="1"/>
  <c r="H88" i="12" a="1"/>
  <c r="H49" i="12" a="1"/>
  <c r="F49" i="12" a="1"/>
  <c r="F85" i="12" a="1"/>
  <c r="F124" i="12" a="1"/>
  <c r="G20" i="12" a="1"/>
  <c r="G110" i="12" a="1"/>
  <c r="F108" i="12" a="1"/>
  <c r="F17" i="12" a="1"/>
  <c r="G32" i="12" a="1"/>
  <c r="F18" i="12" a="1"/>
  <c r="G23" i="12" a="1"/>
  <c r="F41" i="12" a="1"/>
  <c r="G49" i="12" a="1"/>
  <c r="H4" i="12" a="1"/>
  <c r="H113" i="12" a="1"/>
  <c r="H30" i="12" a="1"/>
  <c r="H98" i="12" a="1"/>
  <c r="F97" i="12" a="1"/>
  <c r="G80" i="12" a="1"/>
  <c r="G60" i="12" a="1"/>
  <c r="F68" i="12" a="1"/>
  <c r="H124" i="12" a="1"/>
  <c r="H103" i="12" a="1"/>
  <c r="H20" i="12" a="1"/>
  <c r="H26" i="12" a="1"/>
  <c r="F105" i="12" a="1"/>
  <c r="F61" i="12" a="1"/>
  <c r="G120" i="12" a="1"/>
  <c r="G47" i="12" a="1"/>
  <c r="G96" i="12" a="1"/>
  <c r="F59" i="12" a="1"/>
  <c r="H36" i="12" a="1"/>
  <c r="F116" i="12" a="1"/>
  <c r="F113" i="12" a="1"/>
  <c r="G63" i="12" a="1"/>
  <c r="G8" i="12" a="1"/>
  <c r="H83" i="12" a="1"/>
  <c r="H119" i="12" a="1"/>
  <c r="F103" i="12" a="1"/>
  <c r="F32" i="12" a="1"/>
  <c r="G24" i="12" a="1"/>
  <c r="G10" i="12" a="1"/>
  <c r="H73" i="12" a="1"/>
  <c r="H59" i="12" a="1"/>
  <c r="F62" i="12" a="1"/>
  <c r="G40" i="12" a="1"/>
  <c r="G117" i="12" a="1"/>
  <c r="H63" i="12" a="1"/>
  <c r="H37" i="12" a="1"/>
  <c r="F23" i="12" a="1"/>
  <c r="G73" i="12" a="1"/>
  <c r="G111" i="12" a="1"/>
  <c r="H76" i="12" a="1"/>
  <c r="G70" i="12" a="1"/>
  <c r="G17" i="12" a="1"/>
  <c r="F99" i="12" a="1"/>
  <c r="G68" i="12" a="1"/>
  <c r="H125" i="12" a="1"/>
  <c r="G72" i="12" a="1"/>
  <c r="F64" i="12" a="1"/>
  <c r="H74" i="12" a="1"/>
  <c r="G75" i="12" a="1"/>
  <c r="G109" i="12" a="1"/>
  <c r="H64" i="12" a="1"/>
  <c r="F60" i="12" a="1"/>
  <c r="G108" i="12" a="1"/>
  <c r="H54" i="12" a="1"/>
  <c r="G124" i="12" a="1"/>
  <c r="G118" i="12" a="1"/>
  <c r="H53" i="12" a="1"/>
  <c r="G123" i="12" a="1"/>
  <c r="F106" i="12" a="1"/>
  <c r="H43" i="12" a="1"/>
  <c r="F72" i="12" a="1"/>
  <c r="H33" i="12" a="1"/>
  <c r="G87" i="12" a="1"/>
  <c r="H91" i="12" a="1"/>
  <c r="F25" i="12" a="1"/>
  <c r="H81" i="12" a="1"/>
  <c r="G38" i="12" a="1"/>
  <c r="F20" i="12" a="1"/>
  <c r="H47" i="12" a="1"/>
  <c r="G27" i="12" a="1"/>
  <c r="F81" i="12" a="1"/>
  <c r="H118" i="12" a="1"/>
  <c r="G69" i="12" a="1"/>
  <c r="H108" i="12" a="1"/>
  <c r="F19" i="12" a="1"/>
  <c r="G92" i="12" a="1"/>
  <c r="F77" i="12" a="1"/>
  <c r="H27" i="12" a="1"/>
  <c r="F57" i="12" a="1"/>
  <c r="G81" i="12" a="1"/>
  <c r="F115" i="12" a="1"/>
  <c r="F55" i="12" a="1"/>
  <c r="G113" i="12" a="1"/>
  <c r="H71" i="12" a="1"/>
  <c r="G58" i="12" a="1"/>
  <c r="F71" i="12" a="1"/>
  <c r="H19" i="12" a="1"/>
  <c r="G18" i="12" a="1"/>
  <c r="F31" i="12" a="1"/>
  <c r="G83" i="12" a="1"/>
  <c r="H8" i="12" a="1"/>
  <c r="G56" i="12" a="1"/>
  <c r="G52" i="12" a="1"/>
  <c r="H86" i="12" a="1"/>
  <c r="F112" i="12" a="1"/>
  <c r="H99" i="12" a="1"/>
  <c r="G112" i="12" a="1"/>
  <c r="G31" i="12" a="1"/>
  <c r="H48" i="12" l="1"/>
  <c r="H76" i="12"/>
  <c r="H27" i="12"/>
  <c r="H99" i="12"/>
  <c r="H28" i="12"/>
  <c r="H78" i="12"/>
  <c r="H79" i="12"/>
  <c r="H38" i="12"/>
  <c r="H26" i="12"/>
  <c r="H98" i="12"/>
  <c r="H49" i="12"/>
  <c r="H77" i="12"/>
  <c r="H5" i="12"/>
  <c r="H56" i="12"/>
  <c r="H106" i="12"/>
  <c r="H6" i="12"/>
  <c r="H29" i="12"/>
  <c r="H57" i="12"/>
  <c r="H107" i="12"/>
  <c r="H7" i="12"/>
  <c r="H58" i="12"/>
  <c r="H86" i="12"/>
  <c r="H108" i="12"/>
  <c r="H8" i="12"/>
  <c r="H37" i="12"/>
  <c r="H59" i="12"/>
  <c r="H87" i="12"/>
  <c r="H109" i="12"/>
  <c r="H15" i="12"/>
  <c r="H66" i="12"/>
  <c r="H88" i="12"/>
  <c r="H116" i="12"/>
  <c r="H17" i="12"/>
  <c r="H39" i="12"/>
  <c r="H67" i="12"/>
  <c r="H89" i="12"/>
  <c r="H117" i="12"/>
  <c r="H18" i="12"/>
  <c r="H46" i="12"/>
  <c r="H68" i="12"/>
  <c r="H96" i="12"/>
  <c r="H118" i="12"/>
  <c r="H19" i="12"/>
  <c r="H47" i="12"/>
  <c r="H69" i="12"/>
  <c r="H97" i="12"/>
  <c r="H119" i="12"/>
  <c r="H36" i="12"/>
  <c r="H20" i="12"/>
  <c r="H30" i="12"/>
  <c r="H40" i="12"/>
  <c r="H60" i="12"/>
  <c r="H70" i="12"/>
  <c r="H80" i="12"/>
  <c r="H90" i="12"/>
  <c r="H110" i="12"/>
  <c r="H120" i="12"/>
  <c r="H21" i="12"/>
  <c r="H31" i="12"/>
  <c r="H41" i="12"/>
  <c r="H61" i="12"/>
  <c r="H71" i="12"/>
  <c r="H81" i="12"/>
  <c r="H91" i="12"/>
  <c r="H101" i="12"/>
  <c r="H111" i="12"/>
  <c r="H121" i="12"/>
  <c r="H11" i="12"/>
  <c r="H22" i="12"/>
  <c r="H32" i="12"/>
  <c r="H42" i="12"/>
  <c r="H52" i="12"/>
  <c r="H62" i="12"/>
  <c r="H72" i="12"/>
  <c r="H82" i="12"/>
  <c r="H92" i="12"/>
  <c r="H102" i="12"/>
  <c r="H112" i="12"/>
  <c r="H122" i="12"/>
  <c r="H12" i="12"/>
  <c r="H23" i="12"/>
  <c r="H33" i="12"/>
  <c r="H43" i="12"/>
  <c r="H53" i="12"/>
  <c r="H63" i="12"/>
  <c r="H73" i="12"/>
  <c r="H83" i="12"/>
  <c r="H93" i="12"/>
  <c r="H103" i="12"/>
  <c r="H113" i="12"/>
  <c r="H123" i="12"/>
  <c r="H9" i="12"/>
  <c r="H50" i="12"/>
  <c r="H100" i="12"/>
  <c r="H10" i="12"/>
  <c r="H51" i="12"/>
  <c r="H3" i="12"/>
  <c r="H13" i="12"/>
  <c r="H24" i="12"/>
  <c r="H34" i="12"/>
  <c r="H44" i="12"/>
  <c r="H54" i="12"/>
  <c r="H64" i="12"/>
  <c r="H74" i="12"/>
  <c r="H84" i="12"/>
  <c r="H94" i="12"/>
  <c r="H104" i="12"/>
  <c r="H114" i="12"/>
  <c r="H124" i="12"/>
  <c r="H4" i="12"/>
  <c r="H14" i="12"/>
  <c r="H25" i="12"/>
  <c r="H35" i="12"/>
  <c r="H45" i="12"/>
  <c r="H55" i="12"/>
  <c r="H65" i="12"/>
  <c r="H75" i="12"/>
  <c r="H85" i="12"/>
  <c r="H95" i="12"/>
  <c r="H105" i="12"/>
  <c r="H115" i="12"/>
  <c r="H125" i="12"/>
  <c r="H2" i="12"/>
  <c r="G2" i="12"/>
  <c r="F3" i="14"/>
  <c r="F37" i="12"/>
  <c r="F38" i="12"/>
  <c r="F78" i="12"/>
  <c r="F46" i="12"/>
  <c r="F86" i="12"/>
  <c r="F47" i="12"/>
  <c r="F87" i="12"/>
  <c r="F48" i="12"/>
  <c r="F88" i="12"/>
  <c r="F15" i="12"/>
  <c r="F56" i="12"/>
  <c r="F96" i="12"/>
  <c r="F17" i="12"/>
  <c r="F57" i="12"/>
  <c r="F97" i="12"/>
  <c r="F18" i="12"/>
  <c r="F58" i="12"/>
  <c r="F106" i="12"/>
  <c r="F77" i="12"/>
  <c r="F26" i="12"/>
  <c r="F66" i="12"/>
  <c r="F107" i="12"/>
  <c r="F27" i="12"/>
  <c r="F67" i="12"/>
  <c r="F116" i="12"/>
  <c r="F28" i="12"/>
  <c r="F68" i="12"/>
  <c r="F36" i="12"/>
  <c r="F76" i="12"/>
  <c r="F117" i="12"/>
  <c r="F98" i="12"/>
  <c r="F10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22" i="12"/>
  <c r="F32" i="12"/>
  <c r="F42" i="12"/>
  <c r="F52" i="12"/>
  <c r="F62" i="12"/>
  <c r="F72" i="12"/>
  <c r="F82" i="12"/>
  <c r="F92" i="12"/>
  <c r="F102" i="12"/>
  <c r="F112" i="12"/>
  <c r="F122" i="12"/>
  <c r="F118" i="12"/>
  <c r="F12" i="12"/>
  <c r="F23" i="12"/>
  <c r="F33" i="12"/>
  <c r="F43" i="12"/>
  <c r="F53" i="12"/>
  <c r="F63" i="12"/>
  <c r="F73" i="12"/>
  <c r="F83" i="12"/>
  <c r="F93" i="12"/>
  <c r="F103" i="12"/>
  <c r="F113" i="12"/>
  <c r="F123" i="12"/>
  <c r="F13" i="12"/>
  <c r="F24" i="12"/>
  <c r="F34" i="12"/>
  <c r="F44" i="12"/>
  <c r="F54" i="12"/>
  <c r="F64" i="12"/>
  <c r="F74" i="12"/>
  <c r="F84" i="12"/>
  <c r="F94" i="12"/>
  <c r="F104" i="12"/>
  <c r="F114" i="12"/>
  <c r="F124" i="12"/>
  <c r="F14" i="12"/>
  <c r="F25" i="12"/>
  <c r="F35" i="12"/>
  <c r="F45" i="12"/>
  <c r="F55" i="12"/>
  <c r="F65" i="12"/>
  <c r="F75" i="12"/>
  <c r="F85" i="12"/>
  <c r="F95" i="12"/>
  <c r="F105" i="12"/>
  <c r="F115" i="12"/>
  <c r="F125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G59" i="12"/>
  <c r="G8" i="12"/>
  <c r="G40" i="12"/>
  <c r="G58" i="12"/>
  <c r="G7" i="12"/>
  <c r="G60" i="12"/>
  <c r="G9" i="12"/>
  <c r="G76" i="12"/>
  <c r="G26" i="12"/>
  <c r="G77" i="12"/>
  <c r="G27" i="12"/>
  <c r="G90" i="12"/>
  <c r="G28" i="12"/>
  <c r="G91" i="12"/>
  <c r="G41" i="12"/>
  <c r="G108" i="12"/>
  <c r="G46" i="12"/>
  <c r="G109" i="12"/>
  <c r="G78" i="12"/>
  <c r="G96" i="12"/>
  <c r="G110" i="12"/>
  <c r="G10" i="12"/>
  <c r="G29" i="12"/>
  <c r="G47" i="12"/>
  <c r="G61" i="12"/>
  <c r="G79" i="12"/>
  <c r="G97" i="12"/>
  <c r="G111" i="12"/>
  <c r="G116" i="12"/>
  <c r="G15" i="12"/>
  <c r="G30" i="12"/>
  <c r="G48" i="12"/>
  <c r="G66" i="12"/>
  <c r="G80" i="12"/>
  <c r="G98" i="12"/>
  <c r="G117" i="12"/>
  <c r="G17" i="12"/>
  <c r="G31" i="12"/>
  <c r="G49" i="12"/>
  <c r="G67" i="12"/>
  <c r="G81" i="12"/>
  <c r="G99" i="12"/>
  <c r="G118" i="12"/>
  <c r="G18" i="12"/>
  <c r="G36" i="12"/>
  <c r="G50" i="12"/>
  <c r="G68" i="12"/>
  <c r="G86" i="12"/>
  <c r="G100" i="12"/>
  <c r="G119" i="12"/>
  <c r="G19" i="12"/>
  <c r="G37" i="12"/>
  <c r="G51" i="12"/>
  <c r="G69" i="12"/>
  <c r="G87" i="12"/>
  <c r="G101" i="12"/>
  <c r="G120" i="12"/>
  <c r="G5" i="12"/>
  <c r="G20" i="12"/>
  <c r="G38" i="12"/>
  <c r="G56" i="12"/>
  <c r="G70" i="12"/>
  <c r="G88" i="12"/>
  <c r="G106" i="12"/>
  <c r="G121" i="12"/>
  <c r="G6" i="12"/>
  <c r="G21" i="12"/>
  <c r="G39" i="12"/>
  <c r="G57" i="12"/>
  <c r="G71" i="12"/>
  <c r="G89" i="12"/>
  <c r="G107" i="12"/>
  <c r="G11" i="12"/>
  <c r="G22" i="12"/>
  <c r="G32" i="12"/>
  <c r="G42" i="12"/>
  <c r="G52" i="12"/>
  <c r="G62" i="12"/>
  <c r="G72" i="12"/>
  <c r="G82" i="12"/>
  <c r="G92" i="12"/>
  <c r="G102" i="12"/>
  <c r="G112" i="12"/>
  <c r="G122" i="12"/>
  <c r="G12" i="12"/>
  <c r="G23" i="12"/>
  <c r="G33" i="12"/>
  <c r="G43" i="12"/>
  <c r="G53" i="12"/>
  <c r="G63" i="12"/>
  <c r="G73" i="12"/>
  <c r="G83" i="12"/>
  <c r="G93" i="12"/>
  <c r="G103" i="12"/>
  <c r="G113" i="12"/>
  <c r="G123" i="12"/>
  <c r="G3" i="12"/>
  <c r="G13" i="12"/>
  <c r="G24" i="12"/>
  <c r="G34" i="12"/>
  <c r="G44" i="12"/>
  <c r="G54" i="12"/>
  <c r="G64" i="12"/>
  <c r="G74" i="12"/>
  <c r="G84" i="12"/>
  <c r="G94" i="12"/>
  <c r="G104" i="12"/>
  <c r="G114" i="12"/>
  <c r="G124" i="12"/>
  <c r="G4" i="12"/>
  <c r="G14" i="12"/>
  <c r="G25" i="12"/>
  <c r="G35" i="12"/>
  <c r="G45" i="12"/>
  <c r="G55" i="12"/>
  <c r="G65" i="12"/>
  <c r="G75" i="12"/>
  <c r="G85" i="12"/>
  <c r="G95" i="12"/>
  <c r="G105" i="12"/>
  <c r="G115" i="12"/>
  <c r="G125" i="12"/>
  <c r="D18" i="4"/>
  <c r="C83" i="12"/>
  <c r="K83" i="12"/>
  <c r="A47" i="12"/>
  <c r="D81" i="12"/>
  <c r="D82" i="12" s="1"/>
  <c r="D83" i="12" s="1"/>
  <c r="D84" i="12" s="1"/>
  <c r="D85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7" i="12" a="1"/>
  <c r="K47" i="12" a="1"/>
  <c r="B16" i="13" l="1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7" i="12"/>
  <c r="K47" i="12"/>
  <c r="A99" i="12"/>
  <c r="A22" i="4"/>
  <c r="B2" i="13" a="1"/>
  <c r="K105" i="12" a="1"/>
  <c r="K93" i="12" a="1"/>
  <c r="K104" i="12" a="1"/>
  <c r="K102" i="12" a="1"/>
  <c r="K100" i="12" a="1"/>
  <c r="K98" i="12" a="1"/>
  <c r="K96" i="12" a="1"/>
  <c r="K92" i="12" a="1"/>
  <c r="K107" i="12" a="1"/>
  <c r="K99" i="12" a="1"/>
  <c r="C99" i="12" a="1"/>
  <c r="K106" i="12" a="1"/>
  <c r="K109" i="12" a="1"/>
  <c r="K91" i="12" a="1"/>
  <c r="K97" i="12" a="1"/>
  <c r="K101" i="12" a="1"/>
  <c r="K94" i="12" a="1"/>
  <c r="K103" i="12" a="1"/>
  <c r="K95" i="12" a="1"/>
  <c r="K110" i="12" a="1"/>
  <c r="K108" i="12" a="1"/>
  <c r="K102" i="12" l="1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91" i="12"/>
  <c r="K101" i="12"/>
  <c r="B2" i="13"/>
  <c r="C99" i="12"/>
  <c r="A3" i="7"/>
  <c r="A3" i="8"/>
  <c r="A124" i="12"/>
  <c r="A37" i="14"/>
  <c r="A36" i="14"/>
  <c r="A35" i="14"/>
  <c r="A19" i="13"/>
  <c r="A15" i="13"/>
  <c r="A11" i="13"/>
  <c r="A89" i="12"/>
  <c r="A78" i="12"/>
  <c r="A64" i="12"/>
  <c r="D13" i="12"/>
  <c r="A34" i="14"/>
  <c r="A33" i="14"/>
  <c r="A32" i="14"/>
  <c r="A25" i="13"/>
  <c r="A21" i="14"/>
  <c r="A20" i="14"/>
  <c r="A18" i="13"/>
  <c r="A88" i="12"/>
  <c r="D87" i="12"/>
  <c r="D88" i="12" s="1"/>
  <c r="D89" i="12" s="1"/>
  <c r="A87" i="12"/>
  <c r="A86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4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5" i="12"/>
  <c r="A123" i="12"/>
  <c r="D122" i="12"/>
  <c r="D123" i="12" s="1"/>
  <c r="D124" i="12" s="1"/>
  <c r="D125" i="12" s="1"/>
  <c r="A122" i="12"/>
  <c r="A121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20" i="12"/>
  <c r="A119" i="12"/>
  <c r="A118" i="12"/>
  <c r="D117" i="12"/>
  <c r="D118" i="12" s="1"/>
  <c r="D119" i="12" s="1"/>
  <c r="D120" i="12" s="1"/>
  <c r="A117" i="12"/>
  <c r="A116" i="12"/>
  <c r="A115" i="12"/>
  <c r="A114" i="12"/>
  <c r="A113" i="12"/>
  <c r="D112" i="12"/>
  <c r="D113" i="12" s="1"/>
  <c r="D114" i="12" s="1"/>
  <c r="D115" i="12" s="1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8" i="12"/>
  <c r="A97" i="12"/>
  <c r="A96" i="12"/>
  <c r="A95" i="12"/>
  <c r="A94" i="12"/>
  <c r="A93" i="12"/>
  <c r="A92" i="12"/>
  <c r="D91" i="12"/>
  <c r="A91" i="12"/>
  <c r="A90" i="12"/>
  <c r="A85" i="12"/>
  <c r="A82" i="12"/>
  <c r="A81" i="12"/>
  <c r="A80" i="12"/>
  <c r="A79" i="12"/>
  <c r="A77" i="12"/>
  <c r="D76" i="12"/>
  <c r="D77" i="12" s="1"/>
  <c r="D78" i="12" s="1"/>
  <c r="A76" i="12"/>
  <c r="A75" i="12"/>
  <c r="A74" i="12"/>
  <c r="A73" i="12"/>
  <c r="A72" i="12"/>
  <c r="A71" i="12"/>
  <c r="A70" i="12"/>
  <c r="A69" i="12"/>
  <c r="A68" i="12"/>
  <c r="A67" i="12"/>
  <c r="D66" i="12"/>
  <c r="D67" i="12" s="1"/>
  <c r="D68" i="12" s="1"/>
  <c r="D69" i="12" s="1"/>
  <c r="D70" i="12" s="1"/>
  <c r="D71" i="12" s="1"/>
  <c r="D72" i="12" s="1"/>
  <c r="D73" i="12" s="1"/>
  <c r="D74" i="12" s="1"/>
  <c r="A66" i="12"/>
  <c r="A65" i="12"/>
  <c r="A63" i="12"/>
  <c r="D62" i="12"/>
  <c r="D63" i="12" s="1"/>
  <c r="D64" i="12" s="1"/>
  <c r="A62" i="12"/>
  <c r="A61" i="12"/>
  <c r="A60" i="12"/>
  <c r="A59" i="12"/>
  <c r="A58" i="12"/>
  <c r="A57" i="12"/>
  <c r="D56" i="12"/>
  <c r="D57" i="12" s="1"/>
  <c r="D58" i="12" s="1"/>
  <c r="D59" i="12" s="1"/>
  <c r="D60" i="12" s="1"/>
  <c r="A56" i="12"/>
  <c r="A55" i="12"/>
  <c r="A54" i="12"/>
  <c r="A53" i="12"/>
  <c r="A52" i="12"/>
  <c r="A51" i="12"/>
  <c r="A50" i="12"/>
  <c r="D49" i="12"/>
  <c r="D50" i="12" s="1"/>
  <c r="D51" i="12" s="1"/>
  <c r="D52" i="12" s="1"/>
  <c r="D53" i="12" s="1"/>
  <c r="D54" i="12" s="1"/>
  <c r="A49" i="12"/>
  <c r="A48" i="12"/>
  <c r="A46" i="12"/>
  <c r="A45" i="12"/>
  <c r="A44" i="12"/>
  <c r="D43" i="12"/>
  <c r="D44" i="12" s="1"/>
  <c r="D45" i="12" s="1"/>
  <c r="D46" i="12" s="1"/>
  <c r="D47" i="12" s="1"/>
  <c r="A43" i="12"/>
  <c r="A42" i="12"/>
  <c r="A30" i="12"/>
  <c r="D29" i="12"/>
  <c r="D30" i="12" s="1"/>
  <c r="A29" i="12"/>
  <c r="A28" i="12"/>
  <c r="A37" i="12"/>
  <c r="A41" i="12"/>
  <c r="A40" i="12"/>
  <c r="A39" i="12"/>
  <c r="A38" i="12"/>
  <c r="A36" i="12"/>
  <c r="A35" i="12"/>
  <c r="A34" i="12"/>
  <c r="A33" i="12"/>
  <c r="D32" i="12"/>
  <c r="D33" i="12" s="1"/>
  <c r="D34" i="12" s="1"/>
  <c r="D35" i="12" s="1"/>
  <c r="D36" i="12" s="1"/>
  <c r="D37" i="12" s="1"/>
  <c r="D38" i="12" s="1"/>
  <c r="D39" i="12" s="1"/>
  <c r="D40" i="12" s="1"/>
  <c r="D41" i="12" s="1"/>
  <c r="A32" i="12"/>
  <c r="A31" i="12"/>
  <c r="A27" i="12"/>
  <c r="A26" i="12"/>
  <c r="A25" i="12"/>
  <c r="A24" i="12"/>
  <c r="A23" i="12"/>
  <c r="A22" i="12"/>
  <c r="A21" i="12"/>
  <c r="A20" i="12"/>
  <c r="A19" i="12"/>
  <c r="A18" i="12"/>
  <c r="A17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2" i="17" a="1"/>
  <c r="F3" i="11" a="1"/>
  <c r="F17" i="11" a="1"/>
  <c r="E9" i="17" a="1"/>
  <c r="E11" i="17" a="1"/>
  <c r="E8" i="17" a="1"/>
  <c r="E2" i="8" a="1"/>
  <c r="E7" i="17" a="1"/>
  <c r="F14" i="11" a="1"/>
  <c r="F6" i="11" a="1"/>
  <c r="E4" i="17" a="1"/>
  <c r="E15" i="17" a="1"/>
  <c r="F11" i="11" a="1"/>
  <c r="F5" i="11" a="1"/>
  <c r="F4" i="11" a="1"/>
  <c r="E16" i="17" a="1"/>
  <c r="F12" i="11" a="1"/>
  <c r="E3" i="8" a="1"/>
  <c r="E17" i="17" a="1"/>
  <c r="E10" i="17" a="1"/>
  <c r="E3" i="17" a="1"/>
  <c r="F10" i="11" a="1"/>
  <c r="F7" i="11" a="1"/>
  <c r="F15" i="11" a="1"/>
  <c r="F8" i="11" a="1"/>
  <c r="F16" i="11" a="1"/>
  <c r="F2" i="11" a="1"/>
  <c r="E5" i="17" a="1"/>
  <c r="F9" i="11" a="1"/>
  <c r="E13" i="17" a="1"/>
  <c r="E14" i="17" a="1"/>
  <c r="F13" i="11" a="1"/>
  <c r="E12" i="17" a="1"/>
  <c r="C2" i="4" a="1"/>
  <c r="E12" i="13" a="1"/>
  <c r="E4" i="13" a="1"/>
  <c r="E16" i="13" a="1"/>
  <c r="E24" i="13" a="1"/>
  <c r="E3" i="13" a="1"/>
  <c r="E22" i="13" a="1"/>
  <c r="E19" i="13" a="1"/>
  <c r="E11" i="13" a="1"/>
  <c r="E7" i="13" a="1"/>
  <c r="E18" i="13" a="1"/>
  <c r="E20" i="13" a="1"/>
  <c r="E6" i="13" a="1"/>
  <c r="E23" i="13" a="1"/>
  <c r="E21" i="13" a="1"/>
  <c r="E13" i="13" a="1"/>
  <c r="E10" i="13" a="1"/>
  <c r="E17" i="13" a="1"/>
  <c r="E2" i="13" a="1"/>
  <c r="E5" i="13" a="1"/>
  <c r="E9" i="13" a="1"/>
  <c r="E15" i="13" a="1"/>
  <c r="E25" i="13" a="1"/>
  <c r="E14" i="13" a="1"/>
  <c r="K20" i="12" a="1"/>
  <c r="C122" i="12" a="1"/>
  <c r="K30" i="12" a="1"/>
  <c r="K17" i="12" a="1"/>
  <c r="K27" i="12" a="1"/>
  <c r="K120" i="12" a="1"/>
  <c r="C109" i="12" a="1"/>
  <c r="K13" i="12" a="1"/>
  <c r="C59" i="12" a="1"/>
  <c r="K34" i="12" a="1"/>
  <c r="K70" i="12" a="1"/>
  <c r="C4" i="12" a="1"/>
  <c r="K37" i="12" a="1"/>
  <c r="K42" i="12" a="1"/>
  <c r="C115" i="12" a="1"/>
  <c r="C53" i="12" a="1"/>
  <c r="C68" i="12" a="1"/>
  <c r="K68" i="12" a="1"/>
  <c r="K6" i="12" a="1"/>
  <c r="K63" i="12" a="1"/>
  <c r="C62" i="12" a="1"/>
  <c r="C98" i="12" a="1"/>
  <c r="C14" i="12" a="1"/>
  <c r="K113" i="12" a="1"/>
  <c r="K26" i="12" a="1"/>
  <c r="C55" i="12" a="1"/>
  <c r="K23" i="12" a="1"/>
  <c r="C12" i="12" a="1"/>
  <c r="K52" i="12" a="1"/>
  <c r="K24" i="12" a="1"/>
  <c r="C11" i="12" a="1"/>
  <c r="K116" i="12" a="1"/>
  <c r="K48" i="12" a="1"/>
  <c r="K25" i="12" a="1"/>
  <c r="C124" i="12" a="1"/>
  <c r="K45" i="12" a="1"/>
  <c r="K69" i="12" a="1"/>
  <c r="K33" i="12" a="1"/>
  <c r="K75" i="12" a="1"/>
  <c r="C71" i="12" a="1"/>
  <c r="C24" i="12" a="1"/>
  <c r="C65" i="12" a="1"/>
  <c r="K3" i="12" a="1"/>
  <c r="C114" i="12" a="1"/>
  <c r="K39" i="12" a="1"/>
  <c r="K59" i="12" a="1"/>
  <c r="C13" i="12" a="1"/>
  <c r="C10" i="12" a="1"/>
  <c r="K123" i="12" a="1"/>
  <c r="K79" i="12" a="1"/>
  <c r="K78" i="12" a="1"/>
  <c r="C67" i="12" a="1"/>
  <c r="C44" i="12" a="1"/>
  <c r="K14" i="12" a="1"/>
  <c r="C104" i="12" a="1"/>
  <c r="C34" i="12" a="1"/>
  <c r="K8" i="12" a="1"/>
  <c r="C38" i="12" a="1"/>
  <c r="K46" i="12" a="1"/>
  <c r="C80" i="12" a="1"/>
  <c r="K53" i="12" a="1"/>
  <c r="C107" i="12" a="1"/>
  <c r="C125" i="12" a="1"/>
  <c r="K76" i="12" a="1"/>
  <c r="K115" i="12" a="1"/>
  <c r="C85" i="12" a="1"/>
  <c r="C75" i="12" a="1"/>
  <c r="C31" i="12" a="1"/>
  <c r="K43" i="12" a="1"/>
  <c r="K87" i="12" a="1"/>
  <c r="C46" i="12" a="1"/>
  <c r="C94" i="12" a="1"/>
  <c r="K71" i="12" a="1"/>
  <c r="C70" i="12" a="1"/>
  <c r="C28" i="12" a="1"/>
  <c r="C72" i="12" a="1"/>
  <c r="C26" i="12" a="1"/>
  <c r="C27" i="12" a="1"/>
  <c r="C22" i="12" a="1"/>
  <c r="C30" i="12" a="1"/>
  <c r="K51" i="12" a="1"/>
  <c r="C58" i="12" a="1"/>
  <c r="C54" i="12" a="1"/>
  <c r="C32" i="12" a="1"/>
  <c r="C56" i="12" a="1"/>
  <c r="K62" i="12" a="1"/>
  <c r="K118" i="12" a="1"/>
  <c r="C43" i="12" a="1"/>
  <c r="C117" i="12" a="1"/>
  <c r="C3" i="12" a="1"/>
  <c r="K49" i="12" a="1"/>
  <c r="C120" i="12" a="1"/>
  <c r="C6" i="12" a="1"/>
  <c r="C52" i="12" a="1"/>
  <c r="K58" i="12" a="1"/>
  <c r="C19" i="12" a="1"/>
  <c r="K57" i="12" a="1"/>
  <c r="C118" i="12" a="1"/>
  <c r="C41" i="12" a="1"/>
  <c r="K10" i="12" a="1"/>
  <c r="C113" i="12" a="1"/>
  <c r="C74" i="12" a="1"/>
  <c r="C121" i="12" a="1"/>
  <c r="K35" i="12" a="1"/>
  <c r="K81" i="12" a="1"/>
  <c r="K41" i="12" a="1"/>
  <c r="C21" i="12" a="1"/>
  <c r="C63" i="12" a="1"/>
  <c r="C57" i="12" a="1"/>
  <c r="C66" i="12" a="1"/>
  <c r="K36" i="12" a="1"/>
  <c r="K60" i="12" a="1"/>
  <c r="C35" i="12" a="1"/>
  <c r="K84" i="12" a="1"/>
  <c r="K15" i="12" a="1"/>
  <c r="C17" i="12" a="1"/>
  <c r="K11" i="12" a="1"/>
  <c r="K54" i="12" a="1"/>
  <c r="C61" i="12" a="1"/>
  <c r="K4" i="12" a="1"/>
  <c r="C60" i="12" a="1"/>
  <c r="C116" i="12" a="1"/>
  <c r="K117" i="12" a="1"/>
  <c r="C97" i="12" a="1"/>
  <c r="K5" i="12" a="1"/>
  <c r="K89" i="12" a="1"/>
  <c r="C49" i="12" a="1"/>
  <c r="C105" i="12" a="1"/>
  <c r="C39" i="12" a="1"/>
  <c r="C108" i="12" a="1"/>
  <c r="K74" i="12" a="1"/>
  <c r="K85" i="12" a="1"/>
  <c r="C48" i="12" a="1"/>
  <c r="C89" i="12" a="1"/>
  <c r="K32" i="12" a="1"/>
  <c r="C36" i="12" a="1"/>
  <c r="C82" i="12" a="1"/>
  <c r="C76" i="12" a="1"/>
  <c r="C112" i="12" a="1"/>
  <c r="K22" i="12" a="1"/>
  <c r="K66" i="12" a="1"/>
  <c r="C40" i="12" a="1"/>
  <c r="C101" i="12" a="1"/>
  <c r="C8" i="12" a="1"/>
  <c r="C119" i="12" a="1"/>
  <c r="K40" i="12" a="1"/>
  <c r="C88" i="12" a="1"/>
  <c r="K72" i="12" a="1"/>
  <c r="K44" i="12" a="1"/>
  <c r="C87" i="12" a="1"/>
  <c r="K61" i="12" a="1"/>
  <c r="K125" i="12" a="1"/>
  <c r="K90" i="12" a="1"/>
  <c r="C84" i="12" a="1"/>
  <c r="K9" i="12" a="1"/>
  <c r="K7" i="12" a="1"/>
  <c r="C18" i="12" a="1"/>
  <c r="C100" i="12" a="1"/>
  <c r="C69" i="12" a="1"/>
  <c r="C42" i="12" a="1"/>
  <c r="C9" i="12" a="1"/>
  <c r="C106" i="12" a="1"/>
  <c r="K2" i="12" a="1"/>
  <c r="C79" i="12" a="1"/>
  <c r="K82" i="12" a="1"/>
  <c r="C92" i="12" a="1"/>
  <c r="K86" i="12" a="1"/>
  <c r="C20" i="12" a="1"/>
  <c r="C29" i="12" a="1"/>
  <c r="K12" i="12" a="1"/>
  <c r="K50" i="12" a="1"/>
  <c r="C25" i="12" a="1"/>
  <c r="K112" i="12" a="1"/>
  <c r="K67" i="12" a="1"/>
  <c r="K119" i="12" a="1"/>
  <c r="C81" i="12" a="1"/>
  <c r="C50" i="12" a="1"/>
  <c r="K65" i="12" a="1"/>
  <c r="C45" i="12" a="1"/>
  <c r="C64" i="12" a="1"/>
  <c r="K121" i="12" a="1"/>
  <c r="C33" i="12" a="1"/>
  <c r="K31" i="12" a="1"/>
  <c r="C95" i="12" a="1"/>
  <c r="C23" i="12" a="1"/>
  <c r="K114" i="12" a="1"/>
  <c r="K73" i="12" a="1"/>
  <c r="C93" i="12" a="1"/>
  <c r="K21" i="12" a="1"/>
  <c r="C102" i="12" a="1"/>
  <c r="C51" i="12" a="1"/>
  <c r="C123" i="12" a="1"/>
  <c r="K88" i="12" a="1"/>
  <c r="K55" i="12" a="1"/>
  <c r="K80" i="12" a="1"/>
  <c r="C37" i="12" a="1"/>
  <c r="K77" i="12" a="1"/>
  <c r="C96" i="12" a="1"/>
  <c r="K56" i="12" a="1"/>
  <c r="C86" i="12" a="1"/>
  <c r="C91" i="12" a="1"/>
  <c r="C90" i="12" a="1"/>
  <c r="K124" i="12" a="1"/>
  <c r="K38" i="12" a="1"/>
  <c r="C110" i="12" a="1"/>
  <c r="K28" i="12" a="1"/>
  <c r="C73" i="12" a="1"/>
  <c r="C78" i="12" a="1"/>
  <c r="K122" i="12" a="1"/>
  <c r="C15" i="12" a="1"/>
  <c r="C7" i="12" a="1"/>
  <c r="K64" i="12" a="1"/>
  <c r="C111" i="12" a="1"/>
  <c r="C77" i="12" a="1"/>
  <c r="C5" i="12" a="1"/>
  <c r="K29" i="12" a="1"/>
  <c r="C103" i="12" a="1"/>
  <c r="K19" i="12" a="1"/>
  <c r="K18" i="12" a="1"/>
  <c r="K111" i="12" a="1"/>
  <c r="C8" i="2" a="1"/>
  <c r="C25" i="2" a="1"/>
  <c r="C7" i="2" a="1"/>
  <c r="C15" i="2" a="1"/>
  <c r="C27" i="2" a="1"/>
  <c r="C24" i="2" a="1"/>
  <c r="C17" i="2" a="1"/>
  <c r="C14" i="2" a="1"/>
  <c r="C19" i="2" a="1"/>
  <c r="C11" i="2" a="1"/>
  <c r="C31" i="2" a="1"/>
  <c r="C33" i="2" a="1"/>
  <c r="C29" i="2" a="1"/>
  <c r="C20" i="2" a="1"/>
  <c r="C16" i="2" a="1"/>
  <c r="C4" i="2" a="1"/>
  <c r="C18" i="2" a="1"/>
  <c r="C22" i="2" a="1"/>
  <c r="C32" i="2" a="1"/>
  <c r="C30" i="2" a="1"/>
  <c r="C2" i="2" a="1"/>
  <c r="C26" i="2" a="1"/>
  <c r="C6" i="2" a="1"/>
  <c r="C28" i="2" a="1"/>
  <c r="C10" i="2" a="1"/>
  <c r="C35" i="2" a="1"/>
  <c r="C13" i="2" a="1"/>
  <c r="C23" i="2" a="1"/>
  <c r="C12" i="2" a="1"/>
  <c r="C9" i="2" a="1"/>
  <c r="C5" i="2" a="1"/>
  <c r="C21" i="2" a="1"/>
  <c r="C34" i="2" a="1"/>
  <c r="C3" i="2" a="1"/>
  <c r="E2" i="10" a="1"/>
  <c r="C19" i="2" l="1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2" i="12"/>
  <c r="C42" i="12"/>
  <c r="K21" i="12"/>
  <c r="C63" i="12"/>
  <c r="K30" i="12"/>
  <c r="K42" i="12"/>
  <c r="K79" i="12"/>
  <c r="K35" i="12"/>
  <c r="K6" i="12"/>
  <c r="K41" i="12"/>
  <c r="K45" i="12"/>
  <c r="K86" i="12"/>
  <c r="C57" i="12"/>
  <c r="K36" i="12"/>
  <c r="C10" i="12"/>
  <c r="C37" i="12"/>
  <c r="C120" i="12"/>
  <c r="C108" i="12"/>
  <c r="K32" i="12"/>
  <c r="C33" i="12"/>
  <c r="C78" i="12"/>
  <c r="K5" i="12"/>
  <c r="K59" i="12"/>
  <c r="C72" i="12"/>
  <c r="C43" i="12"/>
  <c r="K58" i="12"/>
  <c r="K70" i="12"/>
  <c r="K117" i="12"/>
  <c r="C51" i="12"/>
  <c r="C7" i="12"/>
  <c r="K46" i="12"/>
  <c r="K44" i="12"/>
  <c r="C124" i="12"/>
  <c r="C54" i="12"/>
  <c r="C38" i="12"/>
  <c r="K37" i="12"/>
  <c r="K18" i="12"/>
  <c r="K2" i="12"/>
  <c r="K85" i="12"/>
  <c r="K38" i="12"/>
  <c r="C45" i="12"/>
  <c r="C92" i="12"/>
  <c r="K25" i="12"/>
  <c r="K111" i="12"/>
  <c r="C21" i="12"/>
  <c r="C14" i="12"/>
  <c r="C118" i="12"/>
  <c r="C19" i="12"/>
  <c r="K64" i="12"/>
  <c r="K9" i="12"/>
  <c r="C29" i="12"/>
  <c r="C70" i="12"/>
  <c r="C3" i="12"/>
  <c r="C61" i="12"/>
  <c r="K71" i="12"/>
  <c r="C89" i="12"/>
  <c r="C97" i="12"/>
  <c r="C113" i="12"/>
  <c r="C11" i="12"/>
  <c r="C115" i="12"/>
  <c r="K78" i="12"/>
  <c r="K123" i="12"/>
  <c r="C111" i="12"/>
  <c r="K115" i="12"/>
  <c r="K33" i="12"/>
  <c r="K52" i="12"/>
  <c r="C87" i="12"/>
  <c r="K13" i="12"/>
  <c r="C31" i="12"/>
  <c r="K84" i="12"/>
  <c r="K61" i="12"/>
  <c r="C102" i="12"/>
  <c r="C116" i="12"/>
  <c r="C64" i="12"/>
  <c r="C55" i="12"/>
  <c r="C88" i="12"/>
  <c r="C96" i="12"/>
  <c r="C24" i="12"/>
  <c r="K124" i="12"/>
  <c r="C117" i="12"/>
  <c r="C69" i="12"/>
  <c r="C95" i="12"/>
  <c r="K67" i="12"/>
  <c r="C5" i="12"/>
  <c r="C34" i="12"/>
  <c r="C109" i="12"/>
  <c r="C86" i="12"/>
  <c r="K88" i="12"/>
  <c r="C59" i="12"/>
  <c r="K51" i="12"/>
  <c r="K14" i="12"/>
  <c r="C8" i="12"/>
  <c r="K4" i="12"/>
  <c r="K26" i="12"/>
  <c r="C121" i="12"/>
  <c r="K69" i="12"/>
  <c r="C39" i="12"/>
  <c r="K53" i="12"/>
  <c r="K50" i="12"/>
  <c r="K66" i="12"/>
  <c r="C53" i="12"/>
  <c r="K112" i="12"/>
  <c r="C36" i="12"/>
  <c r="K28" i="12"/>
  <c r="K114" i="12"/>
  <c r="C4" i="12"/>
  <c r="C12" i="12"/>
  <c r="C110" i="12"/>
  <c r="C76" i="12"/>
  <c r="C58" i="12"/>
  <c r="C35" i="12"/>
  <c r="C122" i="12"/>
  <c r="K23" i="12"/>
  <c r="C40" i="12"/>
  <c r="K31" i="12"/>
  <c r="K125" i="12"/>
  <c r="C17" i="12"/>
  <c r="K118" i="12"/>
  <c r="K81" i="12"/>
  <c r="C44" i="12"/>
  <c r="K49" i="12"/>
  <c r="K11" i="12"/>
  <c r="C112" i="12"/>
  <c r="K3" i="12"/>
  <c r="C77" i="12"/>
  <c r="C85" i="12"/>
  <c r="K62" i="12"/>
  <c r="C98" i="12"/>
  <c r="C103" i="12"/>
  <c r="K10" i="12"/>
  <c r="K39" i="12"/>
  <c r="K113" i="12"/>
  <c r="K121" i="12"/>
  <c r="C26" i="12"/>
  <c r="C18" i="12"/>
  <c r="K43" i="12"/>
  <c r="K55" i="12"/>
  <c r="C67" i="12"/>
  <c r="C25" i="12"/>
  <c r="C123" i="12"/>
  <c r="C101" i="12"/>
  <c r="K56" i="12"/>
  <c r="C81" i="12"/>
  <c r="K82" i="12"/>
  <c r="K116" i="12"/>
  <c r="K24" i="12"/>
  <c r="C15" i="12"/>
  <c r="C41" i="12"/>
  <c r="C105" i="12"/>
  <c r="C94" i="12"/>
  <c r="C68" i="12"/>
  <c r="C49" i="12"/>
  <c r="K12" i="12"/>
  <c r="K48" i="12"/>
  <c r="C23" i="12"/>
  <c r="K76" i="12"/>
  <c r="C20" i="12"/>
  <c r="C30" i="12"/>
  <c r="C46" i="12"/>
  <c r="C22" i="12"/>
  <c r="K63" i="12"/>
  <c r="K65" i="12"/>
  <c r="C13" i="12"/>
  <c r="C66" i="12"/>
  <c r="K122" i="12"/>
  <c r="K80" i="12"/>
  <c r="K60" i="12"/>
  <c r="C52" i="12"/>
  <c r="C6" i="12"/>
  <c r="K77" i="12"/>
  <c r="K120" i="12"/>
  <c r="C48" i="12"/>
  <c r="C56" i="12"/>
  <c r="C75" i="12"/>
  <c r="C28" i="12"/>
  <c r="K54" i="12"/>
  <c r="K119" i="12"/>
  <c r="C119" i="12"/>
  <c r="K73" i="12"/>
  <c r="K90" i="12"/>
  <c r="C93" i="12"/>
  <c r="K15" i="12"/>
  <c r="C114" i="12"/>
  <c r="K8" i="12"/>
  <c r="C100" i="12"/>
  <c r="C27" i="12"/>
  <c r="C104" i="12"/>
  <c r="C80" i="12"/>
  <c r="K87" i="12"/>
  <c r="C90" i="12"/>
  <c r="K74" i="12"/>
  <c r="C125" i="12"/>
  <c r="K17" i="12"/>
  <c r="C32" i="12"/>
  <c r="C60" i="12"/>
  <c r="C106" i="12"/>
  <c r="C91" i="12"/>
  <c r="C79" i="12"/>
  <c r="C62" i="12"/>
  <c r="K7" i="12"/>
  <c r="K68" i="12"/>
  <c r="K89" i="12"/>
  <c r="C50" i="12"/>
  <c r="C82" i="12"/>
  <c r="K72" i="12"/>
  <c r="C107" i="12"/>
  <c r="K20" i="12"/>
  <c r="C65" i="12"/>
  <c r="C9" i="12"/>
  <c r="K34" i="12"/>
  <c r="K29" i="12"/>
  <c r="C74" i="12"/>
  <c r="K40" i="12"/>
  <c r="C71" i="12"/>
  <c r="K19" i="12"/>
  <c r="C84" i="12"/>
  <c r="K75" i="12"/>
  <c r="C73" i="12"/>
  <c r="K27" i="12"/>
  <c r="K57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<sst xmlns="http://schemas.openxmlformats.org/spreadsheetml/2006/main" count="1013" uniqueCount="480">
  <si>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</si>
  <si>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</si>
  <si>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</si>
  <si>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</si>
  <si>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</si>
  <si>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</si>
  <si>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</si>
  <si>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</si>
  <si>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</si>
  <si>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</si>
  <si>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</si>
  <si>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</si>
  <si>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</si>
  <si>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</si>
  <si>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</si>
  <si>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</si>
  <si>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</si>
  <si>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</si>
  <si>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</si>
  <si>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</si>
  <si>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</si>
  <si>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</si>
  <si>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</si>
  <si>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</si>
  <si>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</si>
  <si>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</si>
  <si>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</si>
  <si>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</si>
  <si>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</si>
  <si>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</si>
  <si>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</si>
  <si>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</si>
  <si>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</si>
  <si>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</si>
  <si>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</si>
  <si>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</si>
  <si>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</si>
  <si>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</si>
  <si>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</si>
  <si>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</si>
  <si>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</si>
  <si>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</si>
  <si>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</si>
  <si>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</si>
  <si>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</si>
  <si>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</si>
  <si>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</si>
  <si>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</si>
  <si>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</si>
  <si>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</si>
  <si>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</si>
  <si>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</si>
  <si>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</si>
  <si>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</si>
  <si>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</si>
  <si>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</si>
  <si>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</si>
  <si>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</si>
  <si>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</si>
  <si>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</si>
  <si>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</si>
  <si>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</si>
  <si>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</si>
  <si>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</si>
  <si>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</si>
  <si>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</si>
  <si>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</si>
  <si>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</si>
  <si>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</si>
  <si>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</si>
  <si>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</si>
  <si>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</si>
  <si>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</si>
  <si>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</si>
  <si>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</si>
  <si>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</si>
  <si>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</si>
  <si>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</si>
  <si>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</si>
  <si>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</si>
  <si>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</si>
  <si>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</si>
  <si>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</si>
  <si>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</si>
  <si>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</si>
  <si>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</si>
  <si>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</si>
  <si>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</si>
  <si>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</si>
  <si>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</si>
  <si>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</si>
  <si>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</si>
  <si>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</si>
  <si>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</si>
  <si>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</si>
  <si>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</si>
  <si>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</si>
  <si>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</si>
  <si>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</si>
  <si>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</si>
  <si>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</si>
  <si>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</si>
  <si>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</si>
  <si>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</si>
  <si>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</si>
  <si>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</si>
  <si>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</si>
  <si>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</si>
  <si>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</si>
  <si>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</si>
  <si>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</si>
  <si>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</si>
  <si>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</si>
  <si>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</si>
  <si>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</si>
  <si>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</si>
  <si>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</si>
  <si>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</si>
  <si>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</si>
  <si>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</si>
  <si>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</si>
  <si>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</si>
  <si>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</si>
  <si>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</si>
  <si>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</si>
  <si>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</si>
  <si>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</si>
  <si>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</si>
  <si>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</si>
  <si>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</si>
  <si>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</si>
  <si>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</si>
  <si>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</si>
  <si>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</si>
  <si>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</si>
  <si>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</si>
  <si>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</si>
  <si>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</si>
  <si>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</si>
  <si>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</si>
  <si>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</si>
  <si>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</si>
  <si>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</si>
  <si>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</si>
  <si>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</si>
  <si>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</si>
  <si>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</si>
  <si>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</si>
  <si>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</si>
  <si>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</si>
  <si>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</si>
  <si>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</si>
  <si>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</si>
  <si>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</si>
  <si>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</si>
  <si>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</si>
  <si>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</si>
  <si>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</si>
  <si>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</si>
  <si>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</si>
  <si>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</si>
  <si>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</si>
  <si>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</si>
  <si>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</si>
  <si>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</si>
  <si>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</si>
  <si>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</si>
  <si>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</si>
  <si>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</si>
  <si>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</si>
  <si>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</si>
  <si>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</si>
  <si>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</si>
  <si>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</si>
  <si>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</si>
  <si>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</si>
  <si>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</si>
  <si>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</si>
  <si>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</si>
  <si>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</si>
  <si>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</si>
  <si>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</si>
  <si>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</si>
  <si>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</si>
  <si>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</si>
  <si>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</si>
  <si>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</si>
  <si>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</si>
  <si>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</si>
  <si>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</si>
  <si>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</si>
  <si>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</si>
  <si>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</si>
  <si>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</si>
  <si>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</si>
  <si>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</si>
  <si>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</si>
  <si>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</si>
  <si>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</si>
  <si>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</si>
  <si>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</si>
  <si>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</si>
  <si>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</si>
  <si>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</si>
  <si>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</si>
  <si>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</si>
  <si>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</si>
  <si>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</si>
  <si>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</si>
  <si>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</si>
  <si>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</si>
  <si>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</si>
  <si>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</si>
  <si>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</si>
  <si>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</si>
  <si>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</si>
  <si>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</si>
  <si>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</si>
  <si>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</si>
  <si>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</si>
  <si>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</si>
  <si>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</si>
  <si>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</si>
  <si>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</si>
  <si>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</si>
  <si>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</si>
  <si>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</si>
  <si>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</si>
  <si>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</si>
  <si>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</si>
  <si>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</si>
  <si>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</si>
  <si>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</si>
  <si>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</si>
  <si>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</si>
  <si>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</si>
  <si>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</si>
  <si>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</si>
  <si>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</si>
  <si>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</si>
  <si>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</si>
  <si>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</si>
  <si>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</si>
  <si>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</si>
  <si>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</si>
  <si>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</si>
  <si>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</si>
  <si>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</si>
  <si>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</si>
  <si>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</si>
  <si>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</si>
  <si>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</si>
  <si>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</si>
  <si>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</si>
  <si>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</si>
  <si>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</si>
  <si>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</si>
  <si>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</si>
  <si>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</si>
  <si>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</si>
  <si>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</si>
  <si>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</si>
  <si>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</si>
  <si>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</si>
  <si>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</si>
  <si>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</si>
  <si>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</si>
  <si>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</si>
  <si>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</si>
  <si>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</si>
  <si>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</si>
  <si>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</si>
  <si>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</si>
  <si>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</si>
  <si>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</si>
  <si>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</si>
  <si>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</si>
  <si>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</si>
  <si>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</si>
  <si>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</si>
  <si>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</si>
  <si>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</si>
  <si>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</si>
  <si>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</si>
  <si>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</si>
  <si>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</si>
  <si>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</si>
  <si>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</si>
  <si>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</si>
  <si>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</si>
  <si>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</si>
  <si>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</si>
  <si>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</si>
  <si>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</si>
  <si>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</si>
  <si>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</si>
  <si>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</si>
  <si>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</si>
  <si>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</si>
  <si>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</si>
  <si>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</si>
  <si>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</si>
  <si>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</si>
  <si>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</si>
  <si>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</si>
  <si>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</si>
  <si>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</si>
  <si>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</si>
  <si>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</si>
  <si>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</si>
  <si>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</si>
  <si>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</si>
  <si>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</si>
  <si>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</si>
  <si>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</si>
  <si>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</si>
  <si>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</si>
  <si>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</si>
  <si>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</si>
  <si>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</si>
  <si>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</si>
  <si>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</si>
  <si>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</si>
  <si>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</si>
  <si>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</si>
  <si>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</si>
  <si>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</si>
  <si>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</si>
  <si>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</si>
  <si>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</si>
  <si>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</si>
  <si>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</si>
  <si>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</si>
  <si>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</si>
  <si>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</si>
  <si>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</si>
  <si>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</si>
  <si>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</si>
  <si>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</si>
  <si>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</si>
  <si>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</si>
  <si>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</si>
  <si>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</si>
  <si>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</si>
  <si>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</si>
  <si>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</si>
  <si>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</si>
  <si>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</si>
  <si>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</si>
  <si>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</si>
  <si>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</si>
  <si>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</si>
  <si>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</si>
  <si>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</si>
  <si>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</si>
  <si>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</si>
  <si>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</si>
  <si>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</si>
  <si>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</si>
  <si>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</si>
  <si>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</si>
  <si>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</si>
  <si>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</si>
  <si>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</si>
  <si>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</si>
  <si>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</si>
  <si>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</si>
  <si>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</si>
  <si>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</si>
  <si>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</si>
  <si>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</si>
  <si>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</si>
  <si>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</si>
  <si>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</si>
  <si>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</si>
  <si>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</si>
  <si>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</si>
  <si>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</si>
  <si>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</si>
  <si>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</si>
  <si>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</si>
  <si>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</si>
  <si>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</si>
  <si>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</si>
  <si>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</si>
  <si>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</si>
  <si>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</si>
  <si>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</si>
  <si>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</si>
  <si>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</si>
  <si>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</si>
  <si>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</si>
  <si>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</si>
  <si>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</si>
  <si>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</si>
  <si>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</si>
  <si>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</si>
  <si>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</si>
  <si>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</si>
  <si>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</si>
  <si>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</si>
  <si>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</si>
  <si>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</si>
  <si>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</si>
  <si>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</si>
  <si>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</si>
  <si>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</si>
  <si>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</si>
  <si>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</si>
  <si>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</si>
  <si>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</si>
  <si>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</si>
  <si>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</si>
  <si>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</si>
  <si>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</si>
  <si>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</si>
  <si>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</si>
  <si>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</si>
  <si>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</si>
  <si>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</si>
  <si>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</si>
  <si>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</si>
  <si>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</si>
  <si>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</si>
  <si>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</si>
  <si>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</si>
  <si>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</si>
  <si>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</si>
  <si>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</si>
  <si>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</si>
  <si>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</si>
  <si>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</si>
  <si>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</si>
  <si>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</si>
  <si>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</si>
  <si>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</si>
  <si>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</si>
  <si>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</si>
  <si>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</si>
  <si>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</si>
  <si>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</si>
  <si>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</si>
  <si>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</si>
  <si>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</si>
  <si>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</si>
  <si>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</si>
  <si>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</si>
  <si>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</si>
  <si>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</si>
  <si>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</si>
  <si>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</si>
  <si>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</si>
  <si>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</si>
  <si>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</si>
  <si>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</si>
  <si>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</si>
  <si>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</si>
  <si>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</si>
  <si>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</si>
  <si>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</si>
  <si>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</si>
  <si>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</si>
  <si>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</si>
  <si>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</si>
  <si>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</si>
  <si>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</si>
  <si>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</si>
  <si>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</si>
  <si>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</si>
  <si>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</si>
  <si>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</si>
  <si>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</si>
  <si>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</si>
  <si>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</si>
  <si>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</si>
  <si>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</si>
  <si>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</si>
  <si>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</si>
  <si>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labsoft</t>
  </si>
  <si>
    <t>D:\CRUDEX-C#\CRUDEX\CRUDEX\db\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</si>
</sst>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448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464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406</v>
      </c>
      <c r="D1" s="1" t="s">
        <v>1</v>
      </c>
      <c r="E1" s="1" t="s">
        <v>443</v>
      </c>
      <c r="F1" s="1" t="s">
        <v>465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451</v>
      </c>
      <c r="O1" s="1" t="s">
        <v>329</v>
      </c>
      <c r="P1" s="1" t="s">
        <v>328</v>
      </c>
      <c r="Q1" s="1" t="s">
        <v>331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425</v>
      </c>
      <c r="H6" s="6" t="s">
        <v>430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426</v>
      </c>
      <c r="H7" s="6" t="s">
        <v>431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427</v>
      </c>
      <c r="H8" s="6" t="s">
        <v>432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427</v>
      </c>
      <c r="H9" s="6" t="s">
        <v>432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428</v>
      </c>
      <c r="H23" s="6" t="s">
        <v>433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429</v>
      </c>
      <c r="H29" s="6" t="s">
        <v>434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407</v>
      </c>
      <c r="D1" s="1" t="s">
        <v>406</v>
      </c>
      <c r="E1" s="1" t="s">
        <v>443</v>
      </c>
      <c r="F1" s="1" t="s">
        <v>63</v>
      </c>
      <c r="G1" s="1" t="s">
        <v>408</v>
      </c>
      <c r="H1" s="1" t="s">
        <v>1</v>
      </c>
      <c r="I1" s="1" t="s">
        <v>64</v>
      </c>
      <c r="J1" s="1" t="s">
        <v>65</v>
      </c>
      <c r="K1" s="1" t="s">
        <v>347</v>
      </c>
      <c r="L1" s="1" t="s">
        <v>66</v>
      </c>
      <c r="M1" s="1" t="s">
        <v>26</v>
      </c>
      <c r="N1" s="1" t="s">
        <v>27</v>
      </c>
      <c r="O1" s="1" t="s">
        <v>330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341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330</v>
      </c>
      <c r="I19">
        <v>5</v>
      </c>
      <c r="K19" t="s">
        <v>402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333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403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97</v>
      </c>
      <c r="I22">
        <v>15</v>
      </c>
      <c r="K22" t="s">
        <v>404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438</v>
      </c>
    </row>
    <row r="2" spans="1:6" x14ac:dyDescent="0.3">
      <c r="A2">
        <f>ROW(A2)-1</f>
        <v>1</v>
      </c>
      <c r="B2" t="s">
        <v>467</v>
      </c>
      <c r="C2" t="s">
        <v>468</v>
      </c>
      <c r="D2" t="s">
        <v>478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93</v>
      </c>
      <c r="C1" s="1" t="s">
        <v>410</v>
      </c>
      <c r="D1" s="1" t="s">
        <v>94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449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crudax</v>
      </c>
      <c r="D2">
        <v>5</v>
      </c>
      <c r="E2" t="s">
        <v>99</v>
      </c>
      <c r="F2" t="s">
        <v>99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crudax</v>
      </c>
      <c r="D3">
        <v>10</v>
      </c>
      <c r="E3" t="s">
        <v>102</v>
      </c>
      <c r="F3" t="s">
        <v>103</v>
      </c>
      <c r="G3" t="s">
        <v>469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crudax</v>
      </c>
      <c r="D4">
        <v>15</v>
      </c>
      <c r="E4" t="s">
        <v>104</v>
      </c>
      <c r="F4" t="s">
        <v>105</v>
      </c>
      <c r="G4" t="s">
        <v>470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crudax</v>
      </c>
      <c r="D5">
        <v>20</v>
      </c>
      <c r="E5" t="s">
        <v>106</v>
      </c>
      <c r="F5" t="s">
        <v>107</v>
      </c>
      <c r="G5" t="s">
        <v>471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crudax</v>
      </c>
      <c r="D6">
        <v>25</v>
      </c>
      <c r="E6" t="s">
        <v>108</v>
      </c>
      <c r="F6" t="s">
        <v>109</v>
      </c>
      <c r="G6" t="s">
        <v>472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crudax</v>
      </c>
      <c r="D7">
        <v>30</v>
      </c>
      <c r="E7" t="s">
        <v>110</v>
      </c>
      <c r="F7" t="s">
        <v>111</v>
      </c>
      <c r="G7" t="s">
        <v>473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crudax</v>
      </c>
      <c r="D8">
        <v>35</v>
      </c>
      <c r="E8" t="s">
        <v>112</v>
      </c>
      <c r="F8" t="s">
        <v>113</v>
      </c>
      <c r="G8" t="s">
        <v>474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crudax</v>
      </c>
      <c r="D9">
        <v>40</v>
      </c>
      <c r="E9" t="s">
        <v>100</v>
      </c>
      <c r="F9" t="s">
        <v>101</v>
      </c>
      <c r="G9" t="s">
        <v>475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crudax</v>
      </c>
      <c r="D10">
        <v>45</v>
      </c>
      <c r="E10" t="s">
        <v>114</v>
      </c>
      <c r="F10" t="s">
        <v>115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crudax</v>
      </c>
      <c r="D11">
        <v>50</v>
      </c>
      <c r="E11" t="s">
        <v>116</v>
      </c>
      <c r="F11" t="s">
        <v>117</v>
      </c>
      <c r="G11" t="s">
        <v>476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crudax</v>
      </c>
      <c r="D12">
        <v>55</v>
      </c>
      <c r="E12" t="s">
        <v>118</v>
      </c>
      <c r="F12" t="s">
        <v>119</v>
      </c>
      <c r="G12" t="s">
        <v>477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crudax</v>
      </c>
      <c r="D13">
        <v>60</v>
      </c>
      <c r="E13" t="s">
        <v>120</v>
      </c>
      <c r="F13" t="s">
        <v>121</v>
      </c>
      <c r="G13" t="s">
        <v>122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123</v>
      </c>
      <c r="D1" s="1" t="s">
        <v>124</v>
      </c>
      <c r="E1" s="1" t="s">
        <v>125</v>
      </c>
      <c r="F1" s="1" t="s">
        <v>33</v>
      </c>
    </row>
    <row r="2" spans="1:6" x14ac:dyDescent="0.3">
      <c r="A2">
        <f>ROW(A2)-1</f>
        <v>1</v>
      </c>
      <c r="B2" t="s">
        <v>348</v>
      </c>
      <c r="C2" t="s">
        <v>348</v>
      </c>
      <c r="D2" t="s">
        <v>349</v>
      </c>
      <c r="E2">
        <v>0</v>
      </c>
      <c r="F2" t="b">
        <v>1</v>
      </c>
    </row>
    <row r="3" spans="1:6" x14ac:dyDescent="0.3">
      <c r="A3">
        <f>ROW(A3)-1</f>
        <v>2</v>
      </c>
      <c r="B3" t="s">
        <v>399</v>
      </c>
      <c r="C3" t="s">
        <v>126</v>
      </c>
      <c r="D3" t="s">
        <v>400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410</v>
      </c>
      <c r="D1" s="1" t="s">
        <v>127</v>
      </c>
      <c r="E1" s="1" t="s">
        <v>409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GetValue("Users",D2,"Name")</f>
        <v>adm</v>
      </c>
      <c r="F2" t="s">
        <v>354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crudax</v>
      </c>
      <c r="D3">
        <v>2</v>
      </c>
      <c r="E3" t="str">
        <f t="array" ref="E3">GetValue("Users",D3,"Name")</f>
        <v>labrego</v>
      </c>
      <c r="F3" t="s">
        <v>401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tabSelected="1" workbookViewId="0">
      <pane ySplit="1" topLeftCell="A2" activePane="bottomLeft" state="frozen"/>
      <selection pane="bottomLeft" activeCell="J3" sqref="J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21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123</v>
      </c>
      <c r="J1" s="1" t="s">
        <v>133</v>
      </c>
    </row>
    <row r="2" spans="1:10" x14ac:dyDescent="0.3">
      <c r="A2">
        <f>ROW(A2)-1</f>
        <v>1</v>
      </c>
      <c r="B2" t="s">
        <v>467</v>
      </c>
      <c r="C2" t="s">
        <v>468</v>
      </c>
      <c r="D2" t="s">
        <v>467</v>
      </c>
      <c r="E2" t="s">
        <v>391</v>
      </c>
      <c r="F2" t="s">
        <v>134</v>
      </c>
      <c r="G2">
        <v>1433</v>
      </c>
      <c r="H2" t="s">
        <v>135</v>
      </c>
      <c r="I2" t="s">
        <v>126</v>
      </c>
      <c r="J2" t="s">
        <v>479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410</v>
      </c>
      <c r="D1" s="1" t="s">
        <v>136</v>
      </c>
      <c r="E1" s="1" t="s">
        <v>411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GetValue("Databases",D2,"Name")</f>
        <v>crudax</v>
      </c>
      <c r="F2" t="s">
        <v>353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3" sqref="H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128</v>
      </c>
      <c r="D1" s="1" t="s">
        <v>90</v>
      </c>
      <c r="E1" s="1" t="s">
        <v>137</v>
      </c>
      <c r="F1" s="1" t="s">
        <v>435</v>
      </c>
      <c r="G1" s="1" t="s">
        <v>344</v>
      </c>
      <c r="H1" s="1" t="s">
        <v>436</v>
      </c>
    </row>
    <row r="2" spans="1:8" x14ac:dyDescent="0.3">
      <c r="A2">
        <f>ROW(A2)-1</f>
        <v>1</v>
      </c>
      <c r="B2" t="s">
        <v>156</v>
      </c>
      <c r="C2" t="s">
        <v>377</v>
      </c>
      <c r="D2" t="s">
        <v>157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138</v>
      </c>
      <c r="C3" t="s">
        <v>378</v>
      </c>
      <c r="D3" t="s">
        <v>100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141</v>
      </c>
      <c r="C4" t="s">
        <v>83</v>
      </c>
      <c r="D4" t="s">
        <v>142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139</v>
      </c>
      <c r="C5" t="s">
        <v>379</v>
      </c>
      <c r="D5" t="s">
        <v>140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143</v>
      </c>
      <c r="C6" t="s">
        <v>380</v>
      </c>
      <c r="D6" t="s">
        <v>108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106</v>
      </c>
      <c r="C7" t="s">
        <v>381</v>
      </c>
      <c r="D7" t="s">
        <v>106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144</v>
      </c>
      <c r="C8" t="s">
        <v>382</v>
      </c>
      <c r="D8" t="s">
        <v>102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145</v>
      </c>
      <c r="C9" t="s">
        <v>383</v>
      </c>
      <c r="D9" t="s">
        <v>146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147</v>
      </c>
      <c r="C10" t="s">
        <v>384</v>
      </c>
      <c r="D10" t="s">
        <v>148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149</v>
      </c>
      <c r="C11" t="s">
        <v>385</v>
      </c>
      <c r="D11" t="s">
        <v>150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151</v>
      </c>
      <c r="C12" t="s">
        <v>386</v>
      </c>
      <c r="D12" t="s">
        <v>104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350</v>
      </c>
      <c r="C13" t="s">
        <v>387</v>
      </c>
      <c r="D13" t="s">
        <v>351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152</v>
      </c>
      <c r="C14" t="s">
        <v>388</v>
      </c>
      <c r="D14" t="s">
        <v>112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124</v>
      </c>
    </row>
    <row r="15" spans="1:8" x14ac:dyDescent="0.3">
      <c r="A15">
        <f t="shared" si="0"/>
        <v>14</v>
      </c>
      <c r="B15" t="s">
        <v>153</v>
      </c>
      <c r="C15" t="s">
        <v>389</v>
      </c>
      <c r="D15" t="s">
        <v>154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334</v>
      </c>
      <c r="C16" t="s">
        <v>390</v>
      </c>
      <c r="D16" t="s">
        <v>155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392</v>
      </c>
      <c r="C17" t="s">
        <v>393</v>
      </c>
      <c r="D17" t="s">
        <v>394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136</v>
      </c>
      <c r="C1" s="1" t="s">
        <v>411</v>
      </c>
      <c r="D1" s="1" t="s">
        <v>158</v>
      </c>
      <c r="E1" s="1" t="s">
        <v>412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355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356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357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358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359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360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crudax</v>
      </c>
      <c r="D8">
        <v>7</v>
      </c>
      <c r="E8" t="str">
        <f t="array" ref="E8">GetValue("Tables",D8,"Name")</f>
        <v>Users</v>
      </c>
      <c r="F8" t="s">
        <v>361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crudax</v>
      </c>
      <c r="D9">
        <v>8</v>
      </c>
      <c r="E9" t="str">
        <f t="array" ref="E9">GetValue("Tables",D9,"Name")</f>
        <v>SystemsUsers</v>
      </c>
      <c r="F9" t="s">
        <v>362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crudax</v>
      </c>
      <c r="D10">
        <v>9</v>
      </c>
      <c r="E10" t="str">
        <f t="array" ref="E10">GetValue("Tables",D10,"Name")</f>
        <v>Databases</v>
      </c>
      <c r="F10" t="s">
        <v>363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crudax</v>
      </c>
      <c r="D11">
        <v>10</v>
      </c>
      <c r="E11" t="str">
        <f t="array" ref="E11">GetValue("Tables",D11,"Name")</f>
        <v>SystemsDatabases</v>
      </c>
      <c r="F11" t="s">
        <v>364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crudax</v>
      </c>
      <c r="D12">
        <v>11</v>
      </c>
      <c r="E12" t="str">
        <f t="array" ref="E12">GetValue("Tables",D12,"Name")</f>
        <v>Tables</v>
      </c>
      <c r="F12" t="s">
        <v>365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crudax</v>
      </c>
      <c r="D13">
        <v>12</v>
      </c>
      <c r="E13" t="str">
        <f t="array" ref="E13">GetValue("Tables",D13,"Name")</f>
        <v>DatabasesTables</v>
      </c>
      <c r="F13" t="s">
        <v>366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crudax</v>
      </c>
      <c r="D14">
        <v>13</v>
      </c>
      <c r="E14" t="str">
        <f t="array" ref="E14">GetValue("Tables",D14,"Name")</f>
        <v>Columns</v>
      </c>
      <c r="F14" t="s">
        <v>367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crudax</v>
      </c>
      <c r="D15">
        <v>14</v>
      </c>
      <c r="E15" t="str">
        <f t="array" ref="E15">GetValue("Tables",D15,"Name")</f>
        <v>Indexes</v>
      </c>
      <c r="F15" t="s">
        <v>368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crudax</v>
      </c>
      <c r="D16">
        <v>15</v>
      </c>
      <c r="E16" t="str">
        <f t="array" ref="E16">GetValue("Tables",D16,"Name")</f>
        <v>Indexkeys</v>
      </c>
      <c r="F16" t="s">
        <v>369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crudax</v>
      </c>
      <c r="D17">
        <v>16</v>
      </c>
      <c r="E17" t="str">
        <f t="array" ref="E17">GetValue("Tables",D17,"Name")</f>
        <v>Logins</v>
      </c>
      <c r="F17" t="s">
        <v>441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158</v>
      </c>
      <c r="C1" s="11" t="s">
        <v>412</v>
      </c>
      <c r="D1" s="11" t="s">
        <v>94</v>
      </c>
      <c r="E1" s="11" t="s">
        <v>159</v>
      </c>
      <c r="F1" s="11" t="s">
        <v>413</v>
      </c>
      <c r="G1" s="11" t="s">
        <v>406</v>
      </c>
      <c r="H1" s="11" t="s">
        <v>407</v>
      </c>
      <c r="I1" s="11" t="s">
        <v>443</v>
      </c>
      <c r="J1" s="11" t="s">
        <v>160</v>
      </c>
      <c r="K1" s="11" t="s">
        <v>414</v>
      </c>
      <c r="L1" s="11" t="s">
        <v>1</v>
      </c>
      <c r="M1" s="11" t="s">
        <v>90</v>
      </c>
      <c r="N1" s="11" t="s">
        <v>161</v>
      </c>
      <c r="O1" s="11" t="s">
        <v>95</v>
      </c>
      <c r="P1" s="11" t="s">
        <v>347</v>
      </c>
      <c r="Q1" s="18" t="s">
        <v>66</v>
      </c>
      <c r="R1" s="13" t="s">
        <v>26</v>
      </c>
      <c r="S1" s="18" t="s">
        <v>27</v>
      </c>
      <c r="T1" s="11" t="s">
        <v>162</v>
      </c>
      <c r="U1" s="11" t="s">
        <v>163</v>
      </c>
      <c r="V1" s="11" t="s">
        <v>164</v>
      </c>
      <c r="W1" s="11" t="s">
        <v>165</v>
      </c>
      <c r="X1" s="11" t="s">
        <v>166</v>
      </c>
      <c r="Y1" s="11" t="s">
        <v>167</v>
      </c>
      <c r="Z1" s="11" t="s">
        <v>452</v>
      </c>
      <c r="AA1" s="11" t="s">
        <v>168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299</v>
      </c>
      <c r="N2" s="8" t="s">
        <v>174</v>
      </c>
      <c r="O2" s="8" t="s">
        <v>174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300</v>
      </c>
      <c r="N3" s="8" t="s">
        <v>172</v>
      </c>
      <c r="O3" s="8" t="s">
        <v>172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301</v>
      </c>
      <c r="N4" s="8" t="s">
        <v>302</v>
      </c>
      <c r="O4" s="8" t="s">
        <v>302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303</v>
      </c>
      <c r="N5" s="8" t="s">
        <v>304</v>
      </c>
      <c r="O5" s="8" t="s">
        <v>304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305</v>
      </c>
      <c r="N6" s="8" t="s">
        <v>306</v>
      </c>
      <c r="O6" s="8" t="s">
        <v>306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307</v>
      </c>
      <c r="N7" s="8" t="s">
        <v>308</v>
      </c>
      <c r="O7" s="8" t="s">
        <v>308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309</v>
      </c>
      <c r="N8" s="8" t="s">
        <v>310</v>
      </c>
      <c r="O8" s="8" t="s">
        <v>310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311</v>
      </c>
      <c r="N9" s="8" t="s">
        <v>312</v>
      </c>
      <c r="O9" s="8" t="s">
        <v>312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313</v>
      </c>
      <c r="N10" s="8" t="s">
        <v>314</v>
      </c>
      <c r="O10" s="8" t="s">
        <v>314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315</v>
      </c>
      <c r="N11" s="8" t="s">
        <v>316</v>
      </c>
      <c r="O11" s="8" t="s">
        <v>316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169</v>
      </c>
      <c r="N12" s="10" t="s">
        <v>170</v>
      </c>
      <c r="O12" s="10" t="s">
        <v>170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173</v>
      </c>
      <c r="N13" s="10" t="s">
        <v>174</v>
      </c>
      <c r="O13" s="10" t="s">
        <v>174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1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7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171</v>
      </c>
      <c r="N14" s="10" t="s">
        <v>172</v>
      </c>
      <c r="O14" s="10" t="s">
        <v>172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2</v>
      </c>
      <c r="F15" s="10" t="str">
        <f t="array" ref="F15">GetValue("Domains",E15,"Name")</f>
        <v>Integer</v>
      </c>
      <c r="G15" s="10" t="str" cm="1">
        <f t="array" ref="G15">GetValue("Domains",E15,"#CategoryName")</f>
        <v>numeric</v>
      </c>
      <c r="H15" s="10" t="str" cm="1">
        <f t="array" ref="H15">GetValue("Domains",E15,"#TypeName")</f>
        <v>int</v>
      </c>
      <c r="I15" s="10" t="str" cm="1">
        <f t="array" ref="I15">GetValue("Domains",E15,"#DataType")</f>
        <v>int</v>
      </c>
      <c r="J15" s="10"/>
      <c r="K15" s="10" t="str">
        <f t="array" ref="K15">GetValue("Tables",J15,"Name")</f>
        <v/>
      </c>
      <c r="L15" s="10" t="s">
        <v>465</v>
      </c>
      <c r="M15" s="10" t="s">
        <v>466</v>
      </c>
      <c r="N15" s="10" t="s">
        <v>466</v>
      </c>
      <c r="O15" s="10" t="s">
        <v>466</v>
      </c>
      <c r="P15" s="10"/>
      <c r="Q15" s="16"/>
      <c r="R15" s="16">
        <v>1</v>
      </c>
      <c r="S15" s="16"/>
      <c r="T15" s="10" t="b">
        <v>0</v>
      </c>
      <c r="U15" s="10" t="b">
        <v>0</v>
      </c>
      <c r="V15" s="10" t="b">
        <v>0</v>
      </c>
      <c r="W15" s="10"/>
      <c r="X15" s="10" t="b">
        <v>0</v>
      </c>
      <c r="Y15" s="10" t="b">
        <v>1</v>
      </c>
      <c r="Z15" s="10" t="b">
        <v>0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26</v>
      </c>
      <c r="M16" s="10" t="s">
        <v>175</v>
      </c>
      <c r="N16" s="10" t="s">
        <v>176</v>
      </c>
      <c r="O16" s="10" t="s">
        <v>176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27</v>
      </c>
      <c r="M17" s="10" t="s">
        <v>177</v>
      </c>
      <c r="N17" s="10" t="s">
        <v>178</v>
      </c>
      <c r="O17" s="10" t="s">
        <v>178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28</v>
      </c>
      <c r="M18" s="10" t="s">
        <v>179</v>
      </c>
      <c r="N18" s="10" t="s">
        <v>180</v>
      </c>
      <c r="O18" s="10" t="s">
        <v>180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29</v>
      </c>
      <c r="M19" s="10" t="s">
        <v>181</v>
      </c>
      <c r="N19" s="10" t="s">
        <v>182</v>
      </c>
      <c r="O19" s="10" t="s">
        <v>182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30</v>
      </c>
      <c r="M20" s="10" t="s">
        <v>183</v>
      </c>
      <c r="N20" s="10" t="s">
        <v>184</v>
      </c>
      <c r="O20" s="10" t="s">
        <v>184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31</v>
      </c>
      <c r="M21" s="10" t="s">
        <v>185</v>
      </c>
      <c r="N21" s="10" t="s">
        <v>186</v>
      </c>
      <c r="O21" s="10" t="s">
        <v>186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32</v>
      </c>
      <c r="M22" s="10" t="s">
        <v>187</v>
      </c>
      <c r="N22" s="10" t="s">
        <v>188</v>
      </c>
      <c r="O22" s="10" t="s">
        <v>188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451</v>
      </c>
      <c r="M23" s="10" t="s">
        <v>453</v>
      </c>
      <c r="N23" s="10" t="s">
        <v>454</v>
      </c>
      <c r="O23" s="10" t="s">
        <v>454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329</v>
      </c>
      <c r="M24" s="10" t="s">
        <v>335</v>
      </c>
      <c r="N24" s="10" t="s">
        <v>336</v>
      </c>
      <c r="O24" s="10" t="s">
        <v>336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0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328</v>
      </c>
      <c r="M25" s="10" t="s">
        <v>337</v>
      </c>
      <c r="N25" s="10" t="s">
        <v>338</v>
      </c>
      <c r="O25" s="10" t="s">
        <v>338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331</v>
      </c>
      <c r="M26" s="10" t="s">
        <v>339</v>
      </c>
      <c r="N26" s="10" t="s">
        <v>340</v>
      </c>
      <c r="O26" s="10" t="s">
        <v>340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</row>
    <row r="27" spans="1:27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80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33</v>
      </c>
      <c r="M27" s="10" t="s">
        <v>189</v>
      </c>
      <c r="N27" s="10" t="s">
        <v>190</v>
      </c>
      <c r="O27" s="10" t="s">
        <v>190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v>5</v>
      </c>
      <c r="E28" s="8">
        <v>2</v>
      </c>
      <c r="F28" s="8" t="str">
        <f t="array" ref="F28">GetValue("Domains",E28,"Name")</f>
        <v>Integer</v>
      </c>
      <c r="G28" s="8" t="str" cm="1">
        <f t="array" ref="G28">GetValue("Domains",E28,"#CategoryName")</f>
        <v>numeric</v>
      </c>
      <c r="H28" s="8" t="str" cm="1">
        <f t="array" ref="H28">GetValue("Domains",E28,"#TypeName")</f>
        <v>int</v>
      </c>
      <c r="I28" s="8" t="str" cm="1">
        <f t="array" ref="I28">GetValue("Domains",E28,"#DataType")</f>
        <v>int</v>
      </c>
      <c r="J28" s="8"/>
      <c r="K28" s="8" t="str">
        <f t="array" ref="K28">GetValue("Tables",J28,"Name")</f>
        <v/>
      </c>
      <c r="L28" s="8" t="s">
        <v>0</v>
      </c>
      <c r="M28" s="8" t="s">
        <v>204</v>
      </c>
      <c r="N28" s="8" t="s">
        <v>170</v>
      </c>
      <c r="O28" s="8" t="s">
        <v>170</v>
      </c>
      <c r="P28" s="8"/>
      <c r="Q28" s="15"/>
      <c r="R28" s="15" t="s">
        <v>35</v>
      </c>
      <c r="S28" s="15"/>
      <c r="T28" s="8" t="b">
        <v>1</v>
      </c>
      <c r="U28" s="8" t="b">
        <v>0</v>
      </c>
      <c r="V28" s="8" t="b">
        <v>1</v>
      </c>
      <c r="W28" s="8"/>
      <c r="X28" s="8" t="b">
        <v>1</v>
      </c>
      <c r="Y28" s="8" t="b">
        <v>0</v>
      </c>
      <c r="Z28" s="8" t="b">
        <v>0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10</v>
      </c>
      <c r="E29" s="8">
        <v>9</v>
      </c>
      <c r="F29" s="8" t="str">
        <f t="array" ref="F29">GetValue("Domains",E29,"Name")</f>
        <v>Varchar(25)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nvarchar(25)</v>
      </c>
      <c r="J29" s="8"/>
      <c r="K29" s="8" t="str">
        <f t="array" ref="K29">GetValue("Tables",J29,"Name")</f>
        <v/>
      </c>
      <c r="L29" s="8" t="s">
        <v>1</v>
      </c>
      <c r="M29" s="8" t="s">
        <v>205</v>
      </c>
      <c r="N29" s="8" t="s">
        <v>172</v>
      </c>
      <c r="O29" s="8" t="s">
        <v>172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 t="b">
        <v>1</v>
      </c>
      <c r="Y29" s="8" t="b">
        <v>1</v>
      </c>
      <c r="Z29" s="8" t="b">
        <v>1</v>
      </c>
      <c r="AA29" s="8"/>
    </row>
    <row r="30" spans="1:27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15</v>
      </c>
      <c r="E30" s="8">
        <v>12</v>
      </c>
      <c r="F30" s="8" t="str">
        <f t="array" ref="F30">GetValue("Domains",E30,"Name")</f>
        <v>Varchar(MAX)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nvarchar(MAX)</v>
      </c>
      <c r="J30" s="8"/>
      <c r="K30" s="8" t="str">
        <f t="array" ref="K30">GetValue("Tables",J30,"Name")</f>
        <v/>
      </c>
      <c r="L30" s="8" t="s">
        <v>83</v>
      </c>
      <c r="M30" s="8" t="s">
        <v>206</v>
      </c>
      <c r="N30" s="8" t="s">
        <v>195</v>
      </c>
      <c r="O30" s="8" t="s">
        <v>195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/>
      <c r="Y30" s="8" t="b">
        <v>1</v>
      </c>
      <c r="Z30" s="8" t="b">
        <v>0</v>
      </c>
      <c r="AA30" s="8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v>5</v>
      </c>
      <c r="E31" s="10">
        <v>2</v>
      </c>
      <c r="F31" s="10" t="str">
        <f t="array" ref="F31">GetValue("Domains",E31,"Name")</f>
        <v>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int</v>
      </c>
      <c r="I31" s="10" t="str" cm="1">
        <f t="array" ref="I31">GetValue("Domains",E31,"#DataType")</f>
        <v>int</v>
      </c>
      <c r="J31" s="10"/>
      <c r="K31" s="10" t="str">
        <f t="array" ref="K31">GetValue("Tables",J31,"Name")</f>
        <v/>
      </c>
      <c r="L31" s="10" t="s">
        <v>0</v>
      </c>
      <c r="M31" s="10" t="s">
        <v>191</v>
      </c>
      <c r="N31" s="10" t="s">
        <v>170</v>
      </c>
      <c r="O31" s="10" t="s">
        <v>170</v>
      </c>
      <c r="P31" s="10"/>
      <c r="Q31" s="16"/>
      <c r="R31" s="17">
        <v>1</v>
      </c>
      <c r="S31" s="17"/>
      <c r="T31" s="10" t="b">
        <v>1</v>
      </c>
      <c r="U31" s="10" t="b">
        <v>0</v>
      </c>
      <c r="V31" s="10" t="b">
        <v>1</v>
      </c>
      <c r="W31" s="10"/>
      <c r="X31" s="10" t="b">
        <v>1</v>
      </c>
      <c r="Y31" s="10" t="b">
        <v>0</v>
      </c>
      <c r="Z31" s="10" t="b">
        <v>0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ref="D32:D41" si="4">D31+5</f>
        <v>10</v>
      </c>
      <c r="E32" s="10">
        <v>5</v>
      </c>
      <c r="F32" s="10" t="str">
        <f t="array" ref="F32">GetValue("Domains",E32,"Name")</f>
        <v>TinyInteger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tinyint</v>
      </c>
      <c r="I32" s="10" t="str" cm="1">
        <f t="array" ref="I32">GetValue("Domains",E32,"#DataType")</f>
        <v>tinyint</v>
      </c>
      <c r="J32" s="10">
        <v>2</v>
      </c>
      <c r="K32" s="10" t="str">
        <f t="array" ref="K32">GetValue("Tables",J32,"Name")</f>
        <v>Types</v>
      </c>
      <c r="L32" s="10" t="s">
        <v>62</v>
      </c>
      <c r="M32" s="10" t="s">
        <v>192</v>
      </c>
      <c r="N32" s="10" t="s">
        <v>193</v>
      </c>
      <c r="O32" s="10" t="s">
        <v>193</v>
      </c>
      <c r="P32" s="10"/>
      <c r="Q32" s="16"/>
      <c r="R32" s="17">
        <v>1</v>
      </c>
      <c r="S32" s="16"/>
      <c r="T32" s="10" t="b">
        <v>0</v>
      </c>
      <c r="U32" s="10" t="b">
        <v>0</v>
      </c>
      <c r="V32" s="10" t="b">
        <v>1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15</v>
      </c>
      <c r="E33" s="10">
        <v>2</v>
      </c>
      <c r="F33" s="10" t="str">
        <f t="array" ref="F33">GetValue("Domains",E33,"Name")</f>
        <v>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int</v>
      </c>
      <c r="I33" s="10" t="str" cm="1">
        <f t="array" ref="I33">GetValue("Domains",E33,"#DataType")</f>
        <v>int</v>
      </c>
      <c r="J33" s="10">
        <v>3</v>
      </c>
      <c r="K33" s="10" t="str">
        <f t="array" ref="K33">GetValue("Tables",J33,"Name")</f>
        <v>Masks</v>
      </c>
      <c r="L33" s="10" t="s">
        <v>63</v>
      </c>
      <c r="M33" s="10" t="s">
        <v>194</v>
      </c>
      <c r="N33" s="10" t="s">
        <v>195</v>
      </c>
      <c r="O33" s="10" t="s">
        <v>195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0</v>
      </c>
      <c r="W33" s="10"/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20</v>
      </c>
      <c r="E34" s="10">
        <v>9</v>
      </c>
      <c r="F34" s="10" t="str">
        <f t="array" ref="F34">GetValue("Domains",E34,"Name")</f>
        <v>Varchar(25)</v>
      </c>
      <c r="G34" s="10" t="str" cm="1">
        <f t="array" ref="G34">GetValue("Domains",E34,"#CategoryName")</f>
        <v>string</v>
      </c>
      <c r="H34" s="10" t="str" cm="1">
        <f t="array" ref="H34">GetValue("Domains",E34,"#TypeName")</f>
        <v>nvarchar</v>
      </c>
      <c r="I34" s="10" t="str" cm="1">
        <f t="array" ref="I34">GetValue("Domains",E34,"#DataType")</f>
        <v>nvarchar(25)</v>
      </c>
      <c r="J34" s="10"/>
      <c r="K34" s="10" t="str">
        <f t="array" ref="K34">GetValue("Tables",J34,"Name")</f>
        <v/>
      </c>
      <c r="L34" s="10" t="s">
        <v>1</v>
      </c>
      <c r="M34" s="10" t="s">
        <v>196</v>
      </c>
      <c r="N34" s="10" t="s">
        <v>172</v>
      </c>
      <c r="O34" s="10" t="s">
        <v>172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1</v>
      </c>
      <c r="W34" s="10" t="b">
        <v>1</v>
      </c>
      <c r="X34" s="10" t="b">
        <v>1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25</v>
      </c>
      <c r="E35" s="10">
        <v>4</v>
      </c>
      <c r="F35" s="10" t="str">
        <f t="array" ref="F35">GetValue("Domains",E35,"Name")</f>
        <v>SmallInteger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smallint</v>
      </c>
      <c r="I35" s="10" t="str" cm="1">
        <f t="array" ref="I35">GetValue("Domains",E35,"#DataType")</f>
        <v>smallint</v>
      </c>
      <c r="J35" s="10"/>
      <c r="K35" s="10" t="str">
        <f t="array" ref="K35">GetValue("Tables",J35,"Name")</f>
        <v/>
      </c>
      <c r="L35" s="10" t="s">
        <v>64</v>
      </c>
      <c r="M35" s="10" t="s">
        <v>197</v>
      </c>
      <c r="N35" s="10" t="s">
        <v>198</v>
      </c>
      <c r="O35" s="10" t="s">
        <v>198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30</v>
      </c>
      <c r="E36" s="10">
        <v>5</v>
      </c>
      <c r="F36" s="10" t="str">
        <f t="array" ref="F36">GetValue("Domains",E36,"Name")</f>
        <v>TinyInteger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tinyint</v>
      </c>
      <c r="I36" s="10" t="str" cm="1">
        <f t="array" ref="I36">GetValue("Domains",E36,"#DataType")</f>
        <v>tinyint</v>
      </c>
      <c r="J36" s="10"/>
      <c r="K36" s="10" t="str">
        <f t="array" ref="K36">GetValue("Tables",J36,"Name")</f>
        <v/>
      </c>
      <c r="L36" s="10" t="s">
        <v>65</v>
      </c>
      <c r="M36" s="10" t="s">
        <v>199</v>
      </c>
      <c r="N36" s="10" t="s">
        <v>200</v>
      </c>
      <c r="O36" s="10" t="s">
        <v>200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</row>
    <row r="37" spans="1:27" x14ac:dyDescent="0.3">
      <c r="A37" s="10">
        <f>ROW(A37)-1</f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35</v>
      </c>
      <c r="E37" s="10">
        <v>12</v>
      </c>
      <c r="F37" s="10" t="str">
        <f t="array" ref="F37">GetValue("Domains",E37,"Name")</f>
        <v>Varchar(MAX)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347</v>
      </c>
      <c r="M37" s="10" t="s">
        <v>343</v>
      </c>
      <c r="N37" s="10" t="s">
        <v>343</v>
      </c>
      <c r="O37" s="10" t="s">
        <v>343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 t="b">
        <v>1</v>
      </c>
      <c r="Y37" s="10" t="b">
        <v>1</v>
      </c>
      <c r="Z37" s="10" t="b">
        <v>1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40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66</v>
      </c>
      <c r="M38" s="10" t="s">
        <v>203</v>
      </c>
      <c r="N38" s="10" t="s">
        <v>271</v>
      </c>
      <c r="O38" s="10" t="s">
        <v>271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45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26</v>
      </c>
      <c r="M39" s="10" t="s">
        <v>201</v>
      </c>
      <c r="N39" s="10" t="s">
        <v>176</v>
      </c>
      <c r="O39" s="10" t="s">
        <v>176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50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27</v>
      </c>
      <c r="M40" s="10" t="s">
        <v>202</v>
      </c>
      <c r="N40" s="10" t="s">
        <v>178</v>
      </c>
      <c r="O40" s="10" t="s">
        <v>178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</row>
    <row r="41" spans="1:27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55</v>
      </c>
      <c r="E41" s="10">
        <v>18</v>
      </c>
      <c r="F41" s="10" t="str">
        <f t="array" ref="F41">GetValue("Domains",E41,"Name")</f>
        <v>Codification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nvarchar(5)</v>
      </c>
      <c r="J41" s="10"/>
      <c r="K41" s="10" t="str">
        <f t="array" ref="K41">GetValue("Tables",J41,"Name")</f>
        <v/>
      </c>
      <c r="L41" s="10" t="s">
        <v>330</v>
      </c>
      <c r="M41" s="10" t="s">
        <v>445</v>
      </c>
      <c r="N41" s="10" t="s">
        <v>342</v>
      </c>
      <c r="O41" s="10" t="s">
        <v>342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 t="b">
        <v>1</v>
      </c>
      <c r="Y41" s="10" t="b">
        <v>1</v>
      </c>
      <c r="Z41" s="10" t="b">
        <v>1</v>
      </c>
      <c r="AA41" s="10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v>5</v>
      </c>
      <c r="E42" s="8">
        <v>2</v>
      </c>
      <c r="F42" s="8" t="str">
        <f t="array" ref="F42">GetValue("Domains",E42,"Name")</f>
        <v>Integer</v>
      </c>
      <c r="G42" s="8" t="str" cm="1">
        <f t="array" ref="G42">GetValue("Domains",E42,"#CategoryName")</f>
        <v>numeric</v>
      </c>
      <c r="H42" s="8" t="str" cm="1">
        <f t="array" ref="H42">GetValue("Domains",E42,"#TypeName")</f>
        <v>int</v>
      </c>
      <c r="I42" s="8" t="str" cm="1">
        <f t="array" ref="I42">GetValue("Domains",E42,"#DataType")</f>
        <v>int</v>
      </c>
      <c r="J42" s="8"/>
      <c r="K42" s="8" t="str">
        <f t="array" ref="K42">GetValue("Tables",J42,"Name")</f>
        <v/>
      </c>
      <c r="L42" s="8" t="s">
        <v>0</v>
      </c>
      <c r="M42" s="8" t="s">
        <v>207</v>
      </c>
      <c r="N42" s="8" t="s">
        <v>170</v>
      </c>
      <c r="O42" s="8" t="s">
        <v>170</v>
      </c>
      <c r="P42" s="8"/>
      <c r="Q42" s="15"/>
      <c r="R42" s="15">
        <v>1</v>
      </c>
      <c r="S42" s="15"/>
      <c r="T42" s="8" t="b">
        <v>1</v>
      </c>
      <c r="U42" s="8" t="b">
        <v>0</v>
      </c>
      <c r="V42" s="8" t="b">
        <v>1</v>
      </c>
      <c r="W42" s="8"/>
      <c r="X42" s="8" t="b">
        <v>1</v>
      </c>
      <c r="Y42" s="8" t="b">
        <v>0</v>
      </c>
      <c r="Z42" s="8" t="b">
        <v>0</v>
      </c>
      <c r="AA42" s="8"/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10</v>
      </c>
      <c r="E43" s="8">
        <v>9</v>
      </c>
      <c r="F43" s="8" t="str">
        <f t="array" ref="F43">GetValue("Domains",E43,"Name")</f>
        <v>Varchar(25)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nvarchar(25)</v>
      </c>
      <c r="J43" s="8"/>
      <c r="K43" s="8" t="str">
        <f t="array" ref="K43">GetValue("Tables",J43,"Name")</f>
        <v/>
      </c>
      <c r="L43" s="8" t="s">
        <v>1</v>
      </c>
      <c r="M43" s="8" t="s">
        <v>208</v>
      </c>
      <c r="N43" s="8" t="s">
        <v>172</v>
      </c>
      <c r="O43" s="8" t="s">
        <v>172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1</v>
      </c>
      <c r="X43" s="8" t="b">
        <v>1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15</v>
      </c>
      <c r="E44" s="8">
        <v>10</v>
      </c>
      <c r="F44" s="8" t="str">
        <f t="array" ref="F44">GetValue("Domains",E44,"Name")</f>
        <v>Varchar(50)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nvarchar(50)</v>
      </c>
      <c r="J44" s="8"/>
      <c r="K44" s="8" t="str">
        <f t="array" ref="K44">GetValue("Tables",J44,"Name")</f>
        <v/>
      </c>
      <c r="L44" s="8" t="s">
        <v>90</v>
      </c>
      <c r="M44" s="8" t="s">
        <v>209</v>
      </c>
      <c r="N44" s="8" t="s">
        <v>210</v>
      </c>
      <c r="O44" s="8" t="s">
        <v>210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0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20</v>
      </c>
      <c r="E45" s="8">
        <v>7</v>
      </c>
      <c r="F45" s="8" t="str">
        <f t="array" ref="F45">GetValue("Domains",E45,"Name")</f>
        <v>Varchar(15)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nvarchar(15)</v>
      </c>
      <c r="J45" s="8"/>
      <c r="K45" s="8" t="str">
        <f t="array" ref="K45">GetValue("Tables",J45,"Name")</f>
        <v/>
      </c>
      <c r="L45" s="8" t="s">
        <v>91</v>
      </c>
      <c r="M45" s="8" t="s">
        <v>211</v>
      </c>
      <c r="N45" s="8" t="s">
        <v>212</v>
      </c>
      <c r="O45" s="8" t="s">
        <v>212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1</v>
      </c>
      <c r="Y45" s="8" t="b">
        <v>1</v>
      </c>
      <c r="Z45" s="8" t="b">
        <v>1</v>
      </c>
      <c r="AA45" s="8" t="b">
        <v>0</v>
      </c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25</v>
      </c>
      <c r="E46" s="8">
        <v>5</v>
      </c>
      <c r="F46" s="8" t="str">
        <f t="array" ref="F46">GetValue("Domains",E46,"Name")</f>
        <v>TinyInteger</v>
      </c>
      <c r="G46" s="8" t="str" cm="1">
        <f t="array" ref="G46">GetValue("Domains",E46,"#CategoryName")</f>
        <v>numeric</v>
      </c>
      <c r="H46" s="8" t="str" cm="1">
        <f t="array" ref="H46">GetValue("Domains",E46,"#TypeName")</f>
        <v>tinyint</v>
      </c>
      <c r="I46" s="8" t="str" cm="1">
        <f t="array" ref="I46">GetValue("Domains",E46,"#DataType")</f>
        <v>tinyint</v>
      </c>
      <c r="J46" s="8"/>
      <c r="K46" s="8" t="str">
        <f t="array" ref="K46">GetValue("Tables",J46,"Name")</f>
        <v/>
      </c>
      <c r="L46" s="8" t="s">
        <v>92</v>
      </c>
      <c r="M46" s="8" t="s">
        <v>213</v>
      </c>
      <c r="N46" s="8" t="s">
        <v>214</v>
      </c>
      <c r="O46" s="8" t="s">
        <v>214</v>
      </c>
      <c r="P46" s="8"/>
      <c r="Q46" s="15">
        <v>5</v>
      </c>
      <c r="R46" s="15">
        <v>1</v>
      </c>
      <c r="S46" s="15"/>
      <c r="T46" s="8" t="b">
        <v>0</v>
      </c>
      <c r="U46" s="8" t="b">
        <v>0</v>
      </c>
      <c r="V46" s="8" t="b">
        <v>1</v>
      </c>
      <c r="W46" s="8"/>
      <c r="X46" s="8" t="b">
        <v>0</v>
      </c>
      <c r="Y46" s="8" t="b">
        <v>1</v>
      </c>
      <c r="Z46" s="8" t="b">
        <v>1</v>
      </c>
      <c r="AA46" s="8"/>
    </row>
    <row r="47" spans="1:27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30</v>
      </c>
      <c r="E47" s="8">
        <v>6</v>
      </c>
      <c r="F47" s="8" t="str">
        <f t="array" ref="F47">GetValue("Domains",E47,"Name")</f>
        <v>Boolean</v>
      </c>
      <c r="G47" s="8" t="str" cm="1">
        <f t="array" ref="G47">GetValue("Domains",E47,"#CategoryName")</f>
        <v>boolean</v>
      </c>
      <c r="H47" s="8" t="str" cm="1">
        <f t="array" ref="H47">GetValue("Domains",E47,"#TypeName")</f>
        <v>bit</v>
      </c>
      <c r="I47" s="8" t="str" cm="1">
        <f t="array" ref="I47">GetValue("Domains",E47,"#DataType")</f>
        <v>bit</v>
      </c>
      <c r="J47" s="8"/>
      <c r="K47" s="8" t="str">
        <f t="array" ref="K47">GetValue("Tables",J47,"Name")</f>
        <v/>
      </c>
      <c r="L47" s="8" t="s">
        <v>438</v>
      </c>
      <c r="M47" s="8" t="s">
        <v>439</v>
      </c>
      <c r="N47" s="8" t="s">
        <v>440</v>
      </c>
      <c r="O47" s="8" t="s">
        <v>440</v>
      </c>
      <c r="P47" s="8"/>
      <c r="Q47" s="15"/>
      <c r="R47" s="15"/>
      <c r="S47" s="15"/>
      <c r="T47" s="8"/>
      <c r="U47" s="8"/>
      <c r="V47" s="8" t="b">
        <v>1</v>
      </c>
      <c r="W47" s="8"/>
      <c r="X47" s="8" t="b">
        <v>0</v>
      </c>
      <c r="Y47" s="8" t="b">
        <v>1</v>
      </c>
      <c r="Z47" s="8" t="b">
        <v>0</v>
      </c>
      <c r="AA47" s="8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v>5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/>
      <c r="K48" s="10" t="str">
        <f t="array" ref="K48">GetValue("Tables",J48,"Name")</f>
        <v/>
      </c>
      <c r="L48" s="10" t="s">
        <v>0</v>
      </c>
      <c r="M48" s="10" t="s">
        <v>215</v>
      </c>
      <c r="N48" s="10" t="s">
        <v>170</v>
      </c>
      <c r="O48" s="10" t="s">
        <v>170</v>
      </c>
      <c r="P48" s="10"/>
      <c r="Q48" s="16"/>
      <c r="R48" s="17">
        <v>1</v>
      </c>
      <c r="S48" s="17"/>
      <c r="T48" s="10" t="b">
        <v>1</v>
      </c>
      <c r="U48" s="10" t="b">
        <v>0</v>
      </c>
      <c r="V48" s="10" t="b">
        <v>1</v>
      </c>
      <c r="W48" s="10"/>
      <c r="X48" s="10" t="b">
        <v>1</v>
      </c>
      <c r="Y48" s="10" t="b">
        <v>0</v>
      </c>
      <c r="Z48" s="10" t="b">
        <v>0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ref="D49:D54" si="5">D48+5</f>
        <v>10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>
        <v>5</v>
      </c>
      <c r="K49" s="10" t="str">
        <f t="array" ref="K49">GetValue("Tables",J49,"Name")</f>
        <v>Systems</v>
      </c>
      <c r="L49" s="10" t="s">
        <v>93</v>
      </c>
      <c r="M49" s="10" t="s">
        <v>216</v>
      </c>
      <c r="N49" s="10" t="s">
        <v>217</v>
      </c>
      <c r="O49" s="10" t="s">
        <v>217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1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15</v>
      </c>
      <c r="E50" s="10">
        <v>4</v>
      </c>
      <c r="F50" s="10" t="str">
        <f t="array" ref="F50">GetValue("Domains",E50,"Name")</f>
        <v>SmallInteger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smallint</v>
      </c>
      <c r="I50" s="10" t="str" cm="1">
        <f t="array" ref="I50">GetValue("Domains",E50,"#DataType")</f>
        <v>smallint</v>
      </c>
      <c r="J50" s="10"/>
      <c r="K50" s="10" t="str">
        <f t="array" ref="K50">GetValue("Tables",J50,"Name")</f>
        <v/>
      </c>
      <c r="L50" s="10" t="s">
        <v>94</v>
      </c>
      <c r="M50" s="10" t="s">
        <v>218</v>
      </c>
      <c r="N50" s="10" t="s">
        <v>219</v>
      </c>
      <c r="O50" s="10" t="s">
        <v>219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0</v>
      </c>
      <c r="Y50" s="10" t="b">
        <v>1</v>
      </c>
      <c r="Z50" s="10" t="b">
        <v>1</v>
      </c>
      <c r="AA50" s="10"/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20</v>
      </c>
      <c r="E51" s="10">
        <v>8</v>
      </c>
      <c r="F51" s="10" t="str">
        <f t="array" ref="F51">GetValue("Domains",E51,"Name")</f>
        <v>Varchar(20)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nvarchar(20)</v>
      </c>
      <c r="J51" s="10"/>
      <c r="K51" s="10" t="str">
        <f t="array" ref="K51">GetValue("Tables",J51,"Name")</f>
        <v/>
      </c>
      <c r="L51" s="10" t="s">
        <v>95</v>
      </c>
      <c r="M51" s="10" t="s">
        <v>220</v>
      </c>
      <c r="N51" s="10" t="s">
        <v>221</v>
      </c>
      <c r="O51" s="10" t="s">
        <v>221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1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25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96</v>
      </c>
      <c r="M52" s="10" t="s">
        <v>222</v>
      </c>
      <c r="N52" s="10" t="s">
        <v>223</v>
      </c>
      <c r="O52" s="10" t="s">
        <v>223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30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97</v>
      </c>
      <c r="M53" s="10" t="s">
        <v>224</v>
      </c>
      <c r="N53" s="10" t="s">
        <v>225</v>
      </c>
      <c r="O53" s="10" t="s">
        <v>225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0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</row>
    <row r="54" spans="1:27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35</v>
      </c>
      <c r="E54" s="10">
        <v>2</v>
      </c>
      <c r="F54" s="10" t="str">
        <f t="array" ref="F54">GetValue("Domains",E54,"Name")</f>
        <v>Integer</v>
      </c>
      <c r="G54" s="10" t="str" cm="1">
        <f t="array" ref="G54">GetValue("Domains",E54,"#CategoryName")</f>
        <v>numeric</v>
      </c>
      <c r="H54" s="10" t="str" cm="1">
        <f t="array" ref="H54">GetValue("Domains",E54,"#TypeName")</f>
        <v>int</v>
      </c>
      <c r="I54" s="10" t="str" cm="1">
        <f t="array" ref="I54">GetValue("Domains",E54,"#DataType")</f>
        <v>int</v>
      </c>
      <c r="J54" s="10">
        <v>6</v>
      </c>
      <c r="K54" s="10" t="str">
        <f t="array" ref="K54">GetValue("Tables",J54,"Name")</f>
        <v>Menus</v>
      </c>
      <c r="L54" s="10" t="s">
        <v>98</v>
      </c>
      <c r="M54" s="10" t="s">
        <v>226</v>
      </c>
      <c r="N54" s="10" t="s">
        <v>227</v>
      </c>
      <c r="O54" s="10" t="s">
        <v>227</v>
      </c>
      <c r="P54" s="10"/>
      <c r="Q54" s="16"/>
      <c r="R54" s="17">
        <v>1</v>
      </c>
      <c r="S54" s="16"/>
      <c r="T54" s="10" t="b">
        <v>0</v>
      </c>
      <c r="U54" s="10" t="b">
        <v>0</v>
      </c>
      <c r="V54" s="10" t="b">
        <v>0</v>
      </c>
      <c r="W54" s="10"/>
      <c r="X54" s="10" t="b">
        <v>0</v>
      </c>
      <c r="Y54" s="10" t="b">
        <v>1</v>
      </c>
      <c r="Z54" s="10" t="b">
        <v>0</v>
      </c>
      <c r="AA54" s="10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v>5</v>
      </c>
      <c r="E55" s="8">
        <v>2</v>
      </c>
      <c r="F55" s="8" t="str">
        <f t="array" ref="F55">GetValue("Domains",E55,"Name")</f>
        <v>Integer</v>
      </c>
      <c r="G55" s="8" t="str" cm="1">
        <f t="array" ref="G55">GetValue("Domains",E55,"#CategoryName")</f>
        <v>numeric</v>
      </c>
      <c r="H55" s="8" t="str" cm="1">
        <f t="array" ref="H55">GetValue("Domains",E55,"#TypeName")</f>
        <v>int</v>
      </c>
      <c r="I55" s="8" t="str" cm="1">
        <f t="array" ref="I55">GetValue("Domains",E55,"#DataType")</f>
        <v>int</v>
      </c>
      <c r="J55" s="8"/>
      <c r="K55" s="8" t="str">
        <f t="array" ref="K55">GetValue("Tables",J55,"Name")</f>
        <v/>
      </c>
      <c r="L55" s="8" t="s">
        <v>0</v>
      </c>
      <c r="M55" s="8" t="s">
        <v>228</v>
      </c>
      <c r="N55" s="8" t="s">
        <v>170</v>
      </c>
      <c r="O55" s="8" t="s">
        <v>170</v>
      </c>
      <c r="P55" s="8"/>
      <c r="Q55" s="15"/>
      <c r="R55" s="15">
        <v>1</v>
      </c>
      <c r="S55" s="15"/>
      <c r="T55" s="8" t="b">
        <v>1</v>
      </c>
      <c r="U55" s="8" t="b">
        <v>0</v>
      </c>
      <c r="V55" s="8" t="b">
        <v>1</v>
      </c>
      <c r="W55" s="8"/>
      <c r="X55" s="8" t="b">
        <v>1</v>
      </c>
      <c r="Y55" s="8" t="b">
        <v>0</v>
      </c>
      <c r="Z55" s="8" t="b">
        <v>0</v>
      </c>
      <c r="AA55" s="8"/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10</v>
      </c>
      <c r="E56" s="8">
        <v>9</v>
      </c>
      <c r="F56" s="8" t="str">
        <f t="array" ref="F56">GetValue("Domains",E56,"Name")</f>
        <v>Varchar(25)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nvarchar(25)</v>
      </c>
      <c r="J56" s="8"/>
      <c r="K56" s="8" t="str">
        <f t="array" ref="K56">GetValue("Tables",J56,"Name")</f>
        <v/>
      </c>
      <c r="L56" s="8" t="s">
        <v>1</v>
      </c>
      <c r="M56" s="8" t="s">
        <v>229</v>
      </c>
      <c r="N56" s="8" t="s">
        <v>172</v>
      </c>
      <c r="O56" s="8" t="s">
        <v>172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1</v>
      </c>
      <c r="X56" s="8" t="b">
        <v>1</v>
      </c>
      <c r="Y56" s="8" t="b">
        <v>1</v>
      </c>
      <c r="Z56" s="8" t="b">
        <v>1</v>
      </c>
      <c r="AA56" s="8" t="b">
        <v>0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15</v>
      </c>
      <c r="E57" s="8">
        <v>11</v>
      </c>
      <c r="F57" s="8" t="str">
        <f t="array" ref="F57">GetValue("Domains",E57,"Name")</f>
        <v>Varchar(256)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nvarchar(256)</v>
      </c>
      <c r="J57" s="8"/>
      <c r="K57" s="8" t="str">
        <f t="array" ref="K57">GetValue("Tables",J57,"Name")</f>
        <v/>
      </c>
      <c r="L57" s="8" t="s">
        <v>123</v>
      </c>
      <c r="M57" s="8" t="s">
        <v>230</v>
      </c>
      <c r="N57" s="8" t="s">
        <v>231</v>
      </c>
      <c r="O57" s="8" t="s">
        <v>231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0</v>
      </c>
      <c r="Y57" s="8" t="b">
        <v>1</v>
      </c>
      <c r="Z57" s="8" t="b">
        <v>0</v>
      </c>
      <c r="AA57" s="8" t="b">
        <v>1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20</v>
      </c>
      <c r="E58" s="8">
        <v>10</v>
      </c>
      <c r="F58" s="8" t="str">
        <f t="array" ref="F58">GetValue("Domains",E58,"Name")</f>
        <v>Varchar(50)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nvarchar(50)</v>
      </c>
      <c r="J58" s="8"/>
      <c r="K58" s="8" t="str">
        <f t="array" ref="K58">GetValue("Tables",J58,"Name")</f>
        <v/>
      </c>
      <c r="L58" s="8" t="s">
        <v>124</v>
      </c>
      <c r="M58" s="8" t="s">
        <v>232</v>
      </c>
      <c r="N58" s="8" t="s">
        <v>233</v>
      </c>
      <c r="O58" s="8" t="s">
        <v>233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1</v>
      </c>
      <c r="Y58" s="8" t="b">
        <v>1</v>
      </c>
      <c r="Z58" s="8" t="b">
        <v>1</v>
      </c>
      <c r="AA58" s="8" t="b">
        <v>0</v>
      </c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25</v>
      </c>
      <c r="E59" s="8">
        <v>5</v>
      </c>
      <c r="F59" s="8" t="str">
        <f t="array" ref="F59">GetValue("Domains",E59,"Name")</f>
        <v>TinyInteger</v>
      </c>
      <c r="G59" s="8" t="str" cm="1">
        <f t="array" ref="G59">GetValue("Domains",E59,"#CategoryName")</f>
        <v>numeric</v>
      </c>
      <c r="H59" s="8" t="str" cm="1">
        <f t="array" ref="H59">GetValue("Domains",E59,"#TypeName")</f>
        <v>tinyint</v>
      </c>
      <c r="I59" s="8" t="str" cm="1">
        <f t="array" ref="I59">GetValue("Domains",E59,"#DataType")</f>
        <v>tinyint</v>
      </c>
      <c r="J59" s="8"/>
      <c r="K59" s="8" t="str">
        <f t="array" ref="K59">GetValue("Tables",J59,"Name")</f>
        <v/>
      </c>
      <c r="L59" s="8" t="s">
        <v>125</v>
      </c>
      <c r="M59" s="8" t="s">
        <v>234</v>
      </c>
      <c r="N59" s="8" t="s">
        <v>234</v>
      </c>
      <c r="O59" s="8" t="s">
        <v>234</v>
      </c>
      <c r="P59" s="8"/>
      <c r="Q59" s="15">
        <v>0</v>
      </c>
      <c r="R59" s="15">
        <v>0</v>
      </c>
      <c r="S59" s="15"/>
      <c r="T59" s="8" t="b">
        <v>0</v>
      </c>
      <c r="U59" s="8" t="b">
        <v>0</v>
      </c>
      <c r="V59" s="8" t="b">
        <v>1</v>
      </c>
      <c r="W59" s="8"/>
      <c r="X59" s="8" t="b">
        <v>0</v>
      </c>
      <c r="Y59" s="8" t="b">
        <v>1</v>
      </c>
      <c r="Z59" s="8" t="b">
        <v>1</v>
      </c>
      <c r="AA59" s="8"/>
    </row>
    <row r="60" spans="1:27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30</v>
      </c>
      <c r="E60" s="8">
        <v>6</v>
      </c>
      <c r="F60" s="8" t="str">
        <f t="array" ref="F60">GetValue("Domains",E60,"Name")</f>
        <v>Boolean</v>
      </c>
      <c r="G60" s="8" t="str" cm="1">
        <f t="array" ref="G60">GetValue("Domains",E60,"#CategoryName")</f>
        <v>boolean</v>
      </c>
      <c r="H60" s="8" t="str" cm="1">
        <f t="array" ref="H60">GetValue("Domains",E60,"#TypeName")</f>
        <v>bit</v>
      </c>
      <c r="I60" s="8" t="str" cm="1">
        <f t="array" ref="I60">GetValue("Domains",E60,"#DataType")</f>
        <v>bit</v>
      </c>
      <c r="J60" s="8"/>
      <c r="K60" s="8" t="str">
        <f t="array" ref="K60">GetValue("Tables",J60,"Name")</f>
        <v/>
      </c>
      <c r="L60" s="8" t="s">
        <v>33</v>
      </c>
      <c r="M60" s="8" t="s">
        <v>235</v>
      </c>
      <c r="N60" s="8" t="s">
        <v>235</v>
      </c>
      <c r="O60" s="8" t="s">
        <v>235</v>
      </c>
      <c r="P60" s="8"/>
      <c r="Q60" s="15"/>
      <c r="R60" s="15" t="s">
        <v>35</v>
      </c>
      <c r="S60" s="15"/>
      <c r="T60" s="8" t="b">
        <v>0</v>
      </c>
      <c r="U60" s="8"/>
      <c r="V60" s="8" t="b">
        <v>1</v>
      </c>
      <c r="W60" s="8"/>
      <c r="X60" s="8" t="b">
        <v>1</v>
      </c>
      <c r="Y60" s="8" t="b">
        <v>1</v>
      </c>
      <c r="Z60" s="8" t="b">
        <v>1</v>
      </c>
      <c r="AA60" s="8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v>5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/>
      <c r="K61" s="10" t="str">
        <f t="array" ref="K61">GetValue("Tables",J61,"Name")</f>
        <v/>
      </c>
      <c r="L61" s="10" t="s">
        <v>0</v>
      </c>
      <c r="M61" s="10" t="s">
        <v>236</v>
      </c>
      <c r="N61" s="10" t="s">
        <v>217</v>
      </c>
      <c r="O61" s="10" t="s">
        <v>217</v>
      </c>
      <c r="P61" s="10"/>
      <c r="Q61" s="16"/>
      <c r="R61" s="17">
        <v>1</v>
      </c>
      <c r="S61" s="17"/>
      <c r="T61" s="10" t="b">
        <v>1</v>
      </c>
      <c r="U61" s="10" t="b">
        <v>0</v>
      </c>
      <c r="V61" s="10" t="b">
        <v>1</v>
      </c>
      <c r="W61" s="10"/>
      <c r="X61" s="10" t="b">
        <v>1</v>
      </c>
      <c r="Y61" s="10" t="b">
        <v>0</v>
      </c>
      <c r="Z61" s="10" t="b">
        <v>0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10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5</v>
      </c>
      <c r="K62" s="10" t="str">
        <f t="array" ref="K62">GetValue("Tables",J62,"Name")</f>
        <v>Systems</v>
      </c>
      <c r="L62" s="10" t="s">
        <v>93</v>
      </c>
      <c r="M62" s="10" t="s">
        <v>207</v>
      </c>
      <c r="N62" s="10" t="s">
        <v>170</v>
      </c>
      <c r="O62" s="10" t="s">
        <v>170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15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7</v>
      </c>
      <c r="K63" s="10" t="str">
        <f t="array" ref="K63">GetValue("Tables",J63,"Name")</f>
        <v>Users</v>
      </c>
      <c r="L63" s="10" t="s">
        <v>127</v>
      </c>
      <c r="M63" s="10" t="s">
        <v>228</v>
      </c>
      <c r="N63" s="10" t="s">
        <v>237</v>
      </c>
      <c r="O63" s="10" t="s">
        <v>237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</row>
    <row r="64" spans="1:27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20</v>
      </c>
      <c r="E64" s="10">
        <v>10</v>
      </c>
      <c r="F64" s="10" t="str">
        <f t="array" ref="F64">GetValue("Domains",E64,"Name")</f>
        <v>Varchar(50)</v>
      </c>
      <c r="G64" s="10" t="str" cm="1">
        <f t="array" ref="G64">GetValue("Domains",E64,"#CategoryName")</f>
        <v>string</v>
      </c>
      <c r="H64" s="10" t="str" cm="1">
        <f t="array" ref="H64">GetValue("Domains",E64,"#TypeName")</f>
        <v>nvarchar</v>
      </c>
      <c r="I64" s="10" t="str" cm="1">
        <f t="array" ref="I64">GetValue("Domains",E64,"#DataType")</f>
        <v>nvarchar(50)</v>
      </c>
      <c r="J64" s="10"/>
      <c r="K64" s="10" t="str">
        <f t="array" ref="K64">GetValue("Tables",J64,"Name")</f>
        <v/>
      </c>
      <c r="L64" s="10" t="s">
        <v>90</v>
      </c>
      <c r="M64" s="10" t="s">
        <v>370</v>
      </c>
      <c r="N64" s="10" t="s">
        <v>210</v>
      </c>
      <c r="O64" s="10" t="s">
        <v>210</v>
      </c>
      <c r="P64" s="10"/>
      <c r="Q64" s="16"/>
      <c r="R64" s="17"/>
      <c r="S64" s="17"/>
      <c r="T64" s="10" t="b">
        <v>0</v>
      </c>
      <c r="U64" s="10"/>
      <c r="V64" s="10" t="b">
        <v>1</v>
      </c>
      <c r="W64" s="10" t="b">
        <v>1</v>
      </c>
      <c r="X64" s="10" t="b">
        <v>1</v>
      </c>
      <c r="Y64" s="10" t="b">
        <v>1</v>
      </c>
      <c r="Z64" s="10" t="b">
        <v>1</v>
      </c>
      <c r="AA64" s="10" t="b">
        <v>0</v>
      </c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v>5</v>
      </c>
      <c r="E65" s="8">
        <v>2</v>
      </c>
      <c r="F65" s="8" t="str">
        <f t="array" ref="F65">GetValue("Domains",E65,"Name")</f>
        <v>Integer</v>
      </c>
      <c r="G65" s="8" t="str" cm="1">
        <f t="array" ref="G65">GetValue("Domains",E65,"#CategoryName")</f>
        <v>numeric</v>
      </c>
      <c r="H65" s="8" t="str" cm="1">
        <f t="array" ref="H65">GetValue("Domains",E65,"#TypeName")</f>
        <v>int</v>
      </c>
      <c r="I65" s="8" t="str" cm="1">
        <f t="array" ref="I65">GetValue("Domains",E65,"#DataType")</f>
        <v>int</v>
      </c>
      <c r="J65" s="8"/>
      <c r="K65" s="8" t="str">
        <f t="array" ref="K65">GetValue("Tables",J65,"Name")</f>
        <v/>
      </c>
      <c r="L65" s="8" t="s">
        <v>0</v>
      </c>
      <c r="M65" s="8" t="s">
        <v>238</v>
      </c>
      <c r="N65" s="8" t="s">
        <v>170</v>
      </c>
      <c r="O65" s="8" t="s">
        <v>170</v>
      </c>
      <c r="P65" s="8"/>
      <c r="Q65" s="15"/>
      <c r="R65" s="15">
        <v>1</v>
      </c>
      <c r="S65" s="15"/>
      <c r="T65" s="8" t="b">
        <v>1</v>
      </c>
      <c r="U65" s="8" t="b">
        <v>0</v>
      </c>
      <c r="V65" s="8" t="b">
        <v>1</v>
      </c>
      <c r="W65" s="8"/>
      <c r="X65" s="8" t="b">
        <v>1</v>
      </c>
      <c r="Y65" s="8" t="b">
        <v>0</v>
      </c>
      <c r="Z65" s="8" t="b">
        <v>0</v>
      </c>
      <c r="AA65" s="8"/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ref="D66:D74" si="6">D65+5</f>
        <v>10</v>
      </c>
      <c r="E66" s="8">
        <v>9</v>
      </c>
      <c r="F66" s="8" t="str">
        <f t="array" ref="F66">GetValue("Domains",E66,"Name")</f>
        <v>Varchar(25)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nvarchar(25)</v>
      </c>
      <c r="J66" s="8"/>
      <c r="K66" s="8" t="str">
        <f t="array" ref="K66">GetValue("Tables",J66,"Name")</f>
        <v/>
      </c>
      <c r="L66" s="8" t="s">
        <v>1</v>
      </c>
      <c r="M66" s="8" t="s">
        <v>239</v>
      </c>
      <c r="N66" s="8" t="s">
        <v>172</v>
      </c>
      <c r="O66" s="8" t="s">
        <v>172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1</v>
      </c>
      <c r="X66" s="8" t="b">
        <v>1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15</v>
      </c>
      <c r="E67" s="8">
        <v>10</v>
      </c>
      <c r="F67" s="8" t="str">
        <f t="array" ref="F67">GetValue("Domains",E67,"Name")</f>
        <v>Varchar(50)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nvarchar(50)</v>
      </c>
      <c r="J67" s="8"/>
      <c r="K67" s="8" t="str">
        <f t="array" ref="K67">GetValue("Tables",J67,"Name")</f>
        <v/>
      </c>
      <c r="L67" s="8" t="s">
        <v>90</v>
      </c>
      <c r="M67" s="8" t="s">
        <v>240</v>
      </c>
      <c r="N67" s="8" t="s">
        <v>210</v>
      </c>
      <c r="O67" s="8" t="s">
        <v>210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0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20</v>
      </c>
      <c r="E68" s="8">
        <v>9</v>
      </c>
      <c r="F68" s="8" t="str">
        <f t="array" ref="F68">GetValue("Domains",E68,"Name")</f>
        <v>Varchar(25)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nvarchar(25)</v>
      </c>
      <c r="J68" s="8"/>
      <c r="K68" s="8" t="str">
        <f t="array" ref="K68">GetValue("Tables",J68,"Name")</f>
        <v/>
      </c>
      <c r="L68" s="8" t="s">
        <v>128</v>
      </c>
      <c r="M68" s="8" t="s">
        <v>241</v>
      </c>
      <c r="N68" s="8" t="s">
        <v>128</v>
      </c>
      <c r="O68" s="8" t="s">
        <v>128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1</v>
      </c>
      <c r="Y68" s="8" t="b">
        <v>1</v>
      </c>
      <c r="Z68" s="8" t="b">
        <v>1</v>
      </c>
      <c r="AA68" s="8" t="b">
        <v>0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25</v>
      </c>
      <c r="E69" s="8">
        <v>10</v>
      </c>
      <c r="F69" s="8" t="str">
        <f t="array" ref="F69">GetValue("Domains",E69,"Name")</f>
        <v>Varchar(50)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nvarchar(50)</v>
      </c>
      <c r="J69" s="8"/>
      <c r="K69" s="8" t="str">
        <f t="array" ref="K69">GetValue("Tables",J69,"Name")</f>
        <v/>
      </c>
      <c r="L69" s="8" t="s">
        <v>129</v>
      </c>
      <c r="M69" s="8" t="s">
        <v>242</v>
      </c>
      <c r="N69" s="8" t="s">
        <v>243</v>
      </c>
      <c r="O69" s="8" t="s">
        <v>243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1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30</v>
      </c>
      <c r="E70" s="8">
        <v>9</v>
      </c>
      <c r="F70" s="8" t="str">
        <f t="array" ref="F70">GetValue("Domains",E70,"Name")</f>
        <v>Varchar(25)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nvarchar(25)</v>
      </c>
      <c r="J70" s="8"/>
      <c r="K70" s="8" t="str">
        <f t="array" ref="K70">GetValue("Tables",J70,"Name")</f>
        <v/>
      </c>
      <c r="L70" s="8" t="s">
        <v>130</v>
      </c>
      <c r="M70" s="8" t="s">
        <v>244</v>
      </c>
      <c r="N70" s="8" t="s">
        <v>245</v>
      </c>
      <c r="O70" s="8" t="s">
        <v>245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0</v>
      </c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35</v>
      </c>
      <c r="E71" s="8">
        <v>3</v>
      </c>
      <c r="F71" s="8" t="str">
        <f t="array" ref="F71">GetValue("Domains",E71,"Name")</f>
        <v>ShortInteger</v>
      </c>
      <c r="G71" s="8" t="str" cm="1">
        <f t="array" ref="G71">GetValue("Domains",E71,"#CategoryName")</f>
        <v>numeric</v>
      </c>
      <c r="H71" s="8" t="str" cm="1">
        <f t="array" ref="H71">GetValue("Domains",E71,"#TypeName")</f>
        <v>int</v>
      </c>
      <c r="I71" s="8" t="str" cm="1">
        <f t="array" ref="I71">GetValue("Domains",E71,"#DataType")</f>
        <v>int</v>
      </c>
      <c r="J71" s="8"/>
      <c r="K71" s="8" t="str">
        <f t="array" ref="K71">GetValue("Tables",J71,"Name")</f>
        <v/>
      </c>
      <c r="L71" s="8" t="s">
        <v>131</v>
      </c>
      <c r="M71" s="8" t="s">
        <v>246</v>
      </c>
      <c r="N71" s="8" t="s">
        <v>247</v>
      </c>
      <c r="O71" s="8" t="s">
        <v>247</v>
      </c>
      <c r="P71" s="8"/>
      <c r="Q71" s="15"/>
      <c r="R71" s="15">
        <v>1</v>
      </c>
      <c r="S71" s="15"/>
      <c r="T71" s="8" t="b">
        <v>0</v>
      </c>
      <c r="U71" s="8" t="b">
        <v>0</v>
      </c>
      <c r="V71" s="8" t="b">
        <v>0</v>
      </c>
      <c r="W71" s="8"/>
      <c r="X71" s="8" t="b">
        <v>0</v>
      </c>
      <c r="Y71" s="8" t="b">
        <v>1</v>
      </c>
      <c r="Z71" s="8" t="b">
        <v>0</v>
      </c>
      <c r="AA71" s="8"/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40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132</v>
      </c>
      <c r="M72" s="8" t="s">
        <v>248</v>
      </c>
      <c r="N72" s="8" t="s">
        <v>237</v>
      </c>
      <c r="O72" s="8" t="s">
        <v>237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45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123</v>
      </c>
      <c r="M73" s="8" t="s">
        <v>249</v>
      </c>
      <c r="N73" s="8" t="s">
        <v>231</v>
      </c>
      <c r="O73" s="8" t="s">
        <v>231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50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133</v>
      </c>
      <c r="M74" s="8" t="s">
        <v>250</v>
      </c>
      <c r="N74" s="8" t="s">
        <v>251</v>
      </c>
      <c r="O74" s="8" t="s">
        <v>251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v>5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/>
      <c r="K75" s="10" t="str">
        <f t="array" ref="K75">GetValue("Tables",J75,"Name")</f>
        <v/>
      </c>
      <c r="L75" s="10" t="s">
        <v>0</v>
      </c>
      <c r="M75" s="10" t="s">
        <v>252</v>
      </c>
      <c r="N75" s="10" t="s">
        <v>170</v>
      </c>
      <c r="O75" s="10" t="s">
        <v>170</v>
      </c>
      <c r="P75" s="10"/>
      <c r="Q75" s="16"/>
      <c r="R75" s="17">
        <v>1</v>
      </c>
      <c r="S75" s="17"/>
      <c r="T75" s="10" t="b">
        <v>1</v>
      </c>
      <c r="U75" s="10" t="b">
        <v>0</v>
      </c>
      <c r="V75" s="10" t="b">
        <v>1</v>
      </c>
      <c r="W75" s="10"/>
      <c r="X75" s="10" t="b">
        <v>1</v>
      </c>
      <c r="Y75" s="10" t="b">
        <v>0</v>
      </c>
      <c r="Z75" s="10" t="b">
        <v>0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10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5</v>
      </c>
      <c r="K76" s="10" t="str">
        <f t="array" ref="K76">GetValue("Tables",J76,"Name")</f>
        <v>Systems</v>
      </c>
      <c r="L76" s="10" t="s">
        <v>93</v>
      </c>
      <c r="M76" s="10" t="s">
        <v>207</v>
      </c>
      <c r="N76" s="10" t="s">
        <v>217</v>
      </c>
      <c r="O76" s="10" t="s">
        <v>217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15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9</v>
      </c>
      <c r="K77" s="10" t="str">
        <f t="array" ref="K77">GetValue("Tables",J77,"Name")</f>
        <v>Databases</v>
      </c>
      <c r="L77" s="10" t="s">
        <v>136</v>
      </c>
      <c r="M77" s="10" t="s">
        <v>238</v>
      </c>
      <c r="N77" s="10" t="s">
        <v>253</v>
      </c>
      <c r="O77" s="10" t="s">
        <v>253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</row>
    <row r="78" spans="1:27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20</v>
      </c>
      <c r="E78" s="10">
        <v>10</v>
      </c>
      <c r="F78" s="10" t="str">
        <f t="array" ref="F78">GetValue("Domains",E78,"Name")</f>
        <v>Varchar(50)</v>
      </c>
      <c r="G78" s="10" t="str" cm="1">
        <f t="array" ref="G78">GetValue("Domains",E78,"#CategoryName")</f>
        <v>string</v>
      </c>
      <c r="H78" s="10" t="str" cm="1">
        <f t="array" ref="H78">GetValue("Domains",E78,"#TypeName")</f>
        <v>nvarchar</v>
      </c>
      <c r="I78" s="10" t="str" cm="1">
        <f t="array" ref="I78">GetValue("Domains",E78,"#DataType")</f>
        <v>nvarchar(50)</v>
      </c>
      <c r="J78" s="10"/>
      <c r="K78" s="10" t="str">
        <f t="array" ref="K78">GetValue("Tables",J78,"Name")</f>
        <v/>
      </c>
      <c r="L78" s="10" t="s">
        <v>90</v>
      </c>
      <c r="M78" s="10" t="s">
        <v>371</v>
      </c>
      <c r="N78" s="10" t="s">
        <v>210</v>
      </c>
      <c r="O78" s="10" t="s">
        <v>210</v>
      </c>
      <c r="P78" s="10"/>
      <c r="Q78" s="16"/>
      <c r="R78" s="17"/>
      <c r="S78" s="17"/>
      <c r="T78" s="10" t="b">
        <v>0</v>
      </c>
      <c r="U78" s="10"/>
      <c r="V78" s="10" t="b">
        <v>1</v>
      </c>
      <c r="W78" s="10" t="b">
        <v>1</v>
      </c>
      <c r="X78" s="10" t="b">
        <v>1</v>
      </c>
      <c r="Y78" s="10" t="b">
        <v>1</v>
      </c>
      <c r="Z78" s="10" t="b">
        <v>1</v>
      </c>
      <c r="AA78" s="10" t="b">
        <v>0</v>
      </c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v>5</v>
      </c>
      <c r="E79" s="8">
        <v>2</v>
      </c>
      <c r="F79" s="8" t="str">
        <f t="array" ref="F79">GetValue("Domains",E79,"Name")</f>
        <v>Integer</v>
      </c>
      <c r="G79" s="8" t="str" cm="1">
        <f t="array" ref="G79">GetValue("Domains",E79,"#CategoryName")</f>
        <v>numeric</v>
      </c>
      <c r="H79" s="8" t="str" cm="1">
        <f t="array" ref="H79">GetValue("Domains",E79,"#TypeName")</f>
        <v>int</v>
      </c>
      <c r="I79" s="8" t="str" cm="1">
        <f t="array" ref="I79">GetValue("Domains",E79,"#DataType")</f>
        <v>int</v>
      </c>
      <c r="J79" s="8"/>
      <c r="K79" s="8" t="str">
        <f t="array" ref="K79">GetValue("Tables",J79,"Name")</f>
        <v/>
      </c>
      <c r="L79" s="8" t="s">
        <v>0</v>
      </c>
      <c r="M79" s="8" t="s">
        <v>254</v>
      </c>
      <c r="N79" s="8" t="s">
        <v>170</v>
      </c>
      <c r="O79" s="8" t="s">
        <v>170</v>
      </c>
      <c r="P79" s="8"/>
      <c r="Q79" s="15"/>
      <c r="R79" s="15">
        <v>1</v>
      </c>
      <c r="S79" s="15"/>
      <c r="T79" s="8" t="b">
        <v>1</v>
      </c>
      <c r="U79" s="8" t="b">
        <v>0</v>
      </c>
      <c r="V79" s="8" t="b">
        <v>1</v>
      </c>
      <c r="W79" s="8"/>
      <c r="X79" s="8" t="b">
        <v>1</v>
      </c>
      <c r="Y79" s="8" t="b">
        <v>0</v>
      </c>
      <c r="Z79" s="8" t="b">
        <v>0</v>
      </c>
      <c r="AA79" s="8"/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" si="7">D79+5</f>
        <v>10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</v>
      </c>
      <c r="M80" s="8" t="s">
        <v>255</v>
      </c>
      <c r="N80" s="8" t="s">
        <v>172</v>
      </c>
      <c r="O80" s="8" t="s">
        <v>172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1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:D85" si="8">D80+5</f>
        <v>15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128</v>
      </c>
      <c r="M81" s="8" t="s">
        <v>256</v>
      </c>
      <c r="N81" s="8" t="s">
        <v>128</v>
      </c>
      <c r="O81" s="8" t="s">
        <v>128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1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ref="A82:A125" si="9">ROW(A82)-1</f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20</v>
      </c>
      <c r="E82" s="8">
        <v>10</v>
      </c>
      <c r="F82" s="8" t="str">
        <f t="array" ref="F82">GetValue("Domains",E82,"Name")</f>
        <v>Varchar(50)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nvarchar(50)</v>
      </c>
      <c r="J82" s="8"/>
      <c r="K82" s="8" t="str">
        <f t="array" ref="K82">GetValue("Tables",J82,"Name")</f>
        <v/>
      </c>
      <c r="L82" s="8" t="s">
        <v>90</v>
      </c>
      <c r="M82" s="8" t="s">
        <v>257</v>
      </c>
      <c r="N82" s="8" t="s">
        <v>210</v>
      </c>
      <c r="O82" s="8" t="s">
        <v>210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0</v>
      </c>
      <c r="Y82" s="8" t="b">
        <v>1</v>
      </c>
      <c r="Z82" s="8" t="b">
        <v>1</v>
      </c>
      <c r="AA82" s="8" t="b">
        <v>0</v>
      </c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25</v>
      </c>
      <c r="E83" s="8">
        <v>2</v>
      </c>
      <c r="F83" s="8" t="str">
        <f t="array" ref="F83">GetValue("Domains",E83,"Name")</f>
        <v>Integer</v>
      </c>
      <c r="G83" s="8" t="str" cm="1">
        <f t="array" ref="G83">GetValue("Domains",E83,"#CategoryName")</f>
        <v>numeric</v>
      </c>
      <c r="H83" s="8" t="str" cm="1">
        <f t="array" ref="H83">GetValue("Domains",E83,"#TypeName")</f>
        <v>int</v>
      </c>
      <c r="I83" s="8" t="str" cm="1">
        <f t="array" ref="I83">GetValue("Domains",E83,"#DataType")</f>
        <v>int</v>
      </c>
      <c r="J83" s="8"/>
      <c r="K83" s="8" t="str">
        <f t="array" ref="K83">GetValue("Tables",J83,"Name")</f>
        <v/>
      </c>
      <c r="L83" s="8" t="s">
        <v>137</v>
      </c>
      <c r="M83" s="8" t="s">
        <v>447</v>
      </c>
      <c r="N83" s="8" t="s">
        <v>446</v>
      </c>
      <c r="O83" s="8" t="s">
        <v>446</v>
      </c>
      <c r="P83" s="8"/>
      <c r="Q83" s="19"/>
      <c r="R83" s="15">
        <v>0</v>
      </c>
      <c r="S83" s="15"/>
      <c r="T83" s="8" t="b">
        <v>0</v>
      </c>
      <c r="U83" s="8" t="b">
        <v>0</v>
      </c>
      <c r="V83" s="8" t="b">
        <v>0</v>
      </c>
      <c r="W83" s="8" t="b">
        <v>0</v>
      </c>
      <c r="X83" s="8" t="b">
        <v>0</v>
      </c>
      <c r="Y83" s="8" t="b">
        <v>0</v>
      </c>
      <c r="Z83" s="8" t="b">
        <v>0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30</v>
      </c>
      <c r="E84" s="8">
        <v>6</v>
      </c>
      <c r="F84" s="8" t="str">
        <f t="array" ref="F84">GetValue("Domains",E84,"Name")</f>
        <v>Boolean</v>
      </c>
      <c r="G84" s="8" t="str" cm="1">
        <f t="array" ref="G84">GetValue("Domains",E84,"#CategoryName")</f>
        <v>boolean</v>
      </c>
      <c r="H84" s="8" t="str" cm="1">
        <f t="array" ref="H84">GetValue("Domains",E84,"#TypeName")</f>
        <v>bit</v>
      </c>
      <c r="I84" s="8" t="str" cm="1">
        <f t="array" ref="I84">GetValue("Domains",E84,"#DataType")</f>
        <v>bit</v>
      </c>
      <c r="J84" s="8"/>
      <c r="K84" s="8" t="str">
        <f t="array" ref="K84">GetValue("Tables",J84,"Name")</f>
        <v/>
      </c>
      <c r="L84" s="8" t="s">
        <v>344</v>
      </c>
      <c r="M84" s="8" t="s">
        <v>345</v>
      </c>
      <c r="N84" s="8" t="s">
        <v>346</v>
      </c>
      <c r="O84" s="8" t="s">
        <v>346</v>
      </c>
      <c r="P84" s="8"/>
      <c r="Q84" s="15"/>
      <c r="R84" s="15" t="s">
        <v>35</v>
      </c>
      <c r="S84" s="15"/>
      <c r="T84" s="8" t="b">
        <v>0</v>
      </c>
      <c r="U84" s="8"/>
      <c r="V84" s="8" t="b">
        <v>1</v>
      </c>
      <c r="W84" s="8"/>
      <c r="X84" s="8" t="b">
        <v>1</v>
      </c>
      <c r="Y84" s="8" t="b">
        <v>1</v>
      </c>
      <c r="Z84" s="8" t="b">
        <v>1</v>
      </c>
      <c r="AA84" s="8"/>
    </row>
    <row r="85" spans="1:27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35</v>
      </c>
      <c r="E85" s="8">
        <v>2</v>
      </c>
      <c r="F85" s="8" t="str">
        <f t="array" ref="F85">GetValue("Domains",E85,"Name")</f>
        <v>Integer</v>
      </c>
      <c r="G85" s="8" t="str" cm="1">
        <f t="array" ref="G85">GetValue("Domains",E85,"#CategoryName")</f>
        <v>numeric</v>
      </c>
      <c r="H85" s="8" t="str" cm="1">
        <f t="array" ref="H85">GetValue("Domains",E85,"#TypeName")</f>
        <v>int</v>
      </c>
      <c r="I85" s="8" t="str" cm="1">
        <f t="array" ref="I85">GetValue("Domains",E85,"#DataType")</f>
        <v>int</v>
      </c>
      <c r="J85" s="8"/>
      <c r="K85" s="8" t="str">
        <f t="array" ref="K85">GetValue("Tables",J85,"Name")</f>
        <v/>
      </c>
      <c r="L85" s="8" t="s">
        <v>436</v>
      </c>
      <c r="M85" s="8" t="s">
        <v>437</v>
      </c>
      <c r="N85" s="8" t="s">
        <v>437</v>
      </c>
      <c r="O85" s="8" t="s">
        <v>437</v>
      </c>
      <c r="P85" s="8"/>
      <c r="Q85" s="19">
        <v>0</v>
      </c>
      <c r="R85" s="15">
        <v>0</v>
      </c>
      <c r="S85" s="15"/>
      <c r="T85" s="8" t="b">
        <v>0</v>
      </c>
      <c r="U85" s="8" t="b">
        <v>0</v>
      </c>
      <c r="V85" s="8" t="b">
        <v>1</v>
      </c>
      <c r="W85" s="8" t="b">
        <v>0</v>
      </c>
      <c r="X85" s="8" t="b">
        <v>0</v>
      </c>
      <c r="Y85" s="8" t="b">
        <v>0</v>
      </c>
      <c r="Z85" s="8" t="b">
        <v>0</v>
      </c>
      <c r="AA85" s="8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v>5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/>
      <c r="K86" s="10" t="str">
        <f t="array" ref="K86">GetValue("Tables",J86,"Name")</f>
        <v/>
      </c>
      <c r="L86" s="10" t="s">
        <v>0</v>
      </c>
      <c r="M86" s="10" t="s">
        <v>373</v>
      </c>
      <c r="N86" s="10" t="s">
        <v>170</v>
      </c>
      <c r="O86" s="10" t="s">
        <v>170</v>
      </c>
      <c r="P86" s="10"/>
      <c r="Q86" s="16"/>
      <c r="R86" s="17">
        <v>1</v>
      </c>
      <c r="S86" s="17"/>
      <c r="T86" s="10" t="b">
        <v>1</v>
      </c>
      <c r="U86" s="10" t="b">
        <v>0</v>
      </c>
      <c r="V86" s="10" t="b">
        <v>1</v>
      </c>
      <c r="W86" s="10"/>
      <c r="X86" s="10" t="b">
        <v>1</v>
      </c>
      <c r="Y86" s="10" t="b">
        <v>0</v>
      </c>
      <c r="Z86" s="10" t="b">
        <v>0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10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9</v>
      </c>
      <c r="K87" s="10" t="str">
        <f t="array" ref="K87">GetValue("Tables",J87,"Name")</f>
        <v>Databases</v>
      </c>
      <c r="L87" s="10" t="s">
        <v>136</v>
      </c>
      <c r="M87" s="10" t="s">
        <v>238</v>
      </c>
      <c r="N87" s="10" t="s">
        <v>217</v>
      </c>
      <c r="O87" s="10" t="s">
        <v>217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15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11</v>
      </c>
      <c r="K88" s="10" t="str">
        <f t="array" ref="K88">GetValue("Tables",J88,"Name")</f>
        <v>Tables</v>
      </c>
      <c r="L88" s="10" t="s">
        <v>158</v>
      </c>
      <c r="M88" s="10" t="s">
        <v>254</v>
      </c>
      <c r="N88" s="10" t="s">
        <v>253</v>
      </c>
      <c r="O88" s="10" t="s">
        <v>253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</row>
    <row r="89" spans="1:27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20</v>
      </c>
      <c r="E89" s="10">
        <v>10</v>
      </c>
      <c r="F89" s="10" t="str">
        <f t="array" ref="F89">GetValue("Domains",E89,"Name")</f>
        <v>Varchar(50)</v>
      </c>
      <c r="G89" s="10" t="str" cm="1">
        <f t="array" ref="G89">GetValue("Domains",E89,"#CategoryName")</f>
        <v>string</v>
      </c>
      <c r="H89" s="10" t="str" cm="1">
        <f t="array" ref="H89">GetValue("Domains",E89,"#TypeName")</f>
        <v>nvarchar</v>
      </c>
      <c r="I89" s="10" t="str" cm="1">
        <f t="array" ref="I89">GetValue("Domains",E89,"#DataType")</f>
        <v>nvarchar(50)</v>
      </c>
      <c r="J89" s="10"/>
      <c r="K89" s="10" t="str">
        <f t="array" ref="K89">GetValue("Tables",J89,"Name")</f>
        <v/>
      </c>
      <c r="L89" s="10" t="s">
        <v>90</v>
      </c>
      <c r="M89" s="10" t="s">
        <v>372</v>
      </c>
      <c r="N89" s="10" t="s">
        <v>210</v>
      </c>
      <c r="O89" s="10" t="s">
        <v>210</v>
      </c>
      <c r="P89" s="10"/>
      <c r="Q89" s="16"/>
      <c r="R89" s="17"/>
      <c r="S89" s="17"/>
      <c r="T89" s="10" t="b">
        <v>0</v>
      </c>
      <c r="U89" s="10"/>
      <c r="V89" s="10" t="b">
        <v>1</v>
      </c>
      <c r="W89" s="10" t="b">
        <v>1</v>
      </c>
      <c r="X89" s="10" t="b">
        <v>1</v>
      </c>
      <c r="Y89" s="10" t="b">
        <v>1</v>
      </c>
      <c r="Z89" s="10" t="b">
        <v>1</v>
      </c>
      <c r="AA89" s="10" t="b">
        <v>0</v>
      </c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v>5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/>
      <c r="K90" s="8" t="str">
        <f t="array" ref="K90">GetValue("Tables",J90,"Name")</f>
        <v/>
      </c>
      <c r="L90" s="8" t="s">
        <v>0</v>
      </c>
      <c r="M90" s="8" t="s">
        <v>258</v>
      </c>
      <c r="N90" s="8" t="s">
        <v>170</v>
      </c>
      <c r="O90" s="8" t="s">
        <v>170</v>
      </c>
      <c r="P90" s="8"/>
      <c r="Q90" s="15"/>
      <c r="R90" s="15">
        <v>1</v>
      </c>
      <c r="S90" s="15"/>
      <c r="T90" s="8" t="b">
        <v>1</v>
      </c>
      <c r="U90" s="8" t="b">
        <v>0</v>
      </c>
      <c r="V90" s="8" t="b">
        <v>1</v>
      </c>
      <c r="W90" s="8"/>
      <c r="X90" s="8" t="b">
        <v>1</v>
      </c>
      <c r="Y90" s="8" t="b">
        <v>0</v>
      </c>
      <c r="Z90" s="8" t="b">
        <v>0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ref="D91:D110" si="10">D90+5</f>
        <v>10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>
        <v>11</v>
      </c>
      <c r="K91" s="8" t="str">
        <f t="array" ref="K91">GetValue("Tables",J91,"Name")</f>
        <v>Tables</v>
      </c>
      <c r="L91" s="8" t="s">
        <v>158</v>
      </c>
      <c r="M91" s="8" t="s">
        <v>259</v>
      </c>
      <c r="N91" s="8" t="s">
        <v>259</v>
      </c>
      <c r="O91" s="8" t="s">
        <v>259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1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15</v>
      </c>
      <c r="E92" s="8">
        <v>4</v>
      </c>
      <c r="F92" s="8" t="str">
        <f t="array" ref="F92">GetValue("Domains",E92,"Name")</f>
        <v>SmallInteger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smallint</v>
      </c>
      <c r="I92" s="8" t="str" cm="1">
        <f t="array" ref="I92">GetValue("Domains",E92,"#DataType")</f>
        <v>smallint</v>
      </c>
      <c r="J92" s="8"/>
      <c r="K92" s="8" t="str">
        <f t="array" ref="K92">GetValue("Tables",J92,"Name")</f>
        <v/>
      </c>
      <c r="L92" s="8" t="s">
        <v>94</v>
      </c>
      <c r="M92" s="8" t="s">
        <v>219</v>
      </c>
      <c r="N92" s="8" t="s">
        <v>219</v>
      </c>
      <c r="O92" s="8" t="s">
        <v>219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0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20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4</v>
      </c>
      <c r="K93" s="8" t="str">
        <f t="array" ref="K93">GetValue("Tables",J93,"Name")</f>
        <v>Domains</v>
      </c>
      <c r="L93" s="8" t="s">
        <v>159</v>
      </c>
      <c r="M93" s="8" t="s">
        <v>260</v>
      </c>
      <c r="N93" s="8" t="s">
        <v>261</v>
      </c>
      <c r="O93" s="8" t="s">
        <v>261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25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11</v>
      </c>
      <c r="K94" s="8" t="str">
        <f t="array" ref="K94">GetValue("Tables",J94,"Name")</f>
        <v>Tables</v>
      </c>
      <c r="L94" s="8" t="s">
        <v>160</v>
      </c>
      <c r="M94" s="8" t="s">
        <v>262</v>
      </c>
      <c r="N94" s="8" t="s">
        <v>263</v>
      </c>
      <c r="O94" s="8" t="s">
        <v>263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0</v>
      </c>
      <c r="W94" s="8"/>
      <c r="X94" s="8" t="b">
        <v>1</v>
      </c>
      <c r="Y94" s="8" t="b">
        <v>1</v>
      </c>
      <c r="Z94" s="8" t="b">
        <v>1</v>
      </c>
      <c r="AA94" s="8"/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30</v>
      </c>
      <c r="E95" s="8">
        <v>9</v>
      </c>
      <c r="F95" s="8" t="str">
        <f t="array" ref="F95">GetValue("Domains",E95,"Name")</f>
        <v>Varchar(25)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nvarchar(25)</v>
      </c>
      <c r="J95" s="8"/>
      <c r="K95" s="8" t="str">
        <f t="array" ref="K95">GetValue("Tables",J95,"Name")</f>
        <v/>
      </c>
      <c r="L95" s="8" t="s">
        <v>1</v>
      </c>
      <c r="M95" s="8" t="s">
        <v>264</v>
      </c>
      <c r="N95" s="8" t="s">
        <v>172</v>
      </c>
      <c r="O95" s="8" t="s">
        <v>172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1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35</v>
      </c>
      <c r="E96" s="8">
        <v>10</v>
      </c>
      <c r="F96" s="8" t="str">
        <f t="array" ref="F96">GetValue("Domains",E96,"Name")</f>
        <v>Varchar(50)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nvarchar(50)</v>
      </c>
      <c r="J96" s="8"/>
      <c r="K96" s="8" t="str">
        <f t="array" ref="K96">GetValue("Tables",J96,"Name")</f>
        <v/>
      </c>
      <c r="L96" s="8" t="s">
        <v>90</v>
      </c>
      <c r="M96" s="8" t="s">
        <v>265</v>
      </c>
      <c r="N96" s="8" t="s">
        <v>210</v>
      </c>
      <c r="O96" s="8" t="s">
        <v>210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40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161</v>
      </c>
      <c r="M97" s="8" t="s">
        <v>266</v>
      </c>
      <c r="N97" s="8" t="s">
        <v>267</v>
      </c>
      <c r="O97" s="8" t="s">
        <v>267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45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95</v>
      </c>
      <c r="M98" s="8" t="s">
        <v>268</v>
      </c>
      <c r="N98" s="8" t="s">
        <v>269</v>
      </c>
      <c r="O98" s="8" t="s">
        <v>269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50</v>
      </c>
      <c r="E99" s="8">
        <v>12</v>
      </c>
      <c r="F99" s="8" t="str">
        <f t="array" ref="F99">GetValue("Domains",E99,"Name")</f>
        <v>Varchar(MAX)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347</v>
      </c>
      <c r="M99" s="8" t="s">
        <v>343</v>
      </c>
      <c r="N99" s="8" t="s">
        <v>343</v>
      </c>
      <c r="O99" s="8" t="s">
        <v>343</v>
      </c>
      <c r="P99" s="8"/>
      <c r="Q99" s="15"/>
      <c r="R99" s="15" t="s">
        <v>35</v>
      </c>
      <c r="S99" s="15"/>
      <c r="T99" s="8" t="b">
        <v>0</v>
      </c>
      <c r="U99" s="8"/>
      <c r="V99" s="8" t="b">
        <v>0</v>
      </c>
      <c r="W99" s="8"/>
      <c r="X99" s="8" t="b">
        <v>0</v>
      </c>
      <c r="Y99" s="8" t="b">
        <v>1</v>
      </c>
      <c r="Z99" s="8" t="b">
        <v>0</v>
      </c>
      <c r="AA99" s="8" t="b">
        <v>0</v>
      </c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66</v>
      </c>
      <c r="M100" s="8" t="s">
        <v>270</v>
      </c>
      <c r="N100" s="8" t="s">
        <v>271</v>
      </c>
      <c r="O100" s="8" t="s">
        <v>271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0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60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26</v>
      </c>
      <c r="M101" s="8" t="s">
        <v>272</v>
      </c>
      <c r="N101" s="8" t="s">
        <v>176</v>
      </c>
      <c r="O101" s="8" t="s">
        <v>176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65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27</v>
      </c>
      <c r="M102" s="8" t="s">
        <v>273</v>
      </c>
      <c r="N102" s="8" t="s">
        <v>178</v>
      </c>
      <c r="O102" s="8" t="s">
        <v>178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162</v>
      </c>
      <c r="M103" s="8" t="s">
        <v>274</v>
      </c>
      <c r="N103" s="8" t="s">
        <v>456</v>
      </c>
      <c r="O103" s="8" t="s">
        <v>456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163</v>
      </c>
      <c r="M104" s="8" t="s">
        <v>275</v>
      </c>
      <c r="N104" s="8" t="s">
        <v>457</v>
      </c>
      <c r="O104" s="8" t="s">
        <v>457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 t="b">
        <v>1</v>
      </c>
      <c r="Y104" s="8" t="b">
        <v>1</v>
      </c>
      <c r="Z104" s="8" t="b">
        <v>0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164</v>
      </c>
      <c r="M105" s="8" t="s">
        <v>276</v>
      </c>
      <c r="N105" s="8" t="s">
        <v>458</v>
      </c>
      <c r="O105" s="8" t="s">
        <v>458</v>
      </c>
      <c r="P105" s="8"/>
      <c r="Q105" s="15"/>
      <c r="R105" s="15" t="s">
        <v>35</v>
      </c>
      <c r="S105" s="15"/>
      <c r="T105" s="8"/>
      <c r="U105" s="8"/>
      <c r="V105" s="8" t="b">
        <v>1</v>
      </c>
      <c r="W105" s="8"/>
      <c r="X105" s="8" t="b">
        <v>1</v>
      </c>
      <c r="Y105" s="8" t="b">
        <v>1</v>
      </c>
      <c r="Z105" s="8" t="b">
        <v>0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165</v>
      </c>
      <c r="M106" s="8" t="s">
        <v>277</v>
      </c>
      <c r="N106" s="8" t="s">
        <v>459</v>
      </c>
      <c r="O106" s="8" t="s">
        <v>459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166</v>
      </c>
      <c r="M107" s="8" t="s">
        <v>278</v>
      </c>
      <c r="N107" s="8" t="s">
        <v>460</v>
      </c>
      <c r="O107" s="8" t="s">
        <v>460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167</v>
      </c>
      <c r="M108" s="8" t="s">
        <v>279</v>
      </c>
      <c r="N108" s="8" t="s">
        <v>461</v>
      </c>
      <c r="O108" s="8" t="s">
        <v>461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100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452</v>
      </c>
      <c r="M109" s="8" t="s">
        <v>455</v>
      </c>
      <c r="N109" s="8" t="s">
        <v>462</v>
      </c>
      <c r="O109" s="8" t="s">
        <v>462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105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168</v>
      </c>
      <c r="M110" s="8" t="s">
        <v>280</v>
      </c>
      <c r="N110" s="8" t="s">
        <v>463</v>
      </c>
      <c r="O110" s="8" t="s">
        <v>463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v>5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/>
      <c r="K111" s="10" t="str">
        <f t="array" ref="K111">GetValue("Tables",J111,"Name")</f>
        <v/>
      </c>
      <c r="L111" s="10" t="s">
        <v>0</v>
      </c>
      <c r="M111" s="10" t="s">
        <v>281</v>
      </c>
      <c r="N111" s="10" t="s">
        <v>170</v>
      </c>
      <c r="O111" s="10" t="s">
        <v>170</v>
      </c>
      <c r="P111" s="10"/>
      <c r="Q111" s="16"/>
      <c r="R111" s="17">
        <v>1</v>
      </c>
      <c r="S111" s="17"/>
      <c r="T111" s="10" t="b">
        <v>1</v>
      </c>
      <c r="U111" s="10" t="b">
        <v>0</v>
      </c>
      <c r="V111" s="10" t="b">
        <v>1</v>
      </c>
      <c r="W111" s="10"/>
      <c r="X111" s="10" t="b">
        <v>1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10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9</v>
      </c>
      <c r="K112" s="10" t="str">
        <f t="array" ref="K112">GetValue("Tables",J112,"Name")</f>
        <v>Databases</v>
      </c>
      <c r="L112" s="10" t="s">
        <v>136</v>
      </c>
      <c r="M112" s="10" t="s">
        <v>282</v>
      </c>
      <c r="N112" s="10" t="s">
        <v>253</v>
      </c>
      <c r="O112" s="10" t="s">
        <v>253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0</v>
      </c>
      <c r="Y112" s="10" t="b">
        <v>0</v>
      </c>
      <c r="Z112" s="10" t="b">
        <v>0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15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>
        <v>11</v>
      </c>
      <c r="K113" s="10" t="str">
        <f t="array" ref="K113">GetValue("Tables",J113,"Name")</f>
        <v>Tables</v>
      </c>
      <c r="L113" s="10" t="s">
        <v>158</v>
      </c>
      <c r="M113" s="10" t="s">
        <v>283</v>
      </c>
      <c r="N113" s="10" t="s">
        <v>259</v>
      </c>
      <c r="O113" s="10" t="s">
        <v>259</v>
      </c>
      <c r="P113" s="10"/>
      <c r="Q113" s="16"/>
      <c r="R113" s="17">
        <v>1</v>
      </c>
      <c r="S113" s="16"/>
      <c r="T113" s="10" t="b">
        <v>0</v>
      </c>
      <c r="U113" s="10" t="b">
        <v>0</v>
      </c>
      <c r="V113" s="10" t="b">
        <v>1</v>
      </c>
      <c r="W113" s="10"/>
      <c r="X113" s="10" t="b">
        <v>1</v>
      </c>
      <c r="Y113" s="10" t="b">
        <v>1</v>
      </c>
      <c r="Z113" s="10" t="b">
        <v>1</v>
      </c>
      <c r="AA113" s="10"/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20</v>
      </c>
      <c r="E114" s="10">
        <v>10</v>
      </c>
      <c r="F114" s="10" t="str">
        <f t="array" ref="F114">GetValue("Domains",E114,"Name")</f>
        <v>Varchar(50)</v>
      </c>
      <c r="G114" s="10" t="str" cm="1">
        <f t="array" ref="G114">GetValue("Domains",E114,"#CategoryName")</f>
        <v>string</v>
      </c>
      <c r="H114" s="10" t="str" cm="1">
        <f t="array" ref="H114">GetValue("Domains",E114,"#TypeName")</f>
        <v>nvarchar</v>
      </c>
      <c r="I114" s="10" t="str" cm="1">
        <f t="array" ref="I114">GetValue("Domains",E114,"#DataType")</f>
        <v>nvarchar(50)</v>
      </c>
      <c r="J114" s="10"/>
      <c r="K114" s="10" t="str">
        <f t="array" ref="K114">GetValue("Tables",J114,"Name")</f>
        <v/>
      </c>
      <c r="L114" s="10" t="s">
        <v>1</v>
      </c>
      <c r="M114" s="10" t="s">
        <v>284</v>
      </c>
      <c r="N114" s="10" t="s">
        <v>172</v>
      </c>
      <c r="O114" s="10" t="s">
        <v>172</v>
      </c>
      <c r="P114" s="10"/>
      <c r="Q114" s="16"/>
      <c r="R114" s="17" t="s">
        <v>35</v>
      </c>
      <c r="S114" s="16"/>
      <c r="T114" s="10" t="b">
        <v>0</v>
      </c>
      <c r="U114" s="10"/>
      <c r="V114" s="10" t="b">
        <v>1</v>
      </c>
      <c r="W114" s="10" t="b">
        <v>1</v>
      </c>
      <c r="X114" s="10" t="b">
        <v>1</v>
      </c>
      <c r="Y114" s="10" t="b">
        <v>1</v>
      </c>
      <c r="Z114" s="10" t="b">
        <v>1</v>
      </c>
      <c r="AA114" s="10" t="b">
        <v>0</v>
      </c>
    </row>
    <row r="115" spans="1:27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25</v>
      </c>
      <c r="E115" s="10">
        <v>6</v>
      </c>
      <c r="F115" s="10" t="str">
        <f t="array" ref="F115">GetValue("Domains",E115,"Name")</f>
        <v>Boolean</v>
      </c>
      <c r="G115" s="10" t="str" cm="1">
        <f t="array" ref="G115">GetValue("Domains",E115,"#CategoryName")</f>
        <v>boolean</v>
      </c>
      <c r="H115" s="10" t="str" cm="1">
        <f t="array" ref="H115">GetValue("Domains",E115,"#TypeName")</f>
        <v>bit</v>
      </c>
      <c r="I115" s="10" t="str" cm="1">
        <f t="array" ref="I115">GetValue("Domains",E115,"#DataType")</f>
        <v>bit</v>
      </c>
      <c r="J115" s="10"/>
      <c r="K115" s="10" t="str">
        <f t="array" ref="K115">GetValue("Tables",J115,"Name")</f>
        <v/>
      </c>
      <c r="L115" s="10" t="s">
        <v>285</v>
      </c>
      <c r="M115" s="10" t="s">
        <v>286</v>
      </c>
      <c r="N115" s="10" t="s">
        <v>287</v>
      </c>
      <c r="O115" s="10" t="s">
        <v>287</v>
      </c>
      <c r="P115" s="10"/>
      <c r="Q115" s="16"/>
      <c r="R115" s="17" t="s">
        <v>35</v>
      </c>
      <c r="S115" s="16"/>
      <c r="T115" s="10"/>
      <c r="U115" s="10"/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v>5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/>
      <c r="K116" s="8" t="str">
        <f t="array" ref="K116">GetValue("Tables",J116,"Name")</f>
        <v/>
      </c>
      <c r="L116" s="8" t="s">
        <v>0</v>
      </c>
      <c r="M116" s="8" t="s">
        <v>288</v>
      </c>
      <c r="N116" s="8" t="s">
        <v>170</v>
      </c>
      <c r="O116" s="8" t="s">
        <v>170</v>
      </c>
      <c r="P116" s="8"/>
      <c r="Q116" s="15"/>
      <c r="R116" s="15">
        <v>1</v>
      </c>
      <c r="S116" s="15"/>
      <c r="T116" s="8" t="b">
        <v>1</v>
      </c>
      <c r="U116" s="8" t="b">
        <v>0</v>
      </c>
      <c r="V116" s="8" t="b">
        <v>1</v>
      </c>
      <c r="W116" s="8"/>
      <c r="X116" s="8" t="b">
        <v>1</v>
      </c>
      <c r="Y116" s="8" t="b">
        <v>0</v>
      </c>
      <c r="Z116" s="8" t="b">
        <v>0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10</v>
      </c>
      <c r="E117" s="8">
        <v>2</v>
      </c>
      <c r="F117" s="8" t="str">
        <f t="array" ref="F117">GetValue("Domains",E117,"Name")</f>
        <v>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int</v>
      </c>
      <c r="I117" s="8" t="str" cm="1">
        <f t="array" ref="I117">GetValue("Domains",E117,"#DataType")</f>
        <v>int</v>
      </c>
      <c r="J117" s="8">
        <v>14</v>
      </c>
      <c r="K117" s="8" t="str">
        <f t="array" ref="K117">GetValue("Tables",J117,"Name")</f>
        <v>Indexes</v>
      </c>
      <c r="L117" s="8" t="s">
        <v>289</v>
      </c>
      <c r="M117" s="8" t="s">
        <v>290</v>
      </c>
      <c r="N117" s="8" t="s">
        <v>291</v>
      </c>
      <c r="O117" s="8" t="s">
        <v>291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1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15</v>
      </c>
      <c r="E118" s="8">
        <v>4</v>
      </c>
      <c r="F118" s="8" t="str">
        <f t="array" ref="F118">GetValue("Domains",E118,"Name")</f>
        <v>SmallInteger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smallint</v>
      </c>
      <c r="I118" s="8" t="str" cm="1">
        <f t="array" ref="I118">GetValue("Domains",E118,"#DataType")</f>
        <v>smallint</v>
      </c>
      <c r="J118" s="8"/>
      <c r="K118" s="8" t="str">
        <f t="array" ref="K118">GetValue("Tables",J118,"Name")</f>
        <v/>
      </c>
      <c r="L118" s="8" t="s">
        <v>94</v>
      </c>
      <c r="M118" s="8" t="s">
        <v>292</v>
      </c>
      <c r="N118" s="8" t="s">
        <v>219</v>
      </c>
      <c r="O118" s="8" t="s">
        <v>219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0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13</v>
      </c>
      <c r="K119" s="8" t="str">
        <f t="array" ref="K119">GetValue("Tables",J119,"Name")</f>
        <v>Columns</v>
      </c>
      <c r="L119" s="8" t="s">
        <v>293</v>
      </c>
      <c r="M119" s="8" t="s">
        <v>294</v>
      </c>
      <c r="N119" s="8" t="s">
        <v>295</v>
      </c>
      <c r="O119" s="8" t="s">
        <v>295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25</v>
      </c>
      <c r="E120" s="8">
        <v>6</v>
      </c>
      <c r="F120" s="8" t="str">
        <f t="array" ref="F120">GetValue("Domains",E120,"Name")</f>
        <v>Boolean</v>
      </c>
      <c r="G120" s="8" t="str" cm="1">
        <f t="array" ref="G120">GetValue("Domains",E120,"#CategoryName")</f>
        <v>boolean</v>
      </c>
      <c r="H120" s="8" t="str" cm="1">
        <f t="array" ref="H120">GetValue("Domains",E120,"#TypeName")</f>
        <v>bit</v>
      </c>
      <c r="I120" s="8" t="str" cm="1">
        <f t="array" ref="I120">GetValue("Domains",E120,"#DataType")</f>
        <v>bit</v>
      </c>
      <c r="J120" s="8"/>
      <c r="K120" s="8" t="str">
        <f t="array" ref="K120">GetValue("Tables",J120,"Name")</f>
        <v/>
      </c>
      <c r="L120" s="8" t="s">
        <v>296</v>
      </c>
      <c r="M120" s="8" t="s">
        <v>297</v>
      </c>
      <c r="N120" s="8" t="s">
        <v>298</v>
      </c>
      <c r="O120" s="8" t="s">
        <v>298</v>
      </c>
      <c r="P120" s="8"/>
      <c r="Q120" s="15"/>
      <c r="R120" s="15" t="s">
        <v>35</v>
      </c>
      <c r="S120" s="15"/>
      <c r="T120" s="8"/>
      <c r="U120" s="8"/>
      <c r="V120" s="8" t="b">
        <v>1</v>
      </c>
      <c r="W120" s="8"/>
      <c r="X120" s="8" t="b">
        <v>1</v>
      </c>
      <c r="Y120" s="8" t="b">
        <v>1</v>
      </c>
      <c r="Z120" s="8" t="b">
        <v>1</v>
      </c>
      <c r="AA120" s="8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v>5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/>
      <c r="K121" s="10" t="str">
        <f t="array" ref="K121">GetValue("Tables",J121,"Name")</f>
        <v/>
      </c>
      <c r="L121" s="10" t="s">
        <v>0</v>
      </c>
      <c r="M121" s="10" t="s">
        <v>395</v>
      </c>
      <c r="N121" s="10" t="s">
        <v>170</v>
      </c>
      <c r="O121" s="10" t="s">
        <v>170</v>
      </c>
      <c r="P121" s="10"/>
      <c r="Q121" s="16"/>
      <c r="R121" s="17">
        <v>1</v>
      </c>
      <c r="S121" s="17"/>
      <c r="T121" s="10" t="b">
        <v>1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0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10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5</v>
      </c>
      <c r="K122" s="10" t="str">
        <f t="array" ref="K122">GetValue("Tables",J122,"Name")</f>
        <v>Systems</v>
      </c>
      <c r="L122" s="10" t="s">
        <v>93</v>
      </c>
      <c r="M122" s="10" t="s">
        <v>317</v>
      </c>
      <c r="N122" s="10" t="s">
        <v>217</v>
      </c>
      <c r="O122" s="10" t="s">
        <v>217</v>
      </c>
      <c r="P122" s="10"/>
      <c r="Q122" s="16"/>
      <c r="R122" s="17">
        <v>1</v>
      </c>
      <c r="S122" s="16"/>
      <c r="T122" s="10" t="b">
        <v>0</v>
      </c>
      <c r="U122" s="10" t="b">
        <v>0</v>
      </c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15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>
        <v>7</v>
      </c>
      <c r="K123" s="10" t="str">
        <f t="array" ref="K123">GetValue("Tables",J123,"Name")</f>
        <v>Users</v>
      </c>
      <c r="L123" s="10" t="s">
        <v>127</v>
      </c>
      <c r="M123" s="10" t="s">
        <v>228</v>
      </c>
      <c r="N123" s="10" t="s">
        <v>237</v>
      </c>
      <c r="O123" s="10" t="s">
        <v>237</v>
      </c>
      <c r="P123" s="10"/>
      <c r="Q123" s="16"/>
      <c r="R123" s="17">
        <v>1</v>
      </c>
      <c r="S123" s="16"/>
      <c r="T123" s="10"/>
      <c r="U123" s="10"/>
      <c r="V123" s="10" t="b">
        <v>1</v>
      </c>
      <c r="W123" s="10"/>
      <c r="X123" s="10" t="b">
        <v>1</v>
      </c>
      <c r="Y123" s="10" t="b">
        <v>0</v>
      </c>
      <c r="Z123" s="10" t="b">
        <v>1</v>
      </c>
      <c r="AA123" s="10"/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20</v>
      </c>
      <c r="E124" s="10">
        <v>11</v>
      </c>
      <c r="F124" s="10" t="str">
        <f t="array" ref="F124">GetValue("Domains",E124,"Name")</f>
        <v>Varchar(256)</v>
      </c>
      <c r="G124" s="10" t="str" cm="1">
        <f t="array" ref="G124">GetValue("Domains",E124,"#CategoryName")</f>
        <v>string</v>
      </c>
      <c r="H124" s="10" t="str" cm="1">
        <f t="array" ref="H124">GetValue("Domains",E124,"#TypeName")</f>
        <v>nvarchar</v>
      </c>
      <c r="I124" s="10" t="str" cm="1">
        <f t="array" ref="I124">GetValue("Domains",E124,"#DataType")</f>
        <v>nvarchar(256)</v>
      </c>
      <c r="J124" s="10"/>
      <c r="K124" s="10" t="str">
        <f t="array" ref="K124">GetValue("Tables",J124,"Name")</f>
        <v/>
      </c>
      <c r="L124" s="10" t="s">
        <v>396</v>
      </c>
      <c r="M124" s="10" t="s">
        <v>398</v>
      </c>
      <c r="N124" s="10" t="s">
        <v>397</v>
      </c>
      <c r="O124" s="10" t="s">
        <v>397</v>
      </c>
      <c r="P124" s="10"/>
      <c r="Q124" s="16"/>
      <c r="R124" s="17"/>
      <c r="S124" s="16"/>
      <c r="T124" s="10" t="b">
        <v>0</v>
      </c>
      <c r="U124" s="10"/>
      <c r="V124" s="10" t="b">
        <v>1</v>
      </c>
      <c r="W124" s="10" t="b">
        <v>0</v>
      </c>
      <c r="X124" s="10" t="b">
        <v>0</v>
      </c>
      <c r="Y124" s="10" t="b">
        <v>0</v>
      </c>
      <c r="Z124" s="10" t="b">
        <v>0</v>
      </c>
      <c r="AA124" s="10" t="b">
        <v>1</v>
      </c>
    </row>
    <row r="125" spans="1:27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25</v>
      </c>
      <c r="E125" s="10">
        <v>6</v>
      </c>
      <c r="F125" s="10" t="str">
        <f t="array" ref="F125">GetValue("Domains",E125,"Name")</f>
        <v>Boolean</v>
      </c>
      <c r="G125" s="10" t="str" cm="1">
        <f t="array" ref="G125">GetValue("Domains",E125,"#CategoryName")</f>
        <v>boolean</v>
      </c>
      <c r="H125" s="10" t="str" cm="1">
        <f t="array" ref="H125">GetValue("Domains",E125,"#TypeName")</f>
        <v>bit</v>
      </c>
      <c r="I125" s="10" t="str" cm="1">
        <f t="array" ref="I125">GetValue("Domains",E125,"#DataType")</f>
        <v>bit</v>
      </c>
      <c r="J125" s="10"/>
      <c r="K125" s="10" t="str">
        <f t="array" ref="K125">GetValue("Tables",J125,"Name")</f>
        <v/>
      </c>
      <c r="L125" s="10" t="s">
        <v>405</v>
      </c>
      <c r="M125" s="10" t="s">
        <v>318</v>
      </c>
      <c r="N125" s="10" t="s">
        <v>318</v>
      </c>
      <c r="O125" s="10" t="s">
        <v>318</v>
      </c>
      <c r="P125" s="10"/>
      <c r="Q125" s="16"/>
      <c r="R125" s="17" t="s">
        <v>35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1</v>
      </c>
      <c r="Z125" s="10" t="b">
        <v>0</v>
      </c>
      <c r="AA125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136</v>
      </c>
      <c r="C1" s="1" t="s">
        <v>411</v>
      </c>
      <c r="D1" s="1" t="s">
        <v>158</v>
      </c>
      <c r="E1" s="1" t="s">
        <v>412</v>
      </c>
      <c r="F1" s="1" t="s">
        <v>1</v>
      </c>
      <c r="G1" s="1" t="s">
        <v>285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327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319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321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320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322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417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crudax</v>
      </c>
      <c r="D8">
        <v>6</v>
      </c>
      <c r="E8" t="str">
        <f t="array" ref="E8">GetValue("Tables",D8,"Name")</f>
        <v>Menus</v>
      </c>
      <c r="F8" t="s">
        <v>450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crudax</v>
      </c>
      <c r="D9">
        <v>7</v>
      </c>
      <c r="E9" t="str">
        <f t="array" ref="E9">GetValue("Tables",D9,"Name")</f>
        <v>Users</v>
      </c>
      <c r="F9" t="s">
        <v>323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crudax</v>
      </c>
      <c r="D10">
        <v>8</v>
      </c>
      <c r="E10" t="str">
        <f t="array" ref="E10">GetValue("Tables",D10,"Name")</f>
        <v>SystemsUsers</v>
      </c>
      <c r="F10" t="s">
        <v>424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crudax</v>
      </c>
      <c r="D11">
        <v>8</v>
      </c>
      <c r="E11" t="str">
        <f t="array" ref="E11">GetValue("Tables",D11,"Name")</f>
        <v>SystemsUsers</v>
      </c>
      <c r="F11" t="s">
        <v>374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crudax</v>
      </c>
      <c r="D12">
        <v>9</v>
      </c>
      <c r="E12" t="str">
        <f t="array" ref="E12">GetValue("Tables",D12,"Name")</f>
        <v>Databases</v>
      </c>
      <c r="F12" t="s">
        <v>324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crudax</v>
      </c>
      <c r="D13">
        <v>9</v>
      </c>
      <c r="E13" t="str">
        <f t="array" ref="E13">GetValue("Tables",D13,"Name")</f>
        <v>Databases</v>
      </c>
      <c r="F13" t="s">
        <v>325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crudax</v>
      </c>
      <c r="D14">
        <v>10</v>
      </c>
      <c r="E14" t="str">
        <f t="array" ref="E14">GetValue("Tables",D14,"Name")</f>
        <v>SystemsDatabases</v>
      </c>
      <c r="F14" t="s">
        <v>418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crudax</v>
      </c>
      <c r="D15">
        <v>10</v>
      </c>
      <c r="E15" t="str">
        <f t="array" ref="E15">GetValue("Tables",D15,"Name")</f>
        <v>SystemsDatabases</v>
      </c>
      <c r="F15" t="s">
        <v>375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crudax</v>
      </c>
      <c r="D16">
        <v>11</v>
      </c>
      <c r="E16" t="str">
        <f t="array" ref="E16">GetValue("Tables",D16,"Name")</f>
        <v>Tables</v>
      </c>
      <c r="F16" t="s">
        <v>352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crudax</v>
      </c>
      <c r="D17">
        <v>11</v>
      </c>
      <c r="E17" t="str">
        <f t="array" ref="E17">GetValue("Tables",D17,"Name")</f>
        <v>Tables</v>
      </c>
      <c r="F17" t="s">
        <v>326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crudax</v>
      </c>
      <c r="D18">
        <v>12</v>
      </c>
      <c r="E18" t="str">
        <f t="array" ref="E18">GetValue("Tables",D18,"Name")</f>
        <v>DatabasesTables</v>
      </c>
      <c r="F18" t="s">
        <v>419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crudax</v>
      </c>
      <c r="D19">
        <v>12</v>
      </c>
      <c r="E19" t="str">
        <f t="array" ref="E19">GetValue("Tables",D19,"Name")</f>
        <v>DatabasesTables</v>
      </c>
      <c r="F19" t="s">
        <v>376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crudax</v>
      </c>
      <c r="D20">
        <v>13</v>
      </c>
      <c r="E20" t="str">
        <f t="array" ref="E20">GetValue("Tables",D20,"Name")</f>
        <v>Columns</v>
      </c>
      <c r="F20" t="s">
        <v>420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crudax</v>
      </c>
      <c r="D21">
        <v>13</v>
      </c>
      <c r="E21" t="str">
        <f t="array" ref="E21">GetValue("Tables",D21,"Name")</f>
        <v>Columns</v>
      </c>
      <c r="F21" t="s">
        <v>421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crudax</v>
      </c>
      <c r="D22">
        <v>14</v>
      </c>
      <c r="E22" t="str">
        <f t="array" ref="E22">GetValue("Tables",D22,"Name")</f>
        <v>Indexes</v>
      </c>
      <c r="F22" t="s">
        <v>422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crudax</v>
      </c>
      <c r="D23">
        <v>15</v>
      </c>
      <c r="E23" t="str">
        <f t="array" ref="E23">GetValue("Tables",D23,"Name")</f>
        <v>Indexkeys</v>
      </c>
      <c r="F23" t="s">
        <v>423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crudax</v>
      </c>
      <c r="D24">
        <v>15</v>
      </c>
      <c r="E24" t="str">
        <f t="array" ref="E24">GetValue("Tables",D24,"Name")</f>
        <v>Indexkeys</v>
      </c>
      <c r="F24" t="s">
        <v>442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crudax</v>
      </c>
      <c r="D25">
        <v>16</v>
      </c>
      <c r="E25" t="str">
        <f t="array" ref="E25">GetValue("Tables",D25,"Name")</f>
        <v>Logins</v>
      </c>
      <c r="F25" t="s">
        <v>444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289</v>
      </c>
      <c r="C1" s="1" t="s">
        <v>415</v>
      </c>
      <c r="D1" s="1" t="s">
        <v>94</v>
      </c>
      <c r="E1" s="1" t="s">
        <v>293</v>
      </c>
      <c r="F1" s="1" t="s">
        <v>416</v>
      </c>
      <c r="G1" s="1" t="s">
        <v>296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63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65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75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76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77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79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80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85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87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88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90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94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90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91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111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113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116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117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116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118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121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122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124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93</v>
      </c>
      <c r="C1" s="1" t="s">
        <v>127</v>
      </c>
      <c r="D1" s="1" t="s">
        <v>396</v>
      </c>
      <c r="E1" s="1" t="s">
        <v>405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2024-10-16T20:48:43Z</dcterms:modified>
</cp:coreProperties>
</file>