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22C41FB6-65F5-4870-BCFB-5504CA720458}" xr6:coauthVersionLast="47" xr6:coauthVersionMax="47" xr10:uidLastSave="{00000000-0000-0000-0000-000000000000}"/>
  <bookViews>
    <workbookView xWindow="-108" yWindow="-108" windowWidth="23256" windowHeight="13176" tabRatio="969" firstSheet="8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E148" i="12"/>
  <c r="A148" i="12"/>
  <c r="E147" i="12"/>
  <c r="A147" i="12"/>
  <c r="E146" i="12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H20" i="11" a="1"/>
  <c r="H10" i="11" a="1"/>
  <c r="H9" i="11" a="1"/>
  <c r="H19" i="11" a="1"/>
  <c r="H18" i="11" a="1"/>
  <c r="H8" i="11" a="1"/>
  <c r="H7" i="11" a="1"/>
  <c r="H16" i="11" a="1"/>
  <c r="H15" i="11" a="1"/>
  <c r="H4" i="11" a="1"/>
  <c r="H13" i="11" a="1"/>
  <c r="H3" i="11" a="1"/>
  <c r="H12" i="11" a="1"/>
  <c r="H11" i="11" a="1"/>
  <c r="H17" i="11" a="1"/>
  <c r="H6" i="11" a="1"/>
  <c r="H5" i="11" a="1"/>
  <c r="H14" i="11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E2" i="22" a="1"/>
  <c r="C2" i="22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L149" i="12" a="1"/>
  <c r="J149" i="12" a="1"/>
  <c r="I149" i="12" a="1"/>
  <c r="H149" i="12" a="1"/>
  <c r="G149" i="12" a="1"/>
  <c r="D149" i="12" a="1"/>
  <c r="C149" i="12" a="1"/>
  <c r="L150" i="12" a="1"/>
  <c r="I150" i="12" a="1"/>
  <c r="H150" i="12" a="1"/>
  <c r="L152" i="12" a="1"/>
  <c r="I151" i="12" a="1"/>
  <c r="G150" i="12" a="1"/>
  <c r="J152" i="12" a="1"/>
  <c r="H151" i="12" a="1"/>
  <c r="D150" i="12" a="1"/>
  <c r="I152" i="12" a="1"/>
  <c r="G151" i="12" a="1"/>
  <c r="C150" i="12" a="1"/>
  <c r="H152" i="12" a="1"/>
  <c r="D151" i="12" a="1"/>
  <c r="G152" i="12" a="1"/>
  <c r="C151" i="12" a="1"/>
  <c r="D152" i="12" a="1"/>
  <c r="C152" i="12" a="1"/>
  <c r="J150" i="12" a="1"/>
  <c r="L151" i="12" a="1"/>
  <c r="J151" i="12" a="1"/>
  <c r="J148" i="12" a="1"/>
  <c r="I148" i="12" a="1"/>
  <c r="L148" i="12" a="1"/>
  <c r="G148" i="12" a="1"/>
  <c r="D148" i="12" a="1"/>
  <c r="C148" i="12" a="1"/>
  <c r="H148" i="12" a="1"/>
  <c r="J147" i="12" a="1"/>
  <c r="G146" i="12" a="1"/>
  <c r="G147" i="12" a="1"/>
  <c r="C146" i="12" a="1"/>
  <c r="D147" i="12" a="1"/>
  <c r="L145" i="12" a="1"/>
  <c r="I145" i="12" a="1"/>
  <c r="J146" i="12" a="1"/>
  <c r="L147" i="12" a="1"/>
  <c r="I146" i="12" a="1"/>
  <c r="G145" i="12" a="1"/>
  <c r="H146" i="12" a="1"/>
  <c r="D145" i="12" a="1"/>
  <c r="I147" i="12" a="1"/>
  <c r="C145" i="12" a="1"/>
  <c r="H147" i="12" a="1"/>
  <c r="D146" i="12" a="1"/>
  <c r="C147" i="12" a="1"/>
  <c r="J145" i="12" a="1"/>
  <c r="L146" i="12" a="1"/>
  <c r="H145" i="12" a="1"/>
  <c r="F22" i="17" a="1"/>
  <c r="D22" i="17" a="1"/>
  <c r="C22" i="17" a="1"/>
  <c r="F21" i="17" a="1"/>
  <c r="D21" i="17" a="1"/>
  <c r="C21" i="17" a="1"/>
  <c r="F22" i="11" a="1"/>
  <c r="H22" i="11" a="1"/>
  <c r="H21" i="11" a="1"/>
  <c r="F21" i="11" a="1"/>
  <c r="F49" i="14" a="1"/>
  <c r="C49" i="14" a="1"/>
  <c r="F48" i="14" a="1"/>
  <c r="C48" i="14" a="1"/>
  <c r="F47" i="14" a="1"/>
  <c r="C47" i="14" a="1"/>
  <c r="C30" i="13" a="1"/>
  <c r="C29" i="13" a="1"/>
  <c r="F46" i="14" a="1"/>
  <c r="C46" i="14" a="1"/>
  <c r="F45" i="14" a="1"/>
  <c r="C45" i="14" a="1"/>
  <c r="F44" i="14" a="1"/>
  <c r="C44" i="14" a="1"/>
  <c r="F43" i="14" a="1"/>
  <c r="C43" i="14" a="1"/>
  <c r="F42" i="14" a="1"/>
  <c r="C42" i="14" a="1"/>
  <c r="F41" i="14" a="1"/>
  <c r="C41" i="14" a="1"/>
  <c r="F40" i="14" a="1"/>
  <c r="C40" i="14" a="1"/>
  <c r="F39" i="14" a="1"/>
  <c r="C39" i="14" a="1"/>
  <c r="F38" i="14" a="1"/>
  <c r="C38" i="14" a="1"/>
  <c r="F37" i="14" a="1"/>
  <c r="C37" i="14" a="1"/>
  <c r="C31" i="13" a="1"/>
  <c r="C28" i="13" a="1"/>
  <c r="C27" i="13" a="1"/>
  <c r="C26" i="13" a="1"/>
  <c r="C47" i="14" l="1"/>
  <c r="F47" i="14"/>
  <c r="C48" i="14"/>
  <c r="F48" i="14"/>
  <c r="C49" i="14"/>
  <c r="F49" i="14"/>
  <c r="C30" i="13"/>
  <c r="C29" i="13"/>
  <c r="C46" i="14"/>
  <c r="F46" i="14"/>
  <c r="C45" i="14"/>
  <c r="F45" i="14"/>
  <c r="C44" i="14"/>
  <c r="F44" i="14"/>
  <c r="C43" i="14"/>
  <c r="F43" i="14"/>
  <c r="C42" i="14"/>
  <c r="F42" i="14"/>
  <c r="C41" i="14"/>
  <c r="F41" i="14"/>
  <c r="C40" i="14"/>
  <c r="F40" i="14"/>
  <c r="C39" i="14"/>
  <c r="F39" i="14"/>
  <c r="C38" i="14"/>
  <c r="F38" i="14"/>
  <c r="C37" i="14"/>
  <c r="F37" i="14"/>
  <c r="C31" i="13"/>
  <c r="C28" i="13"/>
  <c r="C27" i="13"/>
  <c r="C26" i="13"/>
  <c r="E2" i="22"/>
  <c r="C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H21" i="11"/>
  <c r="H22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H14" i="11"/>
  <c r="H5" i="11"/>
  <c r="H6" i="11"/>
  <c r="H17" i="11"/>
  <c r="H11" i="11"/>
  <c r="H12" i="11"/>
  <c r="H3" i="11"/>
  <c r="H13" i="11"/>
  <c r="H4" i="11"/>
  <c r="H15" i="11"/>
  <c r="H16" i="11"/>
  <c r="H7" i="11"/>
  <c r="H8" i="11"/>
  <c r="H18" i="11"/>
  <c r="H19" i="11"/>
  <c r="H9" i="11"/>
  <c r="H10" i="11"/>
  <c r="H20" i="11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C2" i="14" a="1"/>
  <c r="D76" i="12" a="1"/>
  <c r="G76" i="12" a="1"/>
  <c r="C76" i="12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C76" i="12" l="1"/>
  <c r="D76" i="12"/>
  <c r="G76" i="12"/>
  <c r="C25" i="13"/>
  <c r="C2" i="14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<sst xmlns="http://schemas.openxmlformats.org/spreadsheetml/2006/main" count="1165" uniqueCount="556">
  <si>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</si>
  <si>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</si>
  <si>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</si>
  <si>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</si>
  <si>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</si>
  <si>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</si>
  <si>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</si>
  <si>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</si>
  <si>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</si>
  <si>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</si>
  <si>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</si>
  <si>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</si>
  <si>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</si>
  <si>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</si>
  <si>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</si>
  <si>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</si>
  <si>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</si>
  <si>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</si>
  <si>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</si>
  <si>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</si>
  <si>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</si>
  <si>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</si>
  <si>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</si>
  <si>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</si>
  <si>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</si>
  <si>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</si>
  <si>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</si>
  <si>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</si>
  <si>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</si>
  <si>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</si>
  <si>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</si>
  <si>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</si>
  <si>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</si>
  <si>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</si>
  <si>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</si>
  <si>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</si>
  <si>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</si>
  <si>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</si>
  <si>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</si>
  <si>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</si>
  <si>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</si>
  <si>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</si>
  <si>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</si>
  <si>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</si>
  <si>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</si>
  <si>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</si>
  <si>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</si>
  <si>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</si>
  <si>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</si>
  <si>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</si>
  <si>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</si>
  <si>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</si>
  <si>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</si>
  <si>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</si>
  <si>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</si>
  <si>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</si>
  <si>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</si>
  <si>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</si>
  <si>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</si>
  <si>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</si>
  <si>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</si>
  <si>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</si>
  <si>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</si>
  <si>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</si>
  <si>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</si>
  <si>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</si>
  <si>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</si>
  <si>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</si>
  <si>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</si>
  <si>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</si>
  <si>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</si>
  <si>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</si>
  <si>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</si>
  <si>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</si>
  <si>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</si>
  <si>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</si>
  <si>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</si>
  <si>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</si>
  <si>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</si>
  <si>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</si>
  <si>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</si>
  <si>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</si>
  <si>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</si>
  <si>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</si>
  <si>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</si>
  <si>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</si>
  <si>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</si>
  <si>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</si>
  <si>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</si>
  <si>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</si>
  <si>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</si>
  <si>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</si>
  <si>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</si>
  <si>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</si>
  <si>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</si>
  <si>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</si>
  <si>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</si>
  <si>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</si>
  <si>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</si>
  <si>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</si>
  <si>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</si>
  <si>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</si>
  <si>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</si>
  <si>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</si>
  <si>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</si>
  <si>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</si>
  <si>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</si>
  <si>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</si>
  <si>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</si>
  <si>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</si>
  <si>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</si>
  <si>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</si>
  <si>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</si>
  <si>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</si>
  <si>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</si>
  <si>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</si>
  <si>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</si>
  <si>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</si>
  <si>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</si>
  <si>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</si>
  <si>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</si>
  <si>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</si>
  <si>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</si>
  <si>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</si>
  <si>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</si>
  <si>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</si>
  <si>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</si>
  <si>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</si>
  <si>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</si>
  <si>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</si>
  <si>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</si>
  <si>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</si>
  <si>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</si>
  <si>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</si>
  <si>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</si>
  <si>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</si>
  <si>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</si>
  <si>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</si>
  <si>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</si>
  <si>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</si>
  <si>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</si>
  <si>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</si>
  <si>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</si>
  <si>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</si>
  <si>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</si>
  <si>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</si>
  <si>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</si>
  <si>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</si>
  <si>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</si>
  <si>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</si>
  <si>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</si>
  <si>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</si>
  <si>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</si>
  <si>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</si>
  <si>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</si>
  <si>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</si>
  <si>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</si>
  <si>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</si>
  <si>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</si>
  <si>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</si>
  <si>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</si>
  <si>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</si>
  <si>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</si>
  <si>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</si>
  <si>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</si>
  <si>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</si>
  <si>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</si>
  <si>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</si>
  <si>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</si>
  <si>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</si>
  <si>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</si>
  <si>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</si>
  <si>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</si>
  <si>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</si>
  <si>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</si>
  <si>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</si>
  <si>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</si>
  <si>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</si>
  <si>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</si>
  <si>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</si>
  <si>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</si>
  <si>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</si>
  <si>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</si>
  <si>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</si>
  <si>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</si>
  <si>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</si>
  <si>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</si>
  <si>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</si>
  <si>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</si>
  <si>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</si>
  <si>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</si>
  <si>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</si>
  <si>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</si>
  <si>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</si>
  <si>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</si>
  <si>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</si>
  <si>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</si>
  <si>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</si>
  <si>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</si>
  <si>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</si>
  <si>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</si>
  <si>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</si>
  <si>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</si>
  <si>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</si>
  <si>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</si>
  <si>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</si>
  <si>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</si>
  <si>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</si>
  <si>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</si>
  <si>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</si>
  <si>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</si>
  <si>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</si>
  <si>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</si>
  <si>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</si>
  <si>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</si>
  <si>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</si>
  <si>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</si>
  <si>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</si>
  <si>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</si>
  <si>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</si>
  <si>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</si>
  <si>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</si>
  <si>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</si>
  <si>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</si>
  <si>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</si>
  <si>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</si>
  <si>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</si>
  <si>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</si>
  <si>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</si>
  <si>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</si>
  <si>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</si>
  <si>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</si>
  <si>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</si>
  <si>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</si>
  <si>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</si>
  <si>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</si>
  <si>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</si>
  <si>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</si>
  <si>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</si>
  <si>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</si>
  <si>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</si>
  <si>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</si>
  <si>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</si>
  <si>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</si>
  <si>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</si>
  <si>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</si>
  <si>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</si>
  <si>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</si>
  <si>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</si>
  <si>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</si>
  <si>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</si>
  <si>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</si>
  <si>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</si>
  <si>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</si>
  <si>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</si>
  <si>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</si>
  <si>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</si>
  <si>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</si>
  <si>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</si>
  <si>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</si>
  <si>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</si>
  <si>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</si>
  <si>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</si>
  <si>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</si>
  <si>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</si>
  <si>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</si>
  <si>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</si>
  <si>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</si>
  <si>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</si>
  <si>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</si>
  <si>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</si>
  <si>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</si>
  <si>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</si>
  <si>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</si>
  <si>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</si>
  <si>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</si>
  <si>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</si>
  <si>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</si>
  <si>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</si>
  <si>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</si>
  <si>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</si>
  <si>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</si>
  <si>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</si>
  <si>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</si>
  <si>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</si>
  <si>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</si>
  <si>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</si>
  <si>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</si>
  <si>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</si>
  <si>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</si>
  <si>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</si>
  <si>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</si>
  <si>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</si>
  <si>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</si>
  <si>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</si>
  <si>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</si>
  <si>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</si>
  <si>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</si>
  <si>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</si>
  <si>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</si>
  <si>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</si>
  <si>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</si>
  <si>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</si>
  <si>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</si>
  <si>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</si>
  <si>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</si>
  <si>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</si>
  <si>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</si>
  <si>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</si>
  <si>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</si>
  <si>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</si>
  <si>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</si>
  <si>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</si>
  <si>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</si>
  <si>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</si>
  <si>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</si>
  <si>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</si>
  <si>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</si>
  <si>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</si>
  <si>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</si>
  <si>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</si>
  <si>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</si>
  <si>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</si>
  <si>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</si>
  <si>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</si>
  <si>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</si>
  <si>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</si>
  <si>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</si>
  <si>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</si>
  <si>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</si>
  <si>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</si>
  <si>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</si>
  <si>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</si>
  <si>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</si>
  <si>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</si>
  <si>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</si>
  <si>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</si>
  <si>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</si>
  <si>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</si>
  <si>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</si>
  <si>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</si>
  <si>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</si>
  <si>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</si>
  <si>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</si>
  <si>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</si>
  <si>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</si>
  <si>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</si>
  <si>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</si>
  <si>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</si>
  <si>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</si>
  <si>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</si>
  <si>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</si>
  <si>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</si>
  <si>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</si>
  <si>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</si>
  <si>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</si>
  <si>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</si>
  <si>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</si>
  <si>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</si>
  <si>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</si>
  <si>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</si>
  <si>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</si>
  <si>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</si>
  <si>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</si>
  <si>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</si>
  <si>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</si>
  <si>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</si>
  <si>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</si>
  <si>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</si>
  <si>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</si>
  <si>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</si>
  <si>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</si>
  <si>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</si>
  <si>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</si>
  <si>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</si>
  <si>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</si>
  <si>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</si>
  <si>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</si>
  <si>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</si>
  <si>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</si>
  <si>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</si>
  <si>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</si>
  <si>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</si>
  <si>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</si>
  <si>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</si>
  <si>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</si>
  <si>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</si>
  <si>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</si>
  <si>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</si>
  <si>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</si>
  <si>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</si>
  <si>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</si>
  <si>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</si>
  <si>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</si>
  <si>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</si>
  <si>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</si>
  <si>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</si>
  <si>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</si>
  <si>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</si>
  <si>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</si>
  <si>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</si>
  <si>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</si>
  <si>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</si>
  <si>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</si>
  <si>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</si>
  <si>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</si>
  <si>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</si>
  <si>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</si>
  <si>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</si>
  <si>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</si>
  <si>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</si>
  <si>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</si>
  <si>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</si>
  <si>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</si>
  <si>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</si>
  <si>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</si>
  <si>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</si>
  <si>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</si>
  <si>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</si>
  <si>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</si>
  <si>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</si>
  <si>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</si>
  <si>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</si>
  <si>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</si>
  <si>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</si>
  <si>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</si>
  <si>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</si>
  <si>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</si>
  <si>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</si>
  <si>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</si>
  <si>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</si>
  <si>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</si>
  <si>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</si>
  <si>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</si>
  <si>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</si>
  <si>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</si>
  <si>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</si>
  <si>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</si>
  <si>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</si>
  <si>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</si>
  <si>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</si>
  <si>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</si>
  <si>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</si>
  <si>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</si>
  <si>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</si>
  <si>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</si>
  <si>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</si>
  <si>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</si>
  <si>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</si>
  <si>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</si>
  <si>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</si>
  <si>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</si>
  <si>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</si>
  <si>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</si>
  <si>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</si>
  <si>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</si>
  <si>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</si>
  <si>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</si>
  <si>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</si>
  <si>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</si>
  <si>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</si>
  <si>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</si>
  <si>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</si>
  <si>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</si>
  <si>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</si>
  <si>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</si>
  <si>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</si>
  <si>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</si>
  <si>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</si>
  <si>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</si>
  <si>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</si>
  <si>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</si>
  <si>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</si>
  <si>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</si>
  <si>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</si>
  <si>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</si>
  <si>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</si>
  <si>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</si>
  <si>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</si>
  <si>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</si>
  <si>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</si>
  <si>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</si>
  <si>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</si>
  <si>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</si>
  <si>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</si>
  <si>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</si>
  <si>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</si>
  <si>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</si>
  <si>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</si>
  <si>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</si>
  <si>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</si>
  <si>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</si>
  <si>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</si>
  <si>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</si>
  <si>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</si>
  <si>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</si>
  <si>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</si>
  <si>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</si>
  <si>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</si>
  <si>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</si>
  <si>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</si>
  <si>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</si>
  <si>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</si>
  <si>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</si>
  <si>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</si>
  <si>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</si>
  <si>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</si>
  <si>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</si>
  <si>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</si>
  <si>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</si>
  <si>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</si>
  <si>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</si>
  <si>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</si>
  <si>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</si>
  <si>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</si>
  <si>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</si>
  <si>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</si>
  <si>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</si>
  <si>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</si>
  <si>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</si>
  <si>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</si>
  <si>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</si>
  <si>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</si>
  <si>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</si>
  <si>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</si>
  <si>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</si>
  <si>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</si>
  <si>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</si>
  <si>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</si>
  <si>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</si>
  <si>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</si>
  <si>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</si>
  <si>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</si>
  <si>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</si>
  <si>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</si>
  <si>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</si>
  <si>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</si>
  <si>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</si>
  <si>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</si>
  <si>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</si>
  <si>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</si>
  <si>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</si>
  <si>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</si>
  <si>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</si>
  <si>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</si>
  <si>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</si>
  <si>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</si>
  <si>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</si>
  <si>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</si>
  <si>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</si>
  <si>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UNQ_Transactions_LoginId_IsConfirmed</t>
  </si>
  <si>
    <t>UNQ_Operations_TransactionId_TableName_IsConfirmed</t>
  </si>
  <si>
    <t>UNQ_Associations_TableId1_TableId2</t>
  </si>
  <si>
    <t>UNQ_Uniques_ColumnId1_ColumnId2</t>
  </si>
  <si>
    <t>UNQ_Associations_TableId2_TableId1</t>
  </si>
  <si>
    <t>UNQ_Uniques_ColumnId2_ColumnId1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</si>
</sst>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B12" sqref="B1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35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523</v>
      </c>
      <c r="C21" t="s">
        <v>524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0</v>
      </c>
    </row>
    <row r="22" spans="1:8" x14ac:dyDescent="0.3">
      <c r="A22">
        <f t="shared" si="1"/>
        <v>21</v>
      </c>
      <c r="B22" t="s">
        <v>525</v>
      </c>
      <c r="C22" t="s">
        <v>526</v>
      </c>
      <c r="D22" t="s">
        <v>527</v>
      </c>
      <c r="F22" t="str">
        <f t="array" ref="F22">GetValue("Tables",E22,"Name")</f>
        <v/>
      </c>
      <c r="G22" t="b">
        <v>0</v>
      </c>
      <c r="H22" cm="1">
        <f t="array" ref="H22">GetLastId(A22)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521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abSelected="1" zoomScaleNormal="100" workbookViewId="0">
      <pane ySplit="1" topLeftCell="A95" activePane="bottomLeft" state="frozen"/>
      <selection pane="bottomLeft" activeCell="K99" sqref="K9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529</v>
      </c>
      <c r="N146" s="9"/>
      <c r="O146" s="9" t="s">
        <v>528</v>
      </c>
      <c r="P146" s="9" t="s">
        <v>532</v>
      </c>
      <c r="Q146" s="9" t="s">
        <v>532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/>
      <c r="L147" s="9" t="str">
        <f t="array" ref="L147">GetValue("Tables",K147,"Name")</f>
        <v/>
      </c>
      <c r="M147" s="9" t="s">
        <v>530</v>
      </c>
      <c r="N147" s="9"/>
      <c r="O147" s="9" t="s">
        <v>531</v>
      </c>
      <c r="P147" s="9" t="s">
        <v>533</v>
      </c>
      <c r="Q147" s="9" t="s">
        <v>533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522</v>
      </c>
      <c r="N148" s="9"/>
      <c r="O148" s="9" t="s">
        <v>548</v>
      </c>
      <c r="P148" s="9" t="s">
        <v>549</v>
      </c>
      <c r="Q148" s="9" t="s">
        <v>549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534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535</v>
      </c>
      <c r="N150" s="7"/>
      <c r="O150" s="7" t="s">
        <v>537</v>
      </c>
      <c r="P150" s="7" t="s">
        <v>537</v>
      </c>
      <c r="Q150" s="7" t="s">
        <v>539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/>
      <c r="L151" s="7" t="str">
        <f t="array" ref="L151">GetValue("Tables",K151,"Name")</f>
        <v/>
      </c>
      <c r="M151" s="7" t="s">
        <v>536</v>
      </c>
      <c r="N151" s="7"/>
      <c r="O151" s="7" t="s">
        <v>538</v>
      </c>
      <c r="P151" s="7" t="s">
        <v>538</v>
      </c>
      <c r="Q151" s="7" t="s">
        <v>540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522</v>
      </c>
      <c r="N152" s="7"/>
      <c r="O152" s="7" t="s">
        <v>548</v>
      </c>
      <c r="P152" s="7" t="s">
        <v>549</v>
      </c>
      <c r="Q152" s="7" t="s">
        <v>549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8" activePane="bottomLeft" state="frozen"/>
      <selection pane="bottomLeft" activeCell="D32" sqref="D3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550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551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552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554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553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555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8" activePane="bottomLeft" state="frozen"/>
      <selection pane="bottomLeft" activeCell="D49" sqref="D49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9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UNQ_Transactions_LoginId_IsConfirmed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UNQ_Transactions_LoginId_IsConfirmed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UNQ_Operations_TransactionId_TableName_IsConfirmed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UNQ_Operations_TransactionId_TableName_IsConfirmed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UNQ_Operations_TransactionId_TableName_IsConfirmed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7" sqref="E7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545</v>
      </c>
      <c r="C1" s="1" t="s">
        <v>529</v>
      </c>
      <c r="D1" s="1" t="s">
        <v>541</v>
      </c>
      <c r="E1" s="1" t="s">
        <v>544</v>
      </c>
      <c r="F1" s="1" t="s">
        <v>530</v>
      </c>
      <c r="G1" s="1" t="s">
        <v>542</v>
      </c>
      <c r="H1" s="1" t="s">
        <v>543</v>
      </c>
      <c r="I1" s="1" t="s">
        <v>522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2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4.6640625" bestFit="1" customWidth="1"/>
    <col min="4" max="4" width="10.21875" bestFit="1" customWidth="1"/>
    <col min="5" max="5" width="14.6640625" bestFit="1" customWidth="1"/>
    <col min="6" max="6" width="12.77734375" bestFit="1" customWidth="1"/>
  </cols>
  <sheetData>
    <row r="1" spans="1:6" s="1" customFormat="1" x14ac:dyDescent="0.3">
      <c r="A1" s="1" t="s">
        <v>0</v>
      </c>
      <c r="B1" s="1" t="s">
        <v>535</v>
      </c>
      <c r="C1" s="1" t="s">
        <v>546</v>
      </c>
      <c r="D1" s="1" t="s">
        <v>536</v>
      </c>
      <c r="E1" s="1" t="s">
        <v>547</v>
      </c>
      <c r="F1" s="1" t="s">
        <v>522</v>
      </c>
    </row>
    <row r="2" spans="1:6" x14ac:dyDescent="0.3">
      <c r="A2">
        <f>ROW(A2)-1</f>
        <v>1</v>
      </c>
      <c r="B2">
        <v>87</v>
      </c>
      <c r="C2" t="str" cm="1">
        <f t="array" ref="C2">GetValue("Columns",B2,"Name",FALSE)</f>
        <v>Name</v>
      </c>
      <c r="D2">
        <v>88</v>
      </c>
      <c r="E2" t="str" cm="1">
        <f t="array" ref="E2">GetValue("Columns",D2,"Name",FALSE)</f>
        <v>Alias</v>
      </c>
      <c r="F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2024-11-09T09:57:48Z</dcterms:modified>
</cp:coreProperties>
</file>