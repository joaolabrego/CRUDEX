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D2EB67FB-6BB4-4EE2-A41B-0C52E7A03BBA}" xr6:coauthVersionLast="47" xr6:coauthVersionMax="47" xr10:uidLastSave="{00000000-0000-0000-0000-000000000000}"/>
  <bookViews>
    <workbookView xWindow="-108" yWindow="-108" windowWidth="23256" windowHeight="13176" tabRatio="969" firstSheet="2" activeTab="14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</sheets>
  <functionGroups builtInGroupCount="19"/>
  <definedNames>
    <definedName name="_xlnm._FilterDatabase" localSheetId="13" hidden="1">Columns!$F$1:$F$132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6" i="12" l="1"/>
  <c r="E67" i="12" s="1"/>
  <c r="E68" i="12" s="1"/>
  <c r="E69" i="12" s="1"/>
  <c r="E70" i="12" s="1"/>
  <c r="E71" i="12" s="1"/>
  <c r="E72" i="12" s="1"/>
  <c r="E73" i="12" s="1"/>
  <c r="E74" i="12" s="1"/>
  <c r="A66" i="12"/>
  <c r="E76" i="12"/>
  <c r="E77" i="12" s="1"/>
  <c r="E78" i="12" s="1"/>
  <c r="E79" i="12" s="1"/>
  <c r="E80" i="12" s="1"/>
  <c r="F2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D66" i="12" a="1"/>
  <c r="C66" i="12" a="1"/>
  <c r="J66" i="12" a="1"/>
  <c r="I66" i="12" a="1"/>
  <c r="H66" i="12" a="1"/>
  <c r="G66" i="12" a="1"/>
  <c r="L76" i="12" a="1"/>
  <c r="H2" i="11" a="1"/>
  <c r="H10" i="11" a="1"/>
  <c r="H19" i="11" a="1"/>
  <c r="H9" i="11" a="1"/>
  <c r="H8" i="11" a="1"/>
  <c r="H20" i="11" a="1"/>
  <c r="H18" i="11" a="1"/>
  <c r="H11" i="11" a="1"/>
  <c r="H17" i="11" a="1"/>
  <c r="H7" i="11" a="1"/>
  <c r="H6" i="11" a="1"/>
  <c r="H15" i="11" a="1"/>
  <c r="H5" i="11" a="1"/>
  <c r="H14" i="11" a="1"/>
  <c r="H4" i="11" a="1"/>
  <c r="H13" i="11" a="1"/>
  <c r="H3" i="11" a="1"/>
  <c r="H16" i="11" a="1"/>
  <c r="H12" i="11" a="1"/>
  <c r="F37" i="14" a="1"/>
  <c r="H2" i="11" l="1"/>
  <c r="H12" i="11"/>
  <c r="H16" i="11"/>
  <c r="H3" i="11"/>
  <c r="H13" i="11"/>
  <c r="H4" i="11"/>
  <c r="H14" i="11"/>
  <c r="H5" i="11"/>
  <c r="H15" i="11"/>
  <c r="H6" i="11"/>
  <c r="H7" i="11"/>
  <c r="H17" i="11"/>
  <c r="H11" i="11"/>
  <c r="H18" i="11"/>
  <c r="H20" i="11"/>
  <c r="H8" i="11"/>
  <c r="H9" i="11"/>
  <c r="H19" i="11"/>
  <c r="H10" i="11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G66" i="12"/>
  <c r="H66" i="12"/>
  <c r="I66" i="12"/>
  <c r="J66" i="12"/>
  <c r="C66" i="12"/>
  <c r="D66" i="12"/>
  <c r="F2" i="14"/>
  <c r="L76" i="12"/>
  <c r="A76" i="12"/>
  <c r="A25" i="13"/>
  <c r="F2" i="10"/>
  <c r="A20" i="17"/>
  <c r="A19" i="17"/>
  <c r="A22" i="4"/>
  <c r="D22" i="4" a="1"/>
  <c r="C22" i="4" a="1"/>
  <c r="E16" i="13" a="1"/>
  <c r="E6" i="13" a="1"/>
  <c r="E15" i="13" a="1"/>
  <c r="E5" i="13" a="1"/>
  <c r="E24" i="13" a="1"/>
  <c r="E14" i="13" a="1"/>
  <c r="E4" i="13" a="1"/>
  <c r="E23" i="13" a="1"/>
  <c r="E13" i="13" a="1"/>
  <c r="E3" i="13" a="1"/>
  <c r="E22" i="13" a="1"/>
  <c r="E12" i="13" a="1"/>
  <c r="E21" i="13" a="1"/>
  <c r="E11" i="13" a="1"/>
  <c r="E20" i="13" a="1"/>
  <c r="E10" i="13" a="1"/>
  <c r="E19" i="13" a="1"/>
  <c r="E9" i="13" a="1"/>
  <c r="E18" i="13" a="1"/>
  <c r="E8" i="13" a="1"/>
  <c r="E17" i="13" a="1"/>
  <c r="E7" i="13" a="1"/>
  <c r="E20" i="17" a="1"/>
  <c r="C20" i="17" a="1"/>
  <c r="C19" i="17" a="1"/>
  <c r="E19" i="17" a="1"/>
  <c r="C37" i="14" a="1"/>
  <c r="C36" i="14" a="1"/>
  <c r="C35" i="14" a="1"/>
  <c r="E25" i="13" a="1"/>
  <c r="B25" i="13" a="1"/>
  <c r="C2" i="14" a="1"/>
  <c r="C29" i="14" a="1"/>
  <c r="C19" i="14" a="1"/>
  <c r="C9" i="14" a="1"/>
  <c r="C28" i="14" a="1"/>
  <c r="C18" i="14" a="1"/>
  <c r="C8" i="14" a="1"/>
  <c r="C27" i="14" a="1"/>
  <c r="C17" i="14" a="1"/>
  <c r="C7" i="14" a="1"/>
  <c r="C26" i="14" a="1"/>
  <c r="C16" i="14" a="1"/>
  <c r="C6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D76" i="12" a="1"/>
  <c r="H76" i="12" a="1"/>
  <c r="G76" i="12" a="1"/>
  <c r="C76" i="12" a="1"/>
  <c r="L139" i="12" a="1"/>
  <c r="I76" i="12" a="1"/>
  <c r="J76" i="12" a="1"/>
  <c r="C76" i="12" l="1"/>
  <c r="D76" i="12"/>
  <c r="G76" i="12"/>
  <c r="H76" i="12"/>
  <c r="I76" i="12"/>
  <c r="J76" i="12"/>
  <c r="C35" i="14"/>
  <c r="C36" i="14"/>
  <c r="C37" i="14"/>
  <c r="B25" i="13"/>
  <c r="E25" i="13"/>
  <c r="C2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6" i="14"/>
  <c r="C16" i="14"/>
  <c r="C26" i="14"/>
  <c r="C7" i="14"/>
  <c r="C17" i="14"/>
  <c r="C27" i="14"/>
  <c r="C8" i="14"/>
  <c r="C18" i="14"/>
  <c r="C28" i="14"/>
  <c r="C9" i="14"/>
  <c r="C19" i="14"/>
  <c r="C29" i="14"/>
  <c r="C20" i="17"/>
  <c r="E20" i="17"/>
  <c r="E19" i="17"/>
  <c r="C19" i="17"/>
  <c r="F19" i="17" s="1"/>
  <c r="E7" i="13"/>
  <c r="E17" i="13"/>
  <c r="E8" i="13"/>
  <c r="E18" i="13"/>
  <c r="E9" i="13"/>
  <c r="E19" i="13"/>
  <c r="E10" i="13"/>
  <c r="E20" i="13"/>
  <c r="E11" i="13"/>
  <c r="E21" i="13"/>
  <c r="E12" i="13"/>
  <c r="E22" i="13"/>
  <c r="E3" i="13"/>
  <c r="E13" i="13"/>
  <c r="E23" i="13"/>
  <c r="E4" i="13"/>
  <c r="E14" i="13"/>
  <c r="E24" i="13"/>
  <c r="E5" i="13"/>
  <c r="E15" i="13"/>
  <c r="E6" i="13"/>
  <c r="E16" i="13"/>
  <c r="C22" i="4"/>
  <c r="D22" i="4"/>
  <c r="L139" i="12"/>
  <c r="A139" i="12"/>
  <c r="A143" i="12"/>
  <c r="A142" i="12"/>
  <c r="A141" i="12"/>
  <c r="A140" i="12"/>
  <c r="A138" i="12"/>
  <c r="E137" i="12"/>
  <c r="E138" i="12" s="1"/>
  <c r="E139" i="12" s="1"/>
  <c r="E140" i="12" s="1"/>
  <c r="E141" i="12" s="1"/>
  <c r="E142" i="12" s="1"/>
  <c r="E143" i="12" s="1"/>
  <c r="A137" i="12"/>
  <c r="A136" i="12"/>
  <c r="A102" i="12"/>
  <c r="C25" i="13" a="1"/>
  <c r="L136" i="12" a="1"/>
  <c r="H137" i="12" a="1"/>
  <c r="G142" i="12" a="1"/>
  <c r="H136" i="12" a="1"/>
  <c r="H140" i="12" a="1"/>
  <c r="H143" i="12" a="1"/>
  <c r="G138" i="12" a="1"/>
  <c r="H142" i="12" a="1"/>
  <c r="I139" i="12" a="1"/>
  <c r="L141" i="12" a="1"/>
  <c r="D136" i="12" a="1"/>
  <c r="C141" i="12" a="1"/>
  <c r="C142" i="12" a="1"/>
  <c r="I142" i="12" a="1"/>
  <c r="I141" i="12" a="1"/>
  <c r="L140" i="12" a="1"/>
  <c r="H141" i="12" a="1"/>
  <c r="G102" i="12" a="1"/>
  <c r="D142" i="12" a="1"/>
  <c r="C138" i="12" a="1"/>
  <c r="L137" i="12" a="1"/>
  <c r="I137" i="12" a="1"/>
  <c r="C136" i="12" a="1"/>
  <c r="J102" i="12" a="1"/>
  <c r="I136" i="12" a="1"/>
  <c r="D102" i="12" a="1"/>
  <c r="C102" i="12" a="1"/>
  <c r="I138" i="12" a="1"/>
  <c r="G141" i="12" a="1"/>
  <c r="L142" i="12" a="1"/>
  <c r="J136" i="12" a="1"/>
  <c r="G137" i="12" a="1"/>
  <c r="J137" i="12" a="1"/>
  <c r="G140" i="12" a="1"/>
  <c r="H139" i="12" a="1"/>
  <c r="G139" i="12" a="1"/>
  <c r="D140" i="12" a="1"/>
  <c r="D143" i="12" a="1"/>
  <c r="D137" i="12" a="1"/>
  <c r="I143" i="12" a="1"/>
  <c r="J140" i="12" a="1"/>
  <c r="C143" i="12" a="1"/>
  <c r="J139" i="12" a="1"/>
  <c r="D139" i="12" a="1"/>
  <c r="I140" i="12" a="1"/>
  <c r="L143" i="12" a="1"/>
  <c r="G136" i="12" a="1"/>
  <c r="J143" i="12" a="1"/>
  <c r="D138" i="12" a="1"/>
  <c r="H138" i="12" a="1"/>
  <c r="D141" i="12" a="1"/>
  <c r="J138" i="12" a="1"/>
  <c r="J141" i="12" a="1"/>
  <c r="G143" i="12" a="1"/>
  <c r="C137" i="12" a="1"/>
  <c r="C139" i="12" a="1"/>
  <c r="C140" i="12" a="1"/>
  <c r="L102" i="12" a="1"/>
  <c r="G120" i="12" a="1"/>
  <c r="L138" i="12" a="1"/>
  <c r="I102" i="12" a="1"/>
  <c r="J142" i="12" a="1"/>
  <c r="H102" i="12" a="1"/>
  <c r="C25" i="13" l="1"/>
  <c r="F20" i="17"/>
  <c r="G139" i="12"/>
  <c r="C139" i="12"/>
  <c r="D139" i="12"/>
  <c r="H139" i="12"/>
  <c r="I139" i="12"/>
  <c r="J139" i="12"/>
  <c r="J142" i="12"/>
  <c r="L142" i="12"/>
  <c r="C143" i="12"/>
  <c r="D143" i="12"/>
  <c r="C142" i="12"/>
  <c r="G143" i="12"/>
  <c r="D142" i="12"/>
  <c r="H143" i="12"/>
  <c r="G142" i="12"/>
  <c r="I143" i="12"/>
  <c r="H142" i="12"/>
  <c r="J143" i="12"/>
  <c r="I142" i="12"/>
  <c r="L143" i="12"/>
  <c r="J140" i="12"/>
  <c r="L140" i="12"/>
  <c r="C141" i="12"/>
  <c r="D141" i="12"/>
  <c r="C140" i="12"/>
  <c r="G141" i="12"/>
  <c r="D140" i="12"/>
  <c r="H141" i="12"/>
  <c r="G140" i="12"/>
  <c r="I141" i="12"/>
  <c r="H140" i="12"/>
  <c r="J141" i="12"/>
  <c r="I140" i="12"/>
  <c r="L141" i="12"/>
  <c r="H136" i="12"/>
  <c r="J137" i="12"/>
  <c r="I136" i="12"/>
  <c r="L137" i="12"/>
  <c r="J136" i="12"/>
  <c r="C138" i="12"/>
  <c r="L136" i="12"/>
  <c r="D138" i="12"/>
  <c r="C137" i="12"/>
  <c r="G138" i="12"/>
  <c r="D137" i="12"/>
  <c r="H138" i="12"/>
  <c r="C136" i="12"/>
  <c r="G137" i="12"/>
  <c r="I138" i="12"/>
  <c r="D136" i="12"/>
  <c r="H137" i="12"/>
  <c r="J138" i="12"/>
  <c r="G136" i="12"/>
  <c r="I137" i="12"/>
  <c r="L138" i="12"/>
  <c r="H102" i="12"/>
  <c r="I102" i="12"/>
  <c r="J102" i="12"/>
  <c r="L102" i="12"/>
  <c r="C102" i="12"/>
  <c r="D102" i="12"/>
  <c r="G102" i="12"/>
  <c r="G120" i="12"/>
  <c r="A135" i="12"/>
  <c r="E134" i="12"/>
  <c r="E135" i="12" s="1"/>
  <c r="A134" i="12"/>
  <c r="A133" i="12"/>
  <c r="A20" i="11"/>
  <c r="A19" i="11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A10" i="17"/>
  <c r="E65" i="12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F14" i="11" a="1"/>
  <c r="F13" i="11" a="1"/>
  <c r="F17" i="11" a="1"/>
  <c r="F16" i="11" a="1"/>
  <c r="F15" i="11" a="1"/>
  <c r="C10" i="17" a="1"/>
  <c r="E10" i="17" a="1"/>
  <c r="E9" i="17" a="1"/>
  <c r="E8" i="17" a="1"/>
  <c r="E18" i="17" a="1"/>
  <c r="E7" i="17" a="1"/>
  <c r="E17" i="17" a="1"/>
  <c r="E6" i="17" a="1"/>
  <c r="E16" i="17" a="1"/>
  <c r="E5" i="17" a="1"/>
  <c r="E15" i="17" a="1"/>
  <c r="E4" i="17" a="1"/>
  <c r="E14" i="17" a="1"/>
  <c r="E3" i="17" a="1"/>
  <c r="E13" i="17" a="1"/>
  <c r="E12" i="17" a="1"/>
  <c r="E11" i="17" a="1"/>
  <c r="H74" i="12" a="1"/>
  <c r="C69" i="12" a="1"/>
  <c r="D70" i="12" a="1"/>
  <c r="D64" i="12" a="1"/>
  <c r="I73" i="12" a="1"/>
  <c r="H70" i="12" a="1"/>
  <c r="H133" i="12" a="1"/>
  <c r="I67" i="12" a="1"/>
  <c r="I65" i="12" a="1"/>
  <c r="H65" i="12" a="1"/>
  <c r="D135" i="12" a="1"/>
  <c r="J67" i="12" a="1"/>
  <c r="C134" i="12" a="1"/>
  <c r="J64" i="12" a="1"/>
  <c r="H68" i="12" a="1"/>
  <c r="H71" i="12" a="1"/>
  <c r="C70" i="12" a="1"/>
  <c r="L133" i="12" a="1"/>
  <c r="G74" i="12" a="1"/>
  <c r="C71" i="12" a="1"/>
  <c r="I72" i="12" a="1"/>
  <c r="C64" i="12" a="1"/>
  <c r="H134" i="12" a="1"/>
  <c r="I133" i="12" a="1"/>
  <c r="G67" i="12" a="1"/>
  <c r="J134" i="12" a="1"/>
  <c r="G70" i="12" a="1"/>
  <c r="I74" i="12" a="1"/>
  <c r="C68" i="12" a="1"/>
  <c r="J135" i="12" a="1"/>
  <c r="H73" i="12" a="1"/>
  <c r="J68" i="12" a="1"/>
  <c r="C74" i="12" a="1"/>
  <c r="C73" i="12" a="1"/>
  <c r="D133" i="12" a="1"/>
  <c r="I134" i="12" a="1"/>
  <c r="C133" i="12" a="1"/>
  <c r="H72" i="12" a="1"/>
  <c r="D71" i="12" a="1"/>
  <c r="G73" i="12" a="1"/>
  <c r="L135" i="12" a="1"/>
  <c r="I70" i="12" a="1"/>
  <c r="D72" i="12" a="1"/>
  <c r="J65" i="12" a="1"/>
  <c r="I71" i="12" a="1"/>
  <c r="G133" i="12" a="1"/>
  <c r="J73" i="12" a="1"/>
  <c r="H135" i="12" a="1"/>
  <c r="G134" i="12" a="1"/>
  <c r="D68" i="12" a="1"/>
  <c r="D134" i="12" a="1"/>
  <c r="I69" i="12" a="1"/>
  <c r="C72" i="12" a="1"/>
  <c r="J71" i="12" a="1"/>
  <c r="G64" i="12" a="1"/>
  <c r="D74" i="12" a="1"/>
  <c r="C65" i="12" a="1"/>
  <c r="I135" i="12" a="1"/>
  <c r="G68" i="12" a="1"/>
  <c r="G72" i="12" a="1"/>
  <c r="G135" i="12" a="1"/>
  <c r="I64" i="12" a="1"/>
  <c r="J69" i="12" a="1"/>
  <c r="D67" i="12" a="1"/>
  <c r="I68" i="12" a="1"/>
  <c r="D65" i="12" a="1"/>
  <c r="D73" i="12" a="1"/>
  <c r="J72" i="12" a="1"/>
  <c r="G71" i="12" a="1"/>
  <c r="H64" i="12" a="1"/>
  <c r="J74" i="12" a="1"/>
  <c r="C135" i="12" a="1"/>
  <c r="G69" i="12" a="1"/>
  <c r="H69" i="12" a="1"/>
  <c r="J133" i="12" a="1"/>
  <c r="G65" i="12" a="1"/>
  <c r="H67" i="12" a="1"/>
  <c r="J70" i="12" a="1"/>
  <c r="C67" i="12" a="1"/>
  <c r="D69" i="12" a="1"/>
  <c r="L134" i="12" a="1"/>
  <c r="J133" i="12" l="1"/>
  <c r="C135" i="12"/>
  <c r="L133" i="12"/>
  <c r="D135" i="12"/>
  <c r="C134" i="12"/>
  <c r="G135" i="12"/>
  <c r="D134" i="12"/>
  <c r="H135" i="12"/>
  <c r="C133" i="12"/>
  <c r="G134" i="12"/>
  <c r="I135" i="12"/>
  <c r="D133" i="12"/>
  <c r="H134" i="12"/>
  <c r="J135" i="12"/>
  <c r="G133" i="12"/>
  <c r="I134" i="12"/>
  <c r="L135" i="12"/>
  <c r="H133" i="12"/>
  <c r="J134" i="12"/>
  <c r="I133" i="12"/>
  <c r="L134" i="12"/>
  <c r="F18" i="11"/>
  <c r="F19" i="11"/>
  <c r="F20" i="11"/>
  <c r="F15" i="11"/>
  <c r="F16" i="11"/>
  <c r="F17" i="11"/>
  <c r="F13" i="11"/>
  <c r="F14" i="11"/>
  <c r="E10" i="17"/>
  <c r="C10" i="17"/>
  <c r="E11" i="17"/>
  <c r="E12" i="17"/>
  <c r="E13" i="17"/>
  <c r="E3" i="17"/>
  <c r="E14" i="17"/>
  <c r="E4" i="17"/>
  <c r="E15" i="17"/>
  <c r="E5" i="17"/>
  <c r="E16" i="17"/>
  <c r="E6" i="17"/>
  <c r="E17" i="17"/>
  <c r="E7" i="17"/>
  <c r="E18" i="17"/>
  <c r="E8" i="17"/>
  <c r="E9" i="17"/>
  <c r="J68" i="12"/>
  <c r="G70" i="12"/>
  <c r="J71" i="12"/>
  <c r="C72" i="12"/>
  <c r="G73" i="12"/>
  <c r="H73" i="12"/>
  <c r="C69" i="12"/>
  <c r="H70" i="12"/>
  <c r="C67" i="12"/>
  <c r="D72" i="12"/>
  <c r="I73" i="12"/>
  <c r="D69" i="12"/>
  <c r="I70" i="12"/>
  <c r="D67" i="12"/>
  <c r="J73" i="12"/>
  <c r="J70" i="12"/>
  <c r="G72" i="12"/>
  <c r="G69" i="12"/>
  <c r="C74" i="12"/>
  <c r="G67" i="12"/>
  <c r="C71" i="12"/>
  <c r="H72" i="12"/>
  <c r="C68" i="12"/>
  <c r="H69" i="12"/>
  <c r="D74" i="12"/>
  <c r="H67" i="12"/>
  <c r="D71" i="12"/>
  <c r="I72" i="12"/>
  <c r="D68" i="12"/>
  <c r="I69" i="12"/>
  <c r="I67" i="12"/>
  <c r="J72" i="12"/>
  <c r="G74" i="12"/>
  <c r="J69" i="12"/>
  <c r="G71" i="12"/>
  <c r="J67" i="12"/>
  <c r="G68" i="12"/>
  <c r="C73" i="12"/>
  <c r="H74" i="12"/>
  <c r="C70" i="12"/>
  <c r="H71" i="12"/>
  <c r="H68" i="12"/>
  <c r="D73" i="12"/>
  <c r="I74" i="12"/>
  <c r="D70" i="12"/>
  <c r="I71" i="12"/>
  <c r="I68" i="12"/>
  <c r="J74" i="12"/>
  <c r="J65" i="12"/>
  <c r="C65" i="12"/>
  <c r="D65" i="12"/>
  <c r="G65" i="12"/>
  <c r="H65" i="12"/>
  <c r="I65" i="12"/>
  <c r="C64" i="12"/>
  <c r="D64" i="12"/>
  <c r="G64" i="12"/>
  <c r="H64" i="12"/>
  <c r="I64" i="12"/>
  <c r="J64" i="12"/>
  <c r="G17" i="12" a="1"/>
  <c r="G17" i="12" l="1"/>
  <c r="E35" i="2"/>
  <c r="A35" i="2"/>
  <c r="E22" i="2"/>
  <c r="A22" i="2"/>
  <c r="E37" i="2"/>
  <c r="A37" i="2"/>
  <c r="A116" i="12"/>
  <c r="A11" i="12"/>
  <c r="A17" i="12"/>
  <c r="C3" i="8" a="1"/>
  <c r="C2" i="10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C7" i="17" a="1"/>
  <c r="C12" i="17" a="1"/>
  <c r="C8" i="17" a="1"/>
  <c r="C16" i="17" a="1"/>
  <c r="C11" i="17" a="1"/>
  <c r="C15" i="17" a="1"/>
  <c r="C13" i="17" a="1"/>
  <c r="C6" i="17" a="1"/>
  <c r="C9" i="17" a="1"/>
  <c r="C14" i="17" a="1"/>
  <c r="C17" i="17" a="1"/>
  <c r="C18" i="17" a="1"/>
  <c r="C2" i="17" a="1"/>
  <c r="C5" i="17" a="1"/>
  <c r="C3" i="17" a="1"/>
  <c r="C4" i="17" a="1"/>
  <c r="D40" i="12" a="1"/>
  <c r="G117" i="12" a="1"/>
  <c r="J33" i="12" a="1"/>
  <c r="J63" i="12" a="1"/>
  <c r="G29" i="12" a="1"/>
  <c r="J50" i="12" a="1"/>
  <c r="D17" i="12" a="1"/>
  <c r="D132" i="12" a="1"/>
  <c r="G101" i="12" a="1"/>
  <c r="D123" i="12" a="1"/>
  <c r="G118" i="12" a="1"/>
  <c r="J37" i="12" a="1"/>
  <c r="G109" i="12" a="1"/>
  <c r="D39" i="12" a="1"/>
  <c r="D98" i="12" a="1"/>
  <c r="D10" i="12" a="1"/>
  <c r="J60" i="12" a="1"/>
  <c r="D59" i="12" a="1"/>
  <c r="G56" i="12" a="1"/>
  <c r="D125" i="12" a="1"/>
  <c r="G52" i="12" a="1"/>
  <c r="G106" i="12" a="1"/>
  <c r="D112" i="12" a="1"/>
  <c r="J14" i="12" a="1"/>
  <c r="J124" i="12" a="1"/>
  <c r="D12" i="12" a="1"/>
  <c r="G55" i="12" a="1"/>
  <c r="G113" i="12" a="1"/>
  <c r="D27" i="12" a="1"/>
  <c r="J107" i="12" a="1"/>
  <c r="L116" i="12" a="1"/>
  <c r="J26" i="12" a="1"/>
  <c r="G81" i="12" a="1"/>
  <c r="D3" i="12" a="1"/>
  <c r="J38" i="12" a="1"/>
  <c r="J119" i="12" a="1"/>
  <c r="J79" i="12" a="1"/>
  <c r="D11" i="12" a="1"/>
  <c r="G27" i="12" a="1"/>
  <c r="G19" i="12" a="1"/>
  <c r="J110" i="12" a="1"/>
  <c r="D16" i="12" a="1"/>
  <c r="J82" i="12" a="1"/>
  <c r="G131" i="12" a="1"/>
  <c r="G124" i="12" a="1"/>
  <c r="D109" i="12" a="1"/>
  <c r="J4" i="12" a="1"/>
  <c r="J62" i="12" a="1"/>
  <c r="G12" i="12" a="1"/>
  <c r="J34" i="12" a="1"/>
  <c r="G28" i="12" a="1"/>
  <c r="J113" i="12" a="1"/>
  <c r="G25" i="12" a="1"/>
  <c r="D92" i="12" a="1"/>
  <c r="J30" i="12" a="1"/>
  <c r="D86" i="12" a="1"/>
  <c r="J17" i="12" a="1"/>
  <c r="G121" i="12" a="1"/>
  <c r="G110" i="12" a="1"/>
  <c r="G46" i="12" a="1"/>
  <c r="D97" i="12" a="1"/>
  <c r="D100" i="12" a="1"/>
  <c r="D31" i="12" a="1"/>
  <c r="G130" i="12" a="1"/>
  <c r="J23" i="12" a="1"/>
  <c r="G15" i="12" a="1"/>
  <c r="J55" i="12" a="1"/>
  <c r="J101" i="12" a="1"/>
  <c r="G21" i="12" a="1"/>
  <c r="G80" i="12" a="1"/>
  <c r="G111" i="12" a="1"/>
  <c r="J40" i="12" a="1"/>
  <c r="J109" i="12" a="1"/>
  <c r="D45" i="12" a="1"/>
  <c r="G32" i="12" a="1"/>
  <c r="D63" i="12" a="1"/>
  <c r="D61" i="12" a="1"/>
  <c r="D77" i="12" a="1"/>
  <c r="D4" i="12" a="1"/>
  <c r="D25" i="12" a="1"/>
  <c r="J5" i="12" a="1"/>
  <c r="G41" i="12" a="1"/>
  <c r="G5" i="12" a="1"/>
  <c r="J111" i="12" a="1"/>
  <c r="G9" i="12" a="1"/>
  <c r="G42" i="12" a="1"/>
  <c r="D13" i="12" a="1"/>
  <c r="G90" i="12" a="1"/>
  <c r="D24" i="12" a="1"/>
  <c r="J85" i="12" a="1"/>
  <c r="J42" i="12" a="1"/>
  <c r="G99" i="12" a="1"/>
  <c r="D9" i="12" a="1"/>
  <c r="J96" i="12" a="1"/>
  <c r="J99" i="12" a="1"/>
  <c r="G86" i="12" a="1"/>
  <c r="J89" i="12" a="1"/>
  <c r="D89" i="12" a="1"/>
  <c r="J48" i="12" a="1"/>
  <c r="D80" i="12" a="1"/>
  <c r="G122" i="12" a="1"/>
  <c r="G13" i="12" a="1"/>
  <c r="D118" i="12" a="1"/>
  <c r="C11" i="12" a="1"/>
  <c r="J9" i="12" a="1"/>
  <c r="J39" i="12" a="1"/>
  <c r="G103" i="12" a="1"/>
  <c r="J115" i="12" a="1"/>
  <c r="J58" i="12" a="1"/>
  <c r="G16" i="12" a="1"/>
  <c r="G92" i="12" a="1"/>
  <c r="G83" i="12" a="1"/>
  <c r="D32" i="12" a="1"/>
  <c r="D93" i="12" a="1"/>
  <c r="D49" i="12" a="1"/>
  <c r="G123" i="12" a="1"/>
  <c r="J116" i="12" a="1"/>
  <c r="G51" i="12" a="1"/>
  <c r="J103" i="12" a="1"/>
  <c r="J8" i="12" a="1"/>
  <c r="J117" i="12" a="1"/>
  <c r="J31" i="12" a="1"/>
  <c r="J128" i="12" a="1"/>
  <c r="G96" i="12" a="1"/>
  <c r="D48" i="12" a="1"/>
  <c r="J21" i="12" a="1"/>
  <c r="J12" i="12" a="1"/>
  <c r="D62" i="12" a="1"/>
  <c r="D43" i="12" a="1"/>
  <c r="D113" i="12" a="1"/>
  <c r="J129" i="12" a="1"/>
  <c r="G58" i="12" a="1"/>
  <c r="G47" i="12" a="1"/>
  <c r="G98" i="12" a="1"/>
  <c r="D81" i="12" a="1"/>
  <c r="J94" i="12" a="1"/>
  <c r="J61" i="12" a="1"/>
  <c r="G37" i="12" a="1"/>
  <c r="D88" i="12" a="1"/>
  <c r="J56" i="12" a="1"/>
  <c r="D57" i="12" a="1"/>
  <c r="J97" i="12" a="1"/>
  <c r="J84" i="12" a="1"/>
  <c r="J104" i="12" a="1"/>
  <c r="G129" i="12" a="1"/>
  <c r="J108" i="12" a="1"/>
  <c r="D29" i="12" a="1"/>
  <c r="J13" i="12" a="1"/>
  <c r="G108" i="12" a="1"/>
  <c r="J130" i="12" a="1"/>
  <c r="G95" i="12" a="1"/>
  <c r="D22" i="12" a="1"/>
  <c r="J22" i="12" a="1"/>
  <c r="J16" i="12" a="1"/>
  <c r="G3" i="12" a="1"/>
  <c r="L17" i="12" a="1"/>
  <c r="D33" i="12" a="1"/>
  <c r="D115" i="12" a="1"/>
  <c r="G100" i="12" a="1"/>
  <c r="G30" i="12" a="1"/>
  <c r="G35" i="12" a="1"/>
  <c r="D21" i="12" a="1"/>
  <c r="D15" i="12" a="1"/>
  <c r="J32" i="12" a="1"/>
  <c r="J120" i="12" a="1"/>
  <c r="J46" i="12" a="1"/>
  <c r="D103" i="12" a="1"/>
  <c r="J3" i="12" a="1"/>
  <c r="J83" i="12" a="1"/>
  <c r="D107" i="12" a="1"/>
  <c r="G33" i="12" a="1"/>
  <c r="G48" i="12" a="1"/>
  <c r="G75" i="12" a="1"/>
  <c r="D23" i="12" a="1"/>
  <c r="J105" i="12" a="1"/>
  <c r="G26" i="12" a="1"/>
  <c r="D87" i="12" a="1"/>
  <c r="D50" i="12" a="1"/>
  <c r="G39" i="12" a="1"/>
  <c r="J25" i="12" a="1"/>
  <c r="D122" i="12" a="1"/>
  <c r="G7" i="12" a="1"/>
  <c r="J92" i="12" a="1"/>
  <c r="D7" i="12" a="1"/>
  <c r="J10" i="12" a="1"/>
  <c r="J57" i="12" a="1"/>
  <c r="D56" i="12" a="1"/>
  <c r="D121" i="12" a="1"/>
  <c r="G2" i="12" a="1"/>
  <c r="D83" i="12" a="1"/>
  <c r="D53" i="12" a="1"/>
  <c r="G114" i="12" a="1"/>
  <c r="J53" i="12" a="1"/>
  <c r="D85" i="12" a="1"/>
  <c r="D34" i="12" a="1"/>
  <c r="G125" i="12" a="1"/>
  <c r="G127" i="12" a="1"/>
  <c r="J126" i="12" a="1"/>
  <c r="J106" i="12" a="1"/>
  <c r="G22" i="12" a="1"/>
  <c r="G18" i="12" a="1"/>
  <c r="D117" i="12" a="1"/>
  <c r="G104" i="12" a="1"/>
  <c r="G85" i="12" a="1"/>
  <c r="D114" i="12" a="1"/>
  <c r="G6" i="12" a="1"/>
  <c r="J41" i="12" a="1"/>
  <c r="D47" i="12" a="1"/>
  <c r="D42" i="12" a="1"/>
  <c r="J43" i="12" a="1"/>
  <c r="G61" i="12" a="1"/>
  <c r="G116" i="12" a="1"/>
  <c r="J45" i="12" a="1"/>
  <c r="D41" i="12" a="1"/>
  <c r="D94" i="12" a="1"/>
  <c r="J100" i="12" a="1"/>
  <c r="D105" i="12" a="1"/>
  <c r="D131" i="12" a="1"/>
  <c r="J29" i="12" a="1"/>
  <c r="D52" i="12" a="1"/>
  <c r="G63" i="12" a="1"/>
  <c r="G49" i="12" a="1"/>
  <c r="G97" i="12" a="1"/>
  <c r="D119" i="12" a="1"/>
  <c r="J93" i="12" a="1"/>
  <c r="J127" i="12" a="1"/>
  <c r="G45" i="12" a="1"/>
  <c r="J131" i="12" a="1"/>
  <c r="G43" i="12" a="1"/>
  <c r="G77" i="12" a="1"/>
  <c r="G107" i="12" a="1"/>
  <c r="J19" i="12" a="1"/>
  <c r="G82" i="12" a="1"/>
  <c r="D6" i="12" a="1"/>
  <c r="D60" i="12" a="1"/>
  <c r="G24" i="12" a="1"/>
  <c r="J132" i="12" a="1"/>
  <c r="G34" i="12" a="1"/>
  <c r="J6" i="12" a="1"/>
  <c r="G59" i="12" a="1"/>
  <c r="D126" i="12" a="1"/>
  <c r="J24" i="12" a="1"/>
  <c r="J118" i="12" a="1"/>
  <c r="J36" i="12" a="1"/>
  <c r="G23" i="12" a="1"/>
  <c r="G36" i="12" a="1"/>
  <c r="D78" i="12" a="1"/>
  <c r="D58" i="12" a="1"/>
  <c r="J95" i="12" a="1"/>
  <c r="D28" i="12" a="1"/>
  <c r="J91" i="12" a="1"/>
  <c r="G87" i="12" a="1"/>
  <c r="J7" i="12" a="1"/>
  <c r="G53" i="12" a="1"/>
  <c r="D104" i="12" a="1"/>
  <c r="G50" i="12" a="1"/>
  <c r="G88" i="12" a="1"/>
  <c r="G60" i="12" a="1"/>
  <c r="D8" i="12" a="1"/>
  <c r="J123" i="12" a="1"/>
  <c r="G20" i="12" a="1"/>
  <c r="D111" i="12" a="1"/>
  <c r="G105" i="12" a="1"/>
  <c r="G62" i="12" a="1"/>
  <c r="D5" i="12" a="1"/>
  <c r="J81" i="12" a="1"/>
  <c r="D30" i="12" a="1"/>
  <c r="G115" i="12" a="1"/>
  <c r="G112" i="12" a="1"/>
  <c r="J49" i="12" a="1"/>
  <c r="D18" i="12" a="1"/>
  <c r="D14" i="12" a="1"/>
  <c r="G94" i="12" a="1"/>
  <c r="D96" i="12" a="1"/>
  <c r="G40" i="12" a="1"/>
  <c r="G93" i="12" a="1"/>
  <c r="D120" i="12" a="1"/>
  <c r="G132" i="12" a="1"/>
  <c r="D91" i="12" a="1"/>
  <c r="J59" i="12" a="1"/>
  <c r="D19" i="12" a="1"/>
  <c r="J28" i="12" a="1"/>
  <c r="D82" i="12" a="1"/>
  <c r="G126" i="12" a="1"/>
  <c r="G11" i="12" a="1"/>
  <c r="G38" i="12" a="1"/>
  <c r="J54" i="12" a="1"/>
  <c r="D90" i="12" a="1"/>
  <c r="J98" i="12" a="1"/>
  <c r="D128" i="12" a="1"/>
  <c r="D37" i="12" a="1"/>
  <c r="D110" i="12" a="1"/>
  <c r="J51" i="12" a="1"/>
  <c r="G128" i="12" a="1"/>
  <c r="L11" i="12" a="1"/>
  <c r="D38" i="12" a="1"/>
  <c r="J121" i="12" a="1"/>
  <c r="C116" i="12" a="1"/>
  <c r="D106" i="12" a="1"/>
  <c r="G78" i="12" a="1"/>
  <c r="D99" i="12" a="1"/>
  <c r="G14" i="12" a="1"/>
  <c r="J35" i="12" a="1"/>
  <c r="D46" i="12" a="1"/>
  <c r="G10" i="12" a="1"/>
  <c r="D54" i="12" a="1"/>
  <c r="D116" i="12" a="1"/>
  <c r="D44" i="12" a="1"/>
  <c r="G54" i="12" a="1"/>
  <c r="J87" i="12" a="1"/>
  <c r="J15" i="12" a="1"/>
  <c r="J18" i="12" a="1"/>
  <c r="J80" i="12" a="1"/>
  <c r="G31" i="12" a="1"/>
  <c r="J88" i="12" a="1"/>
  <c r="J20" i="12" a="1"/>
  <c r="G91" i="12" a="1"/>
  <c r="G84" i="12" a="1"/>
  <c r="D101" i="12" a="1"/>
  <c r="J27" i="12" a="1"/>
  <c r="J125" i="12" a="1"/>
  <c r="D75" i="12" a="1"/>
  <c r="D79" i="12" a="1"/>
  <c r="D51" i="12" a="1"/>
  <c r="G79" i="12" a="1"/>
  <c r="J122" i="12" a="1"/>
  <c r="D124" i="12" a="1"/>
  <c r="D108" i="12" a="1"/>
  <c r="J75" i="12" a="1"/>
  <c r="D127" i="12" a="1"/>
  <c r="D84" i="12" a="1"/>
  <c r="J11" i="12" a="1"/>
  <c r="G44" i="12" a="1"/>
  <c r="G89" i="12" a="1"/>
  <c r="J86" i="12" a="1"/>
  <c r="D55" i="12" a="1"/>
  <c r="D129" i="12" a="1"/>
  <c r="G57" i="12" a="1"/>
  <c r="J78" i="12" a="1"/>
  <c r="D95" i="12" a="1"/>
  <c r="C17" i="12" a="1"/>
  <c r="G8" i="12" a="1"/>
  <c r="D35" i="12" a="1"/>
  <c r="J44" i="12" a="1"/>
  <c r="D2" i="12" a="1"/>
  <c r="G4" i="12" a="1"/>
  <c r="D20" i="12" a="1"/>
  <c r="J112" i="12" a="1"/>
  <c r="D36" i="12" a="1"/>
  <c r="D130" i="12" a="1"/>
  <c r="J77" i="12" a="1"/>
  <c r="J47" i="12" a="1"/>
  <c r="J114" i="12" a="1"/>
  <c r="D26" i="12" a="1"/>
  <c r="J52" i="12" a="1"/>
  <c r="G119" i="12" a="1"/>
  <c r="J90" i="12" a="1"/>
  <c r="J28" i="12" l="1"/>
  <c r="J86" i="12"/>
  <c r="J29" i="12"/>
  <c r="J87" i="12"/>
  <c r="J30" i="12"/>
  <c r="J104" i="12"/>
  <c r="J46" i="12"/>
  <c r="J105" i="12"/>
  <c r="J47" i="12"/>
  <c r="J48" i="12"/>
  <c r="J117" i="12"/>
  <c r="J60" i="12"/>
  <c r="J118" i="12"/>
  <c r="J10" i="12"/>
  <c r="J61" i="12"/>
  <c r="J123" i="12"/>
  <c r="J11" i="12"/>
  <c r="J79" i="12"/>
  <c r="J16" i="12"/>
  <c r="J85" i="12"/>
  <c r="J17" i="12"/>
  <c r="J31" i="12"/>
  <c r="J49" i="12"/>
  <c r="J78" i="12"/>
  <c r="J88" i="12"/>
  <c r="J106" i="12"/>
  <c r="J124" i="12"/>
  <c r="J18" i="12"/>
  <c r="J36" i="12"/>
  <c r="J50" i="12"/>
  <c r="J93" i="12"/>
  <c r="J107" i="12"/>
  <c r="J125" i="12"/>
  <c r="J19" i="12"/>
  <c r="J37" i="12"/>
  <c r="J51" i="12"/>
  <c r="J94" i="12"/>
  <c r="J108" i="12"/>
  <c r="J126" i="12"/>
  <c r="J6" i="12"/>
  <c r="J20" i="12"/>
  <c r="J38" i="12"/>
  <c r="J56" i="12"/>
  <c r="J95" i="12"/>
  <c r="J113" i="12"/>
  <c r="J127" i="12"/>
  <c r="J7" i="12"/>
  <c r="J21" i="12"/>
  <c r="J39" i="12"/>
  <c r="J57" i="12"/>
  <c r="J96" i="12"/>
  <c r="J114" i="12"/>
  <c r="J128" i="12"/>
  <c r="J8" i="12"/>
  <c r="J26" i="12"/>
  <c r="J40" i="12"/>
  <c r="J58" i="12"/>
  <c r="J83" i="12"/>
  <c r="J97" i="12"/>
  <c r="J115" i="12"/>
  <c r="J9" i="12"/>
  <c r="J27" i="12"/>
  <c r="J41" i="12"/>
  <c r="J59" i="12"/>
  <c r="J84" i="12"/>
  <c r="J98" i="12"/>
  <c r="J116" i="12"/>
  <c r="J12" i="12"/>
  <c r="J22" i="12"/>
  <c r="J32" i="12"/>
  <c r="J42" i="12"/>
  <c r="J52" i="12"/>
  <c r="J62" i="12"/>
  <c r="J89" i="12"/>
  <c r="J99" i="12"/>
  <c r="J109" i="12"/>
  <c r="J119" i="12"/>
  <c r="J129" i="12"/>
  <c r="J3" i="12"/>
  <c r="J13" i="12"/>
  <c r="J23" i="12"/>
  <c r="J33" i="12"/>
  <c r="J43" i="12"/>
  <c r="J53" i="12"/>
  <c r="J63" i="12"/>
  <c r="J80" i="12"/>
  <c r="J90" i="12"/>
  <c r="J100" i="12"/>
  <c r="J110" i="12"/>
  <c r="J120" i="12"/>
  <c r="J130" i="12"/>
  <c r="J4" i="12"/>
  <c r="J14" i="12"/>
  <c r="J24" i="12"/>
  <c r="J34" i="12"/>
  <c r="J44" i="12"/>
  <c r="J54" i="12"/>
  <c r="J75" i="12"/>
  <c r="J81" i="12"/>
  <c r="J91" i="12"/>
  <c r="J101" i="12"/>
  <c r="J111" i="12"/>
  <c r="J121" i="12"/>
  <c r="J131" i="12"/>
  <c r="J5" i="12"/>
  <c r="J15" i="12"/>
  <c r="J25" i="12"/>
  <c r="J35" i="12"/>
  <c r="J45" i="12"/>
  <c r="J55" i="12"/>
  <c r="J77" i="12"/>
  <c r="J82" i="12"/>
  <c r="J92" i="12"/>
  <c r="J103" i="12"/>
  <c r="J112" i="12"/>
  <c r="J122" i="12"/>
  <c r="J132" i="12"/>
  <c r="G8" i="12"/>
  <c r="G26" i="12"/>
  <c r="G40" i="12"/>
  <c r="G58" i="12"/>
  <c r="G83" i="12"/>
  <c r="G97" i="12"/>
  <c r="G115" i="12"/>
  <c r="G9" i="12"/>
  <c r="G27" i="12"/>
  <c r="G41" i="12"/>
  <c r="G59" i="12"/>
  <c r="G84" i="12"/>
  <c r="G98" i="12"/>
  <c r="G116" i="12"/>
  <c r="G10" i="12"/>
  <c r="G28" i="12"/>
  <c r="G46" i="12"/>
  <c r="G60" i="12"/>
  <c r="G85" i="12"/>
  <c r="G104" i="12"/>
  <c r="G117" i="12"/>
  <c r="G11" i="12"/>
  <c r="G29" i="12"/>
  <c r="G47" i="12"/>
  <c r="G61" i="12"/>
  <c r="G86" i="12"/>
  <c r="G105" i="12"/>
  <c r="G118" i="12"/>
  <c r="G16" i="12"/>
  <c r="G30" i="12"/>
  <c r="G48" i="12"/>
  <c r="G79" i="12"/>
  <c r="G87" i="12"/>
  <c r="G123" i="12"/>
  <c r="G31" i="12"/>
  <c r="G49" i="12"/>
  <c r="G78" i="12"/>
  <c r="G88" i="12"/>
  <c r="G106" i="12"/>
  <c r="G124" i="12"/>
  <c r="G18" i="12"/>
  <c r="G36" i="12"/>
  <c r="G50" i="12"/>
  <c r="G93" i="12"/>
  <c r="G107" i="12"/>
  <c r="G125" i="12"/>
  <c r="G19" i="12"/>
  <c r="G37" i="12"/>
  <c r="G51" i="12"/>
  <c r="G94" i="12"/>
  <c r="G108" i="12"/>
  <c r="G126" i="12"/>
  <c r="G6" i="12"/>
  <c r="G20" i="12"/>
  <c r="G38" i="12"/>
  <c r="G56" i="12"/>
  <c r="G95" i="12"/>
  <c r="G113" i="12"/>
  <c r="G127" i="12"/>
  <c r="G7" i="12"/>
  <c r="G21" i="12"/>
  <c r="G39" i="12"/>
  <c r="G57" i="12"/>
  <c r="G96" i="12"/>
  <c r="G114" i="12"/>
  <c r="G128" i="12"/>
  <c r="G12" i="12"/>
  <c r="G22" i="12"/>
  <c r="G32" i="12"/>
  <c r="G42" i="12"/>
  <c r="G52" i="12"/>
  <c r="G62" i="12"/>
  <c r="G89" i="12"/>
  <c r="G99" i="12"/>
  <c r="G109" i="12"/>
  <c r="G119" i="12"/>
  <c r="G129" i="12"/>
  <c r="G3" i="12"/>
  <c r="G13" i="12"/>
  <c r="G23" i="12"/>
  <c r="G33" i="12"/>
  <c r="G43" i="12"/>
  <c r="G53" i="12"/>
  <c r="G63" i="12"/>
  <c r="G80" i="12"/>
  <c r="G90" i="12"/>
  <c r="G100" i="12"/>
  <c r="G110" i="12"/>
  <c r="G130" i="12"/>
  <c r="G4" i="12"/>
  <c r="G14" i="12"/>
  <c r="G24" i="12"/>
  <c r="G34" i="12"/>
  <c r="G44" i="12"/>
  <c r="G54" i="12"/>
  <c r="G75" i="12"/>
  <c r="G81" i="12"/>
  <c r="G91" i="12"/>
  <c r="G101" i="12"/>
  <c r="G111" i="12"/>
  <c r="G121" i="12"/>
  <c r="G131" i="12"/>
  <c r="G5" i="12"/>
  <c r="G15" i="12"/>
  <c r="G25" i="12"/>
  <c r="G35" i="12"/>
  <c r="G45" i="12"/>
  <c r="G55" i="12"/>
  <c r="G77" i="12"/>
  <c r="G82" i="12"/>
  <c r="G92" i="12"/>
  <c r="G103" i="12"/>
  <c r="G112" i="12"/>
  <c r="G122" i="12"/>
  <c r="G132" i="12"/>
  <c r="C35" i="2"/>
  <c r="C22" i="2"/>
  <c r="C37" i="2"/>
  <c r="D26" i="12"/>
  <c r="D79" i="12"/>
  <c r="D104" i="12"/>
  <c r="D19" i="12"/>
  <c r="D57" i="12"/>
  <c r="D124" i="12"/>
  <c r="D20" i="12"/>
  <c r="D38" i="12"/>
  <c r="D48" i="12"/>
  <c r="D58" i="12"/>
  <c r="D85" i="12"/>
  <c r="D95" i="12"/>
  <c r="D115" i="12"/>
  <c r="D125" i="12"/>
  <c r="D11" i="12"/>
  <c r="D21" i="12"/>
  <c r="D29" i="12"/>
  <c r="D39" i="12"/>
  <c r="D49" i="12"/>
  <c r="D59" i="12"/>
  <c r="D86" i="12"/>
  <c r="D96" i="12"/>
  <c r="D106" i="12"/>
  <c r="D116" i="12"/>
  <c r="D126" i="12"/>
  <c r="D12" i="12"/>
  <c r="D22" i="12"/>
  <c r="D30" i="12"/>
  <c r="D40" i="12"/>
  <c r="D50" i="12"/>
  <c r="D60" i="12"/>
  <c r="D87" i="12"/>
  <c r="D97" i="12"/>
  <c r="D107" i="12"/>
  <c r="D117" i="12"/>
  <c r="D127" i="12"/>
  <c r="D46" i="12"/>
  <c r="D123" i="12"/>
  <c r="D37" i="12"/>
  <c r="D94" i="12"/>
  <c r="D108" i="12"/>
  <c r="D8" i="12"/>
  <c r="D36" i="12"/>
  <c r="D83" i="12"/>
  <c r="D93" i="12"/>
  <c r="D27" i="12"/>
  <c r="D78" i="12"/>
  <c r="D105" i="12"/>
  <c r="D28" i="12"/>
  <c r="D3" i="12"/>
  <c r="D23" i="12"/>
  <c r="D41" i="12"/>
  <c r="D51" i="12"/>
  <c r="D98" i="12"/>
  <c r="D118" i="12"/>
  <c r="D4" i="12"/>
  <c r="D24" i="12"/>
  <c r="D42" i="12"/>
  <c r="D62" i="12"/>
  <c r="D89" i="12"/>
  <c r="D109" i="12"/>
  <c r="D119" i="12"/>
  <c r="D5" i="12"/>
  <c r="D15" i="12"/>
  <c r="D25" i="12"/>
  <c r="D43" i="12"/>
  <c r="D53" i="12"/>
  <c r="D63" i="12"/>
  <c r="D80" i="12"/>
  <c r="D100" i="12"/>
  <c r="D110" i="12"/>
  <c r="D120" i="12"/>
  <c r="D130" i="12"/>
  <c r="D6" i="12"/>
  <c r="D16" i="12"/>
  <c r="D34" i="12"/>
  <c r="D54" i="12"/>
  <c r="D75" i="12"/>
  <c r="D81" i="12"/>
  <c r="D91" i="12"/>
  <c r="D101" i="12"/>
  <c r="D111" i="12"/>
  <c r="D121" i="12"/>
  <c r="D131" i="12"/>
  <c r="D7" i="12"/>
  <c r="D17" i="12"/>
  <c r="D35" i="12"/>
  <c r="D45" i="12"/>
  <c r="D55" i="12"/>
  <c r="D77" i="12"/>
  <c r="D82" i="12"/>
  <c r="D92" i="12"/>
  <c r="D103" i="12"/>
  <c r="D112" i="12"/>
  <c r="D122" i="12"/>
  <c r="D132" i="12"/>
  <c r="D18" i="12"/>
  <c r="D56" i="12"/>
  <c r="D113" i="12"/>
  <c r="D9" i="12"/>
  <c r="D47" i="12"/>
  <c r="D84" i="12"/>
  <c r="D114" i="12"/>
  <c r="D10" i="12"/>
  <c r="D13" i="12"/>
  <c r="D31" i="12"/>
  <c r="D61" i="12"/>
  <c r="D88" i="12"/>
  <c r="D128" i="12"/>
  <c r="D14" i="12"/>
  <c r="D32" i="12"/>
  <c r="D52" i="12"/>
  <c r="D99" i="12"/>
  <c r="D129" i="12"/>
  <c r="D33" i="12"/>
  <c r="D90" i="12"/>
  <c r="D44" i="12"/>
  <c r="D2" i="12"/>
  <c r="C116" i="12"/>
  <c r="L116" i="12"/>
  <c r="C11" i="12"/>
  <c r="L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C13" i="17"/>
  <c r="C3" i="17"/>
  <c r="C4" i="17"/>
  <c r="C18" i="17"/>
  <c r="C8" i="17"/>
  <c r="C9" i="17"/>
  <c r="C12" i="17"/>
  <c r="C14" i="17"/>
  <c r="C15" i="17"/>
  <c r="C5" i="17"/>
  <c r="C16" i="17"/>
  <c r="C6" i="17"/>
  <c r="C17" i="17"/>
  <c r="C7" i="17"/>
  <c r="C2" i="10"/>
  <c r="C2" i="8"/>
  <c r="C3" i="8"/>
  <c r="C17" i="12"/>
  <c r="L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9" i="12"/>
  <c r="E86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B8" i="13" a="1"/>
  <c r="B8" i="13" l="1"/>
  <c r="I4" i="6"/>
  <c r="I9" i="6"/>
  <c r="I3" i="6"/>
  <c r="I13" i="6"/>
  <c r="I5" i="6"/>
  <c r="I6" i="6"/>
  <c r="I7" i="6"/>
  <c r="I8" i="6"/>
  <c r="I10" i="6"/>
  <c r="I11" i="6"/>
  <c r="I12" i="6"/>
  <c r="I2" i="6"/>
  <c r="A46" i="12"/>
  <c r="E87" i="12"/>
  <c r="E88" i="12" s="1"/>
  <c r="E89" i="12" s="1"/>
  <c r="E90" i="12" s="1"/>
  <c r="E91" i="12" s="1"/>
  <c r="G18" i="4" a="1"/>
  <c r="G5" i="4" a="1"/>
  <c r="G9" i="4" a="1"/>
  <c r="G2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B6" i="13" a="1"/>
  <c r="B9" i="13" a="1"/>
  <c r="B5" i="13" a="1"/>
  <c r="B11" i="13" a="1"/>
  <c r="B3" i="13" a="1"/>
  <c r="B4" i="13" a="1"/>
  <c r="B10" i="13" a="1"/>
  <c r="C8" i="13" a="1"/>
  <c r="B7" i="13" a="1"/>
  <c r="B24" i="13" a="1"/>
  <c r="B23" i="13" a="1"/>
  <c r="B22" i="13" a="1"/>
  <c r="B21" i="13" a="1"/>
  <c r="B20" i="13" a="1"/>
  <c r="B19" i="13" a="1"/>
  <c r="B18" i="13" a="1"/>
  <c r="B17" i="13" a="1"/>
  <c r="B16" i="13" a="1"/>
  <c r="B15" i="13" a="1"/>
  <c r="B14" i="13" a="1"/>
  <c r="B13" i="13" a="1"/>
  <c r="B12" i="13" a="1"/>
  <c r="C46" i="12" a="1"/>
  <c r="L89" i="12" a="1"/>
  <c r="C2" i="12" a="1"/>
  <c r="C89" i="12" a="1"/>
  <c r="L46" i="12" a="1"/>
  <c r="L89" i="12" l="1"/>
  <c r="C89" i="12"/>
  <c r="C8" i="13"/>
  <c r="B16" i="13"/>
  <c r="B6" i="13"/>
  <c r="B17" i="13"/>
  <c r="B7" i="13"/>
  <c r="B18" i="13"/>
  <c r="B9" i="13"/>
  <c r="B19" i="13"/>
  <c r="G21" i="4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46" i="12"/>
  <c r="L46" i="12"/>
  <c r="C5" i="13" a="1"/>
  <c r="C3" i="13" a="1"/>
  <c r="B2" i="13" a="1"/>
  <c r="C6" i="13" a="1"/>
  <c r="C10" i="13" a="1"/>
  <c r="C4" i="13" a="1"/>
  <c r="C7" i="13" a="1"/>
  <c r="C9" i="13" a="1"/>
  <c r="C11" i="13" a="1"/>
  <c r="C24" i="13" a="1"/>
  <c r="C23" i="13" a="1"/>
  <c r="C22" i="13" a="1"/>
  <c r="C21" i="13" a="1"/>
  <c r="C20" i="13" a="1"/>
  <c r="C19" i="13" a="1"/>
  <c r="C18" i="13" a="1"/>
  <c r="C17" i="13" a="1"/>
  <c r="C16" i="13" a="1"/>
  <c r="C15" i="13" a="1"/>
  <c r="C14" i="13" a="1"/>
  <c r="C13" i="13" a="1"/>
  <c r="C12" i="13" a="1"/>
  <c r="L108" i="12" a="1"/>
  <c r="L103" i="12" a="1"/>
  <c r="L105" i="12" a="1"/>
  <c r="L112" i="12" a="1"/>
  <c r="L110" i="12" a="1"/>
  <c r="L113" i="12" a="1"/>
  <c r="L98" i="12" a="1"/>
  <c r="L114" i="12" a="1"/>
  <c r="L99" i="12" a="1"/>
  <c r="L106" i="12" a="1"/>
  <c r="L111" i="12" a="1"/>
  <c r="L100" i="12" a="1"/>
  <c r="L97" i="12" a="1"/>
  <c r="L109" i="12" a="1"/>
  <c r="L101" i="12" a="1"/>
  <c r="L104" i="12" a="1"/>
  <c r="L117" i="12" a="1"/>
  <c r="L115" i="12" a="1"/>
  <c r="L107" i="12" a="1"/>
  <c r="C20" i="13" l="1"/>
  <c r="C17" i="13"/>
  <c r="C14" i="13"/>
  <c r="C10" i="13"/>
  <c r="C6" i="13"/>
  <c r="C16" i="13"/>
  <c r="C3" i="13"/>
  <c r="C15" i="13"/>
  <c r="C5" i="13"/>
  <c r="C21" i="13"/>
  <c r="C19" i="13"/>
  <c r="C4" i="13"/>
  <c r="C23" i="13"/>
  <c r="C11" i="13"/>
  <c r="C9" i="13"/>
  <c r="C12" i="13"/>
  <c r="C13" i="13"/>
  <c r="C18" i="13"/>
  <c r="C24" i="13"/>
  <c r="C22" i="13"/>
  <c r="C7" i="13"/>
  <c r="L108" i="12"/>
  <c r="L98" i="12"/>
  <c r="L109" i="12"/>
  <c r="L99" i="12"/>
  <c r="L110" i="12"/>
  <c r="L100" i="12"/>
  <c r="L111" i="12"/>
  <c r="L101" i="12"/>
  <c r="L112" i="12"/>
  <c r="L103" i="12"/>
  <c r="L113" i="12"/>
  <c r="L104" i="12"/>
  <c r="L114" i="12"/>
  <c r="L105" i="12"/>
  <c r="L115" i="12"/>
  <c r="L117" i="12"/>
  <c r="L106" i="12"/>
  <c r="L97" i="12"/>
  <c r="L107" i="12"/>
  <c r="B2" i="13"/>
  <c r="A3" i="7"/>
  <c r="A3" i="8"/>
  <c r="A131" i="12"/>
  <c r="A37" i="14"/>
  <c r="A36" i="14"/>
  <c r="A35" i="14"/>
  <c r="A19" i="13"/>
  <c r="A15" i="13"/>
  <c r="A11" i="13"/>
  <c r="A95" i="12"/>
  <c r="A84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4" i="14"/>
  <c r="A33" i="14"/>
  <c r="A32" i="14"/>
  <c r="A21" i="14"/>
  <c r="A20" i="14"/>
  <c r="A18" i="13"/>
  <c r="A94" i="12"/>
  <c r="E93" i="12"/>
  <c r="E94" i="12" s="1"/>
  <c r="E95" i="12" s="1"/>
  <c r="A93" i="12"/>
  <c r="A92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0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2" i="12"/>
  <c r="A130" i="12"/>
  <c r="E129" i="12"/>
  <c r="E130" i="12" s="1"/>
  <c r="E131" i="12" s="1"/>
  <c r="E132" i="12" s="1"/>
  <c r="A129" i="12"/>
  <c r="A128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7" i="12"/>
  <c r="A126" i="12"/>
  <c r="A125" i="12"/>
  <c r="E124" i="12"/>
  <c r="E125" i="12" s="1"/>
  <c r="E126" i="12" s="1"/>
  <c r="E127" i="12" s="1"/>
  <c r="A124" i="12"/>
  <c r="A123" i="12"/>
  <c r="A122" i="12"/>
  <c r="A121" i="12"/>
  <c r="A120" i="12"/>
  <c r="E119" i="12"/>
  <c r="E120" i="12" s="1"/>
  <c r="E121" i="12" s="1"/>
  <c r="E122" i="12" s="1"/>
  <c r="A119" i="12"/>
  <c r="A118" i="12"/>
  <c r="A117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E97" i="12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A97" i="12"/>
  <c r="A96" i="12"/>
  <c r="A91" i="12"/>
  <c r="A88" i="12"/>
  <c r="A87" i="12"/>
  <c r="A86" i="12"/>
  <c r="A85" i="12"/>
  <c r="A83" i="12"/>
  <c r="E82" i="12"/>
  <c r="E83" i="12" s="1"/>
  <c r="E84" i="12" s="1"/>
  <c r="A82" i="12"/>
  <c r="A81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E2" i="10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2" i="4" a="1"/>
  <c r="C14" i="4" a="1"/>
  <c r="C3" i="4" a="1"/>
  <c r="C6" i="4" a="1"/>
  <c r="E16" i="4" a="1"/>
  <c r="E12" i="4" a="1"/>
  <c r="E13" i="4" a="1"/>
  <c r="E4" i="4" a="1"/>
  <c r="E14" i="4" a="1"/>
  <c r="E15" i="4" a="1"/>
  <c r="E17" i="4" a="1"/>
  <c r="E8" i="4" a="1"/>
  <c r="E9" i="4" a="1"/>
  <c r="E21" i="4" a="1"/>
  <c r="E5" i="4" a="1"/>
  <c r="E6" i="4" a="1"/>
  <c r="E7" i="4" a="1"/>
  <c r="E18" i="4" a="1"/>
  <c r="E19" i="4" a="1"/>
  <c r="E10" i="4" a="1"/>
  <c r="E20" i="4" a="1"/>
  <c r="E11" i="4" a="1"/>
  <c r="E3" i="4" a="1"/>
  <c r="E22" i="4" a="1"/>
  <c r="C21" i="4" a="1"/>
  <c r="C7" i="4" a="1"/>
  <c r="C8" i="4" a="1"/>
  <c r="E2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E2" i="13" a="1"/>
  <c r="C2" i="13" a="1"/>
  <c r="E2" i="17" a="1"/>
  <c r="F7" i="11" a="1"/>
  <c r="F12" i="11" a="1"/>
  <c r="F6" i="11" a="1"/>
  <c r="F4" i="11" a="1"/>
  <c r="F8" i="11" a="1"/>
  <c r="F11" i="11" a="1"/>
  <c r="F2" i="11" a="1"/>
  <c r="F9" i="11" a="1"/>
  <c r="F3" i="11" a="1"/>
  <c r="F5" i="11" a="1"/>
  <c r="E22" i="4" l="1"/>
  <c r="E3" i="4"/>
  <c r="E11" i="4"/>
  <c r="E20" i="4"/>
  <c r="E10" i="4"/>
  <c r="E19" i="4"/>
  <c r="E18" i="4"/>
  <c r="E7" i="4"/>
  <c r="E6" i="4"/>
  <c r="E5" i="4"/>
  <c r="E21" i="4"/>
  <c r="E9" i="4"/>
  <c r="E8" i="4"/>
  <c r="E17" i="4"/>
  <c r="E15" i="4"/>
  <c r="E14" i="4"/>
  <c r="E4" i="4"/>
  <c r="E13" i="4"/>
  <c r="E12" i="4"/>
  <c r="E16" i="4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E2" i="4"/>
  <c r="C2" i="13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C25" i="2"/>
  <c r="C23" i="2"/>
  <c r="C17" i="2"/>
  <c r="C32" i="2"/>
  <c r="C12" i="2"/>
  <c r="C24" i="2"/>
  <c r="C9" i="2"/>
  <c r="C21" i="2"/>
  <c r="C33" i="2"/>
  <c r="C4" i="2"/>
  <c r="E2" i="17"/>
  <c r="C29" i="2"/>
  <c r="C14" i="2"/>
  <c r="C15" i="2"/>
  <c r="C8" i="2"/>
  <c r="C3" i="2"/>
  <c r="E2" i="13"/>
  <c r="F11" i="11"/>
  <c r="F12" i="11"/>
  <c r="F3" i="11"/>
  <c r="F9" i="11"/>
  <c r="F2" i="11"/>
  <c r="F7" i="11"/>
  <c r="F8" i="11"/>
  <c r="F6" i="11"/>
  <c r="F4" i="11"/>
  <c r="F5" i="11"/>
  <c r="D10" i="4" a="1"/>
  <c r="D12" i="4" a="1"/>
  <c r="D7" i="4" a="1"/>
  <c r="D18" i="4" a="1"/>
  <c r="D6" i="4" a="1"/>
  <c r="D11" i="4" a="1"/>
  <c r="D9" i="4" a="1"/>
  <c r="D21" i="4" a="1"/>
  <c r="D20" i="4" a="1"/>
  <c r="D4" i="4" a="1"/>
  <c r="D16" i="4" a="1"/>
  <c r="D13" i="4" a="1"/>
  <c r="D5" i="4" a="1"/>
  <c r="D8" i="4" a="1"/>
  <c r="D17" i="4" a="1"/>
  <c r="D2" i="4" a="1"/>
  <c r="D3" i="4" a="1"/>
  <c r="D15" i="4" a="1"/>
  <c r="D14" i="4" a="1"/>
  <c r="D19" i="4" a="1"/>
  <c r="C97" i="12" a="1"/>
  <c r="C26" i="12" a="1"/>
  <c r="L29" i="12" a="1"/>
  <c r="L15" i="12" a="1"/>
  <c r="L87" i="12" a="1"/>
  <c r="C37" i="12" a="1"/>
  <c r="I109" i="12" a="1"/>
  <c r="C52" i="12" a="1"/>
  <c r="L127" i="12" a="1"/>
  <c r="L60" i="12" a="1"/>
  <c r="I27" i="12" a="1"/>
  <c r="C96" i="12" a="1"/>
  <c r="C128" i="12" a="1"/>
  <c r="I57" i="12" a="1"/>
  <c r="L6" i="12" a="1"/>
  <c r="L122" i="12" a="1"/>
  <c r="L92" i="12" a="1"/>
  <c r="C98" i="12" a="1"/>
  <c r="L75" i="12" a="1"/>
  <c r="C112" i="12" a="1"/>
  <c r="I8" i="12" a="1"/>
  <c r="C104" i="12" a="1"/>
  <c r="I21" i="12" a="1"/>
  <c r="L119" i="12" a="1"/>
  <c r="C42" i="12" a="1"/>
  <c r="L20" i="12" a="1"/>
  <c r="C88" i="12" a="1"/>
  <c r="I105" i="12" a="1"/>
  <c r="L8" i="12" a="1"/>
  <c r="I98" i="12" a="1"/>
  <c r="L51" i="12" a="1"/>
  <c r="L25" i="12" a="1"/>
  <c r="C114" i="12" a="1"/>
  <c r="L39" i="12" a="1"/>
  <c r="I115" i="12" a="1"/>
  <c r="C111" i="12" a="1"/>
  <c r="C101" i="12" a="1"/>
  <c r="C35" i="12" a="1"/>
  <c r="I124" i="12" a="1"/>
  <c r="C4" i="12" a="1"/>
  <c r="C38" i="12" a="1"/>
  <c r="I92" i="12" a="1"/>
  <c r="C9" i="12" a="1"/>
  <c r="C29" i="12" a="1"/>
  <c r="C40" i="12" a="1"/>
  <c r="I38" i="12" a="1"/>
  <c r="C50" i="12" a="1"/>
  <c r="I18" i="12" a="1"/>
  <c r="L81" i="12" a="1"/>
  <c r="I39" i="12" a="1"/>
  <c r="L18" i="12" a="1"/>
  <c r="L44" i="12" a="1"/>
  <c r="C120" i="12" a="1"/>
  <c r="L54" i="12" a="1"/>
  <c r="C59" i="12" a="1"/>
  <c r="I29" i="12" a="1"/>
  <c r="L83" i="12" a="1"/>
  <c r="L55" i="12" a="1"/>
  <c r="I108" i="12" a="1"/>
  <c r="I58" i="12" a="1"/>
  <c r="C130" i="12" a="1"/>
  <c r="C10" i="12" a="1"/>
  <c r="I11" i="12" a="1"/>
  <c r="I106" i="12" a="1"/>
  <c r="C45" i="12" a="1"/>
  <c r="C117" i="12" a="1"/>
  <c r="L85" i="12" a="1"/>
  <c r="L94" i="12" a="1"/>
  <c r="C32" i="12" a="1"/>
  <c r="L40" i="12" a="1"/>
  <c r="L95" i="12" a="1"/>
  <c r="C43" i="12" a="1"/>
  <c r="C90" i="12" a="1"/>
  <c r="L43" i="12" a="1"/>
  <c r="I43" i="12" a="1"/>
  <c r="I26" i="12" a="1"/>
  <c r="I86" i="12" a="1"/>
  <c r="C7" i="12" a="1"/>
  <c r="I121" i="12" a="1"/>
  <c r="C47" i="12" a="1"/>
  <c r="I14" i="12" a="1"/>
  <c r="I97" i="12" a="1"/>
  <c r="L41" i="12" a="1"/>
  <c r="I100" i="12" a="1"/>
  <c r="C113" i="12" a="1"/>
  <c r="C127" i="12" a="1"/>
  <c r="L49" i="12" a="1"/>
  <c r="I40" i="12" a="1"/>
  <c r="I48" i="12" a="1"/>
  <c r="I53" i="12" a="1"/>
  <c r="C58" i="12" a="1"/>
  <c r="L77" i="12" a="1"/>
  <c r="L22" i="12" a="1"/>
  <c r="I84" i="12" a="1"/>
  <c r="I3" i="12" a="1"/>
  <c r="C86" i="12" a="1"/>
  <c r="I56" i="12" a="1"/>
  <c r="C13" i="12" a="1"/>
  <c r="L42" i="12" a="1"/>
  <c r="I96" i="12" a="1"/>
  <c r="L129" i="12" a="1"/>
  <c r="C14" i="12" a="1"/>
  <c r="C3" i="12" a="1"/>
  <c r="I103" i="12" a="1"/>
  <c r="I116" i="12" a="1"/>
  <c r="L78" i="12" a="1"/>
  <c r="C51" i="12" a="1"/>
  <c r="L58" i="12" a="1"/>
  <c r="I6" i="12" a="1"/>
  <c r="L124" i="12" a="1"/>
  <c r="I24" i="12" a="1"/>
  <c r="I20" i="12" a="1"/>
  <c r="L121" i="12" a="1"/>
  <c r="L16" i="12" a="1"/>
  <c r="I101" i="12" a="1"/>
  <c r="I111" i="12" a="1"/>
  <c r="L4" i="12" a="1"/>
  <c r="L125" i="12" a="1"/>
  <c r="L86" i="12" a="1"/>
  <c r="L128" i="12" a="1"/>
  <c r="I94" i="12" a="1"/>
  <c r="L23" i="12" a="1"/>
  <c r="L27" i="12" a="1"/>
  <c r="C53" i="12" a="1"/>
  <c r="I59" i="12" a="1"/>
  <c r="I54" i="12" a="1"/>
  <c r="I79" i="12" a="1"/>
  <c r="I110" i="12" a="1"/>
  <c r="I37" i="12" a="1"/>
  <c r="C87" i="12" a="1"/>
  <c r="C91" i="12" a="1"/>
  <c r="C123" i="12" a="1"/>
  <c r="I83" i="12" a="1"/>
  <c r="C118" i="12" a="1"/>
  <c r="C81" i="12" a="1"/>
  <c r="C131" i="12" a="1"/>
  <c r="C124" i="12" a="1"/>
  <c r="I80" i="12" a="1"/>
  <c r="L47" i="12" a="1"/>
  <c r="I129" i="12" a="1"/>
  <c r="C129" i="12" a="1"/>
  <c r="C44" i="12" a="1"/>
  <c r="I130" i="12" a="1"/>
  <c r="I28" i="12" a="1"/>
  <c r="C56" i="12" a="1"/>
  <c r="L10" i="12" a="1"/>
  <c r="I36" i="12" a="1"/>
  <c r="L14" i="12" a="1"/>
  <c r="I50" i="12" a="1"/>
  <c r="L21" i="12" a="1"/>
  <c r="L62" i="12" a="1"/>
  <c r="C115" i="12" a="1"/>
  <c r="L120" i="12" a="1"/>
  <c r="C36" i="12" a="1"/>
  <c r="I41" i="12" a="1"/>
  <c r="C110" i="12" a="1"/>
  <c r="L131" i="12" a="1"/>
  <c r="I128" i="12" a="1"/>
  <c r="I123" i="12" a="1"/>
  <c r="C5" i="12" a="1"/>
  <c r="L45" i="12" a="1"/>
  <c r="C125" i="12" a="1"/>
  <c r="I10" i="12" a="1"/>
  <c r="L56" i="12" a="1"/>
  <c r="L9" i="12" a="1"/>
  <c r="C15" i="12" a="1"/>
  <c r="C39" i="12" a="1"/>
  <c r="L7" i="12" a="1"/>
  <c r="I45" i="12" a="1"/>
  <c r="C61" i="12" a="1"/>
  <c r="L80" i="12" a="1"/>
  <c r="I2" i="12" a="1"/>
  <c r="L36" i="12" a="1"/>
  <c r="L38" i="12" a="1"/>
  <c r="C106" i="12" a="1"/>
  <c r="C55" i="12" a="1"/>
  <c r="I125" i="12" a="1"/>
  <c r="L61" i="12" a="1"/>
  <c r="C18" i="12" a="1"/>
  <c r="C25" i="12" a="1"/>
  <c r="J2" i="12" a="1"/>
  <c r="C12" i="12" a="1"/>
  <c r="I90" i="12" a="1"/>
  <c r="I44" i="12" a="1"/>
  <c r="I93" i="12" a="1"/>
  <c r="C79" i="12" a="1"/>
  <c r="C22" i="12" a="1"/>
  <c r="C105" i="12" a="1"/>
  <c r="C49" i="12" a="1"/>
  <c r="I62" i="12" a="1"/>
  <c r="L93" i="12" a="1"/>
  <c r="C84" i="12" a="1"/>
  <c r="C28" i="12" a="1"/>
  <c r="I81" i="12" a="1"/>
  <c r="C62" i="12" a="1"/>
  <c r="L13" i="12" a="1"/>
  <c r="I35" i="12" a="1"/>
  <c r="C31" i="12" a="1"/>
  <c r="I5" i="12" a="1"/>
  <c r="L79" i="12" a="1"/>
  <c r="I107" i="12" a="1"/>
  <c r="I119" i="12" a="1"/>
  <c r="C108" i="12" a="1"/>
  <c r="I30" i="12" a="1"/>
  <c r="C80" i="12" a="1"/>
  <c r="C16" i="12" a="1"/>
  <c r="L26" i="12" a="1"/>
  <c r="I85" i="12" a="1"/>
  <c r="I4" i="12" a="1"/>
  <c r="I91" i="12" a="1"/>
  <c r="I15" i="12" a="1"/>
  <c r="L130" i="12" a="1"/>
  <c r="I52" i="12" a="1"/>
  <c r="C109" i="12" a="1"/>
  <c r="I126" i="12" a="1"/>
  <c r="L34" i="12" a="1"/>
  <c r="I13" i="12" a="1"/>
  <c r="I127" i="12" a="1"/>
  <c r="I47" i="12" a="1"/>
  <c r="L132" i="12" a="1"/>
  <c r="C8" i="12" a="1"/>
  <c r="I17" i="12" a="1"/>
  <c r="L90" i="12" a="1"/>
  <c r="I16" i="12" a="1"/>
  <c r="L31" i="12" a="1"/>
  <c r="L24" i="12" a="1"/>
  <c r="L118" i="12" a="1"/>
  <c r="L32" i="12" a="1"/>
  <c r="C24" i="12" a="1"/>
  <c r="I51" i="12" a="1"/>
  <c r="I122" i="12" a="1"/>
  <c r="L88" i="12" a="1"/>
  <c r="C99" i="12" a="1"/>
  <c r="I87" i="12" a="1"/>
  <c r="L82" i="12" a="1"/>
  <c r="C77" i="12" a="1"/>
  <c r="C75" i="12" a="1"/>
  <c r="I19" i="12" a="1"/>
  <c r="I120" i="12" a="1"/>
  <c r="C20" i="12" a="1"/>
  <c r="C100" i="12" a="1"/>
  <c r="I132" i="12" a="1"/>
  <c r="I63" i="12" a="1"/>
  <c r="I31" i="12" a="1"/>
  <c r="C92" i="12" a="1"/>
  <c r="I34" i="12" a="1"/>
  <c r="I95" i="12" a="1"/>
  <c r="C33" i="12" a="1"/>
  <c r="C23" i="12" a="1"/>
  <c r="C85" i="12" a="1"/>
  <c r="L3" i="12" a="1"/>
  <c r="I25" i="12" a="1"/>
  <c r="L84" i="12" a="1"/>
  <c r="C83" i="12" a="1"/>
  <c r="L91" i="12" a="1"/>
  <c r="L52" i="12" a="1"/>
  <c r="C82" i="12" a="1"/>
  <c r="C34" i="12" a="1"/>
  <c r="I88" i="12" a="1"/>
  <c r="L48" i="12" a="1"/>
  <c r="C132" i="12" a="1"/>
  <c r="I77" i="12" a="1"/>
  <c r="C126" i="12" a="1"/>
  <c r="I114" i="12" a="1"/>
  <c r="I104" i="12" a="1"/>
  <c r="C94" i="12" a="1"/>
  <c r="L33" i="12" a="1"/>
  <c r="C122" i="12" a="1"/>
  <c r="C93" i="12" a="1"/>
  <c r="C48" i="12" a="1"/>
  <c r="C103" i="12" a="1"/>
  <c r="I89" i="12" a="1"/>
  <c r="L57" i="12" a="1"/>
  <c r="L19" i="12" a="1"/>
  <c r="I23" i="12" a="1"/>
  <c r="C119" i="12" a="1"/>
  <c r="C95" i="12" a="1"/>
  <c r="C60" i="12" a="1"/>
  <c r="C19" i="12" a="1"/>
  <c r="L63" i="12" a="1"/>
  <c r="L123" i="12" a="1"/>
  <c r="L2" i="12" a="1"/>
  <c r="L50" i="12" a="1"/>
  <c r="L96" i="12" a="1"/>
  <c r="I112" i="12" a="1"/>
  <c r="C54" i="12" a="1"/>
  <c r="I42" i="12" a="1"/>
  <c r="I9" i="12" a="1"/>
  <c r="C63" i="12" a="1"/>
  <c r="I49" i="12" a="1"/>
  <c r="I32" i="12" a="1"/>
  <c r="C27" i="12" a="1"/>
  <c r="C41" i="12" a="1"/>
  <c r="I99" i="12" a="1"/>
  <c r="I12" i="12" a="1"/>
  <c r="C6" i="12" a="1"/>
  <c r="L59" i="12" a="1"/>
  <c r="C57" i="12" a="1"/>
  <c r="I60" i="12" a="1"/>
  <c r="I82" i="12" a="1"/>
  <c r="L30" i="12" a="1"/>
  <c r="I118" i="12" a="1"/>
  <c r="L53" i="12" a="1"/>
  <c r="I117" i="12" a="1"/>
  <c r="L28" i="12" a="1"/>
  <c r="L35" i="12" a="1"/>
  <c r="C30" i="12" a="1"/>
  <c r="C21" i="12" a="1"/>
  <c r="I78" i="12" a="1"/>
  <c r="I75" i="12" a="1"/>
  <c r="I46" i="12" a="1"/>
  <c r="C107" i="12" a="1"/>
  <c r="I61" i="12" a="1"/>
  <c r="I131" i="12" a="1"/>
  <c r="I55" i="12" a="1"/>
  <c r="C121" i="12" a="1"/>
  <c r="I7" i="12" a="1"/>
  <c r="L12" i="12" a="1"/>
  <c r="L37" i="12" a="1"/>
  <c r="L126" i="12" a="1"/>
  <c r="I33" i="12" a="1"/>
  <c r="I113" i="12" a="1"/>
  <c r="I22" i="12" a="1"/>
  <c r="L5" i="12" a="1"/>
  <c r="C78" i="12" a="1"/>
  <c r="I50" i="12" l="1"/>
  <c r="J2" i="12"/>
  <c r="I109" i="12"/>
  <c r="I114" i="12"/>
  <c r="I20" i="12"/>
  <c r="I23" i="12"/>
  <c r="I111" i="12"/>
  <c r="I90" i="12"/>
  <c r="I10" i="12"/>
  <c r="I59" i="12"/>
  <c r="I21" i="12"/>
  <c r="I22" i="12"/>
  <c r="I46" i="12"/>
  <c r="I26" i="12"/>
  <c r="I12" i="12"/>
  <c r="I7" i="12"/>
  <c r="I8" i="12"/>
  <c r="I6" i="12"/>
  <c r="I113" i="12"/>
  <c r="I110" i="12"/>
  <c r="I11" i="12"/>
  <c r="I117" i="12"/>
  <c r="I24" i="12"/>
  <c r="I122" i="12"/>
  <c r="I112" i="12"/>
  <c r="I9" i="12"/>
  <c r="I132" i="12"/>
  <c r="I127" i="12"/>
  <c r="I115" i="12"/>
  <c r="I116" i="12"/>
  <c r="I25" i="12"/>
  <c r="I19" i="12"/>
  <c r="I44" i="12"/>
  <c r="I17" i="12"/>
  <c r="I107" i="12"/>
  <c r="I37" i="12"/>
  <c r="I18" i="12"/>
  <c r="I106" i="12"/>
  <c r="I108" i="12"/>
  <c r="I38" i="12"/>
  <c r="I39" i="12"/>
  <c r="I103" i="12"/>
  <c r="I43" i="12"/>
  <c r="I84" i="12"/>
  <c r="I57" i="12"/>
  <c r="I95" i="12"/>
  <c r="I121" i="12"/>
  <c r="I52" i="12"/>
  <c r="I51" i="12"/>
  <c r="I63" i="12"/>
  <c r="I88" i="12"/>
  <c r="I79" i="12"/>
  <c r="I80" i="12"/>
  <c r="I56" i="12"/>
  <c r="I131" i="12"/>
  <c r="I101" i="12"/>
  <c r="I3" i="12"/>
  <c r="I77" i="12"/>
  <c r="I33" i="12"/>
  <c r="I104" i="12"/>
  <c r="I55" i="12"/>
  <c r="I28" i="12"/>
  <c r="I86" i="12"/>
  <c r="I87" i="12"/>
  <c r="I15" i="12"/>
  <c r="I42" i="12"/>
  <c r="I105" i="12"/>
  <c r="I78" i="12"/>
  <c r="I35" i="12"/>
  <c r="I2" i="12"/>
  <c r="I14" i="12"/>
  <c r="I45" i="12"/>
  <c r="I58" i="12"/>
  <c r="I31" i="12"/>
  <c r="I13" i="12"/>
  <c r="I32" i="12"/>
  <c r="I53" i="12"/>
  <c r="I48" i="12"/>
  <c r="I89" i="12"/>
  <c r="I75" i="12"/>
  <c r="I93" i="12"/>
  <c r="I99" i="12"/>
  <c r="I30" i="12"/>
  <c r="I129" i="12"/>
  <c r="I82" i="12"/>
  <c r="I124" i="12"/>
  <c r="I97" i="12"/>
  <c r="I16" i="12"/>
  <c r="I130" i="12"/>
  <c r="I91" i="12"/>
  <c r="I123" i="12"/>
  <c r="I83" i="12"/>
  <c r="I119" i="12"/>
  <c r="I61" i="12"/>
  <c r="I62" i="12"/>
  <c r="I96" i="12"/>
  <c r="I126" i="12"/>
  <c r="I120" i="12"/>
  <c r="I47" i="12"/>
  <c r="I92" i="12"/>
  <c r="I81" i="12"/>
  <c r="I54" i="12"/>
  <c r="I128" i="12"/>
  <c r="I118" i="12"/>
  <c r="I100" i="12"/>
  <c r="I60" i="12"/>
  <c r="I94" i="12"/>
  <c r="I41" i="12"/>
  <c r="I85" i="12"/>
  <c r="I27" i="12"/>
  <c r="I5" i="12"/>
  <c r="I4" i="12"/>
  <c r="I36" i="12"/>
  <c r="I29" i="12"/>
  <c r="I40" i="12"/>
  <c r="I98" i="12"/>
  <c r="I34" i="12"/>
  <c r="I125" i="12"/>
  <c r="I49" i="12"/>
  <c r="L56" i="12"/>
  <c r="L95" i="12"/>
  <c r="L77" i="12"/>
  <c r="C99" i="12"/>
  <c r="C6" i="12"/>
  <c r="C83" i="12"/>
  <c r="C122" i="12"/>
  <c r="L29" i="12"/>
  <c r="L61" i="12"/>
  <c r="C5" i="12"/>
  <c r="C115" i="12"/>
  <c r="C129" i="12"/>
  <c r="L130" i="12"/>
  <c r="L19" i="12"/>
  <c r="C33" i="12"/>
  <c r="C4" i="12"/>
  <c r="L87" i="12"/>
  <c r="L42" i="12"/>
  <c r="L36" i="12"/>
  <c r="C132" i="12"/>
  <c r="L26" i="12"/>
  <c r="C81" i="12"/>
  <c r="L62" i="12"/>
  <c r="L43" i="12"/>
  <c r="L10" i="12"/>
  <c r="L40" i="12"/>
  <c r="C84" i="12"/>
  <c r="L31" i="12"/>
  <c r="L125" i="12"/>
  <c r="C36" i="12"/>
  <c r="L5" i="12"/>
  <c r="C35" i="12"/>
  <c r="C29" i="12"/>
  <c r="L57" i="12"/>
  <c r="L120" i="12"/>
  <c r="C125" i="12"/>
  <c r="L124" i="12"/>
  <c r="L92" i="12"/>
  <c r="C117" i="12"/>
  <c r="L94" i="12"/>
  <c r="L80" i="12"/>
  <c r="L25" i="12"/>
  <c r="C106" i="12"/>
  <c r="L18" i="12"/>
  <c r="L48" i="12"/>
  <c r="L129" i="12"/>
  <c r="L81" i="12"/>
  <c r="C62" i="12"/>
  <c r="C57" i="12"/>
  <c r="L118" i="12"/>
  <c r="L9" i="12"/>
  <c r="C34" i="12"/>
  <c r="C48" i="12"/>
  <c r="C63" i="12"/>
  <c r="C13" i="12"/>
  <c r="L58" i="12"/>
  <c r="L7" i="12"/>
  <c r="C127" i="12"/>
  <c r="L28" i="12"/>
  <c r="C39" i="12"/>
  <c r="C124" i="12"/>
  <c r="L126" i="12"/>
  <c r="C94" i="12"/>
  <c r="L60" i="12"/>
  <c r="C131" i="12"/>
  <c r="L96" i="12"/>
  <c r="L122" i="12"/>
  <c r="L119" i="12"/>
  <c r="C120" i="12"/>
  <c r="L132" i="12"/>
  <c r="L37" i="12"/>
  <c r="L52" i="12"/>
  <c r="C80" i="12"/>
  <c r="C41" i="12"/>
  <c r="L45" i="12"/>
  <c r="C110" i="12"/>
  <c r="C31" i="12"/>
  <c r="L88" i="12"/>
  <c r="C44" i="12"/>
  <c r="C32" i="12"/>
  <c r="L59" i="12"/>
  <c r="C3" i="12"/>
  <c r="C30" i="12"/>
  <c r="C79" i="12"/>
  <c r="C42" i="12"/>
  <c r="C60" i="12"/>
  <c r="L16" i="12"/>
  <c r="L22" i="12"/>
  <c r="C123" i="12"/>
  <c r="C61" i="12"/>
  <c r="C130" i="12"/>
  <c r="C98" i="12"/>
  <c r="C126" i="12"/>
  <c r="C49" i="12"/>
  <c r="C77" i="12"/>
  <c r="L83" i="12"/>
  <c r="C113" i="12"/>
  <c r="L127" i="12"/>
  <c r="C28" i="12"/>
  <c r="L91" i="12"/>
  <c r="C8" i="12"/>
  <c r="L55" i="12"/>
  <c r="C52" i="12"/>
  <c r="L85" i="12"/>
  <c r="C75" i="12"/>
  <c r="C24" i="12"/>
  <c r="C107" i="12"/>
  <c r="C100" i="12"/>
  <c r="L8" i="12"/>
  <c r="L27" i="12"/>
  <c r="C90" i="12"/>
  <c r="L51" i="12"/>
  <c r="C121" i="12"/>
  <c r="C23" i="12"/>
  <c r="L15" i="12"/>
  <c r="C104" i="12"/>
  <c r="C119" i="12"/>
  <c r="C101" i="12"/>
  <c r="C54" i="12"/>
  <c r="C92" i="12"/>
  <c r="L41" i="12"/>
  <c r="L39" i="12"/>
  <c r="C37" i="12"/>
  <c r="L3" i="12"/>
  <c r="L50" i="12"/>
  <c r="C21" i="12"/>
  <c r="C25" i="12"/>
  <c r="C51" i="12"/>
  <c r="C86" i="12"/>
  <c r="C97" i="12"/>
  <c r="C47" i="12"/>
  <c r="L90" i="12"/>
  <c r="C85" i="12"/>
  <c r="L23" i="12"/>
  <c r="C38" i="12"/>
  <c r="L79" i="12"/>
  <c r="L93" i="12"/>
  <c r="L53" i="12"/>
  <c r="C82" i="12"/>
  <c r="L121" i="12"/>
  <c r="L128" i="12"/>
  <c r="C22" i="12"/>
  <c r="L35" i="12"/>
  <c r="L131" i="12"/>
  <c r="C10" i="12"/>
  <c r="C128" i="12"/>
  <c r="L33" i="12"/>
  <c r="C96" i="12"/>
  <c r="C118" i="12"/>
  <c r="L24" i="12"/>
  <c r="C45" i="12"/>
  <c r="L20" i="12"/>
  <c r="L123" i="12"/>
  <c r="L12" i="12"/>
  <c r="C58" i="12"/>
  <c r="C56" i="12"/>
  <c r="L75" i="12"/>
  <c r="L2" i="12"/>
  <c r="L49" i="12"/>
  <c r="L21" i="12"/>
  <c r="L14" i="12"/>
  <c r="L54" i="12"/>
  <c r="L13" i="12"/>
  <c r="L44" i="12"/>
  <c r="C112" i="12"/>
  <c r="L86" i="12"/>
  <c r="C95" i="12"/>
  <c r="C15" i="12"/>
  <c r="C55" i="12"/>
  <c r="C19" i="12"/>
  <c r="C20" i="12"/>
  <c r="C114" i="12"/>
  <c r="C88" i="12"/>
  <c r="C93" i="12"/>
  <c r="C111" i="12"/>
  <c r="C43" i="12"/>
  <c r="C12" i="12"/>
  <c r="C16" i="12"/>
  <c r="L34" i="12"/>
  <c r="C18" i="12"/>
  <c r="C9" i="12"/>
  <c r="L63" i="12"/>
  <c r="L4" i="12"/>
  <c r="C87" i="12"/>
  <c r="L84" i="12"/>
  <c r="L82" i="12"/>
  <c r="L6" i="12"/>
  <c r="C27" i="12"/>
  <c r="C78" i="12"/>
  <c r="C26" i="12"/>
  <c r="L32" i="12"/>
  <c r="L38" i="12"/>
  <c r="C59" i="12"/>
  <c r="C105" i="12"/>
  <c r="L30" i="12"/>
  <c r="C40" i="12"/>
  <c r="C7" i="12"/>
  <c r="L47" i="12"/>
  <c r="C108" i="12"/>
  <c r="C53" i="12"/>
  <c r="C109" i="12"/>
  <c r="C50" i="12"/>
  <c r="C91" i="12"/>
  <c r="L78" i="12"/>
  <c r="C103" i="12"/>
  <c r="C14" i="12"/>
  <c r="D18" i="4"/>
  <c r="D5" i="4"/>
  <c r="D6" i="4"/>
  <c r="D17" i="4"/>
  <c r="D4" i="4"/>
  <c r="D3" i="4"/>
  <c r="D2" i="4"/>
  <c r="D7" i="4"/>
  <c r="D12" i="4"/>
  <c r="D21" i="4"/>
  <c r="D11" i="4"/>
  <c r="D20" i="4"/>
  <c r="D10" i="4"/>
  <c r="D19" i="4"/>
  <c r="D9" i="4"/>
  <c r="D8" i="4"/>
  <c r="D16" i="4"/>
  <c r="D15" i="4"/>
  <c r="D14" i="4"/>
  <c r="D13" i="4"/>
  <c r="H130" i="12" a="1"/>
  <c r="H87" i="12" a="1"/>
  <c r="H75" i="12" a="1"/>
  <c r="H2" i="12" a="1"/>
  <c r="H21" i="12" a="1"/>
  <c r="H32" i="12" a="1"/>
  <c r="H5" i="12" a="1"/>
  <c r="H16" i="12" a="1"/>
  <c r="H61" i="12" a="1"/>
  <c r="H98" i="12" a="1"/>
  <c r="H110" i="12" a="1"/>
  <c r="H82" i="12" a="1"/>
  <c r="H25" i="12" a="1"/>
  <c r="H95" i="12" a="1"/>
  <c r="H84" i="12" a="1"/>
  <c r="H51" i="12" a="1"/>
  <c r="H59" i="12" a="1"/>
  <c r="H93" i="12" a="1"/>
  <c r="H60" i="12" a="1"/>
  <c r="H78" i="12" a="1"/>
  <c r="H27" i="12" a="1"/>
  <c r="H132" i="12" a="1"/>
  <c r="H107" i="12" a="1"/>
  <c r="H114" i="12" a="1"/>
  <c r="H9" i="12" a="1"/>
  <c r="H113" i="12" a="1"/>
  <c r="H77" i="12" a="1"/>
  <c r="H55" i="12" a="1"/>
  <c r="H131" i="12" a="1"/>
  <c r="H18" i="12" a="1"/>
  <c r="H43" i="12" a="1"/>
  <c r="H41" i="12" a="1"/>
  <c r="H57" i="12" a="1"/>
  <c r="H52" i="12" a="1"/>
  <c r="H104" i="12" a="1"/>
  <c r="H92" i="12" a="1"/>
  <c r="H34" i="12" a="1"/>
  <c r="H40" i="12" a="1"/>
  <c r="H44" i="12" a="1"/>
  <c r="H101" i="12" a="1"/>
  <c r="H17" i="12" a="1"/>
  <c r="H108" i="12" a="1"/>
  <c r="H100" i="12" a="1"/>
  <c r="H38" i="12" a="1"/>
  <c r="H11" i="12" a="1"/>
  <c r="H106" i="12" a="1"/>
  <c r="H39" i="12" a="1"/>
  <c r="H119" i="12" a="1"/>
  <c r="H79" i="12" a="1"/>
  <c r="H48" i="12" a="1"/>
  <c r="H105" i="12" a="1"/>
  <c r="H20" i="12" a="1"/>
  <c r="H37" i="12" a="1"/>
  <c r="H58" i="12" a="1"/>
  <c r="H23" i="12" a="1"/>
  <c r="H30" i="12" a="1"/>
  <c r="H124" i="12" a="1"/>
  <c r="H10" i="12" a="1"/>
  <c r="H81" i="12" a="1"/>
  <c r="H96" i="12" a="1"/>
  <c r="H7" i="12" a="1"/>
  <c r="H62" i="12" a="1"/>
  <c r="H56" i="12" a="1"/>
  <c r="H109" i="12" a="1"/>
  <c r="H112" i="12" a="1"/>
  <c r="H3" i="12" a="1"/>
  <c r="H125" i="12" a="1"/>
  <c r="H45" i="12" a="1"/>
  <c r="H8" i="12" a="1"/>
  <c r="H122" i="12" a="1"/>
  <c r="H97" i="12" a="1"/>
  <c r="H36" i="12" a="1"/>
  <c r="H26" i="12" a="1"/>
  <c r="H103" i="12" a="1"/>
  <c r="H22" i="12" a="1"/>
  <c r="H88" i="12" a="1"/>
  <c r="H63" i="12" a="1"/>
  <c r="H86" i="12" a="1"/>
  <c r="H24" i="12" a="1"/>
  <c r="H42" i="12" a="1"/>
  <c r="H85" i="12" a="1"/>
  <c r="H35" i="12" a="1"/>
  <c r="H99" i="12" a="1"/>
  <c r="H6" i="12" a="1"/>
  <c r="H91" i="12" a="1"/>
  <c r="H15" i="12" a="1"/>
  <c r="H12" i="12" a="1"/>
  <c r="H118" i="12" a="1"/>
  <c r="H46" i="12" a="1"/>
  <c r="H83" i="12" a="1"/>
  <c r="H90" i="12" a="1"/>
  <c r="H94" i="12" a="1"/>
  <c r="H47" i="12" a="1"/>
  <c r="H31" i="12" a="1"/>
  <c r="H128" i="12" a="1"/>
  <c r="H115" i="12" a="1"/>
  <c r="H80" i="12" a="1"/>
  <c r="H126" i="12" a="1"/>
  <c r="H4" i="12" a="1"/>
  <c r="H121" i="12" a="1"/>
  <c r="H50" i="12" a="1"/>
  <c r="H117" i="12" a="1"/>
  <c r="H54" i="12" a="1"/>
  <c r="H49" i="12" a="1"/>
  <c r="H29" i="12" a="1"/>
  <c r="H28" i="12" a="1"/>
  <c r="H123" i="12" a="1"/>
  <c r="H13" i="12" a="1"/>
  <c r="H53" i="12" a="1"/>
  <c r="H89" i="12" a="1"/>
  <c r="H127" i="12" a="1"/>
  <c r="H19" i="12" a="1"/>
  <c r="H129" i="12" a="1"/>
  <c r="H14" i="12" a="1"/>
  <c r="H120" i="12" a="1"/>
  <c r="H111" i="12" a="1"/>
  <c r="H116" i="12" a="1"/>
  <c r="H33" i="12" a="1"/>
  <c r="H11" i="12" l="1"/>
  <c r="H116" i="12"/>
  <c r="H23" i="12"/>
  <c r="H25" i="12"/>
  <c r="H46" i="12"/>
  <c r="H113" i="12"/>
  <c r="H19" i="12"/>
  <c r="H7" i="12"/>
  <c r="H10" i="12"/>
  <c r="H117" i="12"/>
  <c r="H110" i="12"/>
  <c r="H20" i="12"/>
  <c r="H21" i="12"/>
  <c r="H115" i="12"/>
  <c r="H132" i="12"/>
  <c r="H8" i="12"/>
  <c r="H59" i="12"/>
  <c r="H122" i="12"/>
  <c r="H26" i="12"/>
  <c r="H9" i="12"/>
  <c r="H90" i="12"/>
  <c r="H111" i="12"/>
  <c r="H114" i="12"/>
  <c r="H12" i="12"/>
  <c r="H112" i="12"/>
  <c r="H6" i="12"/>
  <c r="H127" i="12"/>
  <c r="H109" i="12"/>
  <c r="H24" i="12"/>
  <c r="H22" i="12"/>
  <c r="H47" i="12"/>
  <c r="H82" i="12"/>
  <c r="H92" i="12"/>
  <c r="H60" i="12"/>
  <c r="H129" i="12"/>
  <c r="H62" i="12"/>
  <c r="H120" i="12"/>
  <c r="H130" i="12"/>
  <c r="H100" i="12"/>
  <c r="H99" i="12"/>
  <c r="H85" i="12"/>
  <c r="H94" i="12"/>
  <c r="H96" i="12"/>
  <c r="H91" i="12"/>
  <c r="H93" i="12"/>
  <c r="H61" i="12"/>
  <c r="H30" i="12"/>
  <c r="H118" i="12"/>
  <c r="H48" i="12"/>
  <c r="H97" i="12"/>
  <c r="H89" i="12"/>
  <c r="H75" i="12"/>
  <c r="H128" i="12"/>
  <c r="H126" i="12"/>
  <c r="H81" i="12"/>
  <c r="H53" i="12"/>
  <c r="H124" i="12"/>
  <c r="H123" i="12"/>
  <c r="H41" i="12"/>
  <c r="H32" i="12"/>
  <c r="H83" i="12"/>
  <c r="H27" i="12"/>
  <c r="H16" i="12"/>
  <c r="H119" i="12"/>
  <c r="H54" i="12"/>
  <c r="H4" i="12"/>
  <c r="H103" i="12"/>
  <c r="H88" i="12"/>
  <c r="H43" i="12"/>
  <c r="H84" i="12"/>
  <c r="H63" i="12"/>
  <c r="H95" i="12"/>
  <c r="H121" i="12"/>
  <c r="H52" i="12"/>
  <c r="H79" i="12"/>
  <c r="H57" i="12"/>
  <c r="H51" i="12"/>
  <c r="H5" i="12"/>
  <c r="H31" i="12"/>
  <c r="H45" i="12"/>
  <c r="H14" i="12"/>
  <c r="H13" i="12"/>
  <c r="H2" i="12"/>
  <c r="H35" i="12"/>
  <c r="H58" i="12"/>
  <c r="H56" i="12"/>
  <c r="H131" i="12"/>
  <c r="H80" i="12"/>
  <c r="H49" i="12"/>
  <c r="H125" i="12"/>
  <c r="H34" i="12"/>
  <c r="H98" i="12"/>
  <c r="H50" i="12"/>
  <c r="H40" i="12"/>
  <c r="H78" i="12"/>
  <c r="H77" i="12"/>
  <c r="H33" i="12"/>
  <c r="H87" i="12"/>
  <c r="H101" i="12"/>
  <c r="H105" i="12"/>
  <c r="H3" i="12"/>
  <c r="H15" i="12"/>
  <c r="H28" i="12"/>
  <c r="H104" i="12"/>
  <c r="H42" i="12"/>
  <c r="H55" i="12"/>
  <c r="H86" i="12"/>
  <c r="H36" i="12"/>
  <c r="H29" i="12"/>
  <c r="H44" i="12"/>
  <c r="H17" i="12"/>
  <c r="H108" i="12"/>
  <c r="H107" i="12"/>
  <c r="H18" i="12"/>
  <c r="H38" i="12"/>
  <c r="H37" i="12"/>
  <c r="H39" i="12"/>
  <c r="H10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<sst xmlns="http://schemas.openxmlformats.org/spreadsheetml/2006/main" count="1101" uniqueCount="518">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</sst>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D5" sqref="D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419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404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307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7" activePane="bottomLeft" state="frozen"/>
      <selection pane="bottomLeft" activeCell="B22" sqref="B2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349</v>
      </c>
      <c r="D1" s="1" t="s">
        <v>1</v>
      </c>
      <c r="E1" s="1" t="s">
        <v>385</v>
      </c>
      <c r="F1" s="1" t="s">
        <v>405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391</v>
      </c>
      <c r="O1" s="1" t="s">
        <v>305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368</v>
      </c>
      <c r="H6" s="6" t="s">
        <v>373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369</v>
      </c>
      <c r="H7" s="6" t="s">
        <v>374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370</v>
      </c>
      <c r="H8" s="6" t="s">
        <v>375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370</v>
      </c>
      <c r="H9" s="6" t="s">
        <v>375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434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371</v>
      </c>
      <c r="H24" s="6" t="s">
        <v>376</v>
      </c>
      <c r="I24" t="b">
        <v>0</v>
      </c>
      <c r="J24" t="b">
        <v>0</v>
      </c>
      <c r="K24" t="b">
        <v>1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1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372</v>
      </c>
      <c r="H30" s="6" t="s">
        <v>377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1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435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1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433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H22" sqref="H22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350</v>
      </c>
      <c r="D1" s="1" t="s">
        <v>349</v>
      </c>
      <c r="E1" s="1" t="s">
        <v>385</v>
      </c>
      <c r="F1" s="1" t="s">
        <v>63</v>
      </c>
      <c r="G1" s="1" t="s">
        <v>351</v>
      </c>
      <c r="H1" s="1" t="s">
        <v>1</v>
      </c>
      <c r="I1" s="1" t="s">
        <v>64</v>
      </c>
      <c r="J1" s="1" t="s">
        <v>65</v>
      </c>
      <c r="K1" s="1" t="s">
        <v>315</v>
      </c>
      <c r="L1" s="1" t="s">
        <v>66</v>
      </c>
      <c r="M1" s="1" t="s">
        <v>26</v>
      </c>
      <c r="N1" s="1" t="s">
        <v>27</v>
      </c>
      <c r="O1" s="1" t="s">
        <v>306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436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437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438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439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440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441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312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306</v>
      </c>
      <c r="I19">
        <v>5</v>
      </c>
      <c r="K19" t="s">
        <v>346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308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347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510</v>
      </c>
      <c r="I22">
        <v>15</v>
      </c>
      <c r="K22" t="s">
        <v>511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381</v>
      </c>
    </row>
    <row r="2" spans="1:6" x14ac:dyDescent="0.3">
      <c r="A2">
        <f>ROW(A2)-1</f>
        <v>1</v>
      </c>
      <c r="B2" t="s">
        <v>407</v>
      </c>
      <c r="C2" t="s">
        <v>408</v>
      </c>
      <c r="D2" t="s">
        <v>430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353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389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409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410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411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412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413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414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415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416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417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316</v>
      </c>
      <c r="C2" t="s">
        <v>316</v>
      </c>
      <c r="D2" t="s">
        <v>317</v>
      </c>
      <c r="E2">
        <v>0</v>
      </c>
      <c r="F2" t="b">
        <v>1</v>
      </c>
    </row>
    <row r="3" spans="1:6" x14ac:dyDescent="0.3">
      <c r="A3">
        <f>ROW(A3)-1</f>
        <v>2</v>
      </c>
      <c r="B3" t="s">
        <v>343</v>
      </c>
      <c r="C3" t="s">
        <v>120</v>
      </c>
      <c r="D3" t="s">
        <v>344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353</v>
      </c>
      <c r="D1" s="1" t="s">
        <v>121</v>
      </c>
      <c r="E1" s="1" t="s">
        <v>352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448</v>
      </c>
      <c r="C1" s="1" t="s">
        <v>123</v>
      </c>
      <c r="D1" s="1" t="s">
        <v>124</v>
      </c>
      <c r="E1" s="1" t="s">
        <v>449</v>
      </c>
      <c r="F1" s="1" t="s">
        <v>450</v>
      </c>
      <c r="G1" s="1" t="s">
        <v>451</v>
      </c>
      <c r="H1" s="1" t="s">
        <v>452</v>
      </c>
      <c r="I1" s="1" t="s">
        <v>117</v>
      </c>
      <c r="J1" s="1" t="s">
        <v>453</v>
      </c>
      <c r="K1" s="1" t="s">
        <v>454</v>
      </c>
    </row>
    <row r="2" spans="1:11" x14ac:dyDescent="0.3">
      <c r="A2">
        <v>1</v>
      </c>
      <c r="B2" t="s">
        <v>455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F4"/>
  <sheetViews>
    <sheetView workbookViewId="0">
      <pane ySplit="1" topLeftCell="A2" activePane="bottomLeft" state="frozen"/>
      <selection pane="bottomLeft" activeCell="F5" sqref="F5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</cols>
  <sheetData>
    <row r="1" spans="1:6" s="1" customFormat="1" x14ac:dyDescent="0.3">
      <c r="A1" s="1" t="s">
        <v>0</v>
      </c>
      <c r="B1" s="1" t="s">
        <v>513</v>
      </c>
      <c r="C1" s="1" t="s">
        <v>1</v>
      </c>
      <c r="D1" s="1" t="s">
        <v>122</v>
      </c>
      <c r="E1" s="1" t="s">
        <v>84</v>
      </c>
      <c r="F1" s="1" t="s">
        <v>125</v>
      </c>
    </row>
    <row r="2" spans="1:6" x14ac:dyDescent="0.3">
      <c r="A2">
        <f>ROW(A2)-1</f>
        <v>1</v>
      </c>
      <c r="B2">
        <v>1</v>
      </c>
      <c r="C2" t="s">
        <v>407</v>
      </c>
      <c r="D2" t="s">
        <v>407</v>
      </c>
      <c r="E2" t="s">
        <v>408</v>
      </c>
      <c r="F2" t="s">
        <v>418</v>
      </c>
    </row>
    <row r="4" spans="1:6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F3" sqref="F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3.777343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353</v>
      </c>
      <c r="D1" s="1" t="s">
        <v>128</v>
      </c>
      <c r="E1" s="1" t="s">
        <v>354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I20"/>
  <sheetViews>
    <sheetView workbookViewId="0">
      <pane ySplit="1" topLeftCell="A2" activePane="bottomLeft" state="frozen"/>
      <selection pane="bottomLeft" activeCell="H3" sqref="H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  <col min="9" max="9" width="17.6640625" bestFit="1" customWidth="1"/>
  </cols>
  <sheetData>
    <row r="1" spans="1:9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378</v>
      </c>
      <c r="G1" s="1" t="s">
        <v>484</v>
      </c>
      <c r="H1" s="1" t="s">
        <v>379</v>
      </c>
      <c r="I1" s="1" t="s">
        <v>509</v>
      </c>
    </row>
    <row r="2" spans="1:9" x14ac:dyDescent="0.3">
      <c r="A2">
        <f>ROW(A2)-1</f>
        <v>1</v>
      </c>
      <c r="B2" t="s">
        <v>146</v>
      </c>
      <c r="C2" t="s">
        <v>323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  <c r="I2">
        <v>0</v>
      </c>
    </row>
    <row r="3" spans="1:9" x14ac:dyDescent="0.3">
      <c r="A3">
        <f>ROW(A3)-1</f>
        <v>2</v>
      </c>
      <c r="B3" t="s">
        <v>130</v>
      </c>
      <c r="C3" t="s">
        <v>324</v>
      </c>
      <c r="D3" t="s">
        <v>477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  <c r="I3">
        <v>0</v>
      </c>
    </row>
    <row r="4" spans="1:9" x14ac:dyDescent="0.3">
      <c r="A4">
        <f>ROW(A4)-1</f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  <c r="I4">
        <v>0</v>
      </c>
    </row>
    <row r="5" spans="1:9" x14ac:dyDescent="0.3">
      <c r="A5">
        <f t="shared" ref="A5:A20" si="0">ROW(A5)-1</f>
        <v>4</v>
      </c>
      <c r="B5" t="s">
        <v>131</v>
      </c>
      <c r="C5" t="s">
        <v>325</v>
      </c>
      <c r="D5" t="s">
        <v>478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  <c r="I5">
        <v>0</v>
      </c>
    </row>
    <row r="6" spans="1:9" x14ac:dyDescent="0.3">
      <c r="A6">
        <f t="shared" si="0"/>
        <v>5</v>
      </c>
      <c r="B6" t="s">
        <v>134</v>
      </c>
      <c r="C6" t="s">
        <v>326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  <c r="I6">
        <v>0</v>
      </c>
    </row>
    <row r="7" spans="1:9" x14ac:dyDescent="0.3">
      <c r="A7">
        <f t="shared" si="0"/>
        <v>6</v>
      </c>
      <c r="B7" t="s">
        <v>100</v>
      </c>
      <c r="C7" t="s">
        <v>327</v>
      </c>
      <c r="D7" t="s">
        <v>476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  <c r="I7">
        <v>0</v>
      </c>
    </row>
    <row r="8" spans="1:9" x14ac:dyDescent="0.3">
      <c r="A8">
        <f t="shared" si="0"/>
        <v>7</v>
      </c>
      <c r="B8" t="s">
        <v>135</v>
      </c>
      <c r="C8" t="s">
        <v>328</v>
      </c>
      <c r="D8" t="s">
        <v>475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  <c r="I8">
        <v>0</v>
      </c>
    </row>
    <row r="9" spans="1:9" x14ac:dyDescent="0.3">
      <c r="A9">
        <f t="shared" si="0"/>
        <v>8</v>
      </c>
      <c r="B9" t="s">
        <v>136</v>
      </c>
      <c r="C9" t="s">
        <v>329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  <c r="I9">
        <v>0</v>
      </c>
    </row>
    <row r="10" spans="1:9" x14ac:dyDescent="0.3">
      <c r="A10">
        <v>9</v>
      </c>
      <c r="B10" t="s">
        <v>456</v>
      </c>
      <c r="C10" t="s">
        <v>457</v>
      </c>
      <c r="D10" t="s">
        <v>474</v>
      </c>
      <c r="G10" t="b">
        <v>0</v>
      </c>
      <c r="H10" cm="1">
        <f t="array" ref="H10">GetLastId(A10)</f>
        <v>1</v>
      </c>
      <c r="I10">
        <v>0</v>
      </c>
    </row>
    <row r="11" spans="1:9" x14ac:dyDescent="0.3">
      <c r="A11">
        <f t="shared" si="0"/>
        <v>10</v>
      </c>
      <c r="B11" t="s">
        <v>138</v>
      </c>
      <c r="C11" t="s">
        <v>330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  <c r="I11">
        <v>0</v>
      </c>
    </row>
    <row r="12" spans="1:9" x14ac:dyDescent="0.3">
      <c r="A12">
        <f t="shared" si="0"/>
        <v>11</v>
      </c>
      <c r="B12" t="s">
        <v>140</v>
      </c>
      <c r="C12" t="s">
        <v>331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  <c r="I12">
        <v>0</v>
      </c>
    </row>
    <row r="13" spans="1:9" x14ac:dyDescent="0.3">
      <c r="A13">
        <f t="shared" si="0"/>
        <v>12</v>
      </c>
      <c r="B13" t="s">
        <v>142</v>
      </c>
      <c r="C13" t="s">
        <v>332</v>
      </c>
      <c r="D13" t="s">
        <v>479</v>
      </c>
      <c r="E13">
        <v>9</v>
      </c>
      <c r="F13" t="str">
        <f t="array" ref="F13">GetValue("Tables",E13,"Name")</f>
        <v>Connections</v>
      </c>
      <c r="G13" t="b">
        <v>0</v>
      </c>
      <c r="H13" cm="1">
        <f t="array" ref="H13">GetLastId(A13)</f>
        <v>19</v>
      </c>
      <c r="I13">
        <v>0</v>
      </c>
    </row>
    <row r="14" spans="1:9" x14ac:dyDescent="0.3">
      <c r="A14">
        <f t="shared" si="0"/>
        <v>13</v>
      </c>
      <c r="B14" t="s">
        <v>318</v>
      </c>
      <c r="C14" t="s">
        <v>333</v>
      </c>
      <c r="D14" t="s">
        <v>319</v>
      </c>
      <c r="E14">
        <v>9</v>
      </c>
      <c r="F14" t="str">
        <f t="array" ref="F14">GetValue("Tables",E14,"Name")</f>
        <v>Connections</v>
      </c>
      <c r="G14" t="b">
        <v>0</v>
      </c>
      <c r="H14" cm="1">
        <f t="array" ref="H14">GetLastId(A14)</f>
        <v>19</v>
      </c>
      <c r="I14">
        <v>0</v>
      </c>
    </row>
    <row r="15" spans="1:9" x14ac:dyDescent="0.3">
      <c r="A15">
        <f t="shared" si="0"/>
        <v>14</v>
      </c>
      <c r="B15" t="s">
        <v>143</v>
      </c>
      <c r="C15" t="s">
        <v>334</v>
      </c>
      <c r="D15" t="s">
        <v>472</v>
      </c>
      <c r="E15">
        <v>11</v>
      </c>
      <c r="F15" t="str">
        <f t="array" ref="F15">GetValue("Tables",E15,"Name")</f>
        <v>SystemsDatabases</v>
      </c>
      <c r="G15" t="b">
        <v>0</v>
      </c>
      <c r="H15" cm="1">
        <f t="array" ref="H15">GetLastId(A15)</f>
        <v>142</v>
      </c>
      <c r="I15">
        <v>0</v>
      </c>
    </row>
    <row r="16" spans="1:9" x14ac:dyDescent="0.3">
      <c r="A16">
        <f t="shared" si="0"/>
        <v>15</v>
      </c>
      <c r="B16" t="s">
        <v>144</v>
      </c>
      <c r="C16" t="s">
        <v>335</v>
      </c>
      <c r="D16" t="s">
        <v>473</v>
      </c>
      <c r="E16">
        <v>11</v>
      </c>
      <c r="F16" t="str">
        <f t="array" ref="F16">GetValue("Tables",E16,"Name")</f>
        <v>SystemsDatabases</v>
      </c>
      <c r="G16" t="b">
        <v>0</v>
      </c>
      <c r="H16" cm="1">
        <f t="array" ref="H16">GetLastId(A16)</f>
        <v>24</v>
      </c>
      <c r="I16">
        <v>0</v>
      </c>
    </row>
    <row r="17" spans="1:9" x14ac:dyDescent="0.3">
      <c r="A17">
        <f t="shared" si="0"/>
        <v>16</v>
      </c>
      <c r="B17" t="s">
        <v>309</v>
      </c>
      <c r="C17" t="s">
        <v>336</v>
      </c>
      <c r="D17" t="s">
        <v>145</v>
      </c>
      <c r="E17">
        <v>14</v>
      </c>
      <c r="F17" t="str">
        <f t="array" ref="F17">GetValue("Tables",E17,"Name")</f>
        <v>Columns</v>
      </c>
      <c r="G17" t="b">
        <v>0</v>
      </c>
      <c r="H17" cm="1">
        <f t="array" ref="H17">GetLastId(A17)</f>
        <v>36</v>
      </c>
      <c r="I17">
        <v>0</v>
      </c>
    </row>
    <row r="18" spans="1:9" x14ac:dyDescent="0.3">
      <c r="A18">
        <f t="shared" si="0"/>
        <v>17</v>
      </c>
      <c r="B18" t="s">
        <v>337</v>
      </c>
      <c r="C18" t="s">
        <v>338</v>
      </c>
      <c r="D18" t="s">
        <v>483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  <c r="I18">
        <v>0</v>
      </c>
    </row>
    <row r="19" spans="1:9" x14ac:dyDescent="0.3">
      <c r="A19">
        <f t="shared" si="0"/>
        <v>18</v>
      </c>
      <c r="B19" t="s">
        <v>480</v>
      </c>
      <c r="C19" t="s">
        <v>481</v>
      </c>
      <c r="D19" t="s">
        <v>482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  <c r="I19">
        <v>0</v>
      </c>
    </row>
    <row r="20" spans="1:9" x14ac:dyDescent="0.3">
      <c r="A20">
        <f t="shared" si="0"/>
        <v>19</v>
      </c>
      <c r="B20" t="s">
        <v>487</v>
      </c>
      <c r="C20" t="s">
        <v>488</v>
      </c>
      <c r="D20" t="s">
        <v>489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  <c r="I20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20"/>
  <sheetViews>
    <sheetView workbookViewId="0">
      <selection activeCell="E20" sqref="E20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128</v>
      </c>
      <c r="C1" s="1" t="s">
        <v>354</v>
      </c>
      <c r="D1" s="1" t="s">
        <v>148</v>
      </c>
      <c r="E1" s="1" t="s">
        <v>355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tr">
        <f>_xlfn.CONCAT(C2," x ",E2)</f>
        <v>crudex x Categories</v>
      </c>
    </row>
    <row r="3" spans="1:6" x14ac:dyDescent="0.3">
      <c r="A3">
        <f t="shared" ref="A3:A20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tr">
        <f t="shared" ref="F3:F18" si="1">_xlfn.CONCAT(C3," x ",E3)</f>
        <v>crudex x Types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tr">
        <f t="shared" si="1"/>
        <v>crudex x Masks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tr">
        <f t="shared" si="1"/>
        <v>crudex x Domains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tr">
        <f t="shared" si="1"/>
        <v>crudex x Systems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tr">
        <f t="shared" si="1"/>
        <v>crudex x Menus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tr">
        <f t="shared" si="1"/>
        <v>crudex x Users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tr">
        <f t="shared" si="1"/>
        <v>crudex x SystemsUsers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Connections</v>
      </c>
      <c r="F10" t="str">
        <f t="shared" si="1"/>
        <v>crudex x Connections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Databases</v>
      </c>
      <c r="F11" t="str">
        <f t="shared" si="1"/>
        <v>crudex x Databases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SystemsDatabases</v>
      </c>
      <c r="F12" t="str">
        <f t="shared" si="1"/>
        <v>crudex x SystemsDatabases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Tables</v>
      </c>
      <c r="F13" t="str">
        <f t="shared" si="1"/>
        <v>crudex x Tables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DatabasesTables</v>
      </c>
      <c r="F14" t="str">
        <f t="shared" si="1"/>
        <v>crudex x DatabasesTables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Columns</v>
      </c>
      <c r="F15" t="str">
        <f t="shared" si="1"/>
        <v>crudex x Columns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Indexes</v>
      </c>
      <c r="F16" t="str">
        <f t="shared" si="1"/>
        <v>crudex x Indexes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Indexkeys</v>
      </c>
      <c r="F17" t="str">
        <f t="shared" si="1"/>
        <v>crudex x Indexkeys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crudex</v>
      </c>
      <c r="D18">
        <v>17</v>
      </c>
      <c r="E18" t="str">
        <f t="array" ref="E18">GetValue("Tables",D18,"Name")</f>
        <v>Logins</v>
      </c>
      <c r="F18" t="str">
        <f t="shared" si="1"/>
        <v>crudex x Logins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crudex</v>
      </c>
      <c r="D19">
        <v>18</v>
      </c>
      <c r="E19" t="str">
        <f t="array" ref="E19">GetValue("Tables",D19,"Name")</f>
        <v>Transactions</v>
      </c>
      <c r="F19" t="str">
        <f t="shared" ref="F19:F20" si="2">_xlfn.CONCAT(C19," x ",E19)</f>
        <v>crudex x Transactions</v>
      </c>
    </row>
    <row r="20" spans="1:6" x14ac:dyDescent="0.3">
      <c r="A20">
        <f t="shared" si="0"/>
        <v>19</v>
      </c>
      <c r="B20">
        <v>1</v>
      </c>
      <c r="C20" t="str">
        <f t="array" ref="C20">GetValue("Databases",B20,"Name")</f>
        <v>crudex</v>
      </c>
      <c r="D20">
        <v>19</v>
      </c>
      <c r="E20" t="str">
        <f t="array" ref="E20">GetValue("Tables",D20,"Name")</f>
        <v>Operations</v>
      </c>
      <c r="F20" t="str">
        <f t="shared" si="2"/>
        <v>crudex x Operations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43"/>
  <sheetViews>
    <sheetView topLeftCell="D1" zoomScaleNormal="100" workbookViewId="0">
      <pane ySplit="1" topLeftCell="A57" activePane="bottomLeft" state="frozen"/>
      <selection pane="bottomLeft" activeCell="E65" sqref="E65:E74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355</v>
      </c>
      <c r="D1" s="10" t="s">
        <v>432</v>
      </c>
      <c r="E1" s="10" t="s">
        <v>88</v>
      </c>
      <c r="F1" s="10" t="s">
        <v>149</v>
      </c>
      <c r="G1" s="10" t="s">
        <v>356</v>
      </c>
      <c r="H1" s="10" t="s">
        <v>349</v>
      </c>
      <c r="I1" s="10" t="s">
        <v>350</v>
      </c>
      <c r="J1" s="10" t="s">
        <v>385</v>
      </c>
      <c r="K1" s="10" t="s">
        <v>150</v>
      </c>
      <c r="L1" s="10" t="s">
        <v>357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392</v>
      </c>
      <c r="AB1" s="10" t="s">
        <v>158</v>
      </c>
      <c r="AC1" s="10" t="s">
        <v>429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GetValue("Domains",E2,"#CategoryName")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282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283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284</v>
      </c>
      <c r="P4" s="7" t="s">
        <v>285</v>
      </c>
      <c r="Q4" s="7" t="s">
        <v>285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286</v>
      </c>
      <c r="P5" s="7" t="s">
        <v>287</v>
      </c>
      <c r="Q5" s="7" t="s">
        <v>287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427</v>
      </c>
      <c r="P6" s="7" t="s">
        <v>288</v>
      </c>
      <c r="Q6" s="7" t="s">
        <v>288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426</v>
      </c>
      <c r="P7" s="7" t="s">
        <v>289</v>
      </c>
      <c r="Q7" s="7" t="s">
        <v>289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425</v>
      </c>
      <c r="P8" s="7" t="s">
        <v>290</v>
      </c>
      <c r="Q8" s="7" t="s">
        <v>290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424</v>
      </c>
      <c r="P9" s="7" t="s">
        <v>291</v>
      </c>
      <c r="Q9" s="7" t="s">
        <v>291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423</v>
      </c>
      <c r="P10" s="7" t="s">
        <v>292</v>
      </c>
      <c r="Q10" s="7" t="s">
        <v>292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422</v>
      </c>
      <c r="P11" s="7" t="s">
        <v>293</v>
      </c>
      <c r="Q11" s="7" t="s">
        <v>293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419</v>
      </c>
      <c r="N12" s="7"/>
      <c r="O12" s="7" t="s">
        <v>421</v>
      </c>
      <c r="P12" s="7" t="s">
        <v>420</v>
      </c>
      <c r="Q12" s="7" t="s">
        <v>420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7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405</v>
      </c>
      <c r="N16" s="9"/>
      <c r="O16" s="9" t="s">
        <v>406</v>
      </c>
      <c r="P16" s="9" t="s">
        <v>406</v>
      </c>
      <c r="Q16" s="9" t="s">
        <v>406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391</v>
      </c>
      <c r="N24" s="9"/>
      <c r="O24" s="9" t="s">
        <v>393</v>
      </c>
      <c r="P24" s="9" t="s">
        <v>394</v>
      </c>
      <c r="Q24" s="9" t="s">
        <v>394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305</v>
      </c>
      <c r="N25" s="9"/>
      <c r="O25" s="9" t="s">
        <v>310</v>
      </c>
      <c r="P25" s="9" t="s">
        <v>311</v>
      </c>
      <c r="Q25" s="9" t="s">
        <v>311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int</v>
      </c>
      <c r="J27" s="7" t="str" cm="1">
        <f t="array" ref="J27">GetValue("Domains",F27,"#DataType")</f>
        <v>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int</v>
      </c>
      <c r="J30" s="9" t="str" cm="1">
        <f t="array" ref="J30">GetValue("Domains",F30,"#DataType")</f>
        <v>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int</v>
      </c>
      <c r="J32" s="9" t="str" cm="1">
        <f t="array" ref="J32">GetValue("Domains",F32,"#DataType")</f>
        <v>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315</v>
      </c>
      <c r="N36" s="9"/>
      <c r="O36" s="9" t="s">
        <v>314</v>
      </c>
      <c r="P36" s="9" t="s">
        <v>314</v>
      </c>
      <c r="Q36" s="9" t="s">
        <v>314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306</v>
      </c>
      <c r="N40" s="9"/>
      <c r="O40" s="9" t="s">
        <v>386</v>
      </c>
      <c r="P40" s="9" t="s">
        <v>313</v>
      </c>
      <c r="Q40" s="9" t="s">
        <v>313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int</v>
      </c>
      <c r="J41" s="7" t="str" cm="1">
        <f t="array" ref="J41">GetValue("Domains",F41,"#DataType")</f>
        <v>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381</v>
      </c>
      <c r="N46" s="7"/>
      <c r="O46" s="7" t="s">
        <v>382</v>
      </c>
      <c r="P46" s="7" t="s">
        <v>383</v>
      </c>
      <c r="Q46" s="7" t="s">
        <v>383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int</v>
      </c>
      <c r="J47" s="9" t="str" cm="1">
        <f t="array" ref="J47">GetValue("Domains",F47,"#DataType")</f>
        <v>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int</v>
      </c>
      <c r="J48" s="9" t="str" cm="1">
        <f t="array" ref="J48">GetValue("Domains",F48,"#DataType")</f>
        <v>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int</v>
      </c>
      <c r="J53" s="9" t="str" cm="1">
        <f t="array" ref="J53">GetValue("Domains",F53,"#DataType")</f>
        <v>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int</v>
      </c>
      <c r="J54" s="7" t="str" cm="1">
        <f t="array" ref="J54">GetValue("Domains",F54,"#DataType")</f>
        <v>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int</v>
      </c>
      <c r="J60" s="9" t="str" cm="1">
        <f t="array" ref="J60">GetValue("Domains",F60,"#DataType")</f>
        <v>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int</v>
      </c>
      <c r="J61" s="9" t="str" cm="1">
        <f t="array" ref="J61">GetValue("Domains",F61,"#DataType")</f>
        <v>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int</v>
      </c>
      <c r="J62" s="9" t="str" cm="1">
        <f t="array" ref="J62">GetValue("Domains",F62,"#DataType")</f>
        <v>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442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int</v>
      </c>
      <c r="J64" s="7" t="str" cm="1">
        <f t="array" ref="J64">GetValue("Domains",F64,"#DataType")</f>
        <v>int</v>
      </c>
      <c r="K64" s="7"/>
      <c r="L64" s="7"/>
      <c r="M64" s="7" t="s">
        <v>0</v>
      </c>
      <c r="N64" s="7"/>
      <c r="O64" s="7" t="s">
        <v>458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/>
      <c r="M65" s="7" t="s">
        <v>448</v>
      </c>
      <c r="N65" s="7"/>
      <c r="O65" s="7" t="s">
        <v>459</v>
      </c>
      <c r="P65" s="7" t="s">
        <v>460</v>
      </c>
      <c r="Q65" s="7" t="s">
        <v>460</v>
      </c>
      <c r="R65" s="14"/>
      <c r="S65" s="14"/>
      <c r="T65" s="14"/>
      <c r="U65" s="7" t="b">
        <v>0</v>
      </c>
      <c r="V65" s="7"/>
      <c r="W65" s="7" t="b">
        <v>1</v>
      </c>
      <c r="X65" s="7" t="b">
        <v>1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/>
      <c r="M66" s="7" t="s">
        <v>123</v>
      </c>
      <c r="N66" s="7"/>
      <c r="O66" s="7" t="s">
        <v>516</v>
      </c>
      <c r="P66" s="7" t="s">
        <v>517</v>
      </c>
      <c r="Q66" s="7" t="s">
        <v>517</v>
      </c>
      <c r="R66" s="14"/>
      <c r="S66" s="14"/>
      <c r="T66" s="14"/>
      <c r="U66" s="7" t="b">
        <v>0</v>
      </c>
      <c r="V66" s="7"/>
      <c r="W66" s="7" t="b">
        <v>1</v>
      </c>
      <c r="X66" s="7" t="b">
        <v>1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/>
      <c r="M67" s="7" t="s">
        <v>124</v>
      </c>
      <c r="N67" s="7"/>
      <c r="O67" s="7" t="s">
        <v>232</v>
      </c>
      <c r="P67" s="7" t="s">
        <v>461</v>
      </c>
      <c r="Q67" s="7" t="s">
        <v>461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 t="b">
        <v>1</v>
      </c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/>
      <c r="M68" s="7" t="s">
        <v>449</v>
      </c>
      <c r="N68" s="7"/>
      <c r="O68" s="7" t="s">
        <v>462</v>
      </c>
      <c r="P68" s="7" t="s">
        <v>462</v>
      </c>
      <c r="Q68" s="7" t="s">
        <v>462</v>
      </c>
      <c r="R68" s="14"/>
      <c r="S68" s="14"/>
      <c r="T68" s="14"/>
      <c r="U68" s="7" t="b">
        <v>0</v>
      </c>
      <c r="V68" s="7"/>
      <c r="W68" s="7" t="b">
        <v>1</v>
      </c>
      <c r="X68" s="7" t="b">
        <v>1</v>
      </c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/>
      <c r="M69" s="7" t="s">
        <v>450</v>
      </c>
      <c r="N69" s="7"/>
      <c r="O69" s="7" t="s">
        <v>463</v>
      </c>
      <c r="P69" s="7" t="s">
        <v>464</v>
      </c>
      <c r="Q69" s="7" t="s">
        <v>464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 t="b">
        <v>1</v>
      </c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/>
      <c r="M70" s="7" t="s">
        <v>451</v>
      </c>
      <c r="N70" s="7"/>
      <c r="O70" s="7" t="s">
        <v>465</v>
      </c>
      <c r="P70" s="7" t="s">
        <v>466</v>
      </c>
      <c r="Q70" s="7" t="s">
        <v>466</v>
      </c>
      <c r="R70" s="14"/>
      <c r="S70" s="14"/>
      <c r="T70" s="14"/>
      <c r="U70" s="7" t="b">
        <v>0</v>
      </c>
      <c r="V70" s="7"/>
      <c r="W70" s="7" t="b">
        <v>0</v>
      </c>
      <c r="X70" s="7"/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/>
      <c r="M71" s="7" t="s">
        <v>452</v>
      </c>
      <c r="N71" s="7"/>
      <c r="O71" s="7" t="s">
        <v>467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/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/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/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/>
      <c r="M73" s="7" t="s">
        <v>453</v>
      </c>
      <c r="N73" s="7"/>
      <c r="O73" s="7" t="s">
        <v>468</v>
      </c>
      <c r="P73" s="7" t="s">
        <v>469</v>
      </c>
      <c r="Q73" s="7" t="s">
        <v>469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/>
      <c r="M74" s="7" t="s">
        <v>454</v>
      </c>
      <c r="N74" s="7"/>
      <c r="O74" s="7" t="s">
        <v>470</v>
      </c>
      <c r="P74" s="7" t="s">
        <v>471</v>
      </c>
      <c r="Q74" s="7" t="s">
        <v>471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int</v>
      </c>
      <c r="J75" s="9" t="str" cm="1">
        <f t="array" ref="J75">GetValue("Domains",F75,"#DataType")</f>
        <v>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int</v>
      </c>
      <c r="J76" s="9" t="str" cm="1">
        <f t="array" ref="J76">GetValue("Domains",F76,"#DataType")</f>
        <v>int</v>
      </c>
      <c r="K76" s="9">
        <v>9</v>
      </c>
      <c r="L76" s="9" t="str">
        <f t="array" ref="L76">GetValue("Tables",K76,"Name")</f>
        <v>Connections</v>
      </c>
      <c r="M76" s="9" t="s">
        <v>513</v>
      </c>
      <c r="N76" s="9"/>
      <c r="O76" s="9" t="s">
        <v>514</v>
      </c>
      <c r="P76" s="9" t="s">
        <v>515</v>
      </c>
      <c r="Q76" s="9" t="s">
        <v>515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0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7">
        <f t="shared" si="2"/>
        <v>80</v>
      </c>
      <c r="B81" s="7">
        <v>11</v>
      </c>
      <c r="C81" s="7" t="str">
        <f t="array" ref="C81">GetValue("Tables",B81,"Name")</f>
        <v>SystemsDatabases</v>
      </c>
      <c r="D81" s="8" t="str" cm="1">
        <f t="array" ref="D81">GetValue("Tables",B81,"Alias")</f>
        <v>SystemDatabase</v>
      </c>
      <c r="E81" s="7">
        <v>5</v>
      </c>
      <c r="F81" s="7">
        <v>1</v>
      </c>
      <c r="G81" s="7" t="str">
        <f t="array" ref="G81">GetValue("Domains",F81,"Name")</f>
        <v>BigInteger</v>
      </c>
      <c r="H81" s="7" t="str" cm="1">
        <f t="array" ref="H81">GetValue("Domains",F81,"#CategoryName")</f>
        <v>numeric</v>
      </c>
      <c r="I81" s="7" t="str" cm="1">
        <f t="array" ref="I81">GetValue("Domains",F81,"#TypeName")</f>
        <v>int</v>
      </c>
      <c r="J81" s="7" t="str" cm="1">
        <f t="array" ref="J81">GetValue("Domains",F81,"#DataType")</f>
        <v>int</v>
      </c>
      <c r="K81" s="7"/>
      <c r="L81" s="7" t="str">
        <f t="array" ref="L81">GetValue("Tables",K81,"Name")</f>
        <v/>
      </c>
      <c r="M81" s="7" t="s">
        <v>0</v>
      </c>
      <c r="N81" s="7"/>
      <c r="O81" s="7" t="s">
        <v>235</v>
      </c>
      <c r="P81" s="7" t="s">
        <v>160</v>
      </c>
      <c r="Q81" s="7" t="s">
        <v>160</v>
      </c>
      <c r="R81" s="14"/>
      <c r="S81" s="14">
        <v>1</v>
      </c>
      <c r="T81" s="14"/>
      <c r="U81" s="7" t="b">
        <v>1</v>
      </c>
      <c r="V81" s="7" t="b">
        <v>1</v>
      </c>
      <c r="W81" s="7" t="b">
        <v>1</v>
      </c>
      <c r="X81" s="7"/>
      <c r="Y81" s="7" t="b">
        <v>1</v>
      </c>
      <c r="Z81" s="7" t="b">
        <v>0</v>
      </c>
      <c r="AA81" s="7" t="b">
        <v>0</v>
      </c>
      <c r="AB81" s="7"/>
      <c r="AC81" s="7" t="b">
        <v>0</v>
      </c>
    </row>
    <row r="82" spans="1:29" x14ac:dyDescent="0.3">
      <c r="A82" s="7">
        <f t="shared" si="2"/>
        <v>81</v>
      </c>
      <c r="B82" s="7">
        <v>11</v>
      </c>
      <c r="C82" s="7" t="str">
        <f t="array" ref="C82">GetValue("Tables",B82,"Name")</f>
        <v>SystemsDatabases</v>
      </c>
      <c r="D82" s="8" t="str" cm="1">
        <f t="array" ref="D82">GetValue("Tables",B82,"Alias")</f>
        <v>SystemDatabase</v>
      </c>
      <c r="E82" s="7">
        <f>E81+5</f>
        <v>10</v>
      </c>
      <c r="F82" s="7">
        <v>1</v>
      </c>
      <c r="G82" s="7" t="str">
        <f t="array" ref="G82">GetValue("Domains",F82,"Name")</f>
        <v>BigInteger</v>
      </c>
      <c r="H82" s="7" t="str" cm="1">
        <f t="array" ref="H82">GetValue("Domains",F82,"#CategoryName")</f>
        <v>numeric</v>
      </c>
      <c r="I82" s="7" t="str" cm="1">
        <f t="array" ref="I82">GetValue("Domains",F82,"#TypeName")</f>
        <v>int</v>
      </c>
      <c r="J82" s="7" t="str" cm="1">
        <f t="array" ref="J82">GetValue("Domains",F82,"#DataType")</f>
        <v>int</v>
      </c>
      <c r="K82" s="7">
        <v>5</v>
      </c>
      <c r="L82" s="7" t="str">
        <f t="array" ref="L82">GetValue("Tables",K82,"Name")</f>
        <v>Systems</v>
      </c>
      <c r="M82" s="7" t="s">
        <v>87</v>
      </c>
      <c r="N82" s="7"/>
      <c r="O82" s="7" t="s">
        <v>197</v>
      </c>
      <c r="P82" s="7" t="s">
        <v>207</v>
      </c>
      <c r="Q82" s="7" t="s">
        <v>207</v>
      </c>
      <c r="R82" s="14"/>
      <c r="S82" s="14">
        <v>1</v>
      </c>
      <c r="T82" s="14"/>
      <c r="U82" s="7" t="b">
        <v>0</v>
      </c>
      <c r="V82" s="7" t="b">
        <v>0</v>
      </c>
      <c r="W82" s="7" t="b">
        <v>1</v>
      </c>
      <c r="X82" s="7"/>
      <c r="Y82" s="7" t="b">
        <v>1</v>
      </c>
      <c r="Z82" s="7" t="b">
        <v>1</v>
      </c>
      <c r="AA82" s="7" t="b">
        <v>1</v>
      </c>
      <c r="AB82" s="7"/>
      <c r="AC82" s="7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f>E82+5</f>
        <v>15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int</v>
      </c>
      <c r="J83" s="7" t="str" cm="1">
        <f t="array" ref="J83">GetValue("Domains",F83,"#DataType")</f>
        <v>int</v>
      </c>
      <c r="K83" s="7">
        <v>10</v>
      </c>
      <c r="L83" s="7" t="str">
        <f t="array" ref="L83">GetValue("Tables",K83,"Name")</f>
        <v>Databases</v>
      </c>
      <c r="M83" s="7" t="s">
        <v>128</v>
      </c>
      <c r="N83" s="7"/>
      <c r="O83" s="7" t="s">
        <v>228</v>
      </c>
      <c r="P83" s="7" t="s">
        <v>236</v>
      </c>
      <c r="Q83" s="7" t="s">
        <v>236</v>
      </c>
      <c r="R83" s="14"/>
      <c r="S83" s="14">
        <v>1</v>
      </c>
      <c r="T83" s="14"/>
      <c r="U83" s="7" t="b">
        <v>0</v>
      </c>
      <c r="V83" s="7" t="b">
        <v>0</v>
      </c>
      <c r="W83" s="7" t="b">
        <v>1</v>
      </c>
      <c r="X83" s="7"/>
      <c r="Y83" s="7" t="b">
        <v>1</v>
      </c>
      <c r="Z83" s="7" t="b">
        <v>1</v>
      </c>
      <c r="AA83" s="7" t="b">
        <v>1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20</v>
      </c>
      <c r="F84" s="7">
        <v>10</v>
      </c>
      <c r="G84" s="7" t="str">
        <f t="array" ref="G84">GetValue("Domains",F84,"Name")</f>
        <v>Nvarchar(50)</v>
      </c>
      <c r="H84" s="7" t="str" cm="1">
        <f t="array" ref="H84">GetValue("Domains",F84,"#CategoryName")</f>
        <v>string</v>
      </c>
      <c r="I84" s="7" t="str" cm="1">
        <f t="array" ref="I84">GetValue("Domains",F84,"#TypeName")</f>
        <v>nvarchar</v>
      </c>
      <c r="J84" s="7" t="str" cm="1">
        <f t="array" ref="J84">GetValue("Domains",F84,"#DataType")</f>
        <v>nvarchar(50)</v>
      </c>
      <c r="K84" s="7"/>
      <c r="L84" s="7" t="str">
        <f t="array" ref="L84">GetValue("Tables",K84,"Name")</f>
        <v/>
      </c>
      <c r="M84" s="7" t="s">
        <v>1</v>
      </c>
      <c r="N84" s="7"/>
      <c r="O84" s="7" t="s">
        <v>445</v>
      </c>
      <c r="P84" s="7" t="s">
        <v>162</v>
      </c>
      <c r="Q84" s="7" t="s">
        <v>162</v>
      </c>
      <c r="R84" s="14"/>
      <c r="S84" s="14"/>
      <c r="T84" s="14"/>
      <c r="U84" s="7" t="b">
        <v>0</v>
      </c>
      <c r="V84" s="7"/>
      <c r="W84" s="7" t="b">
        <v>1</v>
      </c>
      <c r="X84" s="7" t="b">
        <v>1</v>
      </c>
      <c r="Y84" s="7" t="b">
        <v>1</v>
      </c>
      <c r="Z84" s="7" t="b">
        <v>1</v>
      </c>
      <c r="AA84" s="7" t="b">
        <v>1</v>
      </c>
      <c r="AB84" s="7" t="b">
        <v>0</v>
      </c>
      <c r="AC84" s="7"/>
    </row>
    <row r="85" spans="1:29" x14ac:dyDescent="0.3">
      <c r="A85" s="9">
        <f t="shared" si="2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v>5</v>
      </c>
      <c r="F85" s="9">
        <v>1</v>
      </c>
      <c r="G85" s="9" t="str">
        <f t="array" ref="G85">GetValue("Domains",F85,"Name")</f>
        <v>BigInteger</v>
      </c>
      <c r="H85" s="9" t="str" cm="1">
        <f t="array" ref="H85">GetValue("Domains",F85,"#CategoryName")</f>
        <v>numeric</v>
      </c>
      <c r="I85" s="9" t="str" cm="1">
        <f t="array" ref="I85">GetValue("Domains",F85,"#TypeName")</f>
        <v>int</v>
      </c>
      <c r="J85" s="9" t="str" cm="1">
        <f t="array" ref="J85">GetValue("Domains",F85,"#DataType")</f>
        <v>int</v>
      </c>
      <c r="K85" s="9"/>
      <c r="L85" s="9" t="str">
        <f t="array" ref="L85">GetValue("Tables",K85,"Name")</f>
        <v/>
      </c>
      <c r="M85" s="9" t="s">
        <v>0</v>
      </c>
      <c r="N85" s="9"/>
      <c r="O85" s="9" t="s">
        <v>237</v>
      </c>
      <c r="P85" s="9" t="s">
        <v>160</v>
      </c>
      <c r="Q85" s="9" t="s">
        <v>160</v>
      </c>
      <c r="R85" s="15"/>
      <c r="S85" s="16">
        <v>1</v>
      </c>
      <c r="T85" s="16"/>
      <c r="U85" s="9" t="b">
        <v>1</v>
      </c>
      <c r="V85" s="9" t="b">
        <v>1</v>
      </c>
      <c r="W85" s="9" t="b">
        <v>1</v>
      </c>
      <c r="X85" s="9"/>
      <c r="Y85" s="9" t="b">
        <v>1</v>
      </c>
      <c r="Z85" s="9" t="b">
        <v>0</v>
      </c>
      <c r="AA85" s="9" t="b">
        <v>0</v>
      </c>
      <c r="AB85" s="9"/>
      <c r="AC85" s="9" t="b">
        <v>0</v>
      </c>
    </row>
    <row r="86" spans="1:29" x14ac:dyDescent="0.3">
      <c r="A86" s="9">
        <f t="shared" si="2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ref="E86" si="8">E85+5</f>
        <v>10</v>
      </c>
      <c r="F86" s="9">
        <v>9</v>
      </c>
      <c r="G86" s="9" t="str">
        <f t="array" ref="G86">GetValue("Domains",F86,"Name")</f>
        <v>Nvarchar(25)</v>
      </c>
      <c r="H86" s="9" t="str" cm="1">
        <f t="array" ref="H86">GetValue("Domains",F86,"#CategoryName")</f>
        <v>string</v>
      </c>
      <c r="I86" s="9" t="str" cm="1">
        <f t="array" ref="I86">GetValue("Domains",F86,"#TypeName")</f>
        <v>nvarchar</v>
      </c>
      <c r="J86" s="9" t="str" cm="1">
        <f t="array" ref="J86">GetValue("Domains",F86,"#DataType")</f>
        <v>nvarchar(25)</v>
      </c>
      <c r="K86" s="9"/>
      <c r="L86" s="9" t="str">
        <f t="array" ref="L86">GetValue("Tables",K86,"Name")</f>
        <v/>
      </c>
      <c r="M86" s="9" t="s">
        <v>1</v>
      </c>
      <c r="N86" s="9"/>
      <c r="O86" s="9" t="s">
        <v>238</v>
      </c>
      <c r="P86" s="9" t="s">
        <v>162</v>
      </c>
      <c r="Q86" s="9" t="s">
        <v>162</v>
      </c>
      <c r="R86" s="15"/>
      <c r="S86" s="16" t="s">
        <v>35</v>
      </c>
      <c r="T86" s="16"/>
      <c r="U86" s="9" t="b">
        <v>0</v>
      </c>
      <c r="V86" s="9"/>
      <c r="W86" s="9" t="b">
        <v>1</v>
      </c>
      <c r="X86" s="9" t="b">
        <v>1</v>
      </c>
      <c r="Y86" s="9" t="b">
        <v>1</v>
      </c>
      <c r="Z86" s="9" t="b">
        <v>1</v>
      </c>
      <c r="AA86" s="9" t="b">
        <v>1</v>
      </c>
      <c r="AB86" s="9" t="b">
        <v>0</v>
      </c>
      <c r="AC86" s="9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f t="shared" ref="E87:E91" si="9">E86+5</f>
        <v>15</v>
      </c>
      <c r="F87" s="9">
        <v>9</v>
      </c>
      <c r="G87" s="9" t="str">
        <f t="array" ref="G87">GetValue("Domains",F87,"Name")</f>
        <v>Nvarchar(25)</v>
      </c>
      <c r="H87" s="9" t="str" cm="1">
        <f t="array" ref="H87">GetValue("Domains",F87,"#CategoryName")</f>
        <v>string</v>
      </c>
      <c r="I87" s="9" t="str" cm="1">
        <f t="array" ref="I87">GetValue("Domains",F87,"#TypeName")</f>
        <v>nvarchar</v>
      </c>
      <c r="J87" s="9" t="str" cm="1">
        <f t="array" ref="J87">GetValue("Domains",F87,"#DataType")</f>
        <v>nvarchar(25)</v>
      </c>
      <c r="K87" s="9"/>
      <c r="L87" s="9" t="str">
        <f t="array" ref="L87">GetValue("Tables",K87,"Name")</f>
        <v/>
      </c>
      <c r="M87" s="9" t="s">
        <v>122</v>
      </c>
      <c r="N87" s="9"/>
      <c r="O87" s="9" t="s">
        <v>239</v>
      </c>
      <c r="P87" s="9" t="s">
        <v>122</v>
      </c>
      <c r="Q87" s="9" t="s">
        <v>122</v>
      </c>
      <c r="R87" s="15"/>
      <c r="S87" s="16" t="s">
        <v>35</v>
      </c>
      <c r="T87" s="16"/>
      <c r="U87" s="9" t="b">
        <v>0</v>
      </c>
      <c r="V87" s="9"/>
      <c r="W87" s="9" t="b">
        <v>1</v>
      </c>
      <c r="X87" s="9" t="b">
        <v>0</v>
      </c>
      <c r="Y87" s="9" t="b">
        <v>1</v>
      </c>
      <c r="Z87" s="9" t="b">
        <v>1</v>
      </c>
      <c r="AA87" s="9" t="b">
        <v>1</v>
      </c>
      <c r="AB87" s="9" t="b">
        <v>0</v>
      </c>
      <c r="AC87" s="9"/>
    </row>
    <row r="88" spans="1:29" x14ac:dyDescent="0.3">
      <c r="A88" s="9">
        <f t="shared" ref="A88:A143" si="10">ROW(A88)-1</f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si="9"/>
        <v>20</v>
      </c>
      <c r="F88" s="9">
        <v>10</v>
      </c>
      <c r="G88" s="9" t="str">
        <f t="array" ref="G88">GetValue("Domains",F88,"Name")</f>
        <v>Nvarchar(50)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nvarchar(50)</v>
      </c>
      <c r="K88" s="9"/>
      <c r="L88" s="9" t="str">
        <f t="array" ref="L88">GetValue("Tables",K88,"Name")</f>
        <v/>
      </c>
      <c r="M88" s="9" t="s">
        <v>84</v>
      </c>
      <c r="N88" s="9"/>
      <c r="O88" s="9" t="s">
        <v>240</v>
      </c>
      <c r="P88" s="9" t="s">
        <v>200</v>
      </c>
      <c r="Q88" s="9" t="s">
        <v>200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0</v>
      </c>
      <c r="Y88" s="9" t="b">
        <v>0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10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si="9"/>
        <v>25</v>
      </c>
      <c r="F89" s="9">
        <v>1</v>
      </c>
      <c r="G89" s="9" t="str">
        <f t="array" ref="G89">GetValue("Domains",F89,"Name")</f>
        <v>BigInteger</v>
      </c>
      <c r="H89" s="9" t="str" cm="1">
        <f t="array" ref="H89">GetValue("Domains",F89,"#CategoryName")</f>
        <v>numeric</v>
      </c>
      <c r="I89" s="9" t="str" cm="1">
        <f t="array" ref="I89">GetValue("Domains",F89,"#TypeName")</f>
        <v>int</v>
      </c>
      <c r="J89" s="9" t="str" cm="1">
        <f t="array" ref="J89">GetValue("Domains",F89,"#DataType")</f>
        <v>int</v>
      </c>
      <c r="K89" s="9"/>
      <c r="L89" s="9" t="str">
        <f t="array" ref="L89">GetValue("Tables",K89,"Name")</f>
        <v/>
      </c>
      <c r="M89" s="9" t="s">
        <v>129</v>
      </c>
      <c r="N89" s="9"/>
      <c r="O89" s="9" t="s">
        <v>388</v>
      </c>
      <c r="P89" s="9" t="s">
        <v>387</v>
      </c>
      <c r="Q89" s="9" t="s">
        <v>387</v>
      </c>
      <c r="R89" s="15"/>
      <c r="S89" s="16">
        <v>0</v>
      </c>
      <c r="T89" s="16"/>
      <c r="U89" s="9" t="b">
        <v>0</v>
      </c>
      <c r="V89" s="9" t="b">
        <v>0</v>
      </c>
      <c r="W89" s="9" t="b">
        <v>0</v>
      </c>
      <c r="X89" s="9" t="b">
        <v>0</v>
      </c>
      <c r="Y89" s="9" t="b">
        <v>0</v>
      </c>
      <c r="Z89" s="9" t="b">
        <v>0</v>
      </c>
      <c r="AA89" s="9" t="b">
        <v>0</v>
      </c>
      <c r="AB89" s="9"/>
      <c r="AC89" s="9" t="b">
        <v>0</v>
      </c>
    </row>
    <row r="90" spans="1:29" x14ac:dyDescent="0.3">
      <c r="A90" s="9">
        <f t="shared" si="10"/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30</v>
      </c>
      <c r="F90" s="9">
        <v>6</v>
      </c>
      <c r="G90" s="9" t="str">
        <f t="array" ref="G90">GetValue("Domains",F90,"Name")</f>
        <v>Boolean</v>
      </c>
      <c r="H90" s="9" t="str" cm="1">
        <f t="array" ref="H90">GetValue("Domains",F90,"#CategoryName")</f>
        <v>boolean</v>
      </c>
      <c r="I90" s="9" t="str" cm="1">
        <f t="array" ref="I90">GetValue("Domains",F90,"#TypeName")</f>
        <v>bit</v>
      </c>
      <c r="J90" s="9" t="str" cm="1">
        <f t="array" ref="J90">GetValue("Domains",F90,"#DataType")</f>
        <v>bit</v>
      </c>
      <c r="K90" s="9"/>
      <c r="L90" s="9" t="str">
        <f t="array" ref="L90">GetValue("Tables",K90,"Name")</f>
        <v/>
      </c>
      <c r="M90" s="9" t="s">
        <v>484</v>
      </c>
      <c r="N90" s="9"/>
      <c r="O90" s="9" t="s">
        <v>486</v>
      </c>
      <c r="P90" s="9" t="s">
        <v>485</v>
      </c>
      <c r="Q90" s="9" t="s">
        <v>485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/>
      <c r="Y90" s="9" t="b">
        <v>1</v>
      </c>
      <c r="Z90" s="9" t="b">
        <v>1</v>
      </c>
      <c r="AA90" s="9" t="b">
        <v>1</v>
      </c>
      <c r="AB90" s="9"/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35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int</v>
      </c>
      <c r="J91" s="9" t="str" cm="1">
        <f t="array" ref="J91">GetValue("Domains",F91,"#DataType")</f>
        <v>int</v>
      </c>
      <c r="K91" s="9"/>
      <c r="L91" s="9" t="str">
        <f t="array" ref="L91">GetValue("Tables",K91,"Name")</f>
        <v/>
      </c>
      <c r="M91" s="9" t="s">
        <v>379</v>
      </c>
      <c r="N91" s="9"/>
      <c r="O91" s="9" t="s">
        <v>380</v>
      </c>
      <c r="P91" s="9" t="s">
        <v>380</v>
      </c>
      <c r="Q91" s="9" t="s">
        <v>380</v>
      </c>
      <c r="R91" s="15">
        <v>0</v>
      </c>
      <c r="S91" s="16">
        <v>0</v>
      </c>
      <c r="T91" s="16"/>
      <c r="U91" s="9" t="b">
        <v>0</v>
      </c>
      <c r="V91" s="9" t="b">
        <v>0</v>
      </c>
      <c r="W91" s="9" t="b">
        <v>1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7">
        <f t="shared" si="10"/>
        <v>91</v>
      </c>
      <c r="B92" s="7">
        <v>13</v>
      </c>
      <c r="C92" s="7" t="str">
        <f t="array" ref="C92">GetValue("Tables",B92,"Name")</f>
        <v>DatabasesTables</v>
      </c>
      <c r="D92" s="8" t="str" cm="1">
        <f t="array" ref="D92">GetValue("Tables",B92,"Alias")</f>
        <v>DatabaseTable</v>
      </c>
      <c r="E92" s="7">
        <v>5</v>
      </c>
      <c r="F92" s="7">
        <v>1</v>
      </c>
      <c r="G92" s="7" t="str">
        <f t="array" ref="G92">GetValue("Domains",F92,"Name")</f>
        <v>BigInteger</v>
      </c>
      <c r="H92" s="7" t="str" cm="1">
        <f t="array" ref="H92">GetValue("Domains",F92,"#CategoryName")</f>
        <v>numeric</v>
      </c>
      <c r="I92" s="7" t="str" cm="1">
        <f t="array" ref="I92">GetValue("Domains",F92,"#TypeName")</f>
        <v>int</v>
      </c>
      <c r="J92" s="7" t="str" cm="1">
        <f t="array" ref="J92">GetValue("Domains",F92,"#DataType")</f>
        <v>int</v>
      </c>
      <c r="K92" s="7"/>
      <c r="L92" s="7" t="str">
        <f t="array" ref="L92">GetValue("Tables",K92,"Name")</f>
        <v/>
      </c>
      <c r="M92" s="7" t="s">
        <v>0</v>
      </c>
      <c r="N92" s="7"/>
      <c r="O92" s="7" t="s">
        <v>322</v>
      </c>
      <c r="P92" s="7" t="s">
        <v>160</v>
      </c>
      <c r="Q92" s="7" t="s">
        <v>160</v>
      </c>
      <c r="R92" s="14"/>
      <c r="S92" s="14">
        <v>1</v>
      </c>
      <c r="T92" s="14"/>
      <c r="U92" s="7" t="b">
        <v>1</v>
      </c>
      <c r="V92" s="7" t="b">
        <v>1</v>
      </c>
      <c r="W92" s="7" t="b">
        <v>1</v>
      </c>
      <c r="X92" s="7"/>
      <c r="Y92" s="7" t="b">
        <v>1</v>
      </c>
      <c r="Z92" s="7" t="b">
        <v>0</v>
      </c>
      <c r="AA92" s="7" t="b">
        <v>0</v>
      </c>
      <c r="AB92" s="7"/>
      <c r="AC92" s="7" t="b">
        <v>0</v>
      </c>
    </row>
    <row r="93" spans="1:29" x14ac:dyDescent="0.3">
      <c r="A93" s="7">
        <f t="shared" si="10"/>
        <v>92</v>
      </c>
      <c r="B93" s="7">
        <v>13</v>
      </c>
      <c r="C93" s="7" t="str">
        <f t="array" ref="C93">GetValue("Tables",B93,"Name")</f>
        <v>DatabasesTables</v>
      </c>
      <c r="D93" s="8" t="str" cm="1">
        <f t="array" ref="D93">GetValue("Tables",B93,"Alias")</f>
        <v>DatabaseTable</v>
      </c>
      <c r="E93" s="7">
        <f>E92+5</f>
        <v>10</v>
      </c>
      <c r="F93" s="7">
        <v>1</v>
      </c>
      <c r="G93" s="7" t="str">
        <f t="array" ref="G93">GetValue("Domains",F93,"Name")</f>
        <v>BigInteger</v>
      </c>
      <c r="H93" s="7" t="str" cm="1">
        <f t="array" ref="H93">GetValue("Domains",F93,"#CategoryName")</f>
        <v>numeric</v>
      </c>
      <c r="I93" s="7" t="str" cm="1">
        <f t="array" ref="I93">GetValue("Domains",F93,"#TypeName")</f>
        <v>int</v>
      </c>
      <c r="J93" s="7" t="str" cm="1">
        <f t="array" ref="J93">GetValue("Domains",F93,"#DataType")</f>
        <v>int</v>
      </c>
      <c r="K93" s="7">
        <v>10</v>
      </c>
      <c r="L93" s="7" t="str">
        <f t="array" ref="L93">GetValue("Tables",K93,"Name")</f>
        <v>Databases</v>
      </c>
      <c r="M93" s="7" t="s">
        <v>128</v>
      </c>
      <c r="N93" s="7"/>
      <c r="O93" s="7" t="s">
        <v>228</v>
      </c>
      <c r="P93" s="7" t="s">
        <v>207</v>
      </c>
      <c r="Q93" s="7" t="s">
        <v>207</v>
      </c>
      <c r="R93" s="14"/>
      <c r="S93" s="14">
        <v>1</v>
      </c>
      <c r="T93" s="14"/>
      <c r="U93" s="7" t="b">
        <v>0</v>
      </c>
      <c r="V93" s="7" t="b">
        <v>0</v>
      </c>
      <c r="W93" s="7" t="b">
        <v>1</v>
      </c>
      <c r="X93" s="7"/>
      <c r="Y93" s="7" t="b">
        <v>1</v>
      </c>
      <c r="Z93" s="7" t="b">
        <v>1</v>
      </c>
      <c r="AA93" s="7" t="b">
        <v>1</v>
      </c>
      <c r="AB93" s="7"/>
      <c r="AC93" s="7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f>E93+5</f>
        <v>15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int</v>
      </c>
      <c r="J94" s="7" t="str" cm="1">
        <f t="array" ref="J94">GetValue("Domains",F94,"#DataType")</f>
        <v>int</v>
      </c>
      <c r="K94" s="7">
        <v>12</v>
      </c>
      <c r="L94" s="7" t="str">
        <f t="array" ref="L94">GetValue("Tables",K94,"Name")</f>
        <v>Tables</v>
      </c>
      <c r="M94" s="7" t="s">
        <v>148</v>
      </c>
      <c r="N94" s="7"/>
      <c r="O94" s="7" t="s">
        <v>237</v>
      </c>
      <c r="P94" s="7" t="s">
        <v>236</v>
      </c>
      <c r="Q94" s="7" t="s">
        <v>236</v>
      </c>
      <c r="R94" s="14"/>
      <c r="S94" s="14">
        <v>1</v>
      </c>
      <c r="T94" s="14"/>
      <c r="U94" s="7" t="b">
        <v>0</v>
      </c>
      <c r="V94" s="7" t="b">
        <v>0</v>
      </c>
      <c r="W94" s="7" t="b">
        <v>1</v>
      </c>
      <c r="X94" s="7"/>
      <c r="Y94" s="7" t="b">
        <v>1</v>
      </c>
      <c r="Z94" s="7" t="b">
        <v>1</v>
      </c>
      <c r="AA94" s="7" t="b">
        <v>1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20</v>
      </c>
      <c r="F95" s="7">
        <v>10</v>
      </c>
      <c r="G95" s="7" t="str">
        <f t="array" ref="G95">GetValue("Domains",F95,"Name")</f>
        <v>Nvarchar(50)</v>
      </c>
      <c r="H95" s="7" t="str" cm="1">
        <f t="array" ref="H95">GetValue("Domains",F95,"#CategoryName")</f>
        <v>string</v>
      </c>
      <c r="I95" s="7" t="str" cm="1">
        <f t="array" ref="I95">GetValue("Domains",F95,"#TypeName")</f>
        <v>nvarchar</v>
      </c>
      <c r="J95" s="7" t="str" cm="1">
        <f t="array" ref="J95">GetValue("Domains",F95,"#DataType")</f>
        <v>nvarchar(50)</v>
      </c>
      <c r="K95" s="7"/>
      <c r="L95" s="7" t="str">
        <f t="array" ref="L95">GetValue("Tables",K95,"Name")</f>
        <v/>
      </c>
      <c r="M95" s="7" t="s">
        <v>1</v>
      </c>
      <c r="N95" s="7"/>
      <c r="O95" s="7" t="s">
        <v>446</v>
      </c>
      <c r="P95" s="7" t="s">
        <v>162</v>
      </c>
      <c r="Q95" s="7" t="s">
        <v>162</v>
      </c>
      <c r="R95" s="14"/>
      <c r="S95" s="14"/>
      <c r="T95" s="14"/>
      <c r="U95" s="7" t="b">
        <v>0</v>
      </c>
      <c r="V95" s="7"/>
      <c r="W95" s="7" t="b">
        <v>1</v>
      </c>
      <c r="X95" s="7" t="b">
        <v>1</v>
      </c>
      <c r="Y95" s="7" t="b">
        <v>1</v>
      </c>
      <c r="Z95" s="7" t="b">
        <v>1</v>
      </c>
      <c r="AA95" s="7" t="b">
        <v>1</v>
      </c>
      <c r="AB95" s="7" t="b">
        <v>0</v>
      </c>
      <c r="AC95" s="7"/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v>5</v>
      </c>
      <c r="F96" s="9">
        <v>1</v>
      </c>
      <c r="G96" s="9" t="str">
        <f t="array" ref="G96">GetValue("Domains",F96,"Name")</f>
        <v>BigInteger</v>
      </c>
      <c r="H96" s="9" t="str" cm="1">
        <f t="array" ref="H96">GetValue("Domains",F96,"#CategoryName")</f>
        <v>numeric</v>
      </c>
      <c r="I96" s="9" t="str" cm="1">
        <f t="array" ref="I96">GetValue("Domains",F96,"#TypeName")</f>
        <v>int</v>
      </c>
      <c r="J96" s="9" t="str" cm="1">
        <f t="array" ref="J96">GetValue("Domains",F96,"#DataType")</f>
        <v>int</v>
      </c>
      <c r="K96" s="9"/>
      <c r="L96" s="9" t="str">
        <f t="array" ref="L96">GetValue("Tables",K96,"Name")</f>
        <v/>
      </c>
      <c r="M96" s="9" t="s">
        <v>0</v>
      </c>
      <c r="N96" s="9"/>
      <c r="O96" s="9" t="s">
        <v>241</v>
      </c>
      <c r="P96" s="9" t="s">
        <v>160</v>
      </c>
      <c r="Q96" s="9" t="s">
        <v>160</v>
      </c>
      <c r="R96" s="15"/>
      <c r="S96" s="16">
        <v>1</v>
      </c>
      <c r="T96" s="16"/>
      <c r="U96" s="9" t="b">
        <v>1</v>
      </c>
      <c r="V96" s="9" t="b">
        <v>1</v>
      </c>
      <c r="W96" s="9" t="b">
        <v>1</v>
      </c>
      <c r="X96" s="9"/>
      <c r="Y96" s="9" t="b">
        <v>1</v>
      </c>
      <c r="Z96" s="9" t="b">
        <v>0</v>
      </c>
      <c r="AA96" s="9" t="b">
        <v>0</v>
      </c>
      <c r="AB96" s="9"/>
      <c r="AC96" s="9" t="b">
        <v>0</v>
      </c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ref="E97:E117" si="11">E96+5</f>
        <v>10</v>
      </c>
      <c r="F97" s="9">
        <v>1</v>
      </c>
      <c r="G97" s="9" t="str">
        <f t="array" ref="G97">GetValue("Domains",F97,"Name")</f>
        <v>BigInteger</v>
      </c>
      <c r="H97" s="9" t="str" cm="1">
        <f t="array" ref="H97">GetValue("Domains",F97,"#CategoryName")</f>
        <v>numeric</v>
      </c>
      <c r="I97" s="9" t="str" cm="1">
        <f t="array" ref="I97">GetValue("Domains",F97,"#TypeName")</f>
        <v>int</v>
      </c>
      <c r="J97" s="9" t="str" cm="1">
        <f t="array" ref="J97">GetValue("Domains",F97,"#DataType")</f>
        <v>int</v>
      </c>
      <c r="K97" s="9">
        <v>12</v>
      </c>
      <c r="L97" s="9" t="str">
        <f t="array" ref="L97">GetValue("Tables",K97,"Name")</f>
        <v>Tables</v>
      </c>
      <c r="M97" s="9" t="s">
        <v>148</v>
      </c>
      <c r="N97" s="9"/>
      <c r="O97" s="9" t="s">
        <v>242</v>
      </c>
      <c r="P97" s="9" t="s">
        <v>242</v>
      </c>
      <c r="Q97" s="9" t="s">
        <v>242</v>
      </c>
      <c r="R97" s="15"/>
      <c r="S97" s="16">
        <v>1</v>
      </c>
      <c r="T97" s="16"/>
      <c r="U97" s="9" t="b">
        <v>0</v>
      </c>
      <c r="V97" s="9" t="b">
        <v>0</v>
      </c>
      <c r="W97" s="9" t="b">
        <v>1</v>
      </c>
      <c r="X97" s="9"/>
      <c r="Y97" s="9" t="b">
        <v>1</v>
      </c>
      <c r="Z97" s="9" t="b">
        <v>1</v>
      </c>
      <c r="AA97" s="9" t="b">
        <v>1</v>
      </c>
      <c r="AB97" s="9"/>
      <c r="AC97" s="9" t="b">
        <v>0</v>
      </c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15</v>
      </c>
      <c r="F98" s="9">
        <v>4</v>
      </c>
      <c r="G98" s="9" t="str">
        <f t="array" ref="G98">GetValue("Domains",F98,"Name")</f>
        <v>SmallInteger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smallint</v>
      </c>
      <c r="J98" s="9" t="str" cm="1">
        <f t="array" ref="J98">GetValue("Domains",F98,"#DataType")</f>
        <v>smallint</v>
      </c>
      <c r="K98" s="9"/>
      <c r="L98" s="9" t="str">
        <f t="array" ref="L98">GetValue("Tables",K98,"Name")</f>
        <v/>
      </c>
      <c r="M98" s="9" t="s">
        <v>88</v>
      </c>
      <c r="N98" s="9"/>
      <c r="O98" s="9" t="s">
        <v>209</v>
      </c>
      <c r="P98" s="9" t="s">
        <v>209</v>
      </c>
      <c r="Q98" s="9" t="s">
        <v>209</v>
      </c>
      <c r="R98" s="15"/>
      <c r="S98" s="16">
        <v>1</v>
      </c>
      <c r="T98" s="16"/>
      <c r="U98" s="9" t="b">
        <v>0</v>
      </c>
      <c r="V98" s="9" t="b">
        <v>0</v>
      </c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20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int</v>
      </c>
      <c r="J99" s="9" t="str" cm="1">
        <f t="array" ref="J99">GetValue("Domains",F99,"#DataType")</f>
        <v>int</v>
      </c>
      <c r="K99" s="9">
        <v>4</v>
      </c>
      <c r="L99" s="9" t="str">
        <f t="array" ref="L99">GetValue("Tables",K99,"Name")</f>
        <v>Domains</v>
      </c>
      <c r="M99" s="9" t="s">
        <v>149</v>
      </c>
      <c r="N99" s="9"/>
      <c r="O99" s="9" t="s">
        <v>243</v>
      </c>
      <c r="P99" s="9" t="s">
        <v>244</v>
      </c>
      <c r="Q99" s="9" t="s">
        <v>244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25</v>
      </c>
      <c r="F100" s="9">
        <v>1</v>
      </c>
      <c r="G100" s="9" t="str">
        <f t="array" ref="G100">GetValue("Domains",F100,"Name")</f>
        <v>BigInteger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int</v>
      </c>
      <c r="J100" s="9" t="str" cm="1">
        <f t="array" ref="J100">GetValue("Domains",F100,"#DataType")</f>
        <v>int</v>
      </c>
      <c r="K100" s="9">
        <v>12</v>
      </c>
      <c r="L100" s="9" t="str">
        <f t="array" ref="L100">GetValue("Tables",K100,"Name")</f>
        <v>Tables</v>
      </c>
      <c r="M100" s="9" t="s">
        <v>150</v>
      </c>
      <c r="N100" s="9"/>
      <c r="O100" s="9" t="s">
        <v>245</v>
      </c>
      <c r="P100" s="9" t="s">
        <v>246</v>
      </c>
      <c r="Q100" s="9" t="s">
        <v>246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0</v>
      </c>
      <c r="X100" s="9"/>
      <c r="Y100" s="9" t="b">
        <v>1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30</v>
      </c>
      <c r="F101" s="9">
        <v>9</v>
      </c>
      <c r="G101" s="9" t="str">
        <f t="array" ref="G101">GetValue("Domains",F101,"Name")</f>
        <v>Nvarchar(25)</v>
      </c>
      <c r="H101" s="9" t="str" cm="1">
        <f t="array" ref="H101">GetValue("Domains",F101,"#CategoryName")</f>
        <v>string</v>
      </c>
      <c r="I101" s="9" t="str" cm="1">
        <f t="array" ref="I101">GetValue("Domains",F101,"#TypeName")</f>
        <v>nvarchar</v>
      </c>
      <c r="J101" s="9" t="str" cm="1">
        <f t="array" ref="J101">GetValue("Domains",F101,"#DataType")</f>
        <v>nvarchar(25)</v>
      </c>
      <c r="K101" s="9"/>
      <c r="L101" s="9" t="str">
        <f t="array" ref="L101">GetValue("Tables",K101,"Name")</f>
        <v/>
      </c>
      <c r="M101" s="9" t="s">
        <v>1</v>
      </c>
      <c r="N101" s="9"/>
      <c r="O101" s="9" t="s">
        <v>247</v>
      </c>
      <c r="P101" s="9" t="s">
        <v>162</v>
      </c>
      <c r="Q101" s="9" t="s">
        <v>162</v>
      </c>
      <c r="R101" s="15"/>
      <c r="S101" s="16" t="s">
        <v>35</v>
      </c>
      <c r="T101" s="16"/>
      <c r="U101" s="9" t="b">
        <v>0</v>
      </c>
      <c r="V101" s="9"/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 t="b">
        <v>0</v>
      </c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35</v>
      </c>
      <c r="F102" s="9">
        <v>9</v>
      </c>
      <c r="G102" s="9" t="str">
        <f t="array" ref="G102">GetValue("Domains",F102,"Name")</f>
        <v>Nvarchar(25)</v>
      </c>
      <c r="H102" s="9" t="str" cm="1">
        <f t="array" ref="H102">GetValue("Domains",F102,"#CategoryName")</f>
        <v>string</v>
      </c>
      <c r="I102" s="9" t="str" cm="1">
        <f t="array" ref="I102">GetValue("Domains",F102,"#TypeName")</f>
        <v>nvarchar</v>
      </c>
      <c r="J102" s="9" t="str" cm="1">
        <f t="array" ref="J102">GetValue("Domains",F102,"#DataType")</f>
        <v>nvarchar(25)</v>
      </c>
      <c r="K102" s="9"/>
      <c r="L102" s="9" t="str">
        <f t="array" ref="L102">GetValue("Tables",K102,"Name")</f>
        <v/>
      </c>
      <c r="M102" s="9" t="s">
        <v>122</v>
      </c>
      <c r="N102" s="9"/>
      <c r="O102" s="9" t="s">
        <v>498</v>
      </c>
      <c r="P102" s="9" t="s">
        <v>122</v>
      </c>
      <c r="Q102" s="9" t="s">
        <v>122</v>
      </c>
      <c r="R102" s="15"/>
      <c r="S102" s="16" t="s">
        <v>35</v>
      </c>
      <c r="T102" s="16"/>
      <c r="U102" s="9" t="b">
        <v>0</v>
      </c>
      <c r="V102" s="9"/>
      <c r="W102" s="9" t="b">
        <v>0</v>
      </c>
      <c r="X102" s="9"/>
      <c r="Y102" s="9" t="b">
        <v>1</v>
      </c>
      <c r="Z102" s="9" t="b">
        <v>1</v>
      </c>
      <c r="AA102" s="9" t="b">
        <v>0</v>
      </c>
      <c r="AB102" s="9" t="b">
        <v>0</v>
      </c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40</v>
      </c>
      <c r="F103" s="9">
        <v>10</v>
      </c>
      <c r="G103" s="9" t="str">
        <f t="array" ref="G103">GetValue("Domains",F103,"Name")</f>
        <v>Nvarchar(50)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nvarchar(50)</v>
      </c>
      <c r="K103" s="9"/>
      <c r="L103" s="9" t="str">
        <f t="array" ref="L103">GetValue("Tables",K103,"Name")</f>
        <v/>
      </c>
      <c r="M103" s="9" t="s">
        <v>84</v>
      </c>
      <c r="N103" s="9"/>
      <c r="O103" s="9" t="s">
        <v>248</v>
      </c>
      <c r="P103" s="9" t="s">
        <v>200</v>
      </c>
      <c r="Q103" s="9" t="s">
        <v>200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0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45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151</v>
      </c>
      <c r="N104" s="9"/>
      <c r="O104" s="9" t="s">
        <v>249</v>
      </c>
      <c r="P104" s="9" t="s">
        <v>250</v>
      </c>
      <c r="Q104" s="9" t="s">
        <v>250</v>
      </c>
      <c r="R104" s="15"/>
      <c r="S104" s="16" t="s">
        <v>35</v>
      </c>
      <c r="T104" s="16"/>
      <c r="U104" s="9" t="b">
        <v>0</v>
      </c>
      <c r="V104" s="9"/>
      <c r="W104" s="9" t="b">
        <v>1</v>
      </c>
      <c r="X104" s="9"/>
      <c r="Y104" s="9" t="b">
        <v>0</v>
      </c>
      <c r="Z104" s="9" t="b">
        <v>1</v>
      </c>
      <c r="AA104" s="9" t="b">
        <v>1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50</v>
      </c>
      <c r="F105" s="9">
        <v>9</v>
      </c>
      <c r="G105" s="9" t="str">
        <f t="array" ref="G105">GetValue("Domains",F105,"Name")</f>
        <v>Nvarchar(25)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nvarchar(25)</v>
      </c>
      <c r="K105" s="9"/>
      <c r="L105" s="9" t="str">
        <f t="array" ref="L105">GetValue("Tables",K105,"Name")</f>
        <v/>
      </c>
      <c r="M105" s="9" t="s">
        <v>89</v>
      </c>
      <c r="N105" s="9"/>
      <c r="O105" s="9" t="s">
        <v>251</v>
      </c>
      <c r="P105" s="9" t="s">
        <v>252</v>
      </c>
      <c r="Q105" s="9" t="s">
        <v>252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55</v>
      </c>
      <c r="F106" s="9">
        <v>17</v>
      </c>
      <c r="G106" s="9" t="str">
        <f t="array" ref="G106">GetValue("Domains",F106,"Name")</f>
        <v>Variant</v>
      </c>
      <c r="H106" s="9" t="str" cm="1">
        <f t="array" ref="H106">GetValue("Domains",F106,"#CategoryName")</f>
        <v>text</v>
      </c>
      <c r="I106" s="9" t="str" cm="1">
        <f t="array" ref="I106">GetValue("Domains",F106,"#TypeName")</f>
        <v>nvarchar(max)</v>
      </c>
      <c r="J106" s="9" t="str" cm="1">
        <f t="array" ref="J106">GetValue("Domains",F106,"#DataType")</f>
        <v>nvarchar(max)</v>
      </c>
      <c r="K106" s="9"/>
      <c r="L106" s="9" t="str">
        <f t="array" ref="L106">GetValue("Tables",K106,"Name")</f>
        <v/>
      </c>
      <c r="M106" s="9" t="s">
        <v>66</v>
      </c>
      <c r="N106" s="9"/>
      <c r="O106" s="9" t="s">
        <v>253</v>
      </c>
      <c r="P106" s="9" t="s">
        <v>254</v>
      </c>
      <c r="Q106" s="9" t="s">
        <v>254</v>
      </c>
      <c r="R106" s="15"/>
      <c r="S106" s="16" t="s">
        <v>35</v>
      </c>
      <c r="T106" s="16"/>
      <c r="U106" s="9"/>
      <c r="V106" s="9"/>
      <c r="W106" s="9" t="b">
        <v>0</v>
      </c>
      <c r="X106" s="9"/>
      <c r="Y106" s="9"/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60</v>
      </c>
      <c r="F107" s="9">
        <v>17</v>
      </c>
      <c r="G107" s="9" t="str">
        <f t="array" ref="G107">GetValue("Domains",F107,"Name")</f>
        <v>Variant</v>
      </c>
      <c r="H107" s="9" t="str" cm="1">
        <f t="array" ref="H107">GetValue("Domains",F107,"#CategoryName")</f>
        <v>text</v>
      </c>
      <c r="I107" s="9" t="str" cm="1">
        <f t="array" ref="I107">GetValue("Domains",F107,"#TypeName")</f>
        <v>nvarchar(max)</v>
      </c>
      <c r="J107" s="9" t="str" cm="1">
        <f t="array" ref="J107">GetValue("Domains",F107,"#DataType")</f>
        <v>nvarchar(max)</v>
      </c>
      <c r="K107" s="9"/>
      <c r="L107" s="9" t="str">
        <f t="array" ref="L107">GetValue("Tables",K107,"Name")</f>
        <v/>
      </c>
      <c r="M107" s="9" t="s">
        <v>26</v>
      </c>
      <c r="N107" s="9"/>
      <c r="O107" s="9" t="s">
        <v>255</v>
      </c>
      <c r="P107" s="9" t="s">
        <v>166</v>
      </c>
      <c r="Q107" s="9" t="s">
        <v>166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/>
      <c r="Z107" s="9" t="b">
        <v>1</v>
      </c>
      <c r="AA107" s="9" t="b">
        <v>0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65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27</v>
      </c>
      <c r="N108" s="9"/>
      <c r="O108" s="9" t="s">
        <v>256</v>
      </c>
      <c r="P108" s="9" t="s">
        <v>168</v>
      </c>
      <c r="Q108" s="9" t="s">
        <v>168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70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152</v>
      </c>
      <c r="N109" s="9"/>
      <c r="O109" s="9" t="s">
        <v>257</v>
      </c>
      <c r="P109" s="9" t="s">
        <v>396</v>
      </c>
      <c r="Q109" s="9" t="s">
        <v>396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75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153</v>
      </c>
      <c r="N110" s="9"/>
      <c r="O110" s="9" t="s">
        <v>258</v>
      </c>
      <c r="P110" s="9" t="s">
        <v>397</v>
      </c>
      <c r="Q110" s="9" t="s">
        <v>397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80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259</v>
      </c>
      <c r="P111" s="9" t="s">
        <v>398</v>
      </c>
      <c r="Q111" s="9" t="s">
        <v>398</v>
      </c>
      <c r="R111" s="15"/>
      <c r="S111" s="16" t="s">
        <v>35</v>
      </c>
      <c r="T111" s="16"/>
      <c r="U111" s="9"/>
      <c r="V111" s="9"/>
      <c r="W111" s="9" t="b">
        <v>1</v>
      </c>
      <c r="X111" s="9"/>
      <c r="Y111" s="9" t="b">
        <v>1</v>
      </c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85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155</v>
      </c>
      <c r="N112" s="9"/>
      <c r="O112" s="9" t="s">
        <v>260</v>
      </c>
      <c r="P112" s="9" t="s">
        <v>399</v>
      </c>
      <c r="Q112" s="9" t="s">
        <v>399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90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156</v>
      </c>
      <c r="N113" s="9"/>
      <c r="O113" s="9" t="s">
        <v>261</v>
      </c>
      <c r="P113" s="9" t="s">
        <v>400</v>
      </c>
      <c r="Q113" s="9" t="s">
        <v>400</v>
      </c>
      <c r="R113" s="15"/>
      <c r="S113" s="16" t="s">
        <v>35</v>
      </c>
      <c r="T113" s="16"/>
      <c r="U113" s="9"/>
      <c r="V113" s="9"/>
      <c r="W113" s="9" t="b">
        <v>0</v>
      </c>
      <c r="X113" s="9"/>
      <c r="Y113" s="9" t="b">
        <v>1</v>
      </c>
      <c r="Z113" s="9" t="b">
        <v>1</v>
      </c>
      <c r="AA113" s="9" t="b">
        <v>1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95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157</v>
      </c>
      <c r="N114" s="9"/>
      <c r="O114" s="9" t="s">
        <v>262</v>
      </c>
      <c r="P114" s="9" t="s">
        <v>401</v>
      </c>
      <c r="Q114" s="9" t="s">
        <v>401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100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392</v>
      </c>
      <c r="N115" s="9"/>
      <c r="O115" s="9" t="s">
        <v>395</v>
      </c>
      <c r="P115" s="9" t="s">
        <v>402</v>
      </c>
      <c r="Q115" s="9" t="s">
        <v>402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105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158</v>
      </c>
      <c r="N116" s="9"/>
      <c r="O116" s="9" t="s">
        <v>263</v>
      </c>
      <c r="P116" s="9" t="s">
        <v>403</v>
      </c>
      <c r="Q116" s="9" t="s">
        <v>403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110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429</v>
      </c>
      <c r="N117" s="9"/>
      <c r="O117" s="9" t="s">
        <v>428</v>
      </c>
      <c r="P117" s="9" t="s">
        <v>431</v>
      </c>
      <c r="Q117" s="9" t="s">
        <v>431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7">
        <f t="shared" si="10"/>
        <v>117</v>
      </c>
      <c r="B118" s="7">
        <v>15</v>
      </c>
      <c r="C118" s="7" t="str">
        <f t="array" ref="C118">GetValue("Tables",B118,"Name")</f>
        <v>Indexes</v>
      </c>
      <c r="D118" s="8" t="str" cm="1">
        <f t="array" ref="D118">GetValue("Tables",B118,"Alias")</f>
        <v>Index</v>
      </c>
      <c r="E118" s="7">
        <v>5</v>
      </c>
      <c r="F118" s="7">
        <v>1</v>
      </c>
      <c r="G118" s="7" t="str">
        <f t="array" ref="G118">GetValue("Domains",F118,"Name")</f>
        <v>BigInteger</v>
      </c>
      <c r="H118" s="7" t="str" cm="1">
        <f t="array" ref="H118">GetValue("Domains",F118,"#CategoryName")</f>
        <v>numeric</v>
      </c>
      <c r="I118" s="7" t="str" cm="1">
        <f t="array" ref="I118">GetValue("Domains",F118,"#TypeName")</f>
        <v>int</v>
      </c>
      <c r="J118" s="7" t="str" cm="1">
        <f t="array" ref="J118">GetValue("Domains",F118,"#DataType")</f>
        <v>int</v>
      </c>
      <c r="K118" s="7"/>
      <c r="L118" s="7" t="str">
        <f t="array" ref="L118">GetValue("Tables",K118,"Name")</f>
        <v/>
      </c>
      <c r="M118" s="7" t="s">
        <v>0</v>
      </c>
      <c r="N118" s="7"/>
      <c r="O118" s="7" t="s">
        <v>264</v>
      </c>
      <c r="P118" s="7" t="s">
        <v>160</v>
      </c>
      <c r="Q118" s="7" t="s">
        <v>160</v>
      </c>
      <c r="R118" s="14"/>
      <c r="S118" s="14">
        <v>1</v>
      </c>
      <c r="T118" s="14"/>
      <c r="U118" s="7" t="b">
        <v>1</v>
      </c>
      <c r="V118" s="7" t="b">
        <v>1</v>
      </c>
      <c r="W118" s="7" t="b">
        <v>1</v>
      </c>
      <c r="X118" s="7"/>
      <c r="Y118" s="7" t="b">
        <v>1</v>
      </c>
      <c r="Z118" s="7" t="b">
        <v>0</v>
      </c>
      <c r="AA118" s="7" t="b">
        <v>0</v>
      </c>
      <c r="AB118" s="7"/>
      <c r="AC118" s="7" t="b">
        <v>0</v>
      </c>
    </row>
    <row r="119" spans="1:29" x14ac:dyDescent="0.3">
      <c r="A119" s="7">
        <f t="shared" si="10"/>
        <v>118</v>
      </c>
      <c r="B119" s="7">
        <v>15</v>
      </c>
      <c r="C119" s="7" t="str">
        <f t="array" ref="C119">GetValue("Tables",B119,"Name")</f>
        <v>Indexes</v>
      </c>
      <c r="D119" s="8" t="str" cm="1">
        <f t="array" ref="D119">GetValue("Tables",B119,"Alias")</f>
        <v>Index</v>
      </c>
      <c r="E119" s="7">
        <f>E118+5</f>
        <v>10</v>
      </c>
      <c r="F119" s="7">
        <v>1</v>
      </c>
      <c r="G119" s="7" t="str">
        <f t="array" ref="G119">GetValue("Domains",F119,"Name")</f>
        <v>BigInteger</v>
      </c>
      <c r="H119" s="7" t="str" cm="1">
        <f t="array" ref="H119">GetValue("Domains",F119,"#CategoryName")</f>
        <v>numeric</v>
      </c>
      <c r="I119" s="7" t="str" cm="1">
        <f t="array" ref="I119">GetValue("Domains",F119,"#TypeName")</f>
        <v>int</v>
      </c>
      <c r="J119" s="7" t="str" cm="1">
        <f t="array" ref="J119">GetValue("Domains",F119,"#DataType")</f>
        <v>int</v>
      </c>
      <c r="K119" s="7">
        <v>10</v>
      </c>
      <c r="L119" s="7" t="str">
        <f t="array" ref="L119">GetValue("Tables",K119,"Name")</f>
        <v>Databases</v>
      </c>
      <c r="M119" s="7" t="s">
        <v>128</v>
      </c>
      <c r="N119" s="7"/>
      <c r="O119" s="7" t="s">
        <v>265</v>
      </c>
      <c r="P119" s="7" t="s">
        <v>236</v>
      </c>
      <c r="Q119" s="7" t="s">
        <v>236</v>
      </c>
      <c r="R119" s="14"/>
      <c r="S119" s="14">
        <v>1</v>
      </c>
      <c r="T119" s="14"/>
      <c r="U119" s="7" t="b">
        <v>0</v>
      </c>
      <c r="V119" s="7" t="b">
        <v>0</v>
      </c>
      <c r="W119" s="7" t="b">
        <v>1</v>
      </c>
      <c r="X119" s="7"/>
      <c r="Y119" s="7" t="b">
        <v>0</v>
      </c>
      <c r="Z119" s="7" t="b">
        <v>0</v>
      </c>
      <c r="AA119" s="7" t="b">
        <v>0</v>
      </c>
      <c r="AB119" s="7"/>
      <c r="AC119" s="7" t="b">
        <v>0</v>
      </c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f>E119+5</f>
        <v>15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int</v>
      </c>
      <c r="J120" s="7" t="str" cm="1">
        <f t="array" ref="J120">GetValue("Domains",F120,"#DataType")</f>
        <v>int</v>
      </c>
      <c r="K120" s="7">
        <v>12</v>
      </c>
      <c r="L120" s="7" t="str">
        <f t="array" ref="L120">GetValue("Tables",K120,"Name")</f>
        <v>Tables</v>
      </c>
      <c r="M120" s="7" t="s">
        <v>148</v>
      </c>
      <c r="N120" s="7"/>
      <c r="O120" s="7" t="s">
        <v>266</v>
      </c>
      <c r="P120" s="7" t="s">
        <v>242</v>
      </c>
      <c r="Q120" s="7" t="s">
        <v>242</v>
      </c>
      <c r="R120" s="14"/>
      <c r="S120" s="14">
        <v>1</v>
      </c>
      <c r="T120" s="14"/>
      <c r="U120" s="7" t="b">
        <v>0</v>
      </c>
      <c r="V120" s="7" t="b">
        <v>0</v>
      </c>
      <c r="W120" s="7" t="b">
        <v>1</v>
      </c>
      <c r="X120" s="7"/>
      <c r="Y120" s="7" t="b">
        <v>1</v>
      </c>
      <c r="Z120" s="7" t="b">
        <v>1</v>
      </c>
      <c r="AA120" s="7" t="b">
        <v>1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20</v>
      </c>
      <c r="F121" s="7">
        <v>10</v>
      </c>
      <c r="G121" s="7" t="str">
        <f t="array" ref="G121">GetValue("Domains",F121,"Name")</f>
        <v>Nvarchar(50)</v>
      </c>
      <c r="H121" s="7" t="str" cm="1">
        <f t="array" ref="H121">GetValue("Domains",F121,"#CategoryName")</f>
        <v>string</v>
      </c>
      <c r="I121" s="7" t="str" cm="1">
        <f t="array" ref="I121">GetValue("Domains",F121,"#TypeName")</f>
        <v>nvarchar</v>
      </c>
      <c r="J121" s="7" t="str" cm="1">
        <f t="array" ref="J121">GetValue("Domains",F121,"#DataType")</f>
        <v>nvarchar(50)</v>
      </c>
      <c r="K121" s="7"/>
      <c r="L121" s="7" t="str">
        <f t="array" ref="L121">GetValue("Tables",K121,"Name")</f>
        <v/>
      </c>
      <c r="M121" s="7" t="s">
        <v>1</v>
      </c>
      <c r="N121" s="7"/>
      <c r="O121" s="7" t="s">
        <v>267</v>
      </c>
      <c r="P121" s="7" t="s">
        <v>162</v>
      </c>
      <c r="Q121" s="7" t="s">
        <v>162</v>
      </c>
      <c r="R121" s="14"/>
      <c r="S121" s="14" t="s">
        <v>35</v>
      </c>
      <c r="T121" s="14"/>
      <c r="U121" s="7" t="b">
        <v>0</v>
      </c>
      <c r="V121" s="7"/>
      <c r="W121" s="7" t="b">
        <v>1</v>
      </c>
      <c r="X121" s="7" t="b">
        <v>1</v>
      </c>
      <c r="Y121" s="7" t="b">
        <v>1</v>
      </c>
      <c r="Z121" s="7" t="b">
        <v>1</v>
      </c>
      <c r="AA121" s="7" t="b">
        <v>1</v>
      </c>
      <c r="AB121" s="7" t="b">
        <v>0</v>
      </c>
      <c r="AC121" s="7"/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25</v>
      </c>
      <c r="F122" s="7">
        <v>6</v>
      </c>
      <c r="G122" s="7" t="str">
        <f t="array" ref="G122">GetValue("Domains",F122,"Name")</f>
        <v>Boolean</v>
      </c>
      <c r="H122" s="7" t="str" cm="1">
        <f t="array" ref="H122">GetValue("Domains",F122,"#CategoryName")</f>
        <v>boolean</v>
      </c>
      <c r="I122" s="7" t="str" cm="1">
        <f t="array" ref="I122">GetValue("Domains",F122,"#TypeName")</f>
        <v>bit</v>
      </c>
      <c r="J122" s="7" t="str" cm="1">
        <f t="array" ref="J122">GetValue("Domains",F122,"#DataType")</f>
        <v>bit</v>
      </c>
      <c r="K122" s="7"/>
      <c r="L122" s="7" t="str">
        <f t="array" ref="L122">GetValue("Tables",K122,"Name")</f>
        <v/>
      </c>
      <c r="M122" s="7" t="s">
        <v>268</v>
      </c>
      <c r="N122" s="7"/>
      <c r="O122" s="7" t="s">
        <v>269</v>
      </c>
      <c r="P122" s="7" t="s">
        <v>270</v>
      </c>
      <c r="Q122" s="7" t="s">
        <v>270</v>
      </c>
      <c r="R122" s="14"/>
      <c r="S122" s="14" t="s">
        <v>35</v>
      </c>
      <c r="T122" s="14"/>
      <c r="U122" s="7"/>
      <c r="V122" s="7"/>
      <c r="W122" s="7" t="b">
        <v>1</v>
      </c>
      <c r="X122" s="7"/>
      <c r="Y122" s="7" t="b">
        <v>1</v>
      </c>
      <c r="Z122" s="7" t="b">
        <v>1</v>
      </c>
      <c r="AA122" s="7" t="b">
        <v>1</v>
      </c>
      <c r="AB122" s="7"/>
      <c r="AC122" s="7"/>
    </row>
    <row r="123" spans="1:29" x14ac:dyDescent="0.3">
      <c r="A123" s="9">
        <f t="shared" si="10"/>
        <v>122</v>
      </c>
      <c r="B123" s="9">
        <v>16</v>
      </c>
      <c r="C123" s="9" t="str">
        <f t="array" ref="C123">GetValue("Tables",B123,"Name")</f>
        <v>Indexkeys</v>
      </c>
      <c r="D123" s="9" t="str" cm="1">
        <f t="array" ref="D123">GetValue("Tables",B123,"Alias")</f>
        <v>Indexkey</v>
      </c>
      <c r="E123" s="9">
        <v>5</v>
      </c>
      <c r="F123" s="9">
        <v>1</v>
      </c>
      <c r="G123" s="9" t="str">
        <f t="array" ref="G123">GetValue("Domains",F123,"Name")</f>
        <v>BigInteger</v>
      </c>
      <c r="H123" s="9" t="str" cm="1">
        <f t="array" ref="H123">GetValue("Domains",F123,"#CategoryName")</f>
        <v>numeric</v>
      </c>
      <c r="I123" s="9" t="str" cm="1">
        <f t="array" ref="I123">GetValue("Domains",F123,"#TypeName")</f>
        <v>int</v>
      </c>
      <c r="J123" s="9" t="str" cm="1">
        <f t="array" ref="J123">GetValue("Domains",F123,"#DataType")</f>
        <v>int</v>
      </c>
      <c r="K123" s="9"/>
      <c r="L123" s="9" t="str">
        <f t="array" ref="L123">GetValue("Tables",K123,"Name")</f>
        <v/>
      </c>
      <c r="M123" s="9" t="s">
        <v>0</v>
      </c>
      <c r="N123" s="9"/>
      <c r="O123" s="9" t="s">
        <v>271</v>
      </c>
      <c r="P123" s="9" t="s">
        <v>160</v>
      </c>
      <c r="Q123" s="9" t="s">
        <v>160</v>
      </c>
      <c r="R123" s="15"/>
      <c r="S123" s="16">
        <v>1</v>
      </c>
      <c r="T123" s="16"/>
      <c r="U123" s="9" t="b">
        <v>1</v>
      </c>
      <c r="V123" s="9" t="b">
        <v>1</v>
      </c>
      <c r="W123" s="9" t="b">
        <v>1</v>
      </c>
      <c r="X123" s="9"/>
      <c r="Y123" s="9" t="b">
        <v>1</v>
      </c>
      <c r="Z123" s="9" t="b">
        <v>0</v>
      </c>
      <c r="AA123" s="9" t="b">
        <v>0</v>
      </c>
      <c r="AB123" s="9"/>
      <c r="AC123" s="9" t="b">
        <v>0</v>
      </c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f>E123+5</f>
        <v>10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int</v>
      </c>
      <c r="J124" s="9" t="str" cm="1">
        <f t="array" ref="J124">GetValue("Domains",F124,"#DataType")</f>
        <v>int</v>
      </c>
      <c r="K124" s="9">
        <v>15</v>
      </c>
      <c r="L124" s="9" t="str">
        <f t="array" ref="L124">GetValue("Tables",K124,"Name")</f>
        <v>Indexes</v>
      </c>
      <c r="M124" s="9" t="s">
        <v>272</v>
      </c>
      <c r="N124" s="9"/>
      <c r="O124" s="9" t="s">
        <v>273</v>
      </c>
      <c r="P124" s="9" t="s">
        <v>274</v>
      </c>
      <c r="Q124" s="9" t="s">
        <v>274</v>
      </c>
      <c r="R124" s="15"/>
      <c r="S124" s="16">
        <v>1</v>
      </c>
      <c r="T124" s="16"/>
      <c r="U124" s="9" t="b">
        <v>0</v>
      </c>
      <c r="V124" s="9" t="b">
        <v>0</v>
      </c>
      <c r="W124" s="9" t="b">
        <v>1</v>
      </c>
      <c r="X124" s="9"/>
      <c r="Y124" s="9" t="b">
        <v>1</v>
      </c>
      <c r="Z124" s="9" t="b">
        <v>1</v>
      </c>
      <c r="AA124" s="9" t="b">
        <v>1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15</v>
      </c>
      <c r="F125" s="9">
        <v>4</v>
      </c>
      <c r="G125" s="9" t="str">
        <f t="array" ref="G125">GetValue("Domains",F125,"Name")</f>
        <v>SmallInteger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smallint</v>
      </c>
      <c r="J125" s="9" t="str" cm="1">
        <f t="array" ref="J125">GetValue("Domains",F125,"#DataType")</f>
        <v>smallint</v>
      </c>
      <c r="K125" s="9"/>
      <c r="L125" s="9" t="str">
        <f t="array" ref="L125">GetValue("Tables",K125,"Name")</f>
        <v/>
      </c>
      <c r="M125" s="9" t="s">
        <v>88</v>
      </c>
      <c r="N125" s="9"/>
      <c r="O125" s="9" t="s">
        <v>275</v>
      </c>
      <c r="P125" s="9" t="s">
        <v>209</v>
      </c>
      <c r="Q125" s="9" t="s">
        <v>209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0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20</v>
      </c>
      <c r="F126" s="9">
        <v>1</v>
      </c>
      <c r="G126" s="9" t="str">
        <f t="array" ref="G126">GetValue("Domains",F126,"Name")</f>
        <v>BigInteger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int</v>
      </c>
      <c r="J126" s="9" t="str" cm="1">
        <f t="array" ref="J126">GetValue("Domains",F126,"#DataType")</f>
        <v>int</v>
      </c>
      <c r="K126" s="9">
        <v>14</v>
      </c>
      <c r="L126" s="9" t="str">
        <f t="array" ref="L126">GetValue("Tables",K126,"Name")</f>
        <v>Columns</v>
      </c>
      <c r="M126" s="9" t="s">
        <v>276</v>
      </c>
      <c r="N126" s="9"/>
      <c r="O126" s="9" t="s">
        <v>277</v>
      </c>
      <c r="P126" s="9" t="s">
        <v>278</v>
      </c>
      <c r="Q126" s="9" t="s">
        <v>278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1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25</v>
      </c>
      <c r="F127" s="9">
        <v>6</v>
      </c>
      <c r="G127" s="9" t="str">
        <f t="array" ref="G127">GetValue("Domains",F127,"Name")</f>
        <v>Boolean</v>
      </c>
      <c r="H127" s="9" t="str" cm="1">
        <f t="array" ref="H127">GetValue("Domains",F127,"#CategoryName")</f>
        <v>boolean</v>
      </c>
      <c r="I127" s="9" t="str" cm="1">
        <f t="array" ref="I127">GetValue("Domains",F127,"#TypeName")</f>
        <v>bit</v>
      </c>
      <c r="J127" s="9" t="str" cm="1">
        <f t="array" ref="J127">GetValue("Domains",F127,"#DataType")</f>
        <v>bit</v>
      </c>
      <c r="K127" s="9"/>
      <c r="L127" s="9" t="str">
        <f t="array" ref="L127">GetValue("Tables",K127,"Name")</f>
        <v/>
      </c>
      <c r="M127" s="9" t="s">
        <v>279</v>
      </c>
      <c r="N127" s="9"/>
      <c r="O127" s="9" t="s">
        <v>280</v>
      </c>
      <c r="P127" s="9" t="s">
        <v>281</v>
      </c>
      <c r="Q127" s="9" t="s">
        <v>281</v>
      </c>
      <c r="R127" s="15"/>
      <c r="S127" s="16" t="s">
        <v>35</v>
      </c>
      <c r="T127" s="16"/>
      <c r="U127" s="9"/>
      <c r="V127" s="9"/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/>
    </row>
    <row r="128" spans="1:29" x14ac:dyDescent="0.3">
      <c r="A128" s="7">
        <f t="shared" si="10"/>
        <v>127</v>
      </c>
      <c r="B128" s="7">
        <v>17</v>
      </c>
      <c r="C128" s="7" t="str">
        <f t="array" ref="C128">GetValue("Tables",B128,"Name")</f>
        <v>Logins</v>
      </c>
      <c r="D128" s="8" t="str" cm="1">
        <f t="array" ref="D128">GetValue("Tables",B128,"Alias")</f>
        <v>Login</v>
      </c>
      <c r="E128" s="7">
        <v>5</v>
      </c>
      <c r="F128" s="7">
        <v>1</v>
      </c>
      <c r="G128" s="7" t="str">
        <f t="array" ref="G128">GetValue("Domains",F128,"Name")</f>
        <v>BigInteger</v>
      </c>
      <c r="H128" s="7" t="str" cm="1">
        <f t="array" ref="H128">GetValue("Domains",F128,"#CategoryName")</f>
        <v>numeric</v>
      </c>
      <c r="I128" s="7" t="str" cm="1">
        <f t="array" ref="I128">GetValue("Domains",F128,"#TypeName")</f>
        <v>int</v>
      </c>
      <c r="J128" s="7" t="str" cm="1">
        <f t="array" ref="J128">GetValue("Domains",F128,"#DataType")</f>
        <v>int</v>
      </c>
      <c r="K128" s="7"/>
      <c r="L128" s="7" t="str">
        <f t="array" ref="L128">GetValue("Tables",K128,"Name")</f>
        <v/>
      </c>
      <c r="M128" s="7" t="s">
        <v>0</v>
      </c>
      <c r="N128" s="7"/>
      <c r="O128" s="7" t="s">
        <v>339</v>
      </c>
      <c r="P128" s="7" t="s">
        <v>160</v>
      </c>
      <c r="Q128" s="7" t="s">
        <v>160</v>
      </c>
      <c r="R128" s="14"/>
      <c r="S128" s="14">
        <v>1</v>
      </c>
      <c r="T128" s="14"/>
      <c r="U128" s="7" t="b">
        <v>1</v>
      </c>
      <c r="V128" s="7" t="b">
        <v>1</v>
      </c>
      <c r="W128" s="7" t="b">
        <v>1</v>
      </c>
      <c r="X128" s="7"/>
      <c r="Y128" s="7" t="b">
        <v>1</v>
      </c>
      <c r="Z128" s="7" t="b">
        <v>0</v>
      </c>
      <c r="AA128" s="7" t="b">
        <v>0</v>
      </c>
      <c r="AB128" s="7"/>
      <c r="AC128" s="7" t="b">
        <v>0</v>
      </c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f>E128+5</f>
        <v>10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int</v>
      </c>
      <c r="J129" s="7" t="str" cm="1">
        <f t="array" ref="J129">GetValue("Domains",F129,"#DataType")</f>
        <v>int</v>
      </c>
      <c r="K129" s="7">
        <v>5</v>
      </c>
      <c r="L129" s="7" t="str">
        <f t="array" ref="L129">GetValue("Tables",K129,"Name")</f>
        <v>Systems</v>
      </c>
      <c r="M129" s="7" t="s">
        <v>87</v>
      </c>
      <c r="N129" s="7"/>
      <c r="O129" s="7" t="s">
        <v>294</v>
      </c>
      <c r="P129" s="7" t="s">
        <v>207</v>
      </c>
      <c r="Q129" s="7" t="s">
        <v>207</v>
      </c>
      <c r="R129" s="14"/>
      <c r="S129" s="14">
        <v>1</v>
      </c>
      <c r="T129" s="14"/>
      <c r="U129" s="7" t="b">
        <v>0</v>
      </c>
      <c r="V129" s="7" t="b">
        <v>0</v>
      </c>
      <c r="W129" s="7" t="b">
        <v>1</v>
      </c>
      <c r="X129" s="7"/>
      <c r="Y129" s="7" t="b">
        <v>1</v>
      </c>
      <c r="Z129" s="7" t="b">
        <v>0</v>
      </c>
      <c r="AA129" s="7" t="b">
        <v>1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int</v>
      </c>
      <c r="J130" s="7" t="str" cm="1">
        <f t="array" ref="J130">GetValue("Domains",F130,"#DataType")</f>
        <v>int</v>
      </c>
      <c r="K130" s="7">
        <v>7</v>
      </c>
      <c r="L130" s="7" t="str">
        <f t="array" ref="L130">GetValue("Tables",K130,"Name")</f>
        <v>Users</v>
      </c>
      <c r="M130" s="7" t="s">
        <v>121</v>
      </c>
      <c r="N130" s="7"/>
      <c r="O130" s="7" t="s">
        <v>218</v>
      </c>
      <c r="P130" s="7" t="s">
        <v>227</v>
      </c>
      <c r="Q130" s="7" t="s">
        <v>227</v>
      </c>
      <c r="R130" s="14"/>
      <c r="S130" s="14">
        <v>1</v>
      </c>
      <c r="T130" s="14"/>
      <c r="U130" s="7"/>
      <c r="V130" s="7"/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/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20</v>
      </c>
      <c r="F131" s="7">
        <v>11</v>
      </c>
      <c r="G131" s="7" t="str">
        <f t="array" ref="G131">GetValue("Domains",F131,"Name")</f>
        <v>Nvarchar(256)</v>
      </c>
      <c r="H131" s="7" t="str" cm="1">
        <f t="array" ref="H131">GetValue("Domains",F131,"#CategoryName")</f>
        <v>string</v>
      </c>
      <c r="I131" s="7" t="str" cm="1">
        <f t="array" ref="I131">GetValue("Domains",F131,"#TypeName")</f>
        <v>nvarchar</v>
      </c>
      <c r="J131" s="7" t="str" cm="1">
        <f t="array" ref="J131">GetValue("Domains",F131,"#DataType")</f>
        <v>nvarchar(256)</v>
      </c>
      <c r="K131" s="7"/>
      <c r="L131" s="7" t="str">
        <f t="array" ref="L131">GetValue("Tables",K131,"Name")</f>
        <v/>
      </c>
      <c r="M131" s="7" t="s">
        <v>340</v>
      </c>
      <c r="N131" s="7"/>
      <c r="O131" s="7" t="s">
        <v>342</v>
      </c>
      <c r="P131" s="7" t="s">
        <v>341</v>
      </c>
      <c r="Q131" s="7" t="s">
        <v>341</v>
      </c>
      <c r="R131" s="14"/>
      <c r="S131" s="14"/>
      <c r="T131" s="14"/>
      <c r="U131" s="7" t="b">
        <v>0</v>
      </c>
      <c r="V131" s="7"/>
      <c r="W131" s="7" t="b">
        <v>1</v>
      </c>
      <c r="X131" s="7" t="b">
        <v>0</v>
      </c>
      <c r="Y131" s="7" t="b">
        <v>0</v>
      </c>
      <c r="Z131" s="7" t="b">
        <v>0</v>
      </c>
      <c r="AA131" s="7" t="b">
        <v>0</v>
      </c>
      <c r="AB131" s="7" t="b">
        <v>1</v>
      </c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25</v>
      </c>
      <c r="F132" s="7">
        <v>6</v>
      </c>
      <c r="G132" s="7" t="str">
        <f t="array" ref="G132">GetValue("Domains",F132,"Name")</f>
        <v>Boolean</v>
      </c>
      <c r="H132" s="7" t="str" cm="1">
        <f t="array" ref="H132">GetValue("Domains",F132,"#CategoryName")</f>
        <v>boolean</v>
      </c>
      <c r="I132" s="7" t="str" cm="1">
        <f t="array" ref="I132">GetValue("Domains",F132,"#TypeName")</f>
        <v>bit</v>
      </c>
      <c r="J132" s="7" t="str" cm="1">
        <f t="array" ref="J132">GetValue("Domains",F132,"#DataType")</f>
        <v>bit</v>
      </c>
      <c r="K132" s="7"/>
      <c r="L132" s="7" t="str">
        <f t="array" ref="L132">GetValue("Tables",K132,"Name")</f>
        <v/>
      </c>
      <c r="M132" s="7" t="s">
        <v>348</v>
      </c>
      <c r="N132" s="7"/>
      <c r="O132" s="7" t="s">
        <v>295</v>
      </c>
      <c r="P132" s="7" t="s">
        <v>295</v>
      </c>
      <c r="Q132" s="7" t="s">
        <v>295</v>
      </c>
      <c r="R132" s="14"/>
      <c r="S132" s="14" t="s">
        <v>35</v>
      </c>
      <c r="T132" s="14"/>
      <c r="U132" s="7"/>
      <c r="V132" s="7"/>
      <c r="W132" s="7" t="b">
        <v>1</v>
      </c>
      <c r="X132" s="7"/>
      <c r="Y132" s="7" t="b">
        <v>1</v>
      </c>
      <c r="Z132" s="7" t="b">
        <v>1</v>
      </c>
      <c r="AA132" s="7" t="b">
        <v>0</v>
      </c>
      <c r="AB132" s="7"/>
      <c r="AC132" s="7"/>
    </row>
    <row r="133" spans="1:29" x14ac:dyDescent="0.3">
      <c r="A133" s="9">
        <f t="shared" si="10"/>
        <v>132</v>
      </c>
      <c r="B133" s="9">
        <v>18</v>
      </c>
      <c r="C133" s="9" t="str">
        <f t="array" ref="C133">GetValue("Tables",B133,"Name")</f>
        <v>Transactions</v>
      </c>
      <c r="D133" s="9" t="str" cm="1">
        <f t="array" ref="D133">GetValue("Tables",B133,"Alias")</f>
        <v>Transaction</v>
      </c>
      <c r="E133" s="9">
        <v>5</v>
      </c>
      <c r="F133" s="9">
        <v>1</v>
      </c>
      <c r="G133" s="9" t="str">
        <f t="array" ref="G133">GetValue("Domains",F133,"Name")</f>
        <v>BigInteger</v>
      </c>
      <c r="H133" s="9" t="str" cm="1">
        <f t="array" ref="H133">GetValue("Domains",F133,"#CategoryName")</f>
        <v>numeric</v>
      </c>
      <c r="I133" s="9" t="str" cm="1">
        <f t="array" ref="I133">GetValue("Domains",F133,"#TypeName")</f>
        <v>int</v>
      </c>
      <c r="J133" s="9" t="str" cm="1">
        <f t="array" ref="J133">GetValue("Domains",F133,"#DataType")</f>
        <v>int</v>
      </c>
      <c r="K133" s="9"/>
      <c r="L133" s="9" t="str">
        <f t="array" ref="L133">GetValue("Tables",K133,"Name")</f>
        <v/>
      </c>
      <c r="M133" s="9" t="s">
        <v>0</v>
      </c>
      <c r="N133" s="9"/>
      <c r="O133" s="9" t="s">
        <v>499</v>
      </c>
      <c r="P133" s="9" t="s">
        <v>160</v>
      </c>
      <c r="Q133" s="9" t="s">
        <v>160</v>
      </c>
      <c r="R133" s="15"/>
      <c r="S133" s="16">
        <v>1</v>
      </c>
      <c r="T133" s="16"/>
      <c r="U133" s="9" t="b">
        <v>1</v>
      </c>
      <c r="V133" s="9" t="b">
        <v>1</v>
      </c>
      <c r="W133" s="9" t="b">
        <v>1</v>
      </c>
      <c r="X133" s="9"/>
      <c r="Y133" s="9" t="b">
        <v>1</v>
      </c>
      <c r="Z133" s="9" t="b">
        <v>0</v>
      </c>
      <c r="AA133" s="9" t="b">
        <v>0</v>
      </c>
      <c r="AB133" s="9"/>
      <c r="AC133" s="9" t="b">
        <v>0</v>
      </c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f>E133+5</f>
        <v>10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int</v>
      </c>
      <c r="J134" s="9" t="str" cm="1">
        <f t="array" ref="J134">GetValue("Domains",F134,"#DataType")</f>
        <v>int</v>
      </c>
      <c r="K134" s="9">
        <v>17</v>
      </c>
      <c r="L134" s="9" t="str">
        <f t="array" ref="L134">GetValue("Tables",K134,"Name")</f>
        <v>Logins</v>
      </c>
      <c r="M134" s="9" t="s">
        <v>490</v>
      </c>
      <c r="N134" s="9"/>
      <c r="O134" s="9" t="s">
        <v>495</v>
      </c>
      <c r="P134" s="9" t="s">
        <v>338</v>
      </c>
      <c r="Q134" s="9" t="s">
        <v>338</v>
      </c>
      <c r="R134" s="15"/>
      <c r="S134" s="16">
        <v>1</v>
      </c>
      <c r="T134" s="16"/>
      <c r="U134" s="9" t="b">
        <v>0</v>
      </c>
      <c r="V134" s="9" t="b">
        <v>0</v>
      </c>
      <c r="W134" s="9" t="b">
        <v>1</v>
      </c>
      <c r="X134" s="9"/>
      <c r="Y134" s="9" t="b">
        <v>0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15</v>
      </c>
      <c r="F135" s="9">
        <v>6</v>
      </c>
      <c r="G135" s="9" t="str">
        <f t="array" ref="G135">GetValue("Domains",F135,"Name")</f>
        <v>Boolean</v>
      </c>
      <c r="H135" s="9" t="str" cm="1">
        <f t="array" ref="H135">GetValue("Domains",F135,"#CategoryName")</f>
        <v>boolean</v>
      </c>
      <c r="I135" s="9" t="str" cm="1">
        <f t="array" ref="I135">GetValue("Domains",F135,"#TypeName")</f>
        <v>bit</v>
      </c>
      <c r="J135" s="9" t="str" cm="1">
        <f t="array" ref="J135">GetValue("Domains",F135,"#DataType")</f>
        <v>bit</v>
      </c>
      <c r="K135" s="9"/>
      <c r="L135" s="9" t="str">
        <f t="array" ref="L135">GetValue("Tables",K135,"Name")</f>
        <v/>
      </c>
      <c r="M135" s="9" t="s">
        <v>491</v>
      </c>
      <c r="N135" s="9"/>
      <c r="O135" s="9" t="s">
        <v>496</v>
      </c>
      <c r="P135" s="9" t="s">
        <v>497</v>
      </c>
      <c r="Q135" s="9" t="s">
        <v>497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v>5</v>
      </c>
      <c r="F136" s="7">
        <v>1</v>
      </c>
      <c r="G136" s="7" t="str">
        <f t="array" ref="G136">GetValue("Domains",F136,"Name")</f>
        <v>BigInteger</v>
      </c>
      <c r="H136" s="7" t="str" cm="1">
        <f t="array" ref="H136">GetValue("Domains",F136,"#CategoryName")</f>
        <v>numeric</v>
      </c>
      <c r="I136" s="7" t="str" cm="1">
        <f t="array" ref="I136">GetValue("Domains",F136,"#TypeName")</f>
        <v>int</v>
      </c>
      <c r="J136" s="7" t="str" cm="1">
        <f t="array" ref="J136">GetValue("Domains",F136,"#DataType")</f>
        <v>int</v>
      </c>
      <c r="K136" s="7"/>
      <c r="L136" s="7" t="str">
        <f t="array" ref="L136">GetValue("Tables",K136,"Name")</f>
        <v/>
      </c>
      <c r="M136" s="7" t="s">
        <v>0</v>
      </c>
      <c r="N136" s="7"/>
      <c r="O136" s="7" t="s">
        <v>500</v>
      </c>
      <c r="P136" s="7" t="s">
        <v>160</v>
      </c>
      <c r="Q136" s="7" t="s">
        <v>160</v>
      </c>
      <c r="R136" s="14"/>
      <c r="S136" s="14">
        <v>1</v>
      </c>
      <c r="T136" s="14"/>
      <c r="U136" s="7" t="b">
        <v>1</v>
      </c>
      <c r="V136" s="7" t="b">
        <v>1</v>
      </c>
      <c r="W136" s="7" t="b">
        <v>1</v>
      </c>
      <c r="X136" s="7"/>
      <c r="Y136" s="7" t="b">
        <v>1</v>
      </c>
      <c r="Z136" s="7" t="b">
        <v>0</v>
      </c>
      <c r="AA136" s="7" t="b">
        <v>0</v>
      </c>
      <c r="AB136" s="7"/>
      <c r="AC136" s="7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f>E136+5</f>
        <v>10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int</v>
      </c>
      <c r="J137" s="7" t="str" cm="1">
        <f t="array" ref="J137">GetValue("Domains",F137,"#DataType")</f>
        <v>int</v>
      </c>
      <c r="K137" s="7">
        <v>18</v>
      </c>
      <c r="L137" s="7" t="str">
        <f t="array" ref="L137">GetValue("Tables",K137,"Name")</f>
        <v>Transactions</v>
      </c>
      <c r="M137" s="7" t="s">
        <v>492</v>
      </c>
      <c r="N137" s="7"/>
      <c r="O137" s="7" t="s">
        <v>499</v>
      </c>
      <c r="P137" s="7" t="s">
        <v>501</v>
      </c>
      <c r="Q137" s="7" t="s">
        <v>501</v>
      </c>
      <c r="R137" s="14"/>
      <c r="S137" s="14">
        <v>1</v>
      </c>
      <c r="T137" s="14"/>
      <c r="U137" s="7" t="b">
        <v>0</v>
      </c>
      <c r="V137" s="7" t="b">
        <v>0</v>
      </c>
      <c r="W137" s="7" t="b">
        <v>1</v>
      </c>
      <c r="X137" s="7"/>
      <c r="Y137" s="7" t="b">
        <v>0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 t="shared" ref="E138:E143" si="12">E137+5</f>
        <v>15</v>
      </c>
      <c r="F138" s="7">
        <v>9</v>
      </c>
      <c r="G138" s="7" t="str">
        <f t="array" ref="G138">GetValue("Domains",F138,"Name")</f>
        <v>Nvarchar(25)</v>
      </c>
      <c r="H138" s="7" t="str" cm="1">
        <f t="array" ref="H138">GetValue("Domains",F138,"#CategoryName")</f>
        <v>string</v>
      </c>
      <c r="I138" s="7" t="str" cm="1">
        <f t="array" ref="I138">GetValue("Domains",F138,"#TypeName")</f>
        <v>nvarchar</v>
      </c>
      <c r="J138" s="7" t="str" cm="1">
        <f t="array" ref="J138">GetValue("Domains",F138,"#DataType")</f>
        <v>nvarchar(25)</v>
      </c>
      <c r="K138" s="7"/>
      <c r="L138" s="7" t="str">
        <f t="array" ref="L138">GetValue("Tables",K138,"Name")</f>
        <v/>
      </c>
      <c r="M138" s="7" t="s">
        <v>493</v>
      </c>
      <c r="N138" s="7"/>
      <c r="O138" s="7" t="s">
        <v>238</v>
      </c>
      <c r="P138" s="7" t="s">
        <v>242</v>
      </c>
      <c r="Q138" s="7" t="s">
        <v>242</v>
      </c>
      <c r="R138" s="14"/>
      <c r="S138" s="14"/>
      <c r="T138" s="14"/>
      <c r="U138" s="7" t="b">
        <v>0</v>
      </c>
      <c r="V138" s="7"/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 t="b">
        <v>0</v>
      </c>
      <c r="AC138" s="7"/>
    </row>
    <row r="139" spans="1:29" x14ac:dyDescent="0.3">
      <c r="A139" s="7">
        <f>ROW(A139)-1</f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si="12"/>
        <v>20</v>
      </c>
      <c r="F139" s="7">
        <v>1</v>
      </c>
      <c r="G139" s="7" t="str">
        <f t="array" ref="G139">GetValue("Domains",F139,"Name")</f>
        <v>BigInteger</v>
      </c>
      <c r="H139" s="7" t="str" cm="1">
        <f t="array" ref="H139">GetValue("Domains",F139,"#CategoryName")</f>
        <v>numeric</v>
      </c>
      <c r="I139" s="7" t="str" cm="1">
        <f t="array" ref="I139">GetValue("Domains",F139,"#TypeName")</f>
        <v>int</v>
      </c>
      <c r="J139" s="7" t="str" cm="1">
        <f t="array" ref="J139">GetValue("Domains",F139,"#DataType")</f>
        <v>int</v>
      </c>
      <c r="K139" s="7">
        <v>19</v>
      </c>
      <c r="L139" s="7" t="str">
        <f t="array" ref="L139">GetValue("Tables",K139,"Name")</f>
        <v>Operations</v>
      </c>
      <c r="M139" s="7" t="s">
        <v>506</v>
      </c>
      <c r="N139" s="7"/>
      <c r="O139" s="7" t="s">
        <v>507</v>
      </c>
      <c r="P139" s="7" t="s">
        <v>508</v>
      </c>
      <c r="Q139" s="7" t="s">
        <v>508</v>
      </c>
      <c r="R139" s="14"/>
      <c r="S139" s="14">
        <v>1</v>
      </c>
      <c r="T139" s="14"/>
      <c r="U139" s="7" t="b">
        <v>0</v>
      </c>
      <c r="V139" s="7" t="b">
        <v>0</v>
      </c>
      <c r="W139" s="7" t="b">
        <v>0</v>
      </c>
      <c r="X139" s="7"/>
      <c r="Y139" s="7" t="b">
        <v>0</v>
      </c>
      <c r="Z139" s="7" t="b">
        <v>0</v>
      </c>
      <c r="AA139" s="7" t="b">
        <v>0</v>
      </c>
      <c r="AB139" s="7"/>
      <c r="AC139" s="7" t="b">
        <v>0</v>
      </c>
    </row>
    <row r="140" spans="1:29" x14ac:dyDescent="0.3">
      <c r="A140" s="7">
        <f t="shared" si="10"/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25</v>
      </c>
      <c r="F140" s="7">
        <v>21</v>
      </c>
      <c r="G140" s="7" t="str">
        <f t="array" ref="G140">GetValue("Domains",F140,"Name")</f>
        <v>OperationAction</v>
      </c>
      <c r="H140" s="7" t="str" cm="1">
        <f t="array" ref="H140">GetValue("Domains",F140,"#CategoryName")</f>
        <v>string</v>
      </c>
      <c r="I140" s="7" t="str" cm="1">
        <f t="array" ref="I140">GetValue("Domains",F140,"#TypeName")</f>
        <v>nvarchar</v>
      </c>
      <c r="J140" s="7" t="str" cm="1">
        <f t="array" ref="J140">GetValue("Domains",F140,"#DataType")</f>
        <v>nvarchar(15)</v>
      </c>
      <c r="K140" s="7"/>
      <c r="L140" s="7" t="str">
        <f t="array" ref="L140">GetValue("Tables",K140,"Name")</f>
        <v/>
      </c>
      <c r="M140" s="7" t="s">
        <v>91</v>
      </c>
      <c r="N140" s="7"/>
      <c r="O140" s="7" t="s">
        <v>502</v>
      </c>
      <c r="P140" s="7" t="s">
        <v>215</v>
      </c>
      <c r="Q140" s="7" t="s">
        <v>215</v>
      </c>
      <c r="R140" s="14"/>
      <c r="S140" s="14"/>
      <c r="T140" s="14"/>
      <c r="U140" s="7" t="b">
        <v>0</v>
      </c>
      <c r="V140" s="7"/>
      <c r="W140" s="7" t="b">
        <v>1</v>
      </c>
      <c r="X140" s="7"/>
      <c r="Y140" s="7" t="b">
        <v>0</v>
      </c>
      <c r="Z140" s="7" t="b">
        <v>0</v>
      </c>
      <c r="AA140" s="7" t="b">
        <v>0</v>
      </c>
      <c r="AB140" s="7" t="b">
        <v>0</v>
      </c>
      <c r="AC140" s="7"/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30</v>
      </c>
      <c r="F141" s="7">
        <v>12</v>
      </c>
      <c r="G141" s="7" t="str">
        <f t="array" ref="G141">GetValue("Domains",F141,"Name")</f>
        <v>Nvarchar(MAX)</v>
      </c>
      <c r="H141" s="7" t="str" cm="1">
        <f t="array" ref="H141">GetValue("Domains",F141,"#CategoryName")</f>
        <v>text</v>
      </c>
      <c r="I141" s="7" t="str" cm="1">
        <f t="array" ref="I141">GetValue("Domains",F141,"#TypeName")</f>
        <v>nvarchar(max)</v>
      </c>
      <c r="J141" s="7" t="str" cm="1">
        <f t="array" ref="J141">GetValue("Domains",F141,"#DataType")</f>
        <v>nvarchar(max)</v>
      </c>
      <c r="K141" s="7"/>
      <c r="L141" s="7" t="str">
        <f t="array" ref="L141">GetValue("Tables",K141,"Name")</f>
        <v/>
      </c>
      <c r="M141" s="7" t="s">
        <v>503</v>
      </c>
      <c r="N141" s="7"/>
      <c r="O141" s="7" t="s">
        <v>504</v>
      </c>
      <c r="P141" s="7" t="s">
        <v>504</v>
      </c>
      <c r="Q141" s="7" t="s">
        <v>504</v>
      </c>
      <c r="R141" s="14"/>
      <c r="S141" s="14"/>
      <c r="T141" s="14"/>
      <c r="U141" s="7" t="b">
        <v>0</v>
      </c>
      <c r="V141" s="7"/>
      <c r="W141" s="7" t="b">
        <v>0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35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494</v>
      </c>
      <c r="N142" s="7"/>
      <c r="O142" s="7" t="s">
        <v>505</v>
      </c>
      <c r="P142" s="7" t="s">
        <v>505</v>
      </c>
      <c r="Q142" s="7" t="s">
        <v>505</v>
      </c>
      <c r="R142" s="14"/>
      <c r="S142" s="14"/>
      <c r="T142" s="14"/>
      <c r="U142" s="7" t="b">
        <v>0</v>
      </c>
      <c r="V142" s="7"/>
      <c r="W142" s="7" t="b">
        <v>1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40</v>
      </c>
      <c r="F143" s="7">
        <v>6</v>
      </c>
      <c r="G143" s="7" t="str">
        <f t="array" ref="G143">GetValue("Domains",F143,"Name")</f>
        <v>Boolean</v>
      </c>
      <c r="H143" s="7" t="str" cm="1">
        <f t="array" ref="H143">GetValue("Domains",F143,"#CategoryName")</f>
        <v>boolean</v>
      </c>
      <c r="I143" s="7" t="str" cm="1">
        <f t="array" ref="I143">GetValue("Domains",F143,"#TypeName")</f>
        <v>bit</v>
      </c>
      <c r="J143" s="7" t="str" cm="1">
        <f t="array" ref="J143">GetValue("Domains",F143,"#DataType")</f>
        <v>bit</v>
      </c>
      <c r="K143" s="7"/>
      <c r="L143" s="7" t="str">
        <f t="array" ref="L143">GetValue("Tables",K143,"Name")</f>
        <v/>
      </c>
      <c r="M143" s="7" t="s">
        <v>491</v>
      </c>
      <c r="N143" s="7"/>
      <c r="O143" s="7" t="s">
        <v>496</v>
      </c>
      <c r="P143" s="7" t="s">
        <v>497</v>
      </c>
      <c r="Q143" s="7" t="s">
        <v>497</v>
      </c>
      <c r="R143" s="14"/>
      <c r="S143" s="14"/>
      <c r="T143" s="14"/>
      <c r="U143" s="7" t="b">
        <v>0</v>
      </c>
      <c r="V143" s="7"/>
      <c r="W143" s="7" t="b">
        <v>0</v>
      </c>
      <c r="X143" s="7"/>
      <c r="Y143" s="7" t="b">
        <v>0</v>
      </c>
      <c r="Z143" s="7" t="b">
        <v>0</v>
      </c>
      <c r="AA143" s="7" t="b">
        <v>0</v>
      </c>
      <c r="AB143" s="7"/>
      <c r="AC143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tabSelected="1" workbookViewId="0">
      <pane ySplit="1" topLeftCell="A2" activePane="bottomLeft" state="frozen"/>
      <selection pane="bottomLeft" activeCell="G26" sqref="G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354</v>
      </c>
      <c r="D1" s="1" t="s">
        <v>148</v>
      </c>
      <c r="E1" s="1" t="s">
        <v>355</v>
      </c>
      <c r="F1" s="1" t="s">
        <v>1</v>
      </c>
      <c r="G1" s="1" t="s">
        <v>268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304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296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298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297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299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360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390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300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367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444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10</v>
      </c>
      <c r="E12" t="str">
        <f t="array" ref="E12">GetValue("Tables",D12,"Name")</f>
        <v>Databases</v>
      </c>
      <c r="F12" t="s">
        <v>301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10</v>
      </c>
      <c r="E13" t="str">
        <f t="array" ref="E13">GetValue("Tables",D13,"Name")</f>
        <v>Databases</v>
      </c>
      <c r="F13" t="s">
        <v>302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11</v>
      </c>
      <c r="E14" t="str">
        <f t="array" ref="E14">GetValue("Tables",D14,"Name")</f>
        <v>SystemsDatabases</v>
      </c>
      <c r="F14" t="s">
        <v>361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11</v>
      </c>
      <c r="E15" t="str">
        <f t="array" ref="E15">GetValue("Tables",D15,"Name")</f>
        <v>SystemsDatabases</v>
      </c>
      <c r="F15" t="s">
        <v>443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12</v>
      </c>
      <c r="E16" t="str">
        <f t="array" ref="E16">GetValue("Tables",D16,"Name")</f>
        <v>Tables</v>
      </c>
      <c r="F16" t="s">
        <v>320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12</v>
      </c>
      <c r="E17" t="str">
        <f t="array" ref="E17">GetValue("Tables",D17,"Name")</f>
        <v>Tables</v>
      </c>
      <c r="F17" t="s">
        <v>303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13</v>
      </c>
      <c r="E18" t="str">
        <f t="array" ref="E18">GetValue("Tables",D18,"Name")</f>
        <v>DatabasesTables</v>
      </c>
      <c r="F18" t="s">
        <v>362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13</v>
      </c>
      <c r="E19" t="str">
        <f t="array" ref="E19">GetValue("Tables",D19,"Name")</f>
        <v>DatabasesTables</v>
      </c>
      <c r="F19" t="s">
        <v>447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14</v>
      </c>
      <c r="E20" t="str">
        <f t="array" ref="E20">GetValue("Tables",D20,"Name")</f>
        <v>Columns</v>
      </c>
      <c r="F20" t="s">
        <v>363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14</v>
      </c>
      <c r="E21" t="str">
        <f t="array" ref="E21">GetValue("Tables",D21,"Name")</f>
        <v>Columns</v>
      </c>
      <c r="F21" t="s">
        <v>364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15</v>
      </c>
      <c r="E22" t="str">
        <f t="array" ref="E22">GetValue("Tables",D22,"Name")</f>
        <v>Indexes</v>
      </c>
      <c r="F22" t="s">
        <v>365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16</v>
      </c>
      <c r="E23" t="str">
        <f t="array" ref="E23">GetValue("Tables",D23,"Name")</f>
        <v>Indexkeys</v>
      </c>
      <c r="F23" t="s">
        <v>366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16</v>
      </c>
      <c r="E24" t="str">
        <f t="array" ref="E24">GetValue("Tables",D24,"Name")</f>
        <v>Indexkeys</v>
      </c>
      <c r="F24" t="s">
        <v>384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17</v>
      </c>
      <c r="E25" t="str">
        <f t="array" ref="E25">GetValue("Tables",D25,"Name")</f>
        <v>Logins</v>
      </c>
      <c r="F25" t="s">
        <v>512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7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272</v>
      </c>
      <c r="C1" s="1" t="s">
        <v>358</v>
      </c>
      <c r="D1" s="1" t="s">
        <v>88</v>
      </c>
      <c r="E1" s="1" t="s">
        <v>276</v>
      </c>
      <c r="F1" s="1" t="s">
        <v>359</v>
      </c>
      <c r="G1" s="1" t="s">
        <v>279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81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82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83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85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86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92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93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94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96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100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96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97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118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120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123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124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123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125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5</v>
      </c>
      <c r="E35">
        <v>128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10</v>
      </c>
      <c r="E36">
        <v>129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UNQ_Logins_SystemId_UserId_IsLogged</v>
      </c>
      <c r="D37">
        <v>15</v>
      </c>
      <c r="E37">
        <v>131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340</v>
      </c>
      <c r="E1" s="1" t="s">
        <v>348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dimension ref="A1:C1"/>
  <sheetViews>
    <sheetView workbookViewId="0">
      <selection activeCell="I19" sqref="I19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490</v>
      </c>
      <c r="C1" s="1" t="s">
        <v>491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dimension ref="A1:H1"/>
  <sheetViews>
    <sheetView workbookViewId="0">
      <selection activeCell="H4" sqref="H4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492</v>
      </c>
      <c r="C1" s="1" t="s">
        <v>493</v>
      </c>
      <c r="D1" s="1" t="s">
        <v>506</v>
      </c>
      <c r="E1" s="1" t="s">
        <v>91</v>
      </c>
      <c r="F1" s="1" t="s">
        <v>503</v>
      </c>
      <c r="G1" s="1" t="s">
        <v>494</v>
      </c>
      <c r="H1" s="1" t="s">
        <v>491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2024-11-02T23:47:00Z</dcterms:modified>
</cp:coreProperties>
</file>