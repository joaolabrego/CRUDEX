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2422B008-609B-44E0-9585-15E050D46201}" xr6:coauthVersionLast="47" xr6:coauthVersionMax="47" xr10:uidLastSave="{00000000-0000-0000-0000-000000000000}"/>
  <bookViews>
    <workbookView xWindow="-108" yWindow="-108" windowWidth="23256" windowHeight="13176" tabRatio="969" firstSheet="14" activeTab="14" xr2:uid="{62178005-964C-499D-8BA4-3BC85200C027}"/>
  </bookViews>
  <sheets>
    <sheet name="Tenants" sheetId="28" r:id="rId1"/>
    <sheet name="Engines" sheetId="26" r:id="rId2"/>
    <sheet name="Categories" sheetId="1" r:id="rId3"/>
    <sheet name="Types" sheetId="2" r:id="rId4"/>
    <sheet name="EnginesTypes" sheetId="27" r:id="rId5"/>
    <sheet name="Domains" sheetId="4" r:id="rId6"/>
    <sheet name="Masks" sheetId="3" r:id="rId7"/>
    <sheet name="DomainsMasks" sheetId="31" r:id="rId8"/>
    <sheet name="Digits" sheetId="30" r:id="rId9"/>
    <sheet name="MasksDigits" sheetId="32" r:id="rId10"/>
    <sheet name="Environments" sheetId="29" r:id="rId11"/>
    <sheet name="Databases" sheetId="9" r:id="rId12"/>
    <sheet name="DatabasesEnvironments" sheetId="33" r:id="rId13"/>
    <sheet name="Namespaces" sheetId="35" r:id="rId14"/>
    <sheet name="Systems" sheetId="5" r:id="rId15"/>
    <sheet name="Tables" sheetId="11" r:id="rId16"/>
    <sheet name="Columns" sheetId="12" r:id="rId17"/>
    <sheet name="Menus" sheetId="6" r:id="rId18"/>
    <sheet name="Users" sheetId="7" r:id="rId19"/>
    <sheet name="SystemsUsers" sheetId="8" r:id="rId20"/>
    <sheet name="SystemsDatabases" sheetId="10" r:id="rId21"/>
    <sheet name="DatabasesTables" sheetId="17" r:id="rId22"/>
    <sheet name="Indexes" sheetId="13" r:id="rId23"/>
    <sheet name="Indexkeys" sheetId="14" r:id="rId24"/>
    <sheet name="Sessions" sheetId="15" r:id="rId25"/>
    <sheet name="Transactions" sheetId="19" r:id="rId26"/>
    <sheet name="Operations" sheetId="20" r:id="rId27"/>
    <sheet name="Unicities" sheetId="22" r:id="rId28"/>
    <sheet name="Operators" sheetId="25" r:id="rId29"/>
    <sheet name="Conditions" sheetId="34" r:id="rId30"/>
  </sheets>
  <functionGroups builtInGroupCount="19"/>
  <definedNames>
    <definedName name="_xlnm._FilterDatabase" localSheetId="16" hidden="1">Columns!$F$1:$F$123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5" l="1"/>
  <c r="D2" i="5" a="1"/>
  <c r="C2" i="35" a="1"/>
  <c r="C30" i="4" a="1"/>
  <c r="C29" i="4" a="1"/>
  <c r="C26" i="4" a="1"/>
  <c r="C16" i="4" a="1"/>
  <c r="C6" i="4" a="1"/>
  <c r="C15" i="4" a="1"/>
  <c r="C24" i="4" a="1"/>
  <c r="C14" i="4" a="1"/>
  <c r="C4" i="4" a="1"/>
  <c r="C21" i="4" a="1"/>
  <c r="C20" i="4" a="1"/>
  <c r="C19" i="4" a="1"/>
  <c r="C9" i="4" a="1"/>
  <c r="C18" i="4" a="1"/>
  <c r="C17" i="4" a="1"/>
  <c r="C5" i="4" a="1"/>
  <c r="C25" i="4" a="1"/>
  <c r="C23" i="4" a="1"/>
  <c r="C13" i="4" a="1"/>
  <c r="C3" i="4" a="1"/>
  <c r="C22" i="4" a="1"/>
  <c r="C12" i="4" a="1"/>
  <c r="C31" i="4" a="1"/>
  <c r="C11" i="4" a="1"/>
  <c r="C10" i="4" a="1"/>
  <c r="C28" i="4" a="1"/>
  <c r="C8" i="4" a="1"/>
  <c r="C27" i="4" a="1"/>
  <c r="C7" i="4" a="1"/>
  <c r="C2" i="4" a="1"/>
  <c r="D141" i="12" a="1"/>
  <c r="D131" i="12" a="1"/>
  <c r="D121" i="12" a="1"/>
  <c r="D111" i="12" a="1"/>
  <c r="D101" i="12" a="1"/>
  <c r="D91" i="12" a="1"/>
  <c r="D81" i="12" a="1"/>
  <c r="D71" i="12" a="1"/>
  <c r="D61" i="12" a="1"/>
  <c r="D51" i="12" a="1"/>
  <c r="D41" i="12" a="1"/>
  <c r="D31" i="12" a="1"/>
  <c r="D21" i="12" a="1"/>
  <c r="D11" i="12" a="1"/>
  <c r="D19" i="12" a="1"/>
  <c r="D18" i="12" a="1"/>
  <c r="D117" i="12" a="1"/>
  <c r="D47" i="12" a="1"/>
  <c r="D7" i="12" a="1"/>
  <c r="D56" i="12" a="1"/>
  <c r="D16" i="12" a="1"/>
  <c r="D135" i="12" a="1"/>
  <c r="D85" i="12" a="1"/>
  <c r="D45" i="12" a="1"/>
  <c r="D15" i="12" a="1"/>
  <c r="D124" i="12" a="1"/>
  <c r="D74" i="12" a="1"/>
  <c r="D34" i="12" a="1"/>
  <c r="D133" i="12" a="1"/>
  <c r="D63" i="12" a="1"/>
  <c r="D23" i="12" a="1"/>
  <c r="D140" i="12" a="1"/>
  <c r="D130" i="12" a="1"/>
  <c r="D120" i="12" a="1"/>
  <c r="D110" i="12" a="1"/>
  <c r="D100" i="12" a="1"/>
  <c r="D90" i="12" a="1"/>
  <c r="D80" i="12" a="1"/>
  <c r="D70" i="12" a="1"/>
  <c r="D60" i="12" a="1"/>
  <c r="D50" i="12" a="1"/>
  <c r="D40" i="12" a="1"/>
  <c r="D30" i="12" a="1"/>
  <c r="D20" i="12" a="1"/>
  <c r="D10" i="12" a="1"/>
  <c r="D137" i="12" a="1"/>
  <c r="D97" i="12" a="1"/>
  <c r="D77" i="12" a="1"/>
  <c r="D57" i="12" a="1"/>
  <c r="D27" i="12" a="1"/>
  <c r="D17" i="12" a="1"/>
  <c r="D46" i="12" a="1"/>
  <c r="D125" i="12" a="1"/>
  <c r="D75" i="12" a="1"/>
  <c r="D35" i="12" a="1"/>
  <c r="D104" i="12" a="1"/>
  <c r="D44" i="12" a="1"/>
  <c r="D4" i="12" a="1"/>
  <c r="D123" i="12" a="1"/>
  <c r="D73" i="12" a="1"/>
  <c r="D53" i="12" a="1"/>
  <c r="D13" i="12" a="1"/>
  <c r="D112" i="12" a="1"/>
  <c r="D62" i="12" a="1"/>
  <c r="D22" i="12" a="1"/>
  <c r="D107" i="12" a="1"/>
  <c r="D115" i="12" a="1"/>
  <c r="D114" i="12" a="1"/>
  <c r="D113" i="12" a="1"/>
  <c r="D3" i="12" a="1"/>
  <c r="D102" i="12" a="1"/>
  <c r="D12" i="12" a="1"/>
  <c r="D139" i="12" a="1"/>
  <c r="D129" i="12" a="1"/>
  <c r="D119" i="12" a="1"/>
  <c r="D109" i="12" a="1"/>
  <c r="D99" i="12" a="1"/>
  <c r="D89" i="12" a="1"/>
  <c r="D79" i="12" a="1"/>
  <c r="D69" i="12" a="1"/>
  <c r="D59" i="12" a="1"/>
  <c r="D49" i="12" a="1"/>
  <c r="D39" i="12" a="1"/>
  <c r="D29" i="12" a="1"/>
  <c r="D9" i="12" a="1"/>
  <c r="D37" i="12" a="1"/>
  <c r="D26" i="12" a="1"/>
  <c r="D55" i="12" a="1"/>
  <c r="D94" i="12" a="1"/>
  <c r="D24" i="12" a="1"/>
  <c r="D93" i="12" a="1"/>
  <c r="D82" i="12" a="1"/>
  <c r="D32" i="12" a="1"/>
  <c r="D128" i="12" a="1"/>
  <c r="D118" i="12" a="1"/>
  <c r="D108" i="12" a="1"/>
  <c r="D98" i="12" a="1"/>
  <c r="D88" i="12" a="1"/>
  <c r="D78" i="12" a="1"/>
  <c r="D68" i="12" a="1"/>
  <c r="D58" i="12" a="1"/>
  <c r="D48" i="12" a="1"/>
  <c r="D38" i="12" a="1"/>
  <c r="D28" i="12" a="1"/>
  <c r="D8" i="12" a="1"/>
  <c r="D127" i="12" a="1"/>
  <c r="D67" i="12" a="1"/>
  <c r="D95" i="12" a="1"/>
  <c r="D64" i="12" a="1"/>
  <c r="D43" i="12" a="1"/>
  <c r="D122" i="12" a="1"/>
  <c r="D138" i="12" a="1"/>
  <c r="D87" i="12" a="1"/>
  <c r="D5" i="12" a="1"/>
  <c r="D84" i="12" a="1"/>
  <c r="D14" i="12" a="1"/>
  <c r="D103" i="12" a="1"/>
  <c r="D33" i="12" a="1"/>
  <c r="D92" i="12" a="1"/>
  <c r="D52" i="12" a="1"/>
  <c r="D136" i="12" a="1"/>
  <c r="D126" i="12" a="1"/>
  <c r="D116" i="12" a="1"/>
  <c r="D106" i="12" a="1"/>
  <c r="D96" i="12" a="1"/>
  <c r="D86" i="12" a="1"/>
  <c r="D76" i="12" a="1"/>
  <c r="D66" i="12" a="1"/>
  <c r="D36" i="12" a="1"/>
  <c r="D6" i="12" a="1"/>
  <c r="D105" i="12" a="1"/>
  <c r="D65" i="12" a="1"/>
  <c r="D25" i="12" a="1"/>
  <c r="D134" i="12" a="1"/>
  <c r="D54" i="12" a="1"/>
  <c r="D83" i="12" a="1"/>
  <c r="D132" i="12" a="1"/>
  <c r="D72" i="12" a="1"/>
  <c r="D42" i="12" a="1"/>
  <c r="D2" i="12" a="1"/>
  <c r="C2" i="5" a="1"/>
  <c r="C4" i="29" a="1"/>
  <c r="C3" i="29" a="1"/>
  <c r="C2" i="29" a="1"/>
  <c r="D2" i="5" l="1"/>
  <c r="C2" i="35"/>
  <c r="C7" i="4"/>
  <c r="C27" i="4"/>
  <c r="C8" i="4"/>
  <c r="C28" i="4"/>
  <c r="C10" i="4"/>
  <c r="C11" i="4"/>
  <c r="C31" i="4"/>
  <c r="C12" i="4"/>
  <c r="C22" i="4"/>
  <c r="C3" i="4"/>
  <c r="C13" i="4"/>
  <c r="C23" i="4"/>
  <c r="C25" i="4"/>
  <c r="C5" i="4"/>
  <c r="C17" i="4"/>
  <c r="C18" i="4"/>
  <c r="C9" i="4"/>
  <c r="C19" i="4"/>
  <c r="C20" i="4"/>
  <c r="C21" i="4"/>
  <c r="C4" i="4"/>
  <c r="C14" i="4"/>
  <c r="C24" i="4"/>
  <c r="C15" i="4"/>
  <c r="C6" i="4"/>
  <c r="C16" i="4"/>
  <c r="C26" i="4"/>
  <c r="C29" i="4"/>
  <c r="C30" i="4"/>
  <c r="C2" i="4"/>
  <c r="D42" i="12"/>
  <c r="D72" i="12"/>
  <c r="D132" i="12"/>
  <c r="D83" i="12"/>
  <c r="D54" i="12"/>
  <c r="D134" i="12"/>
  <c r="D25" i="12"/>
  <c r="D65" i="12"/>
  <c r="D105" i="12"/>
  <c r="D6" i="12"/>
  <c r="D36" i="12"/>
  <c r="D66" i="12"/>
  <c r="D76" i="12"/>
  <c r="D86" i="12"/>
  <c r="D96" i="12"/>
  <c r="D106" i="12"/>
  <c r="D116" i="12"/>
  <c r="D126" i="12"/>
  <c r="D136" i="12"/>
  <c r="D52" i="12"/>
  <c r="D92" i="12"/>
  <c r="D33" i="12"/>
  <c r="D103" i="12"/>
  <c r="D14" i="12"/>
  <c r="D84" i="12"/>
  <c r="D5" i="12"/>
  <c r="D87" i="12"/>
  <c r="D138" i="12"/>
  <c r="D122" i="12"/>
  <c r="D43" i="12"/>
  <c r="D64" i="12"/>
  <c r="D95" i="12"/>
  <c r="D67" i="12"/>
  <c r="D127" i="12"/>
  <c r="D8" i="12"/>
  <c r="D28" i="12"/>
  <c r="D38" i="12"/>
  <c r="D48" i="12"/>
  <c r="D58" i="12"/>
  <c r="D68" i="12"/>
  <c r="D78" i="12"/>
  <c r="D88" i="12"/>
  <c r="D98" i="12"/>
  <c r="D108" i="12"/>
  <c r="D118" i="12"/>
  <c r="D128" i="12"/>
  <c r="D32" i="12"/>
  <c r="D82" i="12"/>
  <c r="D93" i="12"/>
  <c r="D24" i="12"/>
  <c r="D94" i="12"/>
  <c r="D55" i="12"/>
  <c r="D26" i="12"/>
  <c r="D37" i="12"/>
  <c r="D9" i="12"/>
  <c r="D29" i="12"/>
  <c r="D39" i="12"/>
  <c r="D49" i="12"/>
  <c r="D59" i="12"/>
  <c r="D69" i="12"/>
  <c r="D79" i="12"/>
  <c r="D89" i="12"/>
  <c r="D99" i="12"/>
  <c r="D109" i="12"/>
  <c r="D119" i="12"/>
  <c r="D129" i="12"/>
  <c r="D139" i="12"/>
  <c r="D12" i="12"/>
  <c r="D102" i="12"/>
  <c r="D3" i="12"/>
  <c r="D113" i="12"/>
  <c r="D114" i="12"/>
  <c r="D115" i="12"/>
  <c r="D107" i="12"/>
  <c r="D22" i="12"/>
  <c r="D62" i="12"/>
  <c r="D112" i="12"/>
  <c r="D13" i="12"/>
  <c r="D53" i="12"/>
  <c r="D73" i="12"/>
  <c r="D123" i="12"/>
  <c r="D4" i="12"/>
  <c r="D44" i="12"/>
  <c r="D104" i="12"/>
  <c r="D35" i="12"/>
  <c r="D75" i="12"/>
  <c r="D125" i="12"/>
  <c r="D46" i="12"/>
  <c r="D17" i="12"/>
  <c r="D27" i="12"/>
  <c r="D57" i="12"/>
  <c r="D77" i="12"/>
  <c r="D97" i="12"/>
  <c r="D137" i="12"/>
  <c r="D10" i="12"/>
  <c r="D20" i="12"/>
  <c r="D30" i="12"/>
  <c r="D40" i="12"/>
  <c r="D50" i="12"/>
  <c r="D60" i="12"/>
  <c r="D70" i="12"/>
  <c r="D80" i="12"/>
  <c r="D90" i="12"/>
  <c r="D100" i="12"/>
  <c r="D110" i="12"/>
  <c r="D120" i="12"/>
  <c r="D130" i="12"/>
  <c r="D140" i="12"/>
  <c r="D23" i="12"/>
  <c r="D63" i="12"/>
  <c r="D133" i="12"/>
  <c r="D34" i="12"/>
  <c r="D74" i="12"/>
  <c r="D124" i="12"/>
  <c r="D15" i="12"/>
  <c r="D45" i="12"/>
  <c r="D85" i="12"/>
  <c r="D135" i="12"/>
  <c r="D16" i="12"/>
  <c r="D56" i="12"/>
  <c r="D7" i="12"/>
  <c r="D47" i="12"/>
  <c r="D117" i="12"/>
  <c r="D18" i="12"/>
  <c r="D19" i="12"/>
  <c r="D11" i="12"/>
  <c r="D21" i="12"/>
  <c r="D31" i="12"/>
  <c r="D41" i="12"/>
  <c r="D51" i="12"/>
  <c r="D61" i="12"/>
  <c r="D71" i="12"/>
  <c r="D81" i="12"/>
  <c r="D91" i="12"/>
  <c r="D101" i="12"/>
  <c r="D111" i="12"/>
  <c r="D121" i="12"/>
  <c r="D131" i="12"/>
  <c r="D141" i="12"/>
  <c r="D2" i="12"/>
  <c r="C2" i="5"/>
  <c r="C3" i="29"/>
  <c r="C4" i="29"/>
  <c r="C2" i="29"/>
  <c r="A17" i="25" l="1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3" i="34"/>
  <c r="A2" i="34"/>
  <c r="E3" i="34" a="1"/>
  <c r="E2" i="34" a="1"/>
  <c r="C3" i="34" a="1"/>
  <c r="C2" i="34" a="1"/>
  <c r="E3" i="34" l="1"/>
  <c r="E2" i="34"/>
  <c r="C3" i="34"/>
  <c r="C2" i="34"/>
  <c r="A7" i="31" l="1"/>
  <c r="A17" i="4"/>
  <c r="E14" i="31" a="1"/>
  <c r="E4" i="31" a="1"/>
  <c r="E13" i="31" a="1"/>
  <c r="E3" i="31" a="1"/>
  <c r="E12" i="31" a="1"/>
  <c r="E11" i="31" a="1"/>
  <c r="E10" i="31" a="1"/>
  <c r="E9" i="31" a="1"/>
  <c r="E8" i="31" a="1"/>
  <c r="E7" i="31" a="1"/>
  <c r="E6" i="31" a="1"/>
  <c r="E5" i="31" a="1"/>
  <c r="C7" i="31" a="1"/>
  <c r="F17" i="4" a="1"/>
  <c r="E17" i="4" a="1"/>
  <c r="C11" i="31" a="1"/>
  <c r="C10" i="31" a="1"/>
  <c r="C9" i="31" a="1"/>
  <c r="C8" i="31" a="1"/>
  <c r="C6" i="31" a="1"/>
  <c r="C5" i="31" a="1"/>
  <c r="C2" i="31" a="1"/>
  <c r="C14" i="31" a="1"/>
  <c r="C4" i="31" a="1"/>
  <c r="C13" i="31" a="1"/>
  <c r="C12" i="31" a="1"/>
  <c r="E5" i="31" l="1"/>
  <c r="E6" i="31"/>
  <c r="E7" i="31"/>
  <c r="E8" i="31"/>
  <c r="E9" i="31"/>
  <c r="E10" i="31"/>
  <c r="E11" i="31"/>
  <c r="E12" i="31"/>
  <c r="E3" i="31"/>
  <c r="E13" i="31"/>
  <c r="E4" i="31"/>
  <c r="E14" i="31"/>
  <c r="C7" i="31"/>
  <c r="E17" i="4"/>
  <c r="F17" i="4"/>
  <c r="C12" i="31"/>
  <c r="C13" i="31"/>
  <c r="C4" i="31"/>
  <c r="C14" i="31"/>
  <c r="C2" i="31"/>
  <c r="C5" i="31"/>
  <c r="C6" i="31"/>
  <c r="C8" i="31"/>
  <c r="C9" i="31"/>
  <c r="C10" i="31"/>
  <c r="C11" i="31"/>
  <c r="C9" i="30" l="1" a="1"/>
  <c r="C8" i="30" a="1"/>
  <c r="C7" i="30" a="1"/>
  <c r="C6" i="30" a="1"/>
  <c r="C5" i="30" a="1"/>
  <c r="C4" i="30" a="1"/>
  <c r="C3" i="30" a="1"/>
  <c r="C12" i="30" a="1"/>
  <c r="C11" i="30" a="1"/>
  <c r="C10" i="30" a="1"/>
  <c r="C2" i="30" a="1"/>
  <c r="C4" i="3" a="1"/>
  <c r="C3" i="3" a="1"/>
  <c r="C10" i="3" a="1"/>
  <c r="C9" i="3" a="1"/>
  <c r="C8" i="3" a="1"/>
  <c r="C7" i="3" a="1"/>
  <c r="C6" i="3" a="1"/>
  <c r="C5" i="3" a="1"/>
  <c r="C2" i="3" a="1"/>
  <c r="C11" i="3" a="1"/>
  <c r="C10" i="30" l="1"/>
  <c r="C11" i="30"/>
  <c r="C12" i="30"/>
  <c r="C3" i="30"/>
  <c r="C4" i="30"/>
  <c r="C5" i="30"/>
  <c r="C6" i="30"/>
  <c r="C7" i="30"/>
  <c r="C8" i="30"/>
  <c r="C9" i="30"/>
  <c r="C2" i="30"/>
  <c r="C2" i="3"/>
  <c r="C4" i="3"/>
  <c r="C5" i="3"/>
  <c r="C6" i="3"/>
  <c r="C7" i="3"/>
  <c r="C8" i="3"/>
  <c r="C9" i="3"/>
  <c r="C10" i="3"/>
  <c r="C11" i="3"/>
  <c r="C3" i="3"/>
  <c r="A4" i="33" l="1"/>
  <c r="A3" i="33"/>
  <c r="A2" i="33"/>
  <c r="A4" i="3"/>
  <c r="A5" i="31"/>
  <c r="A6" i="31"/>
  <c r="A2" i="31"/>
  <c r="A12" i="32"/>
  <c r="A11" i="32"/>
  <c r="A10" i="32"/>
  <c r="A9" i="32"/>
  <c r="A8" i="32"/>
  <c r="A7" i="32"/>
  <c r="A6" i="32"/>
  <c r="A5" i="32"/>
  <c r="A4" i="32"/>
  <c r="A3" i="32"/>
  <c r="A2" i="32"/>
  <c r="A14" i="31"/>
  <c r="A13" i="31"/>
  <c r="A12" i="31"/>
  <c r="A11" i="31"/>
  <c r="A10" i="31"/>
  <c r="A9" i="31"/>
  <c r="A8" i="31"/>
  <c r="A4" i="31"/>
  <c r="A27" i="4"/>
  <c r="A26" i="4"/>
  <c r="A25" i="4"/>
  <c r="A24" i="4"/>
  <c r="A23" i="4"/>
  <c r="A3" i="31"/>
  <c r="A12" i="30"/>
  <c r="A11" i="3"/>
  <c r="A11" i="30"/>
  <c r="A10" i="30"/>
  <c r="A9" i="30"/>
  <c r="A8" i="30"/>
  <c r="A10" i="3"/>
  <c r="A9" i="3"/>
  <c r="A8" i="3"/>
  <c r="A7" i="3"/>
  <c r="A6" i="3"/>
  <c r="A22" i="4"/>
  <c r="A7" i="30"/>
  <c r="A5" i="3"/>
  <c r="A21" i="4"/>
  <c r="A6" i="30"/>
  <c r="A5" i="30"/>
  <c r="A4" i="30"/>
  <c r="A3" i="30"/>
  <c r="A2" i="30"/>
  <c r="A20" i="4"/>
  <c r="A19" i="4"/>
  <c r="A18" i="4"/>
  <c r="C3" i="7" a="1"/>
  <c r="C2" i="7" a="1"/>
  <c r="E4" i="33" a="1"/>
  <c r="C4" i="33" a="1"/>
  <c r="E3" i="33" a="1"/>
  <c r="C3" i="33" a="1"/>
  <c r="E2" i="33" a="1"/>
  <c r="C2" i="33" a="1"/>
  <c r="C2" i="9" a="1"/>
  <c r="C3" i="31" a="1"/>
  <c r="E2" i="31" a="1"/>
  <c r="E10" i="32" a="1"/>
  <c r="C2" i="32" a="1"/>
  <c r="C5" i="32" a="1"/>
  <c r="C9" i="32" a="1"/>
  <c r="E9" i="32" a="1"/>
  <c r="E7" i="32" a="1"/>
  <c r="E6" i="32" a="1"/>
  <c r="C8" i="32" a="1"/>
  <c r="E5" i="32" a="1"/>
  <c r="C4" i="32" a="1"/>
  <c r="C12" i="32" a="1"/>
  <c r="C7" i="32" a="1"/>
  <c r="C10" i="32" a="1"/>
  <c r="C6" i="32" a="1"/>
  <c r="E4" i="32" a="1"/>
  <c r="C3" i="32" a="1"/>
  <c r="E12" i="32" a="1"/>
  <c r="E3" i="32" a="1"/>
  <c r="E11" i="32" a="1"/>
  <c r="E2" i="32" a="1"/>
  <c r="C11" i="32" a="1"/>
  <c r="E8" i="32" a="1"/>
  <c r="E19" i="4" a="1"/>
  <c r="E20" i="4" a="1"/>
  <c r="E24" i="4" a="1"/>
  <c r="E26" i="4" a="1"/>
  <c r="E18" i="4" a="1"/>
  <c r="E23" i="4" a="1"/>
  <c r="E22" i="4" a="1"/>
  <c r="E25" i="4" a="1"/>
  <c r="E21" i="4" a="1"/>
  <c r="E27" i="4" a="1"/>
  <c r="C10" i="11" a="1"/>
  <c r="C9" i="11" a="1"/>
  <c r="C17" i="11" a="1"/>
  <c r="C14" i="11" a="1"/>
  <c r="C12" i="11" a="1"/>
  <c r="C21" i="11" a="1"/>
  <c r="C8" i="11" a="1"/>
  <c r="C7" i="11" a="1"/>
  <c r="C15" i="11" a="1"/>
  <c r="C5" i="11" a="1"/>
  <c r="C13" i="11" a="1"/>
  <c r="C4" i="11" a="1"/>
  <c r="C3" i="11" a="1"/>
  <c r="C2" i="11" a="1"/>
  <c r="C11" i="11" a="1"/>
  <c r="C20" i="11" a="1"/>
  <c r="C19" i="11" a="1"/>
  <c r="C16" i="11" a="1"/>
  <c r="C18" i="11" a="1"/>
  <c r="C6" i="11" a="1"/>
  <c r="F2" i="5" a="1"/>
  <c r="C3" i="7" l="1"/>
  <c r="C2" i="7"/>
  <c r="C3" i="11"/>
  <c r="C12" i="11"/>
  <c r="C4" i="11"/>
  <c r="C13" i="11"/>
  <c r="C5" i="11"/>
  <c r="C14" i="11"/>
  <c r="C6" i="11"/>
  <c r="C15" i="11"/>
  <c r="C7" i="11"/>
  <c r="C16" i="11"/>
  <c r="C8" i="11"/>
  <c r="C17" i="11"/>
  <c r="C9" i="11"/>
  <c r="C18" i="11"/>
  <c r="C19" i="11"/>
  <c r="C10" i="11"/>
  <c r="C20" i="11"/>
  <c r="C11" i="11"/>
  <c r="C21" i="11"/>
  <c r="C2" i="11"/>
  <c r="F2" i="5"/>
  <c r="C3" i="33"/>
  <c r="E3" i="33"/>
  <c r="C4" i="33"/>
  <c r="E4" i="33"/>
  <c r="E2" i="33"/>
  <c r="C2" i="33"/>
  <c r="F2" i="33" s="1"/>
  <c r="C2" i="9"/>
  <c r="E2" i="31"/>
  <c r="E12" i="32"/>
  <c r="C12" i="32"/>
  <c r="C11" i="32"/>
  <c r="E11" i="32"/>
  <c r="E3" i="32"/>
  <c r="E4" i="32"/>
  <c r="E5" i="32"/>
  <c r="E6" i="32"/>
  <c r="E7" i="32"/>
  <c r="E8" i="32"/>
  <c r="E9" i="32"/>
  <c r="E10" i="32"/>
  <c r="E2" i="32"/>
  <c r="C6" i="32"/>
  <c r="C3" i="32"/>
  <c r="C10" i="32"/>
  <c r="C7" i="32"/>
  <c r="C4" i="32"/>
  <c r="C8" i="32"/>
  <c r="C5" i="32"/>
  <c r="C2" i="32"/>
  <c r="C9" i="32"/>
  <c r="E23" i="4"/>
  <c r="E26" i="4"/>
  <c r="E25" i="4"/>
  <c r="E24" i="4"/>
  <c r="E27" i="4"/>
  <c r="C3" i="31"/>
  <c r="E22" i="4"/>
  <c r="E21" i="4"/>
  <c r="E20" i="4"/>
  <c r="E19" i="4"/>
  <c r="E18" i="4"/>
  <c r="F4" i="33" l="1"/>
  <c r="F3" i="33"/>
  <c r="A11" i="26"/>
  <c r="A10" i="26"/>
  <c r="A9" i="26"/>
  <c r="A8" i="26"/>
  <c r="A7" i="26"/>
  <c r="A16" i="4"/>
  <c r="C41" i="27" a="1"/>
  <c r="C119" i="27" a="1"/>
  <c r="C78" i="27" a="1"/>
  <c r="C139" i="27" a="1"/>
  <c r="C72" i="27" a="1"/>
  <c r="C37" i="27" a="1"/>
  <c r="C30" i="27" a="1"/>
  <c r="C149" i="27" a="1"/>
  <c r="C7" i="27" a="1"/>
  <c r="E345" i="27" a="1"/>
  <c r="E351" i="27" a="1"/>
  <c r="C354" i="27" a="1"/>
  <c r="E356" i="27" a="1"/>
  <c r="E302" i="27" a="1"/>
  <c r="E305" i="27" a="1"/>
  <c r="E311" i="27" a="1"/>
  <c r="C332" i="27" a="1"/>
  <c r="C289" i="27" a="1"/>
  <c r="E280" i="27" a="1"/>
  <c r="E263" i="27" a="1"/>
  <c r="C259" i="27" a="1"/>
  <c r="C248" i="27" a="1"/>
  <c r="C223" i="27" a="1"/>
  <c r="C222" i="27" a="1"/>
  <c r="E207" i="27" a="1"/>
  <c r="E189" i="27" a="1"/>
  <c r="C13" i="27" a="1"/>
  <c r="C350" i="27" a="1"/>
  <c r="E298" i="27" a="1"/>
  <c r="E301" i="27" a="1"/>
  <c r="E303" i="27" a="1"/>
  <c r="C316" i="27" a="1"/>
  <c r="E276" i="27" a="1"/>
  <c r="C295" i="27" a="1"/>
  <c r="C255" i="27" a="1"/>
  <c r="C229" i="27" a="1"/>
  <c r="E218" i="27" a="1"/>
  <c r="C218" i="27" a="1"/>
  <c r="E203" i="27" a="1"/>
  <c r="C209" i="27" a="1"/>
  <c r="E293" i="27" a="1"/>
  <c r="C133" i="27" a="1"/>
  <c r="C110" i="27" a="1"/>
  <c r="C146" i="27" a="1"/>
  <c r="C360" i="27" a="1"/>
  <c r="C310" i="27" a="1"/>
  <c r="E289" i="27" a="1"/>
  <c r="E294" i="27" a="1"/>
  <c r="C252" i="27" a="1"/>
  <c r="C199" i="27" a="1"/>
  <c r="C124" i="27" a="1"/>
  <c r="E266" i="27" a="1"/>
  <c r="C185" i="27" a="1"/>
  <c r="C11" i="27" a="1"/>
  <c r="C107" i="27" a="1"/>
  <c r="E334" i="27" a="1"/>
  <c r="E312" i="27" a="1"/>
  <c r="C294" i="27" a="1"/>
  <c r="C246" i="27" a="1"/>
  <c r="C221" i="27" a="1"/>
  <c r="E330" i="27" a="1"/>
  <c r="C187" i="27" a="1"/>
  <c r="C122" i="27" a="1"/>
  <c r="C17" i="27" a="1"/>
  <c r="E346" i="27" a="1"/>
  <c r="E300" i="27" a="1"/>
  <c r="C270" i="27" a="1"/>
  <c r="C224" i="27" a="1"/>
  <c r="C104" i="27" a="1"/>
  <c r="E322" i="27" a="1"/>
  <c r="C249" i="27" a="1"/>
  <c r="C138" i="27" a="1"/>
  <c r="E287" i="27" a="1"/>
  <c r="C57" i="27" a="1"/>
  <c r="E314" i="27" a="1"/>
  <c r="C278" i="27" a="1"/>
  <c r="C10" i="27" a="1"/>
  <c r="C40" i="27" a="1"/>
  <c r="C366" i="27" a="1"/>
  <c r="C362" i="27" a="1"/>
  <c r="C297" i="27" a="1"/>
  <c r="E197" i="27" a="1"/>
  <c r="C109" i="27" a="1"/>
  <c r="C55" i="27" a="1"/>
  <c r="E323" i="27" a="1"/>
  <c r="C188" i="27" a="1"/>
  <c r="C183" i="27" a="1"/>
  <c r="C89" i="27" a="1"/>
  <c r="C182" i="27" a="1"/>
  <c r="C92" i="27" a="1"/>
  <c r="C153" i="27" a="1"/>
  <c r="C3" i="27" a="1"/>
  <c r="C12" i="27" a="1"/>
  <c r="C177" i="27" a="1"/>
  <c r="C369" i="27" a="1"/>
  <c r="E343" i="27" a="1"/>
  <c r="E348" i="27" a="1"/>
  <c r="C285" i="27" a="1"/>
  <c r="C178" i="27" a="1"/>
  <c r="C225" i="27" a="1"/>
  <c r="C74" i="27" a="1"/>
  <c r="C56" i="27" a="1"/>
  <c r="E362" i="27" a="1"/>
  <c r="E332" i="27" a="1"/>
  <c r="C254" i="27" a="1"/>
  <c r="E217" i="27" a="1"/>
  <c r="C143" i="27" a="1"/>
  <c r="C156" i="27" a="1"/>
  <c r="C306" i="27" a="1"/>
  <c r="C272" i="27" a="1"/>
  <c r="C195" i="27" a="1"/>
  <c r="C134" i="27" a="1"/>
  <c r="C29" i="27" a="1"/>
  <c r="C164" i="27" a="1"/>
  <c r="C8" i="27" a="1"/>
  <c r="C352" i="27" a="1"/>
  <c r="C302" i="27" a="1"/>
  <c r="E307" i="27" a="1"/>
  <c r="C268" i="27" a="1"/>
  <c r="C193" i="27" a="1"/>
  <c r="C191" i="27" a="1"/>
  <c r="C357" i="27" a="1"/>
  <c r="E216" i="27" a="1"/>
  <c r="C70" i="27" a="1"/>
  <c r="C23" i="27" a="1"/>
  <c r="C340" i="27" a="1"/>
  <c r="E325" i="27" a="1"/>
  <c r="E269" i="27" a="1"/>
  <c r="C290" i="27" a="1"/>
  <c r="E209" i="27" a="1"/>
  <c r="C169" i="27" a="1"/>
  <c r="E338" i="27" a="1"/>
  <c r="C333" i="27" a="1"/>
  <c r="C232" i="27" a="1"/>
  <c r="C9" i="27" a="1"/>
  <c r="C112" i="27" a="1"/>
  <c r="E367" i="27" a="1"/>
  <c r="C337" i="27" a="1"/>
  <c r="E328" i="27" a="1"/>
  <c r="E279" i="27" a="1"/>
  <c r="C220" i="27" a="1"/>
  <c r="C24" i="27" a="1"/>
  <c r="E368" i="27" a="1"/>
  <c r="E288" i="27" a="1"/>
  <c r="E223" i="27" a="1"/>
  <c r="C73" i="27" a="1"/>
  <c r="E355" i="27" a="1"/>
  <c r="C293" i="27" a="1"/>
  <c r="E211" i="27" a="1"/>
  <c r="C6" i="27" a="1"/>
  <c r="C127" i="27" a="1"/>
  <c r="C97" i="27" a="1"/>
  <c r="C136" i="27" a="1"/>
  <c r="C62" i="27" a="1"/>
  <c r="C158" i="27" a="1"/>
  <c r="C98" i="27" a="1"/>
  <c r="C52" i="27" a="1"/>
  <c r="C102" i="27" a="1"/>
  <c r="C353" i="27" a="1"/>
  <c r="E335" i="27" a="1"/>
  <c r="C346" i="27" a="1"/>
  <c r="E340" i="27" a="1"/>
  <c r="E299" i="27" a="1"/>
  <c r="C329" i="27" a="1"/>
  <c r="C323" i="27" a="1"/>
  <c r="C304" i="27" a="1"/>
  <c r="C281" i="27" a="1"/>
  <c r="E272" i="27" a="1"/>
  <c r="C291" i="27" a="1"/>
  <c r="C251" i="27" a="1"/>
  <c r="C256" i="27" a="1"/>
  <c r="E222" i="27" a="1"/>
  <c r="C214" i="27" a="1"/>
  <c r="E199" i="27" a="1"/>
  <c r="C197" i="27" a="1"/>
  <c r="C27" i="27" a="1"/>
  <c r="C33" i="27" a="1"/>
  <c r="C46" i="27" a="1"/>
  <c r="C101" i="27" a="1"/>
  <c r="C60" i="27" a="1"/>
  <c r="C21" i="27" a="1"/>
  <c r="C65" i="27" a="1"/>
  <c r="C5" i="27" a="1"/>
  <c r="C86" i="27" a="1"/>
  <c r="C341" i="27" a="1"/>
  <c r="C371" i="27" a="1"/>
  <c r="C342" i="27" a="1"/>
  <c r="E371" i="27" a="1"/>
  <c r="C319" i="27" a="1"/>
  <c r="C325" i="27" a="1"/>
  <c r="C315" i="27" a="1"/>
  <c r="E319" i="27" a="1"/>
  <c r="C277" i="27" a="1"/>
  <c r="E268" i="27" a="1"/>
  <c r="C287" i="27" a="1"/>
  <c r="C247" i="27" a="1"/>
  <c r="C237" i="27" a="1"/>
  <c r="E214" i="27" a="1"/>
  <c r="C210" i="27" a="1"/>
  <c r="E195" i="27" a="1"/>
  <c r="C189" i="27" a="1"/>
  <c r="C44" i="27" a="1"/>
  <c r="C324" i="27" a="1"/>
  <c r="C271" i="27" a="1"/>
  <c r="E198" i="27" a="1"/>
  <c r="E192" i="27" a="1"/>
  <c r="E370" i="27" a="1"/>
  <c r="C267" i="27" a="1"/>
  <c r="C51" i="27" a="1"/>
  <c r="C314" i="27" a="1"/>
  <c r="C263" i="27" a="1"/>
  <c r="C213" i="27" a="1"/>
  <c r="C36" i="27" a="1"/>
  <c r="E274" i="27" a="1"/>
  <c r="C117" i="27" a="1"/>
  <c r="C42" i="27" a="1"/>
  <c r="C160" i="27" a="1"/>
  <c r="C339" i="27" a="1"/>
  <c r="E315" i="27" a="1"/>
  <c r="E286" i="27" a="1"/>
  <c r="E221" i="27" a="1"/>
  <c r="C22" i="27" a="1"/>
  <c r="C108" i="27" a="1"/>
  <c r="C348" i="27" a="1"/>
  <c r="E308" i="27" a="1"/>
  <c r="C282" i="27" a="1"/>
  <c r="C260" i="27" a="1"/>
  <c r="C157" i="27" a="1"/>
  <c r="C76" i="27" a="1"/>
  <c r="C19" i="27" a="1"/>
  <c r="C344" i="27" a="1"/>
  <c r="E329" i="27" a="1"/>
  <c r="E273" i="27" a="1"/>
  <c r="E262" i="27" a="1"/>
  <c r="C176" i="27" a="1"/>
  <c r="C234" i="27" a="1"/>
  <c r="C79" i="27" a="1"/>
  <c r="C181" i="27" a="1"/>
  <c r="C77" i="27" a="1"/>
  <c r="E318" i="27" a="1"/>
  <c r="E296" i="27" a="1"/>
  <c r="C208" i="27" a="1"/>
  <c r="C161" i="27" a="1"/>
  <c r="C165" i="27" a="1"/>
  <c r="C370" i="27" a="1"/>
  <c r="E261" i="27" a="1"/>
  <c r="C204" i="27" a="1"/>
  <c r="C43" i="27" a="1"/>
  <c r="C93" i="27" a="1"/>
  <c r="E310" i="27" a="1"/>
  <c r="E275" i="27" a="1"/>
  <c r="C14" i="27" a="1"/>
  <c r="C358" i="27" a="1"/>
  <c r="E271" i="27" a="1"/>
  <c r="C94" i="27" a="1"/>
  <c r="C356" i="27" a="1"/>
  <c r="C233" i="27" a="1"/>
  <c r="C365" i="27" a="1"/>
  <c r="E282" i="27" a="1"/>
  <c r="C137" i="27" a="1"/>
  <c r="C95" i="27" a="1"/>
  <c r="C45" i="27" a="1"/>
  <c r="C121" i="27" a="1"/>
  <c r="E350" i="27" a="1"/>
  <c r="C298" i="27" a="1"/>
  <c r="E277" i="27" a="1"/>
  <c r="E270" i="27" a="1"/>
  <c r="C217" i="27" a="1"/>
  <c r="C48" i="27" a="1"/>
  <c r="C155" i="27" a="1"/>
  <c r="C66" i="27" a="1"/>
  <c r="C34" i="27" a="1"/>
  <c r="E326" i="27" a="1"/>
  <c r="C311" i="27" a="1"/>
  <c r="E295" i="27" a="1"/>
  <c r="E196" i="27" a="1"/>
  <c r="C120" i="27" a="1"/>
  <c r="C50" i="27" a="1"/>
  <c r="C179" i="27" a="1"/>
  <c r="C111" i="27" a="1"/>
  <c r="C349" i="27" a="1"/>
  <c r="C299" i="27" a="1"/>
  <c r="C262" i="27" a="1"/>
  <c r="E220" i="27" a="1"/>
  <c r="C18" i="27" a="1"/>
  <c r="C28" i="27" a="1"/>
  <c r="C345" i="27" a="1"/>
  <c r="C320" i="27" a="1"/>
  <c r="C230" i="27" a="1"/>
  <c r="C216" i="27" a="1"/>
  <c r="C123" i="27" a="1"/>
  <c r="C84" i="27" a="1"/>
  <c r="E316" i="27" a="1"/>
  <c r="C196" i="27" a="1"/>
  <c r="C106" i="27" a="1"/>
  <c r="C184" i="27" a="1"/>
  <c r="E306" i="27" a="1"/>
  <c r="E284" i="27" a="1"/>
  <c r="C219" i="27" a="1"/>
  <c r="C147" i="27" a="1"/>
  <c r="C81" i="27" a="1"/>
  <c r="C128" i="27" a="1"/>
  <c r="C148" i="27" a="1"/>
  <c r="C25" i="27" a="1"/>
  <c r="C68" i="27" a="1"/>
  <c r="C152" i="27" a="1"/>
  <c r="C130" i="27" a="1"/>
  <c r="C100" i="27" a="1"/>
  <c r="E364" i="27" a="1"/>
  <c r="C359" i="27" a="1"/>
  <c r="C338" i="27" a="1"/>
  <c r="E359" i="27" a="1"/>
  <c r="C334" i="27" a="1"/>
  <c r="C321" i="27" a="1"/>
  <c r="C303" i="27" a="1"/>
  <c r="C331" i="27" a="1"/>
  <c r="C273" i="27" a="1"/>
  <c r="E264" i="27" a="1"/>
  <c r="C283" i="27" a="1"/>
  <c r="C243" i="27" a="1"/>
  <c r="C245" i="27" a="1"/>
  <c r="E210" i="27" a="1"/>
  <c r="C206" i="27" a="1"/>
  <c r="E191" i="27" a="1"/>
  <c r="E212" i="27" a="1"/>
  <c r="C296" i="27" a="1"/>
  <c r="C239" i="27" a="1"/>
  <c r="C228" i="27" a="1"/>
  <c r="E206" i="27" a="1"/>
  <c r="C202" i="27" a="1"/>
  <c r="E187" i="27" a="1"/>
  <c r="C16" i="27" a="1"/>
  <c r="E344" i="27" a="1"/>
  <c r="E324" i="27" a="1"/>
  <c r="C275" i="27" a="1"/>
  <c r="C198" i="27" a="1"/>
  <c r="C125" i="27" a="1"/>
  <c r="C38" i="27" a="1"/>
  <c r="C83" i="27" a="1"/>
  <c r="C4" i="27" a="1"/>
  <c r="C173" i="27" a="1"/>
  <c r="C113" i="27" a="1"/>
  <c r="C186" i="27" a="1"/>
  <c r="E336" i="27" a="1"/>
  <c r="E357" i="27" a="1"/>
  <c r="C367" i="27" a="1"/>
  <c r="C309" i="27" a="1"/>
  <c r="C261" i="27" a="1"/>
  <c r="C231" i="27" a="1"/>
  <c r="C194" i="27" a="1"/>
  <c r="C135" i="27" a="1"/>
  <c r="C170" i="27" a="1"/>
  <c r="C318" i="27" a="1"/>
  <c r="E283" i="27" a="1"/>
  <c r="C244" i="27" a="1"/>
  <c r="C212" i="27" a="1"/>
  <c r="C63" i="27" a="1"/>
  <c r="C54" i="27" a="1"/>
  <c r="C32" i="27" a="1"/>
  <c r="C364" i="27" a="1"/>
  <c r="E349" i="27" a="1"/>
  <c r="C301" i="27" a="1"/>
  <c r="E290" i="27" a="1"/>
  <c r="C258" i="27" a="1"/>
  <c r="C203" i="27" a="1"/>
  <c r="C69" i="27" a="1"/>
  <c r="C49" i="27" a="1"/>
  <c r="C90" i="27" a="1"/>
  <c r="E341" i="27" a="1"/>
  <c r="E331" i="27" a="1"/>
  <c r="C276" i="27" a="1"/>
  <c r="C205" i="27" a="1"/>
  <c r="C88" i="27" a="1"/>
  <c r="C118" i="27" a="1"/>
  <c r="E358" i="27" a="1"/>
  <c r="E320" i="27" a="1"/>
  <c r="C250" i="27" a="1"/>
  <c r="C85" i="27" a="1"/>
  <c r="E281" i="27" a="1"/>
  <c r="C115" i="27" a="1"/>
  <c r="C82" i="27" a="1"/>
  <c r="E213" i="27" a="1"/>
  <c r="C39" i="27" a="1"/>
  <c r="E342" i="27" a="1"/>
  <c r="E291" i="27" a="1"/>
  <c r="C172" i="27" a="1"/>
  <c r="E265" i="27" a="1"/>
  <c r="C145" i="27" a="1"/>
  <c r="C129" i="27" a="1"/>
  <c r="C308" i="27" a="1"/>
  <c r="C226" i="27" a="1"/>
  <c r="C26" i="27" a="1"/>
  <c r="E313" i="27" a="1"/>
  <c r="C257" i="27" a="1"/>
  <c r="C58" i="27" a="1"/>
  <c r="C175" i="27" a="1"/>
  <c r="E365" i="27" a="1"/>
  <c r="E309" i="27" a="1"/>
  <c r="C266" i="27" a="1"/>
  <c r="E193" i="27" a="1"/>
  <c r="C59" i="27" a="1"/>
  <c r="C141" i="27" a="1"/>
  <c r="C171" i="27" a="1"/>
  <c r="C99" i="27" a="1"/>
  <c r="C132" i="27" a="1"/>
  <c r="C162" i="27" a="1"/>
  <c r="C114" i="27" a="1"/>
  <c r="C180" i="27" a="1"/>
  <c r="C142" i="27" a="1"/>
  <c r="E352" i="27" a="1"/>
  <c r="C351" i="27" a="1"/>
  <c r="E369" i="27" a="1"/>
  <c r="E347" i="27" a="1"/>
  <c r="C330" i="27" a="1"/>
  <c r="C317" i="27" a="1"/>
  <c r="E333" i="27" a="1"/>
  <c r="C307" i="27" a="1"/>
  <c r="C269" i="27" a="1"/>
  <c r="C279" i="27" a="1"/>
  <c r="E204" i="27" a="1"/>
  <c r="C140" i="27" a="1"/>
  <c r="C53" i="27" a="1"/>
  <c r="C159" i="27" a="1"/>
  <c r="C47" i="27" a="1"/>
  <c r="C35" i="27" a="1"/>
  <c r="C131" i="27" a="1"/>
  <c r="C80" i="27" a="1"/>
  <c r="C167" i="27" a="1"/>
  <c r="C343" i="27" a="1"/>
  <c r="E361" i="27" a="1"/>
  <c r="E339" i="27" a="1"/>
  <c r="C326" i="27" a="1"/>
  <c r="C313" i="27" a="1"/>
  <c r="E267" i="27" a="1"/>
  <c r="C265" i="27" a="1"/>
  <c r="C292" i="27" a="1"/>
  <c r="C235" i="27" a="1"/>
  <c r="C253" i="27" a="1"/>
  <c r="E202" i="27" a="1"/>
  <c r="C215" i="27" a="1"/>
  <c r="E200" i="27" a="1"/>
  <c r="C75" i="27" a="1"/>
  <c r="C335" i="27" a="1"/>
  <c r="C322" i="27" a="1"/>
  <c r="E278" i="27" a="1"/>
  <c r="C288" i="27" a="1"/>
  <c r="C236" i="27" a="1"/>
  <c r="C211" i="27" a="1"/>
  <c r="C168" i="27" a="1"/>
  <c r="C166" i="27" a="1"/>
  <c r="C67" i="27" a="1"/>
  <c r="C20" i="27" a="1"/>
  <c r="C15" i="27" a="1"/>
  <c r="C150" i="27" a="1"/>
  <c r="C368" i="27" a="1"/>
  <c r="E353" i="27" a="1"/>
  <c r="C363" i="27" a="1"/>
  <c r="C305" i="27" a="1"/>
  <c r="C312" i="27" a="1"/>
  <c r="E297" i="27" a="1"/>
  <c r="C284" i="27" a="1"/>
  <c r="C227" i="27" a="1"/>
  <c r="E194" i="27" a="1"/>
  <c r="C190" i="27" a="1"/>
  <c r="C207" i="27" a="1"/>
  <c r="C96" i="27" a="1"/>
  <c r="C126" i="27" a="1"/>
  <c r="C144" i="27" a="1"/>
  <c r="C61" i="27" a="1"/>
  <c r="E366" i="27" a="1"/>
  <c r="C355" i="27" a="1"/>
  <c r="C300" i="27" a="1"/>
  <c r="C280" i="27" a="1"/>
  <c r="E190" i="27" a="1"/>
  <c r="C200" i="27" a="1"/>
  <c r="C347" i="27" a="1"/>
  <c r="C192" i="27" a="1"/>
  <c r="C87" i="27" a="1"/>
  <c r="E337" i="27" a="1"/>
  <c r="E285" i="27" a="1"/>
  <c r="C201" i="27" a="1"/>
  <c r="E354" i="27" a="1"/>
  <c r="C241" i="27" a="1"/>
  <c r="C174" i="27" a="1"/>
  <c r="C116" i="27" a="1"/>
  <c r="C151" i="27" a="1"/>
  <c r="C361" i="27" a="1"/>
  <c r="C327" i="27" a="1"/>
  <c r="C264" i="27" a="1"/>
  <c r="C242" i="27" a="1"/>
  <c r="E208" i="27" a="1"/>
  <c r="C238" i="27" a="1"/>
  <c r="C31" i="27" a="1"/>
  <c r="C328" i="27" a="1"/>
  <c r="E188" i="27" a="1"/>
  <c r="C163" i="27" a="1"/>
  <c r="C91" i="27" a="1"/>
  <c r="C336" i="27" a="1"/>
  <c r="E321" i="27" a="1"/>
  <c r="C286" i="27" a="1"/>
  <c r="E205" i="27" a="1"/>
  <c r="C71" i="27" a="1"/>
  <c r="C105" i="27" a="1"/>
  <c r="E317" i="27" a="1"/>
  <c r="E292" i="27" a="1"/>
  <c r="E219" i="27" a="1"/>
  <c r="E201" i="27" a="1"/>
  <c r="C154" i="27" a="1"/>
  <c r="C103" i="27" a="1"/>
  <c r="E363" i="27" a="1"/>
  <c r="E327" i="27" a="1"/>
  <c r="C274" i="27" a="1"/>
  <c r="E215" i="27" a="1"/>
  <c r="C64" i="27" a="1"/>
  <c r="E360" i="27" a="1"/>
  <c r="E304" i="27" a="1"/>
  <c r="C240" i="27" a="1"/>
  <c r="E16" i="4" a="1"/>
  <c r="C339" i="27" l="1"/>
  <c r="C347" i="27"/>
  <c r="C355" i="27"/>
  <c r="C363" i="27"/>
  <c r="C367" i="27"/>
  <c r="E339" i="27"/>
  <c r="E347" i="27"/>
  <c r="E359" i="27"/>
  <c r="E371" i="27"/>
  <c r="E340" i="27"/>
  <c r="E348" i="27"/>
  <c r="E356" i="27"/>
  <c r="E360" i="27"/>
  <c r="E368" i="27"/>
  <c r="C337" i="27"/>
  <c r="C345" i="27"/>
  <c r="C349" i="27"/>
  <c r="C357" i="27"/>
  <c r="C361" i="27"/>
  <c r="C365" i="27"/>
  <c r="E337" i="27"/>
  <c r="E341" i="27"/>
  <c r="E349" i="27"/>
  <c r="E353" i="27"/>
  <c r="E357" i="27"/>
  <c r="E361" i="27"/>
  <c r="E369" i="27"/>
  <c r="C338" i="27"/>
  <c r="C342" i="27"/>
  <c r="C346" i="27"/>
  <c r="C350" i="27"/>
  <c r="C354" i="27"/>
  <c r="C358" i="27"/>
  <c r="C362" i="27"/>
  <c r="C370" i="27"/>
  <c r="E338" i="27"/>
  <c r="E342" i="27"/>
  <c r="E346" i="27"/>
  <c r="E350" i="27"/>
  <c r="E354" i="27"/>
  <c r="E358" i="27"/>
  <c r="E362" i="27"/>
  <c r="E366" i="27"/>
  <c r="E370" i="27"/>
  <c r="C335" i="27"/>
  <c r="C343" i="27"/>
  <c r="C351" i="27"/>
  <c r="C359" i="27"/>
  <c r="C371" i="27"/>
  <c r="E335" i="27"/>
  <c r="E343" i="27"/>
  <c r="E351" i="27"/>
  <c r="E355" i="27"/>
  <c r="E363" i="27"/>
  <c r="E367" i="27"/>
  <c r="C336" i="27"/>
  <c r="C340" i="27"/>
  <c r="C344" i="27"/>
  <c r="C348" i="27"/>
  <c r="C352" i="27"/>
  <c r="C356" i="27"/>
  <c r="C360" i="27"/>
  <c r="C364" i="27"/>
  <c r="C368" i="27"/>
  <c r="E336" i="27"/>
  <c r="E344" i="27"/>
  <c r="E352" i="27"/>
  <c r="E364" i="27"/>
  <c r="C341" i="27"/>
  <c r="C353" i="27"/>
  <c r="C369" i="27"/>
  <c r="E345" i="27"/>
  <c r="E365" i="27"/>
  <c r="C366" i="27"/>
  <c r="C307" i="27"/>
  <c r="C331" i="27"/>
  <c r="E319" i="27"/>
  <c r="C304" i="27"/>
  <c r="C316" i="27"/>
  <c r="C332" i="27"/>
  <c r="E304" i="27"/>
  <c r="E316" i="27"/>
  <c r="E328" i="27"/>
  <c r="C333" i="27"/>
  <c r="C299" i="27"/>
  <c r="C311" i="27"/>
  <c r="C327" i="27"/>
  <c r="E307" i="27"/>
  <c r="E315" i="27"/>
  <c r="E331" i="27"/>
  <c r="C300" i="27"/>
  <c r="C312" i="27"/>
  <c r="C324" i="27"/>
  <c r="E324" i="27"/>
  <c r="E333" i="27"/>
  <c r="C303" i="27"/>
  <c r="C315" i="27"/>
  <c r="C323" i="27"/>
  <c r="E303" i="27"/>
  <c r="E311" i="27"/>
  <c r="E323" i="27"/>
  <c r="E327" i="27"/>
  <c r="C308" i="27"/>
  <c r="C320" i="27"/>
  <c r="C328" i="27"/>
  <c r="E300" i="27"/>
  <c r="E308" i="27"/>
  <c r="E312" i="27"/>
  <c r="E320" i="27"/>
  <c r="E332" i="27"/>
  <c r="C301" i="27"/>
  <c r="C305" i="27"/>
  <c r="C309" i="27"/>
  <c r="C313" i="27"/>
  <c r="C317" i="27"/>
  <c r="C321" i="27"/>
  <c r="C325" i="27"/>
  <c r="C329" i="27"/>
  <c r="E301" i="27"/>
  <c r="E305" i="27"/>
  <c r="E309" i="27"/>
  <c r="E313" i="27"/>
  <c r="E317" i="27"/>
  <c r="E321" i="27"/>
  <c r="E325" i="27"/>
  <c r="E329" i="27"/>
  <c r="C298" i="27"/>
  <c r="C302" i="27"/>
  <c r="C306" i="27"/>
  <c r="C310" i="27"/>
  <c r="C314" i="27"/>
  <c r="C318" i="27"/>
  <c r="C322" i="27"/>
  <c r="C326" i="27"/>
  <c r="C330" i="27"/>
  <c r="C334" i="27"/>
  <c r="C319" i="27"/>
  <c r="E299" i="27"/>
  <c r="E298" i="27"/>
  <c r="E302" i="27"/>
  <c r="E306" i="27"/>
  <c r="E310" i="27"/>
  <c r="E314" i="27"/>
  <c r="E318" i="27"/>
  <c r="E322" i="27"/>
  <c r="E326" i="27"/>
  <c r="E330" i="27"/>
  <c r="E334" i="27"/>
  <c r="C266" i="27"/>
  <c r="C274" i="27"/>
  <c r="C278" i="27"/>
  <c r="C286" i="27"/>
  <c r="C290" i="27"/>
  <c r="E262" i="27"/>
  <c r="E270" i="27"/>
  <c r="E282" i="27"/>
  <c r="E286" i="27"/>
  <c r="E294" i="27"/>
  <c r="C263" i="27"/>
  <c r="C267" i="27"/>
  <c r="C271" i="27"/>
  <c r="C275" i="27"/>
  <c r="C279" i="27"/>
  <c r="C283" i="27"/>
  <c r="C287" i="27"/>
  <c r="C291" i="27"/>
  <c r="C295" i="27"/>
  <c r="E263" i="27"/>
  <c r="E271" i="27"/>
  <c r="E275" i="27"/>
  <c r="E279" i="27"/>
  <c r="E287" i="27"/>
  <c r="E291" i="27"/>
  <c r="E295" i="27"/>
  <c r="C264" i="27"/>
  <c r="C268" i="27"/>
  <c r="C272" i="27"/>
  <c r="C276" i="27"/>
  <c r="C280" i="27"/>
  <c r="C284" i="27"/>
  <c r="C288" i="27"/>
  <c r="C292" i="27"/>
  <c r="C296" i="27"/>
  <c r="E264" i="27"/>
  <c r="E268" i="27"/>
  <c r="E272" i="27"/>
  <c r="E276" i="27"/>
  <c r="E280" i="27"/>
  <c r="E284" i="27"/>
  <c r="E288" i="27"/>
  <c r="E292" i="27"/>
  <c r="E296" i="27"/>
  <c r="C262" i="27"/>
  <c r="C270" i="27"/>
  <c r="C282" i="27"/>
  <c r="C294" i="27"/>
  <c r="E266" i="27"/>
  <c r="E274" i="27"/>
  <c r="E290" i="27"/>
  <c r="E283" i="27"/>
  <c r="C261" i="27"/>
  <c r="C265" i="27"/>
  <c r="C269" i="27"/>
  <c r="C273" i="27"/>
  <c r="C277" i="27"/>
  <c r="C281" i="27"/>
  <c r="C285" i="27"/>
  <c r="C289" i="27"/>
  <c r="C293" i="27"/>
  <c r="C297" i="27"/>
  <c r="E261" i="27"/>
  <c r="E265" i="27"/>
  <c r="E269" i="27"/>
  <c r="E273" i="27"/>
  <c r="E277" i="27"/>
  <c r="E281" i="27"/>
  <c r="E285" i="27"/>
  <c r="E289" i="27"/>
  <c r="E293" i="27"/>
  <c r="E297" i="27"/>
  <c r="E278" i="27"/>
  <c r="E267" i="27"/>
  <c r="C232" i="27"/>
  <c r="C249" i="27"/>
  <c r="C224" i="27"/>
  <c r="C260" i="27"/>
  <c r="C241" i="27"/>
  <c r="C233" i="27"/>
  <c r="C252" i="27"/>
  <c r="C225" i="27"/>
  <c r="C244" i="27"/>
  <c r="C236" i="27"/>
  <c r="C253" i="27"/>
  <c r="C228" i="27"/>
  <c r="C245" i="27"/>
  <c r="C237" i="27"/>
  <c r="C256" i="27"/>
  <c r="C229" i="27"/>
  <c r="C248" i="27"/>
  <c r="C240" i="27"/>
  <c r="C257" i="27"/>
  <c r="C226" i="27"/>
  <c r="C230" i="27"/>
  <c r="C234" i="27"/>
  <c r="C238" i="27"/>
  <c r="C242" i="27"/>
  <c r="C246" i="27"/>
  <c r="C250" i="27"/>
  <c r="C254" i="27"/>
  <c r="C258" i="27"/>
  <c r="C227" i="27"/>
  <c r="C231" i="27"/>
  <c r="C235" i="27"/>
  <c r="C239" i="27"/>
  <c r="C243" i="27"/>
  <c r="C247" i="27"/>
  <c r="C251" i="27"/>
  <c r="C255" i="27"/>
  <c r="C259" i="27"/>
  <c r="C192" i="27"/>
  <c r="C200" i="27"/>
  <c r="C212" i="27"/>
  <c r="E192" i="27"/>
  <c r="E200" i="27"/>
  <c r="E204" i="27"/>
  <c r="E212" i="27"/>
  <c r="C189" i="27"/>
  <c r="C197" i="27"/>
  <c r="C209" i="27"/>
  <c r="E189" i="27"/>
  <c r="E193" i="27"/>
  <c r="E197" i="27"/>
  <c r="E201" i="27"/>
  <c r="E205" i="27"/>
  <c r="E209" i="27"/>
  <c r="E213" i="27"/>
  <c r="C187" i="27"/>
  <c r="C191" i="27"/>
  <c r="C195" i="27"/>
  <c r="C199" i="27"/>
  <c r="C203" i="27"/>
  <c r="C207" i="27"/>
  <c r="C211" i="27"/>
  <c r="C215" i="27"/>
  <c r="E187" i="27"/>
  <c r="E191" i="27"/>
  <c r="E195" i="27"/>
  <c r="E199" i="27"/>
  <c r="E203" i="27"/>
  <c r="E207" i="27"/>
  <c r="E211" i="27"/>
  <c r="E215" i="27"/>
  <c r="C220" i="27"/>
  <c r="C216" i="27"/>
  <c r="E220" i="27"/>
  <c r="E216" i="27"/>
  <c r="C217" i="27"/>
  <c r="C221" i="27"/>
  <c r="E221" i="27"/>
  <c r="E217" i="27"/>
  <c r="C213" i="27"/>
  <c r="C190" i="27"/>
  <c r="C194" i="27"/>
  <c r="C198" i="27"/>
  <c r="C202" i="27"/>
  <c r="C206" i="27"/>
  <c r="C210" i="27"/>
  <c r="C214" i="27"/>
  <c r="C218" i="27"/>
  <c r="C222" i="27"/>
  <c r="C188" i="27"/>
  <c r="C196" i="27"/>
  <c r="C204" i="27"/>
  <c r="C208" i="27"/>
  <c r="E188" i="27"/>
  <c r="E196" i="27"/>
  <c r="E208" i="27"/>
  <c r="C193" i="27"/>
  <c r="C201" i="27"/>
  <c r="C205" i="27"/>
  <c r="E190" i="27"/>
  <c r="E194" i="27"/>
  <c r="E198" i="27"/>
  <c r="E202" i="27"/>
  <c r="E206" i="27"/>
  <c r="E210" i="27"/>
  <c r="E214" i="27"/>
  <c r="E222" i="27"/>
  <c r="E218" i="27"/>
  <c r="C223" i="27"/>
  <c r="C219" i="27"/>
  <c r="E223" i="27"/>
  <c r="E219" i="27"/>
  <c r="C32" i="27"/>
  <c r="C27" i="27"/>
  <c r="C52" i="27"/>
  <c r="C112" i="27"/>
  <c r="C164" i="27"/>
  <c r="C179" i="27"/>
  <c r="C65" i="27"/>
  <c r="C113" i="27"/>
  <c r="C118" i="27"/>
  <c r="C180" i="27"/>
  <c r="C66" i="27"/>
  <c r="C132" i="27"/>
  <c r="C181" i="27"/>
  <c r="C4" i="27"/>
  <c r="C73" i="27"/>
  <c r="C133" i="27"/>
  <c r="C182" i="27"/>
  <c r="C5" i="27"/>
  <c r="C74" i="27"/>
  <c r="C89" i="27"/>
  <c r="C134" i="27"/>
  <c r="C6" i="27"/>
  <c r="C90" i="27"/>
  <c r="C142" i="27"/>
  <c r="C7" i="27"/>
  <c r="C94" i="27"/>
  <c r="C156" i="27"/>
  <c r="C24" i="27"/>
  <c r="C49" i="27"/>
  <c r="C158" i="27"/>
  <c r="C95" i="27"/>
  <c r="C25" i="27"/>
  <c r="C50" i="27"/>
  <c r="C159" i="27"/>
  <c r="C26" i="27"/>
  <c r="C51" i="27"/>
  <c r="C111" i="27"/>
  <c r="C160" i="27"/>
  <c r="C96" i="27"/>
  <c r="C119" i="27"/>
  <c r="C143" i="27"/>
  <c r="C183" i="27"/>
  <c r="C12" i="27"/>
  <c r="C28" i="27"/>
  <c r="C55" i="27"/>
  <c r="C75" i="27"/>
  <c r="C98" i="27"/>
  <c r="C165" i="27"/>
  <c r="C144" i="27"/>
  <c r="C13" i="27"/>
  <c r="C29" i="27"/>
  <c r="C60" i="27"/>
  <c r="C76" i="27"/>
  <c r="C99" i="27"/>
  <c r="C123" i="27"/>
  <c r="C166" i="27"/>
  <c r="C78" i="27"/>
  <c r="C145" i="27"/>
  <c r="C168" i="27"/>
  <c r="C14" i="27"/>
  <c r="C36" i="27"/>
  <c r="C41" i="27"/>
  <c r="C61" i="27"/>
  <c r="C100" i="27"/>
  <c r="C124" i="27"/>
  <c r="C82" i="27"/>
  <c r="C146" i="27"/>
  <c r="C169" i="27"/>
  <c r="C15" i="27"/>
  <c r="C37" i="27"/>
  <c r="C42" i="27"/>
  <c r="C62" i="27"/>
  <c r="C108" i="27"/>
  <c r="C148" i="27"/>
  <c r="C172" i="27"/>
  <c r="C83" i="27"/>
  <c r="C130" i="27"/>
  <c r="C18" i="27"/>
  <c r="C38" i="27"/>
  <c r="C43" i="27"/>
  <c r="C63" i="27"/>
  <c r="C109" i="27"/>
  <c r="C149" i="27"/>
  <c r="C176" i="27"/>
  <c r="C84" i="27"/>
  <c r="C131" i="27"/>
  <c r="C178" i="27"/>
  <c r="C23" i="27"/>
  <c r="C44" i="27"/>
  <c r="C64" i="27"/>
  <c r="C110" i="27"/>
  <c r="C153" i="27"/>
  <c r="C85" i="27"/>
  <c r="C101" i="27"/>
  <c r="C120" i="27"/>
  <c r="C16" i="27"/>
  <c r="C34" i="27"/>
  <c r="C39" i="27"/>
  <c r="C53" i="27"/>
  <c r="C71" i="27"/>
  <c r="C135" i="27"/>
  <c r="C154" i="27"/>
  <c r="C170" i="27"/>
  <c r="C86" i="27"/>
  <c r="C105" i="27"/>
  <c r="C121" i="27"/>
  <c r="C3" i="27"/>
  <c r="C17" i="27"/>
  <c r="C35" i="27"/>
  <c r="C40" i="27"/>
  <c r="C54" i="27"/>
  <c r="C72" i="27"/>
  <c r="C88" i="27"/>
  <c r="C136" i="27"/>
  <c r="C155" i="27"/>
  <c r="C171" i="27"/>
  <c r="C106" i="27"/>
  <c r="C122" i="27"/>
  <c r="C141" i="27"/>
  <c r="C79" i="27"/>
  <c r="C125" i="27"/>
  <c r="C161" i="27"/>
  <c r="C184" i="27"/>
  <c r="C19" i="27"/>
  <c r="C56" i="27"/>
  <c r="C114" i="27"/>
  <c r="C150" i="27"/>
  <c r="C80" i="27"/>
  <c r="C162" i="27"/>
  <c r="C9" i="27"/>
  <c r="C20" i="27"/>
  <c r="C58" i="27"/>
  <c r="C69" i="27"/>
  <c r="C92" i="27"/>
  <c r="C115" i="27"/>
  <c r="C128" i="27"/>
  <c r="C151" i="27"/>
  <c r="C174" i="27"/>
  <c r="C81" i="27"/>
  <c r="C104" i="27"/>
  <c r="C140" i="27"/>
  <c r="C163" i="27"/>
  <c r="C186" i="27"/>
  <c r="C102" i="27"/>
  <c r="C138" i="27"/>
  <c r="C8" i="27"/>
  <c r="C30" i="27"/>
  <c r="C45" i="27"/>
  <c r="C68" i="27"/>
  <c r="C91" i="27"/>
  <c r="C173" i="27"/>
  <c r="C103" i="27"/>
  <c r="C126" i="27"/>
  <c r="C139" i="27"/>
  <c r="C185" i="27"/>
  <c r="C46" i="27"/>
  <c r="C10" i="27"/>
  <c r="C22" i="27"/>
  <c r="C33" i="27"/>
  <c r="C48" i="27"/>
  <c r="C59" i="27"/>
  <c r="C70" i="27"/>
  <c r="C93" i="27"/>
  <c r="C116" i="27"/>
  <c r="C129" i="27"/>
  <c r="C152" i="27"/>
  <c r="C175" i="27"/>
  <c r="C11" i="27"/>
  <c r="C21" i="27"/>
  <c r="C31" i="27"/>
  <c r="C47" i="27"/>
  <c r="C57" i="27"/>
  <c r="C67" i="27"/>
  <c r="C77" i="27"/>
  <c r="C87" i="27"/>
  <c r="C97" i="27"/>
  <c r="C107" i="27"/>
  <c r="C117" i="27"/>
  <c r="C127" i="27"/>
  <c r="C137" i="27"/>
  <c r="C147" i="27"/>
  <c r="C157" i="27"/>
  <c r="C167" i="27"/>
  <c r="C177" i="27"/>
  <c r="E16" i="4"/>
  <c r="A4" i="29"/>
  <c r="A3" i="29"/>
  <c r="A2" i="29"/>
  <c r="A6" i="28"/>
  <c r="A5" i="28"/>
  <c r="A4" i="28"/>
  <c r="A3" i="28"/>
  <c r="A2" i="28"/>
  <c r="E181" i="27" a="1"/>
  <c r="E114" i="27" a="1"/>
  <c r="E23" i="27" a="1"/>
  <c r="E176" i="27" a="1"/>
  <c r="E50" i="27" a="1"/>
  <c r="E99" i="27" a="1"/>
  <c r="E118" i="27" a="1"/>
  <c r="E151" i="27" a="1"/>
  <c r="E102" i="27" a="1"/>
  <c r="E15" i="27" a="1"/>
  <c r="E112" i="27" a="1"/>
  <c r="E132" i="27" a="1"/>
  <c r="E21" i="27" a="1"/>
  <c r="E173" i="27" a="1"/>
  <c r="E144" i="27" a="1"/>
  <c r="E91" i="27" a="1"/>
  <c r="E157" i="27" a="1"/>
  <c r="E11" i="27" a="1"/>
  <c r="E129" i="27" a="1"/>
  <c r="E98" i="27" a="1"/>
  <c r="E133" i="27" a="1"/>
  <c r="E156" i="27" a="1"/>
  <c r="E148" i="27" a="1"/>
  <c r="E111" i="27" a="1"/>
  <c r="E84" i="27" a="1"/>
  <c r="E43" i="27" a="1"/>
  <c r="E182" i="27" a="1"/>
  <c r="E83" i="27" a="1"/>
  <c r="E80" i="27" a="1"/>
  <c r="E131" i="27" a="1"/>
  <c r="E121" i="27" a="1"/>
  <c r="E104" i="27" a="1"/>
  <c r="E113" i="27" a="1"/>
  <c r="E32" i="27" a="1"/>
  <c r="E175" i="27" a="1"/>
  <c r="E66" i="27" a="1"/>
  <c r="E82" i="27" a="1"/>
  <c r="E147" i="27" a="1"/>
  <c r="E136" i="27" a="1"/>
  <c r="E14" i="27" a="1"/>
  <c r="E164" i="27" a="1"/>
  <c r="E41" i="27" a="1"/>
  <c r="E145" i="27" a="1"/>
  <c r="E150" i="27" a="1"/>
  <c r="E169" i="27" a="1"/>
  <c r="E154" i="27" a="1"/>
  <c r="E92" i="27" a="1"/>
  <c r="E119" i="27" a="1"/>
  <c r="E166" i="27" a="1"/>
  <c r="E26" i="27" a="1"/>
  <c r="E4" i="27" a="1"/>
  <c r="E172" i="27" a="1"/>
  <c r="E165" i="27" a="1"/>
  <c r="E88" i="27" a="1"/>
  <c r="E9" i="27" a="1"/>
  <c r="E107" i="27" a="1"/>
  <c r="E3" i="27" a="1"/>
  <c r="E126" i="27" a="1"/>
  <c r="E5" i="27" a="1"/>
  <c r="E139" i="27" a="1"/>
  <c r="E51" i="27" a="1"/>
  <c r="E77" i="27" a="1"/>
  <c r="E31" i="27" a="1"/>
  <c r="E24" i="27" a="1"/>
  <c r="E75" i="27" a="1"/>
  <c r="E33" i="27" a="1"/>
  <c r="E18" i="27" a="1"/>
  <c r="E53" i="27" a="1"/>
  <c r="E65" i="27" a="1"/>
  <c r="E30" i="27" a="1"/>
  <c r="E87" i="27" a="1"/>
  <c r="E58" i="27" a="1"/>
  <c r="E101" i="27" a="1"/>
  <c r="E73" i="27" a="1"/>
  <c r="E97" i="27" a="1"/>
  <c r="E95" i="27" a="1"/>
  <c r="E19" i="27" a="1"/>
  <c r="E60" i="27" a="1"/>
  <c r="E138" i="27" a="1"/>
  <c r="E17" i="27" a="1"/>
  <c r="E143" i="27" a="1"/>
  <c r="E140" i="27" a="1"/>
  <c r="E174" i="27" a="1"/>
  <c r="E71" i="27" a="1"/>
  <c r="E45" i="27" a="1"/>
  <c r="E94" i="27" a="1"/>
  <c r="E49" i="27" a="1"/>
  <c r="E122" i="27" a="1"/>
  <c r="E85" i="27" a="1"/>
  <c r="E186" i="27" a="1"/>
  <c r="E142" i="27" a="1"/>
  <c r="E54" i="27" a="1"/>
  <c r="E146" i="27" a="1"/>
  <c r="E124" i="27" a="1"/>
  <c r="E22" i="27" a="1"/>
  <c r="E16" i="27" a="1"/>
  <c r="E153" i="27" a="1"/>
  <c r="E155" i="27" a="1"/>
  <c r="E39" i="27" a="1"/>
  <c r="E46" i="27" a="1"/>
  <c r="E161" i="27" a="1"/>
  <c r="E47" i="27" a="1"/>
  <c r="E163" i="27" a="1"/>
  <c r="E177" i="27" a="1"/>
  <c r="E90" i="27" a="1"/>
  <c r="E61" i="27" a="1"/>
  <c r="E93" i="27" a="1"/>
  <c r="E63" i="27" a="1"/>
  <c r="E180" i="27" a="1"/>
  <c r="E35" i="27" a="1"/>
  <c r="E25" i="27" a="1"/>
  <c r="E170" i="27" a="1"/>
  <c r="E81" i="27" a="1"/>
  <c r="E100" i="27" a="1"/>
  <c r="E171" i="27" a="1"/>
  <c r="E78" i="27" a="1"/>
  <c r="E37" i="27" a="1"/>
  <c r="E36" i="27" a="1"/>
  <c r="E10" i="27" a="1"/>
  <c r="E48" i="27" a="1"/>
  <c r="E123" i="27" a="1"/>
  <c r="E44" i="27" a="1"/>
  <c r="E34" i="27" a="1"/>
  <c r="E149" i="27" a="1"/>
  <c r="E69" i="27" a="1"/>
  <c r="E185" i="27" a="1"/>
  <c r="E42" i="27" a="1"/>
  <c r="E184" i="27" a="1"/>
  <c r="E128" i="27" a="1"/>
  <c r="E27" i="27" a="1"/>
  <c r="E89" i="27" a="1"/>
  <c r="E72" i="27" a="1"/>
  <c r="E117" i="27" a="1"/>
  <c r="E158" i="27" a="1"/>
  <c r="E56" i="27" a="1"/>
  <c r="E183" i="27" a="1"/>
  <c r="E125" i="27" a="1"/>
  <c r="E115" i="27" a="1"/>
  <c r="E105" i="27" a="1"/>
  <c r="E96" i="27" a="1"/>
  <c r="E67" i="27" a="1"/>
  <c r="E59" i="27" a="1"/>
  <c r="E79" i="27" a="1"/>
  <c r="E28" i="27" a="1"/>
  <c r="E76" i="27" a="1"/>
  <c r="E40" i="27" a="1"/>
  <c r="E64" i="27" a="1"/>
  <c r="E167" i="27" a="1"/>
  <c r="E57" i="27" a="1"/>
  <c r="E8" i="27" a="1"/>
  <c r="E108" i="27" a="1"/>
  <c r="E137" i="27" a="1"/>
  <c r="E179" i="27" a="1"/>
  <c r="E168" i="27" a="1"/>
  <c r="E135" i="27" a="1"/>
  <c r="E110" i="27" a="1"/>
  <c r="E29" i="27" a="1"/>
  <c r="E70" i="27" a="1"/>
  <c r="E106" i="27" a="1"/>
  <c r="E141" i="27" a="1"/>
  <c r="E178" i="27" a="1"/>
  <c r="E160" i="27" a="1"/>
  <c r="E130" i="27" a="1"/>
  <c r="E162" i="27" a="1"/>
  <c r="E86" i="27" a="1"/>
  <c r="E120" i="27" a="1"/>
  <c r="E134" i="27" a="1"/>
  <c r="E152" i="27" a="1"/>
  <c r="E68" i="27" a="1"/>
  <c r="E127" i="27" a="1"/>
  <c r="E6" i="27" a="1"/>
  <c r="E38" i="27" a="1"/>
  <c r="E74" i="27" a="1"/>
  <c r="E7" i="27" a="1"/>
  <c r="E12" i="27" a="1"/>
  <c r="E13" i="27" a="1"/>
  <c r="E55" i="27" a="1"/>
  <c r="E109" i="27" a="1"/>
  <c r="E62" i="27" a="1"/>
  <c r="E159" i="27" a="1"/>
  <c r="E116" i="27" a="1"/>
  <c r="E20" i="27" a="1"/>
  <c r="E52" i="27" a="1"/>
  <c r="E103" i="27" a="1"/>
  <c r="E3" i="27" l="1"/>
  <c r="E56" i="27"/>
  <c r="E137" i="27"/>
  <c r="E35" i="27"/>
  <c r="E107" i="27"/>
  <c r="E165" i="27"/>
  <c r="E77" i="27"/>
  <c r="E135" i="27"/>
  <c r="E76" i="27"/>
  <c r="E132" i="27"/>
  <c r="E75" i="27"/>
  <c r="E155" i="27"/>
  <c r="E42" i="27"/>
  <c r="E125" i="27"/>
  <c r="E72" i="27"/>
  <c r="E181" i="27"/>
  <c r="E152" i="27"/>
  <c r="E101" i="27"/>
  <c r="E41" i="27"/>
  <c r="E179" i="27"/>
  <c r="E122" i="27"/>
  <c r="E71" i="27"/>
  <c r="E39" i="27"/>
  <c r="E20" i="27"/>
  <c r="E151" i="27"/>
  <c r="E92" i="27"/>
  <c r="E69" i="27"/>
  <c r="E166" i="27"/>
  <c r="E86" i="27"/>
  <c r="E33" i="27"/>
  <c r="E136" i="27"/>
  <c r="E186" i="27"/>
  <c r="E106" i="27"/>
  <c r="E32" i="27"/>
  <c r="E162" i="27"/>
  <c r="E46" i="27"/>
  <c r="E185" i="27"/>
  <c r="E105" i="27"/>
  <c r="E31" i="27"/>
  <c r="E182" i="27"/>
  <c r="E102" i="27"/>
  <c r="E30" i="27"/>
  <c r="E178" i="27"/>
  <c r="E149" i="27"/>
  <c r="E121" i="27"/>
  <c r="E62" i="27"/>
  <c r="E19" i="27"/>
  <c r="E119" i="27"/>
  <c r="E91" i="27"/>
  <c r="E169" i="27"/>
  <c r="E148" i="27"/>
  <c r="E89" i="27"/>
  <c r="E61" i="27"/>
  <c r="E16" i="27"/>
  <c r="E118" i="27"/>
  <c r="E59" i="27"/>
  <c r="E168" i="27"/>
  <c r="E147" i="27"/>
  <c r="E88" i="27"/>
  <c r="E15" i="27"/>
  <c r="E117" i="27"/>
  <c r="E58" i="27"/>
  <c r="E13" i="27"/>
  <c r="E167" i="27"/>
  <c r="E138" i="27"/>
  <c r="E87" i="27"/>
  <c r="E36" i="27"/>
  <c r="E108" i="27"/>
  <c r="E57" i="27"/>
  <c r="E12" i="27"/>
  <c r="E177" i="27"/>
  <c r="E116" i="27"/>
  <c r="E161" i="27"/>
  <c r="E146" i="27"/>
  <c r="E85" i="27"/>
  <c r="E52" i="27"/>
  <c r="E26" i="27"/>
  <c r="E176" i="27"/>
  <c r="E98" i="27"/>
  <c r="E128" i="27"/>
  <c r="E67" i="27"/>
  <c r="E25" i="27"/>
  <c r="E158" i="27"/>
  <c r="E97" i="27"/>
  <c r="E127" i="27"/>
  <c r="E66" i="27"/>
  <c r="E172" i="27"/>
  <c r="E96" i="27"/>
  <c r="E6" i="27"/>
  <c r="E141" i="27"/>
  <c r="E126" i="27"/>
  <c r="E109" i="27"/>
  <c r="E65" i="27"/>
  <c r="E131" i="27"/>
  <c r="E99" i="27"/>
  <c r="E129" i="27"/>
  <c r="E68" i="27"/>
  <c r="E11" i="27"/>
  <c r="E159" i="27"/>
  <c r="E115" i="27"/>
  <c r="E145" i="27"/>
  <c r="E82" i="27"/>
  <c r="E51" i="27"/>
  <c r="E10" i="27"/>
  <c r="E175" i="27"/>
  <c r="E112" i="27"/>
  <c r="E49" i="27"/>
  <c r="E23" i="27"/>
  <c r="E142" i="27"/>
  <c r="E81" i="27"/>
  <c r="E157" i="27"/>
  <c r="E111" i="27"/>
  <c r="E79" i="27"/>
  <c r="E48" i="27"/>
  <c r="E22" i="27"/>
  <c r="E171" i="27"/>
  <c r="E156" i="27"/>
  <c r="E139" i="27"/>
  <c r="E95" i="27"/>
  <c r="E78" i="27"/>
  <c r="E47" i="27"/>
  <c r="E21" i="27"/>
  <c r="E184" i="27"/>
  <c r="E174" i="27"/>
  <c r="E164" i="27"/>
  <c r="E154" i="27"/>
  <c r="E144" i="27"/>
  <c r="E134" i="27"/>
  <c r="E124" i="27"/>
  <c r="E114" i="27"/>
  <c r="E104" i="27"/>
  <c r="E94" i="27"/>
  <c r="E84" i="27"/>
  <c r="E74" i="27"/>
  <c r="E64" i="27"/>
  <c r="E54" i="27"/>
  <c r="E44" i="27"/>
  <c r="E38" i="27"/>
  <c r="E28" i="27"/>
  <c r="E18" i="27"/>
  <c r="E8" i="27"/>
  <c r="E55" i="27"/>
  <c r="E45" i="27"/>
  <c r="E29" i="27"/>
  <c r="E9" i="27"/>
  <c r="E183" i="27"/>
  <c r="E173" i="27"/>
  <c r="E163" i="27"/>
  <c r="E153" i="27"/>
  <c r="E143" i="27"/>
  <c r="E133" i="27"/>
  <c r="E123" i="27"/>
  <c r="E113" i="27"/>
  <c r="E103" i="27"/>
  <c r="E93" i="27"/>
  <c r="E83" i="27"/>
  <c r="E73" i="27"/>
  <c r="E63" i="27"/>
  <c r="E53" i="27"/>
  <c r="E43" i="27"/>
  <c r="E37" i="27"/>
  <c r="E27" i="27"/>
  <c r="E17" i="27"/>
  <c r="E7" i="27"/>
  <c r="E180" i="27"/>
  <c r="E170" i="27"/>
  <c r="E160" i="27"/>
  <c r="E150" i="27"/>
  <c r="E140" i="27"/>
  <c r="E130" i="27"/>
  <c r="E120" i="27"/>
  <c r="E110" i="27"/>
  <c r="E100" i="27"/>
  <c r="E90" i="27"/>
  <c r="E80" i="27"/>
  <c r="E70" i="27"/>
  <c r="E60" i="27"/>
  <c r="E50" i="27"/>
  <c r="E40" i="27"/>
  <c r="E34" i="27"/>
  <c r="E24" i="27"/>
  <c r="E14" i="27"/>
  <c r="E4" i="27"/>
  <c r="E5" i="27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2" i="2"/>
  <c r="E2" i="2"/>
  <c r="A3" i="2"/>
  <c r="E3" i="2"/>
  <c r="A4" i="2"/>
  <c r="E4" i="2"/>
  <c r="A5" i="2"/>
  <c r="E5" i="2"/>
  <c r="A6" i="2"/>
  <c r="E6" i="2"/>
  <c r="A7" i="2"/>
  <c r="E7" i="2"/>
  <c r="A8" i="2"/>
  <c r="E8" i="2"/>
  <c r="A9" i="2"/>
  <c r="E9" i="2"/>
  <c r="A10" i="2"/>
  <c r="E10" i="2"/>
  <c r="A11" i="2"/>
  <c r="E11" i="2"/>
  <c r="A12" i="2"/>
  <c r="E12" i="2"/>
  <c r="A13" i="2"/>
  <c r="E13" i="2"/>
  <c r="A14" i="2"/>
  <c r="E14" i="2"/>
  <c r="A15" i="2"/>
  <c r="E15" i="2"/>
  <c r="A16" i="2"/>
  <c r="E16" i="2"/>
  <c r="A17" i="2"/>
  <c r="E17" i="2"/>
  <c r="A18" i="2"/>
  <c r="E18" i="2"/>
  <c r="A19" i="2"/>
  <c r="E19" i="2"/>
  <c r="A20" i="2"/>
  <c r="E20" i="2"/>
  <c r="A21" i="2"/>
  <c r="E21" i="2"/>
  <c r="A22" i="2"/>
  <c r="E22" i="2"/>
  <c r="A23" i="2"/>
  <c r="E23" i="2"/>
  <c r="A24" i="2"/>
  <c r="E24" i="2"/>
  <c r="A25" i="2"/>
  <c r="E25" i="2"/>
  <c r="A26" i="2"/>
  <c r="E26" i="2"/>
  <c r="A27" i="2"/>
  <c r="E27" i="2"/>
  <c r="A28" i="2"/>
  <c r="E28" i="2"/>
  <c r="A29" i="2"/>
  <c r="E29" i="2"/>
  <c r="A30" i="2"/>
  <c r="E30" i="2"/>
  <c r="A31" i="2"/>
  <c r="E31" i="2"/>
  <c r="A32" i="2"/>
  <c r="E32" i="2"/>
  <c r="A33" i="2"/>
  <c r="E33" i="2"/>
  <c r="A34" i="2"/>
  <c r="E34" i="2"/>
  <c r="A35" i="2"/>
  <c r="E35" i="2"/>
  <c r="A36" i="2"/>
  <c r="E36" i="2"/>
  <c r="A37" i="2"/>
  <c r="E37" i="2"/>
  <c r="A38" i="2"/>
  <c r="E38" i="2"/>
  <c r="A6" i="26"/>
  <c r="A5" i="26"/>
  <c r="A4" i="26"/>
  <c r="A3" i="26"/>
  <c r="A2" i="26"/>
  <c r="C15" i="2" a="1"/>
  <c r="C10" i="2" a="1"/>
  <c r="C27" i="2" a="1"/>
  <c r="C34" i="2" a="1"/>
  <c r="C11" i="2" a="1"/>
  <c r="C38" i="2" a="1"/>
  <c r="C31" i="2" a="1"/>
  <c r="C33" i="2" a="1"/>
  <c r="C19" i="2" a="1"/>
  <c r="E2" i="27" a="1"/>
  <c r="C9" i="2" a="1"/>
  <c r="C2" i="27" a="1"/>
  <c r="C21" i="2" a="1"/>
  <c r="C13" i="2" a="1"/>
  <c r="C29" i="2" a="1"/>
  <c r="C18" i="2" a="1"/>
  <c r="C7" i="2" a="1"/>
  <c r="C35" i="2" a="1"/>
  <c r="C32" i="2" a="1"/>
  <c r="C3" i="2" a="1"/>
  <c r="C8" i="2" a="1"/>
  <c r="C16" i="2" a="1"/>
  <c r="C5" i="2" a="1"/>
  <c r="C24" i="2" a="1"/>
  <c r="C26" i="2" a="1"/>
  <c r="C20" i="2" a="1"/>
  <c r="C25" i="2" a="1"/>
  <c r="C23" i="2" a="1"/>
  <c r="C14" i="2" a="1"/>
  <c r="C28" i="2" a="1"/>
  <c r="C6" i="2" a="1"/>
  <c r="C12" i="2" a="1"/>
  <c r="C30" i="2" a="1"/>
  <c r="C2" i="2" a="1"/>
  <c r="C36" i="2" a="1"/>
  <c r="C4" i="2" a="1"/>
  <c r="C37" i="2" a="1"/>
  <c r="C22" i="2" a="1"/>
  <c r="C17" i="2" a="1"/>
  <c r="E2" i="27" l="1"/>
  <c r="C2" i="27"/>
  <c r="C37" i="2"/>
  <c r="C36" i="2"/>
  <c r="C31" i="2"/>
  <c r="C26" i="2"/>
  <c r="C21" i="2"/>
  <c r="C16" i="2"/>
  <c r="C11" i="2"/>
  <c r="C6" i="2"/>
  <c r="C35" i="2"/>
  <c r="C30" i="2"/>
  <c r="C25" i="2"/>
  <c r="C20" i="2"/>
  <c r="C15" i="2"/>
  <c r="C10" i="2"/>
  <c r="C5" i="2"/>
  <c r="C34" i="2"/>
  <c r="C29" i="2"/>
  <c r="C24" i="2"/>
  <c r="C19" i="2"/>
  <c r="C14" i="2"/>
  <c r="C9" i="2"/>
  <c r="C4" i="2"/>
  <c r="C38" i="2"/>
  <c r="C33" i="2"/>
  <c r="C28" i="2"/>
  <c r="C23" i="2"/>
  <c r="C18" i="2"/>
  <c r="C13" i="2"/>
  <c r="C8" i="2"/>
  <c r="C3" i="2"/>
  <c r="C32" i="2"/>
  <c r="C27" i="2"/>
  <c r="C22" i="2"/>
  <c r="C17" i="2"/>
  <c r="C12" i="2"/>
  <c r="C7" i="2"/>
  <c r="C2" i="2"/>
  <c r="A22" i="17"/>
  <c r="A141" i="12"/>
  <c r="A140" i="12"/>
  <c r="E139" i="12"/>
  <c r="E140" i="12" s="1"/>
  <c r="E141" i="12" s="1"/>
  <c r="A139" i="12"/>
  <c r="A138" i="12"/>
  <c r="A21" i="11"/>
  <c r="A26" i="12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4" i="12"/>
  <c r="A137" i="12"/>
  <c r="A136" i="12"/>
  <c r="A135" i="12"/>
  <c r="E135" i="12"/>
  <c r="E136" i="12" s="1"/>
  <c r="E137" i="12" s="1"/>
  <c r="A21" i="17"/>
  <c r="A20" i="11"/>
  <c r="E111" i="12"/>
  <c r="A71" i="12"/>
  <c r="A72" i="12"/>
  <c r="C28" i="13" a="1"/>
  <c r="C30" i="14" a="1"/>
  <c r="C20" i="14" a="1"/>
  <c r="D7" i="17" a="1"/>
  <c r="F10" i="14" a="1"/>
  <c r="F16" i="14" a="1"/>
  <c r="D11" i="17" a="1"/>
  <c r="C26" i="13" a="1"/>
  <c r="C31" i="14" a="1"/>
  <c r="C2" i="22" a="1"/>
  <c r="C11" i="14" a="1"/>
  <c r="C33" i="14" a="1"/>
  <c r="C35" i="14" a="1"/>
  <c r="F30" i="14" a="1"/>
  <c r="F20" i="14" a="1"/>
  <c r="D6" i="17" a="1"/>
  <c r="F38" i="14" a="1"/>
  <c r="D18" i="17" a="1"/>
  <c r="C8" i="14" a="1"/>
  <c r="F37" i="14" a="1"/>
  <c r="C22" i="14" a="1"/>
  <c r="C26" i="14" a="1"/>
  <c r="C16" i="14" a="1"/>
  <c r="F6" i="14" a="1"/>
  <c r="C12" i="14" a="1"/>
  <c r="C14" i="14" a="1"/>
  <c r="F18" i="14" a="1"/>
  <c r="C10" i="14" a="1"/>
  <c r="D14" i="17" a="1"/>
  <c r="F9" i="14" a="1"/>
  <c r="F22" i="17" a="1"/>
  <c r="F2" i="22" a="1"/>
  <c r="D5" i="17" a="1"/>
  <c r="C18" i="14" a="1"/>
  <c r="C15" i="14" a="1"/>
  <c r="C36" i="14" a="1"/>
  <c r="D9" i="17" a="1"/>
  <c r="F28" i="14" a="1"/>
  <c r="F23" i="14" a="1"/>
  <c r="C5" i="14" a="1"/>
  <c r="F2" i="14" a="1"/>
  <c r="C7" i="14" a="1"/>
  <c r="C13" i="14" a="1"/>
  <c r="D2" i="17" a="1"/>
  <c r="C21" i="17" a="1"/>
  <c r="C45" i="14" a="1"/>
  <c r="C24" i="14" a="1"/>
  <c r="F25" i="14" a="1"/>
  <c r="D17" i="17" a="1"/>
  <c r="C9" i="14" a="1"/>
  <c r="F43" i="14" a="1"/>
  <c r="C27" i="14" a="1"/>
  <c r="C44" i="14" a="1"/>
  <c r="D21" i="17" a="1"/>
  <c r="C42" i="14" a="1"/>
  <c r="F33" i="14" a="1"/>
  <c r="F42" i="14" a="1"/>
  <c r="C38" i="14" a="1"/>
  <c r="F26" i="14" a="1"/>
  <c r="C25" i="14" a="1"/>
  <c r="F39" i="14" a="1"/>
  <c r="C6" i="14" a="1"/>
  <c r="C39" i="14" a="1"/>
  <c r="F12" i="14" a="1"/>
  <c r="D20" i="17" a="1"/>
  <c r="C29" i="13" a="1"/>
  <c r="F3" i="14" a="1"/>
  <c r="C40" i="14" a="1"/>
  <c r="C23" i="14" a="1"/>
  <c r="D22" i="17" a="1"/>
  <c r="F27" i="14" a="1"/>
  <c r="F34" i="14" a="1"/>
  <c r="F8" i="14" a="1"/>
  <c r="C3" i="14" a="1"/>
  <c r="F45" i="14" a="1"/>
  <c r="C32" i="14" a="1"/>
  <c r="C37" i="14" a="1"/>
  <c r="C19" i="14" a="1"/>
  <c r="C22" i="17" a="1"/>
  <c r="F17" i="14" a="1"/>
  <c r="F35" i="14" a="1"/>
  <c r="F22" i="14" a="1"/>
  <c r="C43" i="14" a="1"/>
  <c r="D8" i="17" a="1"/>
  <c r="D3" i="17" a="1"/>
  <c r="F7" i="14" a="1"/>
  <c r="D10" i="17" a="1"/>
  <c r="C34" i="14" a="1"/>
  <c r="F19" i="14" a="1"/>
  <c r="C29" i="14" a="1"/>
  <c r="C17" i="14" a="1"/>
  <c r="C27" i="13" a="1"/>
  <c r="F32" i="14" a="1"/>
  <c r="D13" i="17" a="1"/>
  <c r="F4" i="14" a="1"/>
  <c r="K2" i="22" a="1"/>
  <c r="F44" i="14" a="1"/>
  <c r="D15" i="17" a="1"/>
  <c r="F36" i="14" a="1"/>
  <c r="C21" i="14" a="1"/>
  <c r="F21" i="14" a="1"/>
  <c r="C41" i="14" a="1"/>
  <c r="F5" i="14" a="1"/>
  <c r="F15" i="14" a="1"/>
  <c r="F29" i="14" a="1"/>
  <c r="F41" i="14" a="1"/>
  <c r="C28" i="14" a="1"/>
  <c r="C2" i="14" a="1"/>
  <c r="F21" i="17" a="1"/>
  <c r="D19" i="17" a="1"/>
  <c r="F11" i="14" a="1"/>
  <c r="D4" i="17" a="1"/>
  <c r="C4" i="14" a="1"/>
  <c r="H2" i="22" a="1"/>
  <c r="F31" i="14" a="1"/>
  <c r="F13" i="14" a="1"/>
  <c r="D16" i="17" a="1"/>
  <c r="F2" i="10" a="1"/>
  <c r="F40" i="14" a="1"/>
  <c r="F24" i="14" a="1"/>
  <c r="D12" i="17" a="1"/>
  <c r="F14" i="14" a="1"/>
  <c r="F20" i="4" a="1"/>
  <c r="F16" i="4" a="1"/>
  <c r="F21" i="4" a="1"/>
  <c r="F23" i="4" a="1"/>
  <c r="F25" i="4" a="1"/>
  <c r="F18" i="4" a="1"/>
  <c r="F24" i="4" a="1"/>
  <c r="F27" i="4" a="1"/>
  <c r="F19" i="4" a="1"/>
  <c r="F22" i="4" a="1"/>
  <c r="F26" i="4" a="1"/>
  <c r="C71" i="12" a="1"/>
  <c r="C72" i="12" a="1"/>
  <c r="C123" i="12" a="1"/>
  <c r="G135" i="12" a="1"/>
  <c r="C141" i="12" a="1"/>
  <c r="G134" i="12" a="1"/>
  <c r="C121" i="12" a="1"/>
  <c r="C122" i="12" a="1"/>
  <c r="G140" i="12" a="1"/>
  <c r="G71" i="12" a="1"/>
  <c r="G138" i="12" a="1"/>
  <c r="G137" i="12" a="1"/>
  <c r="G141" i="12" a="1"/>
  <c r="G72" i="12" a="1"/>
  <c r="G26" i="12" a="1"/>
  <c r="C136" i="12" a="1"/>
  <c r="C135" i="12" a="1"/>
  <c r="C120" i="12" a="1"/>
  <c r="C140" i="12" a="1"/>
  <c r="G136" i="12" a="1"/>
  <c r="C139" i="12" a="1"/>
  <c r="C138" i="12" a="1"/>
  <c r="C26" i="12" a="1"/>
  <c r="C137" i="12" a="1"/>
  <c r="C119" i="12" a="1"/>
  <c r="G139" i="12" a="1"/>
  <c r="C134" i="12" a="1"/>
  <c r="F22" i="4" l="1"/>
  <c r="F21" i="4"/>
  <c r="F20" i="4"/>
  <c r="F19" i="4"/>
  <c r="F27" i="4"/>
  <c r="F24" i="4"/>
  <c r="F18" i="4"/>
  <c r="F25" i="4"/>
  <c r="F26" i="4"/>
  <c r="F23" i="4"/>
  <c r="F16" i="4"/>
  <c r="F22" i="17"/>
  <c r="D22" i="17"/>
  <c r="C22" i="17"/>
  <c r="G22" i="17" s="1"/>
  <c r="C141" i="12"/>
  <c r="G141" i="12"/>
  <c r="C140" i="12"/>
  <c r="G140" i="12"/>
  <c r="G139" i="12"/>
  <c r="C139" i="12"/>
  <c r="C138" i="12"/>
  <c r="G138" i="12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C119" i="12"/>
  <c r="C122" i="12"/>
  <c r="C121" i="12"/>
  <c r="C123" i="12"/>
  <c r="C120" i="12"/>
  <c r="C26" i="12"/>
  <c r="G26" i="12"/>
  <c r="H2" i="22"/>
  <c r="C2" i="22"/>
  <c r="C2" i="14"/>
  <c r="C28" i="13"/>
  <c r="C29" i="13"/>
  <c r="C27" i="13"/>
  <c r="C26" i="13"/>
  <c r="K2" i="22"/>
  <c r="F2" i="22"/>
  <c r="C134" i="12"/>
  <c r="G134" i="12"/>
  <c r="C137" i="12"/>
  <c r="C136" i="12"/>
  <c r="G137" i="12"/>
  <c r="C135" i="12"/>
  <c r="G136" i="12"/>
  <c r="G135" i="12"/>
  <c r="C21" i="17"/>
  <c r="D21" i="17"/>
  <c r="F21" i="17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C71" i="12"/>
  <c r="G71" i="12"/>
  <c r="G72" i="12"/>
  <c r="C72" i="12"/>
  <c r="E66" i="12"/>
  <c r="E67" i="12" s="1"/>
  <c r="E68" i="12" s="1"/>
  <c r="E69" i="12" s="1"/>
  <c r="E70" i="12" s="1"/>
  <c r="E71" i="12" s="1"/>
  <c r="E72" i="12" s="1"/>
  <c r="I2" i="22" a="1"/>
  <c r="D2" i="22" a="1"/>
  <c r="D2" i="22" l="1"/>
  <c r="I2" i="22"/>
  <c r="G21" i="17"/>
  <c r="A66" i="12"/>
  <c r="A25" i="13"/>
  <c r="A20" i="17"/>
  <c r="A19" i="17"/>
  <c r="F19" i="17" a="1"/>
  <c r="C12" i="13" a="1"/>
  <c r="C10" i="13" a="1"/>
  <c r="C23" i="13" a="1"/>
  <c r="C11" i="13" a="1"/>
  <c r="C19" i="13" a="1"/>
  <c r="C7" i="13" a="1"/>
  <c r="F20" i="17" a="1"/>
  <c r="C9" i="13" a="1"/>
  <c r="C3" i="13" a="1"/>
  <c r="C21" i="13" a="1"/>
  <c r="C6" i="13" a="1"/>
  <c r="C13" i="13" a="1"/>
  <c r="C17" i="13" a="1"/>
  <c r="C24" i="13" a="1"/>
  <c r="C20" i="17" a="1"/>
  <c r="C16" i="13" a="1"/>
  <c r="C4" i="13" a="1"/>
  <c r="C14" i="13" a="1"/>
  <c r="C18" i="13" a="1"/>
  <c r="C25" i="13" a="1"/>
  <c r="C8" i="13" a="1"/>
  <c r="C19" i="17" a="1"/>
  <c r="C20" i="13" a="1"/>
  <c r="C22" i="13" a="1"/>
  <c r="C5" i="13" a="1"/>
  <c r="C15" i="13" a="1"/>
  <c r="G66" i="12" a="1"/>
  <c r="C66" i="12" a="1"/>
  <c r="C66" i="12" l="1"/>
  <c r="G6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A133" i="12"/>
  <c r="A132" i="12"/>
  <c r="A131" i="12"/>
  <c r="A130" i="12"/>
  <c r="A129" i="12"/>
  <c r="E128" i="12"/>
  <c r="E129" i="12" s="1"/>
  <c r="E130" i="12" s="1"/>
  <c r="E131" i="12" s="1"/>
  <c r="E132" i="12" s="1"/>
  <c r="E133" i="12" s="1"/>
  <c r="A128" i="12"/>
  <c r="A127" i="12"/>
  <c r="A94" i="12"/>
  <c r="G133" i="12" a="1"/>
  <c r="G130" i="12" a="1"/>
  <c r="C131" i="12" a="1"/>
  <c r="C129" i="12" a="1"/>
  <c r="I130" i="12" a="1"/>
  <c r="G131" i="12" a="1"/>
  <c r="G128" i="12" a="1"/>
  <c r="C132" i="12" a="1"/>
  <c r="C130" i="12" a="1"/>
  <c r="C133" i="12" a="1"/>
  <c r="C127" i="12" a="1"/>
  <c r="G132" i="12" a="1"/>
  <c r="G111" i="12" a="1"/>
  <c r="C94" i="12" a="1"/>
  <c r="G129" i="12" a="1"/>
  <c r="G127" i="12" a="1"/>
  <c r="C128" i="12" a="1"/>
  <c r="G94" i="12" a="1"/>
  <c r="I130" i="12" l="1"/>
  <c r="G20" i="17"/>
  <c r="C133" i="12"/>
  <c r="C132" i="12"/>
  <c r="G133" i="12"/>
  <c r="G132" i="12"/>
  <c r="C131" i="12"/>
  <c r="C130" i="12"/>
  <c r="G131" i="12"/>
  <c r="G130" i="12"/>
  <c r="C129" i="12"/>
  <c r="C128" i="12"/>
  <c r="G129" i="12"/>
  <c r="C127" i="12"/>
  <c r="G128" i="12"/>
  <c r="G127" i="12"/>
  <c r="C94" i="12"/>
  <c r="G94" i="12"/>
  <c r="G111" i="12"/>
  <c r="A126" i="12"/>
  <c r="E125" i="12"/>
  <c r="E126" i="12" s="1"/>
  <c r="A125" i="12"/>
  <c r="A124" i="12"/>
  <c r="A19" i="11"/>
  <c r="A18" i="11"/>
  <c r="A10" i="17"/>
  <c r="C10" i="17" a="1"/>
  <c r="F3" i="17" a="1"/>
  <c r="F10" i="17" a="1"/>
  <c r="F15" i="17" a="1"/>
  <c r="F7" i="17" a="1"/>
  <c r="F4" i="17" a="1"/>
  <c r="F9" i="17" a="1"/>
  <c r="F18" i="17" a="1"/>
  <c r="F5" i="17" a="1"/>
  <c r="F14" i="17" a="1"/>
  <c r="F12" i="17" a="1"/>
  <c r="F11" i="17" a="1"/>
  <c r="F13" i="17" a="1"/>
  <c r="F16" i="17" a="1"/>
  <c r="F8" i="17" a="1"/>
  <c r="F6" i="17" a="1"/>
  <c r="F17" i="17" a="1"/>
  <c r="G125" i="12" a="1"/>
  <c r="C125" i="12" a="1"/>
  <c r="C124" i="12" a="1"/>
  <c r="G126" i="12" a="1"/>
  <c r="C126" i="12" a="1"/>
  <c r="G124" i="12" a="1"/>
  <c r="C126" i="12" l="1"/>
  <c r="C125" i="12"/>
  <c r="G126" i="12"/>
  <c r="C124" i="12"/>
  <c r="G125" i="12"/>
  <c r="G124" i="12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17" i="12" a="1"/>
  <c r="G17" i="12" l="1"/>
  <c r="A108" i="12"/>
  <c r="A11" i="12"/>
  <c r="A17" i="12"/>
  <c r="A10" i="14" l="1"/>
  <c r="A9" i="14"/>
  <c r="A8" i="13"/>
  <c r="A81" i="12"/>
  <c r="E78" i="12"/>
  <c r="A47" i="12" l="1"/>
  <c r="E79" i="12"/>
  <c r="E80" i="12" s="1"/>
  <c r="E81" i="12" s="1"/>
  <c r="E82" i="12" s="1"/>
  <c r="E83" i="12" s="1"/>
  <c r="I6" i="6" a="1"/>
  <c r="C4" i="6" a="1"/>
  <c r="C8" i="6" a="1"/>
  <c r="C2" i="17" a="1"/>
  <c r="C18" i="17" a="1"/>
  <c r="I13" i="6" a="1"/>
  <c r="C3" i="17" a="1"/>
  <c r="C7" i="17" a="1"/>
  <c r="C13" i="6" a="1"/>
  <c r="C12" i="6" a="1"/>
  <c r="C11" i="17" a="1"/>
  <c r="C2" i="6" a="1"/>
  <c r="C9" i="17" a="1"/>
  <c r="C6" i="6" a="1"/>
  <c r="C7" i="6" a="1"/>
  <c r="I8" i="6" a="1"/>
  <c r="C9" i="6" a="1"/>
  <c r="C2" i="10" a="1"/>
  <c r="C10" i="6" a="1"/>
  <c r="I10" i="6" a="1"/>
  <c r="C13" i="17" a="1"/>
  <c r="I11" i="6" a="1"/>
  <c r="I2" i="6" a="1"/>
  <c r="C5" i="6" a="1"/>
  <c r="I4" i="6" a="1"/>
  <c r="I3" i="6" a="1"/>
  <c r="C4" i="17" a="1"/>
  <c r="C6" i="17" a="1"/>
  <c r="C12" i="17" a="1"/>
  <c r="I7" i="6" a="1"/>
  <c r="C17" i="17" a="1"/>
  <c r="C3" i="8" a="1"/>
  <c r="I5" i="6" a="1"/>
  <c r="C11" i="6" a="1"/>
  <c r="I9" i="6" a="1"/>
  <c r="C14" i="17" a="1"/>
  <c r="C15" i="17" a="1"/>
  <c r="C8" i="17" a="1"/>
  <c r="C2" i="8" a="1"/>
  <c r="C16" i="17" a="1"/>
  <c r="C3" i="6" a="1"/>
  <c r="C5" i="17" a="1"/>
  <c r="I12" i="6" a="1"/>
  <c r="F30" i="4" a="1"/>
  <c r="F14" i="4" a="1"/>
  <c r="F28" i="4" a="1"/>
  <c r="F31" i="4" a="1"/>
  <c r="F29" i="4" a="1"/>
  <c r="G48" i="12" a="1"/>
  <c r="C17" i="12" a="1"/>
  <c r="G106" i="12" a="1"/>
  <c r="G98" i="12" a="1"/>
  <c r="G40" i="12" a="1"/>
  <c r="G46" i="12" a="1"/>
  <c r="G5" i="12" a="1"/>
  <c r="G109" i="12" a="1"/>
  <c r="G16" i="12" a="1"/>
  <c r="G91" i="12" a="1"/>
  <c r="G108" i="12" a="1"/>
  <c r="G82" i="12" a="1"/>
  <c r="G25" i="12" a="1"/>
  <c r="G62" i="12" a="1"/>
  <c r="G2" i="12" a="1"/>
  <c r="G31" i="12" a="1"/>
  <c r="G38" i="12" a="1"/>
  <c r="G84" i="12" a="1"/>
  <c r="G119" i="12" a="1"/>
  <c r="G23" i="12" a="1"/>
  <c r="G99" i="12" a="1"/>
  <c r="G81" i="12" a="1"/>
  <c r="G19" i="12" a="1"/>
  <c r="G44" i="12" a="1"/>
  <c r="G123" i="12" a="1"/>
  <c r="G14" i="12" a="1"/>
  <c r="G97" i="12" a="1"/>
  <c r="G39" i="12" a="1"/>
  <c r="G89" i="12" a="1"/>
  <c r="G69" i="12" a="1"/>
  <c r="G117" i="12" a="1"/>
  <c r="G15" i="12" a="1"/>
  <c r="G73" i="12" a="1"/>
  <c r="G41" i="12" a="1"/>
  <c r="G70" i="12" a="1"/>
  <c r="G24" i="12" a="1"/>
  <c r="G57" i="12" a="1"/>
  <c r="G79" i="12" a="1"/>
  <c r="G116" i="12" a="1"/>
  <c r="G4" i="12" a="1"/>
  <c r="G96" i="12" a="1"/>
  <c r="G118" i="12" a="1"/>
  <c r="C108" i="12" a="1"/>
  <c r="G93" i="12" a="1"/>
  <c r="C2" i="12" a="1"/>
  <c r="G80" i="12" a="1"/>
  <c r="G60" i="12" a="1"/>
  <c r="G29" i="12" a="1"/>
  <c r="G28" i="12" a="1"/>
  <c r="G64" i="12" a="1"/>
  <c r="G45" i="12" a="1"/>
  <c r="G49" i="12" a="1"/>
  <c r="G18" i="12" a="1"/>
  <c r="G63" i="12" a="1"/>
  <c r="C11" i="12" a="1"/>
  <c r="G58" i="12" a="1"/>
  <c r="G20" i="12" a="1"/>
  <c r="G56" i="12" a="1"/>
  <c r="G67" i="12" a="1"/>
  <c r="G51" i="12" a="1"/>
  <c r="G115" i="12" a="1"/>
  <c r="G104" i="12" a="1"/>
  <c r="G65" i="12" a="1"/>
  <c r="G6" i="12" a="1"/>
  <c r="G85" i="12" a="1"/>
  <c r="G36" i="12" a="1"/>
  <c r="G22" i="12" a="1"/>
  <c r="G61" i="12" a="1"/>
  <c r="G112" i="12" a="1"/>
  <c r="G34" i="12" a="1"/>
  <c r="C47" i="12" a="1"/>
  <c r="G90" i="12" a="1"/>
  <c r="G107" i="12" a="1"/>
  <c r="G12" i="12" a="1"/>
  <c r="G3" i="12" a="1"/>
  <c r="G55" i="12" a="1"/>
  <c r="G86" i="12" a="1"/>
  <c r="G76" i="12" a="1"/>
  <c r="G114" i="12" a="1"/>
  <c r="G78" i="12" a="1"/>
  <c r="G88" i="12" a="1"/>
  <c r="G7" i="12" a="1"/>
  <c r="G110" i="12" a="1"/>
  <c r="G35" i="12" a="1"/>
  <c r="G105" i="12" a="1"/>
  <c r="G32" i="12" a="1"/>
  <c r="C81" i="12" a="1"/>
  <c r="G75" i="12" a="1"/>
  <c r="G42" i="12" a="1"/>
  <c r="G77" i="12" a="1"/>
  <c r="G50" i="12" a="1"/>
  <c r="G47" i="12" a="1"/>
  <c r="G10" i="12" a="1"/>
  <c r="G95" i="12" a="1"/>
  <c r="G87" i="12" a="1"/>
  <c r="G37" i="12" a="1"/>
  <c r="G92" i="12" a="1"/>
  <c r="G21" i="12" a="1"/>
  <c r="G9" i="12" a="1"/>
  <c r="G11" i="12" a="1"/>
  <c r="G27" i="12" a="1"/>
  <c r="G13" i="12" a="1"/>
  <c r="G33" i="12" a="1"/>
  <c r="G68" i="12" a="1"/>
  <c r="G101" i="12" a="1"/>
  <c r="G52" i="12" a="1"/>
  <c r="G74" i="12" a="1"/>
  <c r="G53" i="12" a="1"/>
  <c r="G122" i="12" a="1"/>
  <c r="G43" i="12" a="1"/>
  <c r="G113" i="12" a="1"/>
  <c r="G30" i="12" a="1"/>
  <c r="G83" i="12" a="1"/>
  <c r="G59" i="12" a="1"/>
  <c r="G103" i="12" a="1"/>
  <c r="G100" i="12" a="1"/>
  <c r="G8" i="12" a="1"/>
  <c r="G102" i="12" a="1"/>
  <c r="G120" i="12" a="1"/>
  <c r="G121" i="12" a="1"/>
  <c r="G54" i="12" a="1"/>
  <c r="C2" i="6" l="1"/>
  <c r="G6" i="12"/>
  <c r="G88" i="12"/>
  <c r="C3" i="17"/>
  <c r="G3" i="17" s="1"/>
  <c r="G109" i="12"/>
  <c r="G114" i="12"/>
  <c r="G4" i="12"/>
  <c r="G107" i="12"/>
  <c r="G32" i="12"/>
  <c r="G38" i="12"/>
  <c r="C3" i="6"/>
  <c r="G16" i="12"/>
  <c r="G9" i="12"/>
  <c r="G56" i="12"/>
  <c r="G110" i="12"/>
  <c r="G51" i="12"/>
  <c r="C12" i="6"/>
  <c r="G12" i="12"/>
  <c r="G40" i="12"/>
  <c r="C18" i="17"/>
  <c r="G18" i="17" s="1"/>
  <c r="G8" i="12"/>
  <c r="I9" i="6"/>
  <c r="I5" i="6"/>
  <c r="G5" i="12"/>
  <c r="I6" i="6"/>
  <c r="G20" i="12"/>
  <c r="G36" i="12"/>
  <c r="G35" i="12"/>
  <c r="G44" i="12"/>
  <c r="G98" i="12"/>
  <c r="G34" i="12"/>
  <c r="C13" i="17"/>
  <c r="G13" i="17" s="1"/>
  <c r="G106" i="12"/>
  <c r="C17" i="12"/>
  <c r="G117" i="12"/>
  <c r="G79" i="12"/>
  <c r="G70" i="12"/>
  <c r="G55" i="12"/>
  <c r="C16" i="17"/>
  <c r="G16" i="17" s="1"/>
  <c r="C13" i="6"/>
  <c r="G41" i="12"/>
  <c r="I2" i="6"/>
  <c r="C8" i="6"/>
  <c r="G112" i="12"/>
  <c r="G99" i="12"/>
  <c r="G103" i="12"/>
  <c r="G92" i="12"/>
  <c r="G29" i="12"/>
  <c r="G50" i="12"/>
  <c r="C8" i="17"/>
  <c r="G8" i="17" s="1"/>
  <c r="G27" i="12"/>
  <c r="C11" i="12"/>
  <c r="G68" i="12"/>
  <c r="G19" i="12"/>
  <c r="C17" i="17"/>
  <c r="G17" i="17" s="1"/>
  <c r="G120" i="12"/>
  <c r="C9" i="17"/>
  <c r="G9" i="17" s="1"/>
  <c r="G104" i="12"/>
  <c r="G61" i="12"/>
  <c r="G118" i="12"/>
  <c r="I13" i="6"/>
  <c r="C15" i="17"/>
  <c r="G15" i="17" s="1"/>
  <c r="C11" i="6"/>
  <c r="G73" i="12"/>
  <c r="G25" i="12"/>
  <c r="C10" i="6"/>
  <c r="G45" i="12"/>
  <c r="G14" i="12"/>
  <c r="C9" i="6"/>
  <c r="C6" i="17"/>
  <c r="G6" i="17" s="1"/>
  <c r="G78" i="12"/>
  <c r="G15" i="12"/>
  <c r="G113" i="12"/>
  <c r="G122" i="12"/>
  <c r="G39" i="12"/>
  <c r="G48" i="12"/>
  <c r="I7" i="6"/>
  <c r="C4" i="6"/>
  <c r="G84" i="12"/>
  <c r="G64" i="12"/>
  <c r="G43" i="12"/>
  <c r="C7" i="6"/>
  <c r="C6" i="6"/>
  <c r="G31" i="12"/>
  <c r="G75" i="12"/>
  <c r="G116" i="12"/>
  <c r="G115" i="12"/>
  <c r="G100" i="12"/>
  <c r="G85" i="12"/>
  <c r="G101" i="12"/>
  <c r="C108" i="12"/>
  <c r="C3" i="8"/>
  <c r="G21" i="12"/>
  <c r="G80" i="12"/>
  <c r="I12" i="6"/>
  <c r="G67" i="12"/>
  <c r="G52" i="12"/>
  <c r="G97" i="12"/>
  <c r="G90" i="12"/>
  <c r="G42" i="12"/>
  <c r="G105" i="12"/>
  <c r="G119" i="12"/>
  <c r="G18" i="12"/>
  <c r="G49" i="12"/>
  <c r="G24" i="12"/>
  <c r="G65" i="12"/>
  <c r="G63" i="12"/>
  <c r="I8" i="6"/>
  <c r="G81" i="12"/>
  <c r="C4" i="17"/>
  <c r="G4" i="17" s="1"/>
  <c r="G23" i="12"/>
  <c r="C11" i="17"/>
  <c r="G11" i="17" s="1"/>
  <c r="G11" i="12"/>
  <c r="G30" i="12"/>
  <c r="G95" i="12"/>
  <c r="G87" i="12"/>
  <c r="G108" i="12"/>
  <c r="G69" i="12"/>
  <c r="C12" i="17"/>
  <c r="G12" i="17" s="1"/>
  <c r="G53" i="12"/>
  <c r="G37" i="12"/>
  <c r="G57" i="12"/>
  <c r="G28" i="12"/>
  <c r="C5" i="6"/>
  <c r="I11" i="6"/>
  <c r="G60" i="12"/>
  <c r="G47" i="12"/>
  <c r="G74" i="12"/>
  <c r="G7" i="12"/>
  <c r="G93" i="12"/>
  <c r="G2" i="12"/>
  <c r="G46" i="12"/>
  <c r="G22" i="12"/>
  <c r="I4" i="6"/>
  <c r="C2" i="17"/>
  <c r="G76" i="12"/>
  <c r="I10" i="6"/>
  <c r="C2" i="10"/>
  <c r="G13" i="12"/>
  <c r="G123" i="12"/>
  <c r="C5" i="17"/>
  <c r="G5" i="17" s="1"/>
  <c r="G33" i="12"/>
  <c r="G102" i="12"/>
  <c r="G89" i="12"/>
  <c r="G54" i="12"/>
  <c r="C7" i="17"/>
  <c r="G7" i="17" s="1"/>
  <c r="G62" i="12"/>
  <c r="G83" i="12"/>
  <c r="C14" i="17"/>
  <c r="G14" i="17" s="1"/>
  <c r="G91" i="12"/>
  <c r="G58" i="12"/>
  <c r="G3" i="12"/>
  <c r="G96" i="12"/>
  <c r="G77" i="12"/>
  <c r="I3" i="6"/>
  <c r="G59" i="12"/>
  <c r="C2" i="8"/>
  <c r="G86" i="12"/>
  <c r="G82" i="12"/>
  <c r="G121" i="12"/>
  <c r="G10" i="12"/>
  <c r="F14" i="4"/>
  <c r="F31" i="4"/>
  <c r="F29" i="4"/>
  <c r="F28" i="4"/>
  <c r="F30" i="4"/>
  <c r="C81" i="12"/>
  <c r="C2" i="12"/>
  <c r="C47" i="12"/>
  <c r="E2" i="22" a="1"/>
  <c r="J2" i="22" a="1"/>
  <c r="H98" i="12" a="1"/>
  <c r="H30" i="12" a="1"/>
  <c r="H131" i="12" a="1"/>
  <c r="H39" i="12" a="1"/>
  <c r="H132" i="12" a="1"/>
  <c r="H38" i="12" a="1"/>
  <c r="H100" i="12" a="1"/>
  <c r="H99" i="12" a="1"/>
  <c r="H17" i="12" a="1"/>
  <c r="H40" i="12" a="1"/>
  <c r="H18" i="12" a="1"/>
  <c r="H37" i="12" a="1"/>
  <c r="J2" i="22" l="1"/>
  <c r="E2" i="22"/>
  <c r="H37" i="12"/>
  <c r="H132" i="12"/>
  <c r="H30" i="12"/>
  <c r="H131" i="12"/>
  <c r="H38" i="12"/>
  <c r="H98" i="12"/>
  <c r="H17" i="12"/>
  <c r="H99" i="12"/>
  <c r="H18" i="12"/>
  <c r="H39" i="12"/>
  <c r="H40" i="12"/>
  <c r="H100" i="12"/>
  <c r="A3" i="7"/>
  <c r="A3" i="8"/>
  <c r="A122" i="12"/>
  <c r="A36" i="14"/>
  <c r="A35" i="14"/>
  <c r="A34" i="14"/>
  <c r="A19" i="13"/>
  <c r="A15" i="13"/>
  <c r="A11" i="13"/>
  <c r="A87" i="12"/>
  <c r="A76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6" i="12"/>
  <c r="E85" i="12"/>
  <c r="E86" i="12" s="1"/>
  <c r="E87" i="12" s="1"/>
  <c r="A85" i="12"/>
  <c r="A8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3" i="11"/>
  <c r="A2" i="17"/>
  <c r="A2" i="7"/>
  <c r="A8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15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E120" i="12"/>
  <c r="E121" i="12" s="1"/>
  <c r="E122" i="12" s="1"/>
  <c r="E123" i="12" s="1"/>
  <c r="A120" i="12"/>
  <c r="A11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18" i="12"/>
  <c r="A117" i="12"/>
  <c r="A116" i="12"/>
  <c r="E115" i="12"/>
  <c r="E116" i="12" s="1"/>
  <c r="E117" i="12" s="1"/>
  <c r="E118" i="12" s="1"/>
  <c r="A115" i="12"/>
  <c r="A114" i="12"/>
  <c r="A113" i="12"/>
  <c r="A112" i="12"/>
  <c r="A111" i="12"/>
  <c r="E112" i="12"/>
  <c r="E113" i="12" s="1"/>
  <c r="A110" i="12"/>
  <c r="A109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3" i="12"/>
  <c r="A92" i="12"/>
  <c r="A91" i="12"/>
  <c r="A90" i="12"/>
  <c r="E89" i="12"/>
  <c r="E90" i="12" s="1"/>
  <c r="E91" i="12" s="1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89" i="12"/>
  <c r="A88" i="12"/>
  <c r="A83" i="12"/>
  <c r="A80" i="12"/>
  <c r="A79" i="12"/>
  <c r="A78" i="12"/>
  <c r="A77" i="12"/>
  <c r="A75" i="12"/>
  <c r="E74" i="12"/>
  <c r="E75" i="12" s="1"/>
  <c r="E76" i="12" s="1"/>
  <c r="A74" i="12"/>
  <c r="A73" i="12"/>
  <c r="A70" i="12"/>
  <c r="A68" i="12"/>
  <c r="A69" i="12"/>
  <c r="A67" i="12"/>
  <c r="A65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2" i="3"/>
  <c r="A3" i="3"/>
  <c r="A31" i="4"/>
  <c r="A14" i="4"/>
  <c r="A8" i="4"/>
  <c r="A29" i="4"/>
  <c r="A28" i="4"/>
  <c r="A30" i="4"/>
  <c r="A13" i="4"/>
  <c r="A12" i="4"/>
  <c r="A11" i="4"/>
  <c r="A10" i="4"/>
  <c r="A9" i="4"/>
  <c r="A7" i="4"/>
  <c r="A6" i="4"/>
  <c r="A5" i="4"/>
  <c r="A4" i="4"/>
  <c r="A3" i="4"/>
  <c r="A2" i="4"/>
  <c r="A11" i="1"/>
  <c r="A9" i="1"/>
  <c r="A8" i="1"/>
  <c r="A7" i="1"/>
  <c r="A6" i="1"/>
  <c r="A5" i="1"/>
  <c r="A4" i="1"/>
  <c r="A3" i="1"/>
  <c r="A2" i="1"/>
  <c r="E2" i="8" a="1"/>
  <c r="E3" i="8" a="1"/>
  <c r="E2" i="10" a="1"/>
  <c r="F2" i="17" a="1"/>
  <c r="C2" i="13" a="1"/>
  <c r="G17" i="4" a="1"/>
  <c r="G20" i="4" a="1"/>
  <c r="G30" i="4" a="1"/>
  <c r="G21" i="4" a="1"/>
  <c r="G26" i="4" a="1"/>
  <c r="G28" i="4" a="1"/>
  <c r="G19" i="4" a="1"/>
  <c r="G29" i="4" a="1"/>
  <c r="G31" i="4" a="1"/>
  <c r="G22" i="4" a="1"/>
  <c r="G23" i="4" a="1"/>
  <c r="G24" i="4" a="1"/>
  <c r="G25" i="4" a="1"/>
  <c r="G27" i="4" a="1"/>
  <c r="G3" i="4" a="1"/>
  <c r="G13" i="4" a="1"/>
  <c r="G4" i="4" a="1"/>
  <c r="G14" i="4" a="1"/>
  <c r="G5" i="4" a="1"/>
  <c r="G15" i="4" a="1"/>
  <c r="G6" i="4" a="1"/>
  <c r="G16" i="4" a="1"/>
  <c r="G7" i="4" a="1"/>
  <c r="G18" i="4" a="1"/>
  <c r="G8" i="4" a="1"/>
  <c r="G9" i="4" a="1"/>
  <c r="G10" i="4" a="1"/>
  <c r="G11" i="4" a="1"/>
  <c r="G12" i="4" a="1"/>
  <c r="E6" i="4" a="1"/>
  <c r="E29" i="4" a="1"/>
  <c r="E9" i="4" a="1"/>
  <c r="E28" i="4" a="1"/>
  <c r="E8" i="4" a="1"/>
  <c r="E12" i="4" a="1"/>
  <c r="E4" i="4" a="1"/>
  <c r="E7" i="4" a="1"/>
  <c r="E5" i="4" a="1"/>
  <c r="E31" i="4" a="1"/>
  <c r="E15" i="4" a="1"/>
  <c r="E30" i="4" a="1"/>
  <c r="E13" i="4" a="1"/>
  <c r="G2" i="4" a="1"/>
  <c r="E11" i="4" a="1"/>
  <c r="E2" i="4" a="1"/>
  <c r="E14" i="4" a="1"/>
  <c r="E10" i="4" a="1"/>
  <c r="E3" i="4" a="1"/>
  <c r="G21" i="11" a="1"/>
  <c r="G8" i="11" a="1"/>
  <c r="G20" i="11" a="1"/>
  <c r="G3" i="11" a="1"/>
  <c r="G14" i="11" a="1"/>
  <c r="G7" i="11" a="1"/>
  <c r="G9" i="11" a="1"/>
  <c r="G12" i="11" a="1"/>
  <c r="G4" i="11" a="1"/>
  <c r="G16" i="11" a="1"/>
  <c r="G17" i="11" a="1"/>
  <c r="G18" i="11" a="1"/>
  <c r="G2" i="11" a="1"/>
  <c r="G13" i="11" a="1"/>
  <c r="G5" i="11" a="1"/>
  <c r="G6" i="11" a="1"/>
  <c r="G15" i="11" a="1"/>
  <c r="G19" i="11" a="1"/>
  <c r="G11" i="11" a="1"/>
  <c r="G10" i="11" a="1"/>
  <c r="G27" i="4" l="1"/>
  <c r="G25" i="4"/>
  <c r="G24" i="4"/>
  <c r="G23" i="4"/>
  <c r="G22" i="4"/>
  <c r="G31" i="4"/>
  <c r="G29" i="4"/>
  <c r="G19" i="4"/>
  <c r="G28" i="4"/>
  <c r="G26" i="4"/>
  <c r="G21" i="4"/>
  <c r="G30" i="4"/>
  <c r="G20" i="4"/>
  <c r="G17" i="4"/>
  <c r="G12" i="4"/>
  <c r="G11" i="4"/>
  <c r="G10" i="4"/>
  <c r="G9" i="4"/>
  <c r="G8" i="4"/>
  <c r="G18" i="4"/>
  <c r="G7" i="4"/>
  <c r="G16" i="4"/>
  <c r="G6" i="4"/>
  <c r="G15" i="4"/>
  <c r="G5" i="4"/>
  <c r="G14" i="4"/>
  <c r="G4" i="4"/>
  <c r="G13" i="4"/>
  <c r="G3" i="4"/>
  <c r="G2" i="4"/>
  <c r="G18" i="11"/>
  <c r="G9" i="11"/>
  <c r="G17" i="11"/>
  <c r="G8" i="11"/>
  <c r="G16" i="11"/>
  <c r="G7" i="11"/>
  <c r="G15" i="11"/>
  <c r="G6" i="11"/>
  <c r="G14" i="11"/>
  <c r="G5" i="11"/>
  <c r="G13" i="11"/>
  <c r="G4" i="11"/>
  <c r="G12" i="11"/>
  <c r="G3" i="11"/>
  <c r="G21" i="11"/>
  <c r="G11" i="11"/>
  <c r="G20" i="11"/>
  <c r="G10" i="11"/>
  <c r="G19" i="11"/>
  <c r="G2" i="11"/>
  <c r="E5" i="4"/>
  <c r="E11" i="4"/>
  <c r="E15" i="4"/>
  <c r="E4" i="4"/>
  <c r="E3" i="4"/>
  <c r="E14" i="4"/>
  <c r="E9" i="4"/>
  <c r="E8" i="4"/>
  <c r="E7" i="4"/>
  <c r="E28" i="4"/>
  <c r="E30" i="4"/>
  <c r="E2" i="4"/>
  <c r="E13" i="4"/>
  <c r="E12" i="4"/>
  <c r="E31" i="4"/>
  <c r="E6" i="4"/>
  <c r="E29" i="4"/>
  <c r="E10" i="4"/>
  <c r="E3" i="8"/>
  <c r="F3" i="8" s="1"/>
  <c r="E2" i="8"/>
  <c r="F2" i="8" s="1"/>
  <c r="E2" i="10"/>
  <c r="G2" i="10" s="1"/>
  <c r="F2" i="17"/>
  <c r="G2" i="17" s="1"/>
  <c r="C2" i="13"/>
  <c r="F9" i="4" a="1"/>
  <c r="F15" i="4" a="1"/>
  <c r="F2" i="4" a="1"/>
  <c r="F10" i="4" a="1"/>
  <c r="F6" i="4" a="1"/>
  <c r="F8" i="4" a="1"/>
  <c r="F7" i="4" a="1"/>
  <c r="F5" i="4" a="1"/>
  <c r="F12" i="4" a="1"/>
  <c r="F13" i="4" a="1"/>
  <c r="F11" i="4" a="1"/>
  <c r="F3" i="4" a="1"/>
  <c r="F4" i="4" a="1"/>
  <c r="I131" i="12" a="1"/>
  <c r="C49" i="12" a="1"/>
  <c r="J38" i="12" a="1"/>
  <c r="I61" i="12" a="1"/>
  <c r="J11" i="12" a="1"/>
  <c r="I71" i="12" a="1"/>
  <c r="J52" i="12" a="1"/>
  <c r="I37" i="12" a="1"/>
  <c r="I68" i="12" a="1"/>
  <c r="J103" i="12" a="1"/>
  <c r="J49" i="12" a="1"/>
  <c r="J119" i="12" a="1"/>
  <c r="J28" i="12" a="1"/>
  <c r="I111" i="12" a="1"/>
  <c r="I94" i="12" a="1"/>
  <c r="J43" i="12" a="1"/>
  <c r="C75" i="12" a="1"/>
  <c r="I12" i="12" a="1"/>
  <c r="J48" i="12" a="1"/>
  <c r="I25" i="12" a="1"/>
  <c r="I91" i="12" a="1"/>
  <c r="I32" i="12" a="1"/>
  <c r="C31" i="12" a="1"/>
  <c r="J16" i="12" a="1"/>
  <c r="I50" i="12" a="1"/>
  <c r="C23" i="12" a="1"/>
  <c r="C109" i="12" a="1"/>
  <c r="I21" i="12" a="1"/>
  <c r="J57" i="12" a="1"/>
  <c r="J102" i="12" a="1"/>
  <c r="J19" i="12" a="1"/>
  <c r="C43" i="12" a="1"/>
  <c r="J140" i="12" a="1"/>
  <c r="I108" i="12" a="1"/>
  <c r="C20" i="12" a="1"/>
  <c r="I54" i="12" a="1"/>
  <c r="C51" i="12" a="1"/>
  <c r="J8" i="12" a="1"/>
  <c r="I95" i="12" a="1"/>
  <c r="J128" i="12" a="1"/>
  <c r="I48" i="12" a="1"/>
  <c r="J30" i="12" a="1"/>
  <c r="J89" i="12" a="1"/>
  <c r="C45" i="12" a="1"/>
  <c r="J93" i="12" a="1"/>
  <c r="I80" i="12" a="1"/>
  <c r="I98" i="12" a="1"/>
  <c r="J107" i="12" a="1"/>
  <c r="J12" i="12" a="1"/>
  <c r="J99" i="12" a="1"/>
  <c r="C61" i="12" a="1"/>
  <c r="I138" i="12" a="1"/>
  <c r="C54" i="12" a="1"/>
  <c r="J61" i="12" a="1"/>
  <c r="I15" i="12" a="1"/>
  <c r="J127" i="12" a="1"/>
  <c r="I121" i="12" a="1"/>
  <c r="I70" i="12" a="1"/>
  <c r="J130" i="12" a="1"/>
  <c r="C116" i="12" a="1"/>
  <c r="I112" i="12" a="1"/>
  <c r="J94" i="12" a="1"/>
  <c r="J113" i="12" a="1"/>
  <c r="J129" i="12" a="1"/>
  <c r="J53" i="12" a="1"/>
  <c r="J26" i="12" a="1"/>
  <c r="I43" i="12" a="1"/>
  <c r="I124" i="12" a="1"/>
  <c r="J120" i="12" a="1"/>
  <c r="I10" i="12" a="1"/>
  <c r="C32" i="12" a="1"/>
  <c r="C58" i="12" a="1"/>
  <c r="C39" i="12" a="1"/>
  <c r="J116" i="12" a="1"/>
  <c r="J75" i="12" a="1"/>
  <c r="I136" i="12" a="1"/>
  <c r="J95" i="12" a="1"/>
  <c r="J3" i="12" a="1"/>
  <c r="C40" i="12" a="1"/>
  <c r="C34" i="12" a="1"/>
  <c r="I135" i="12" a="1"/>
  <c r="C50" i="12" a="1"/>
  <c r="I46" i="12" a="1"/>
  <c r="I36" i="12" a="1"/>
  <c r="J40" i="12" a="1"/>
  <c r="I7" i="12" a="1"/>
  <c r="I8" i="12" a="1"/>
  <c r="I88" i="12" a="1"/>
  <c r="J50" i="12" a="1"/>
  <c r="I65" i="12" a="1"/>
  <c r="C57" i="12" a="1"/>
  <c r="J36" i="12" a="1"/>
  <c r="I24" i="12" a="1"/>
  <c r="J74" i="12" a="1"/>
  <c r="I69" i="12" a="1"/>
  <c r="J88" i="12" a="1"/>
  <c r="C114" i="12" a="1"/>
  <c r="C14" i="12" a="1"/>
  <c r="I11" i="12" a="1"/>
  <c r="J23" i="12" a="1"/>
  <c r="C117" i="12" a="1"/>
  <c r="C107" i="12" a="1"/>
  <c r="J112" i="12" a="1"/>
  <c r="C106" i="12" a="1"/>
  <c r="I137" i="12" a="1"/>
  <c r="C35" i="12" a="1"/>
  <c r="I55" i="12" a="1"/>
  <c r="J70" i="12" a="1"/>
  <c r="J101" i="12" a="1"/>
  <c r="J45" i="12" a="1"/>
  <c r="C91" i="12" a="1"/>
  <c r="J133" i="12" a="1"/>
  <c r="C8" i="12" a="1"/>
  <c r="J141" i="12" a="1"/>
  <c r="I33" i="12" a="1"/>
  <c r="I89" i="12" a="1"/>
  <c r="J54" i="12" a="1"/>
  <c r="I97" i="12" a="1"/>
  <c r="I22" i="12" a="1"/>
  <c r="I28" i="12" a="1"/>
  <c r="C16" i="12" a="1"/>
  <c r="J136" i="12" a="1"/>
  <c r="I9" i="12" a="1"/>
  <c r="J66" i="12" a="1"/>
  <c r="C74" i="12" a="1"/>
  <c r="C37" i="12" a="1"/>
  <c r="I76" i="12" a="1"/>
  <c r="J42" i="12" a="1"/>
  <c r="J2" i="12" a="1"/>
  <c r="C102" i="12" a="1"/>
  <c r="J41" i="12" a="1"/>
  <c r="J14" i="12" a="1"/>
  <c r="I73" i="12" a="1"/>
  <c r="C24" i="12" a="1"/>
  <c r="C99" i="12" a="1"/>
  <c r="J13" i="12" a="1"/>
  <c r="J85" i="12" a="1"/>
  <c r="I126" i="12" a="1"/>
  <c r="J125" i="12" a="1"/>
  <c r="J115" i="12" a="1"/>
  <c r="I85" i="12" a="1"/>
  <c r="C12" i="12" a="1"/>
  <c r="C84" i="12" a="1"/>
  <c r="I96" i="12" a="1"/>
  <c r="J137" i="12" a="1"/>
  <c r="J84" i="12" a="1"/>
  <c r="I118" i="12" a="1"/>
  <c r="C63" i="12" a="1"/>
  <c r="C88" i="12" a="1"/>
  <c r="J59" i="12" a="1"/>
  <c r="C29" i="12" a="1"/>
  <c r="J63" i="12" a="1"/>
  <c r="J96" i="12" a="1"/>
  <c r="J69" i="12" a="1"/>
  <c r="I14" i="12" a="1"/>
  <c r="I58" i="12" a="1"/>
  <c r="J4" i="12" a="1"/>
  <c r="J117" i="12" a="1"/>
  <c r="C48" i="12" a="1"/>
  <c r="C44" i="12" a="1"/>
  <c r="C69" i="12" a="1"/>
  <c r="C13" i="12" a="1"/>
  <c r="J67" i="12" a="1"/>
  <c r="I6" i="12" a="1"/>
  <c r="I78" i="12" a="1"/>
  <c r="I16" i="12" a="1"/>
  <c r="I115" i="12" a="1"/>
  <c r="C27" i="12" a="1"/>
  <c r="C28" i="12" a="1"/>
  <c r="I113" i="12" a="1"/>
  <c r="C18" i="12" a="1"/>
  <c r="I30" i="12" a="1"/>
  <c r="C33" i="12" a="1"/>
  <c r="J78" i="12" a="1"/>
  <c r="I116" i="12" a="1"/>
  <c r="I75" i="12" a="1"/>
  <c r="J108" i="12" a="1"/>
  <c r="I60" i="12" a="1"/>
  <c r="C103" i="12" a="1"/>
  <c r="C3" i="12" a="1"/>
  <c r="I5" i="12" a="1"/>
  <c r="I20" i="12" a="1"/>
  <c r="I38" i="12" a="1"/>
  <c r="C115" i="12" a="1"/>
  <c r="C68" i="12" a="1"/>
  <c r="C95" i="12" a="1"/>
  <c r="J71" i="12" a="1"/>
  <c r="C98" i="12" a="1"/>
  <c r="C7" i="12" a="1"/>
  <c r="I141" i="12" a="1"/>
  <c r="J15" i="12" a="1"/>
  <c r="C30" i="12" a="1"/>
  <c r="C97" i="12" a="1"/>
  <c r="J114" i="12" a="1"/>
  <c r="C46" i="12" a="1"/>
  <c r="C4" i="12" a="1"/>
  <c r="C101" i="12" a="1"/>
  <c r="J10" i="12" a="1"/>
  <c r="I119" i="12" a="1"/>
  <c r="J68" i="12" a="1"/>
  <c r="J32" i="12" a="1"/>
  <c r="I31" i="12" a="1"/>
  <c r="J110" i="12" a="1"/>
  <c r="J104" i="12" a="1"/>
  <c r="J44" i="12" a="1"/>
  <c r="I49" i="12" a="1"/>
  <c r="C41" i="12" a="1"/>
  <c r="J33" i="12" a="1"/>
  <c r="J122" i="12" a="1"/>
  <c r="J139" i="12" a="1"/>
  <c r="C78" i="12" a="1"/>
  <c r="I47" i="12" a="1"/>
  <c r="I18" i="12" a="1"/>
  <c r="I120" i="12" a="1"/>
  <c r="I77" i="12" a="1"/>
  <c r="C60" i="12" a="1"/>
  <c r="C86" i="12" a="1"/>
  <c r="I128" i="12" a="1"/>
  <c r="J73" i="12" a="1"/>
  <c r="J35" i="12" a="1"/>
  <c r="C15" i="12" a="1"/>
  <c r="J87" i="12" a="1"/>
  <c r="C73" i="12" a="1"/>
  <c r="I3" i="12" a="1"/>
  <c r="J72" i="12" a="1"/>
  <c r="C85" i="12" a="1"/>
  <c r="I83" i="12" a="1"/>
  <c r="C6" i="12" a="1"/>
  <c r="J6" i="12" a="1"/>
  <c r="J56" i="12" a="1"/>
  <c r="I105" i="12" a="1"/>
  <c r="I92" i="12" a="1"/>
  <c r="J62" i="12" a="1"/>
  <c r="C52" i="12" a="1"/>
  <c r="J25" i="12" a="1"/>
  <c r="I132" i="12" a="1"/>
  <c r="I44" i="12" a="1"/>
  <c r="C65" i="12" a="1"/>
  <c r="J80" i="12" a="1"/>
  <c r="I100" i="12" a="1"/>
  <c r="I34" i="12" a="1"/>
  <c r="I74" i="12" a="1"/>
  <c r="J9" i="12" a="1"/>
  <c r="C89" i="12" a="1"/>
  <c r="J39" i="12" a="1"/>
  <c r="I123" i="12" a="1"/>
  <c r="J92" i="12" a="1"/>
  <c r="I4" i="12" a="1"/>
  <c r="J60" i="12" a="1"/>
  <c r="I110" i="12" a="1"/>
  <c r="I27" i="12" a="1"/>
  <c r="C59" i="12" a="1"/>
  <c r="C87" i="12" a="1"/>
  <c r="I67" i="12" a="1"/>
  <c r="C83" i="12" a="1"/>
  <c r="C93" i="12" a="1"/>
  <c r="I125" i="12" a="1"/>
  <c r="C5" i="12" a="1"/>
  <c r="J47" i="12" a="1"/>
  <c r="I42" i="12" a="1"/>
  <c r="I64" i="12" a="1"/>
  <c r="C92" i="12" a="1"/>
  <c r="I35" i="12" a="1"/>
  <c r="J34" i="12" a="1"/>
  <c r="C22" i="12" a="1"/>
  <c r="C82" i="12" a="1"/>
  <c r="J98" i="12" a="1"/>
  <c r="J77" i="12" a="1"/>
  <c r="I56" i="12" a="1"/>
  <c r="C90" i="12" a="1"/>
  <c r="J31" i="12" a="1"/>
  <c r="I41" i="12" a="1"/>
  <c r="I63" i="12" a="1"/>
  <c r="J105" i="12" a="1"/>
  <c r="C10" i="12" a="1"/>
  <c r="I52" i="12" a="1"/>
  <c r="C67" i="12" a="1"/>
  <c r="J64" i="12" a="1"/>
  <c r="C112" i="12" a="1"/>
  <c r="J18" i="12" a="1"/>
  <c r="C79" i="12" a="1"/>
  <c r="J131" i="12" a="1"/>
  <c r="I103" i="12" a="1"/>
  <c r="I19" i="12" a="1"/>
  <c r="I79" i="12" a="1"/>
  <c r="I26" i="12" a="1"/>
  <c r="I134" i="12" a="1"/>
  <c r="I104" i="12" a="1"/>
  <c r="I139" i="12" a="1"/>
  <c r="J90" i="12" a="1"/>
  <c r="I87" i="12" a="1"/>
  <c r="I17" i="12" a="1"/>
  <c r="C21" i="12" a="1"/>
  <c r="C80" i="12" a="1"/>
  <c r="J20" i="12" a="1"/>
  <c r="J81" i="12" a="1"/>
  <c r="J100" i="12" a="1"/>
  <c r="J24" i="12" a="1"/>
  <c r="C104" i="12" a="1"/>
  <c r="I53" i="12" a="1"/>
  <c r="J76" i="12" a="1"/>
  <c r="J118" i="12" a="1"/>
  <c r="I29" i="12" a="1"/>
  <c r="J124" i="12" a="1"/>
  <c r="J86" i="12" a="1"/>
  <c r="C70" i="12" a="1"/>
  <c r="C53" i="12" a="1"/>
  <c r="C62" i="12" a="1"/>
  <c r="C96" i="12" a="1"/>
  <c r="J58" i="12" a="1"/>
  <c r="C9" i="12" a="1"/>
  <c r="J21" i="12" a="1"/>
  <c r="J22" i="12" a="1"/>
  <c r="C77" i="12" a="1"/>
  <c r="I2" i="12" a="1"/>
  <c r="I39" i="12" a="1"/>
  <c r="I109" i="12" a="1"/>
  <c r="I127" i="12" a="1"/>
  <c r="C64" i="12" a="1"/>
  <c r="J17" i="12" a="1"/>
  <c r="C76" i="12" a="1"/>
  <c r="I23" i="12" a="1"/>
  <c r="J79" i="12" a="1"/>
  <c r="C19" i="12" a="1"/>
  <c r="I117" i="12" a="1"/>
  <c r="C38" i="12" a="1"/>
  <c r="I86" i="12" a="1"/>
  <c r="C110" i="12" a="1"/>
  <c r="C42" i="12" a="1"/>
  <c r="J134" i="12" a="1"/>
  <c r="I133" i="12" a="1"/>
  <c r="I84" i="12" a="1"/>
  <c r="I62" i="12" a="1"/>
  <c r="J109" i="12" a="1"/>
  <c r="J111" i="12" a="1"/>
  <c r="J106" i="12" a="1"/>
  <c r="J138" i="12" a="1"/>
  <c r="J27" i="12" a="1"/>
  <c r="J91" i="12" a="1"/>
  <c r="I102" i="12" a="1"/>
  <c r="I51" i="12" a="1"/>
  <c r="I90" i="12" a="1"/>
  <c r="J121" i="12" a="1"/>
  <c r="J97" i="12" a="1"/>
  <c r="J83" i="12" a="1"/>
  <c r="I122" i="12" a="1"/>
  <c r="J55" i="12" a="1"/>
  <c r="I57" i="12" a="1"/>
  <c r="I106" i="12" a="1"/>
  <c r="J126" i="12" a="1"/>
  <c r="I82" i="12" a="1"/>
  <c r="C118" i="12" a="1"/>
  <c r="I101" i="12" a="1"/>
  <c r="J82" i="12" a="1"/>
  <c r="J37" i="12" a="1"/>
  <c r="J65" i="12" a="1"/>
  <c r="J135" i="12" a="1"/>
  <c r="I81" i="12" a="1"/>
  <c r="I40" i="12" a="1"/>
  <c r="I129" i="12" a="1"/>
  <c r="I45" i="12" a="1"/>
  <c r="I59" i="12" a="1"/>
  <c r="C56" i="12" a="1"/>
  <c r="J7" i="12" a="1"/>
  <c r="I140" i="12" a="1"/>
  <c r="I93" i="12" a="1"/>
  <c r="C100" i="12" a="1"/>
  <c r="C55" i="12" a="1"/>
  <c r="I13" i="12" a="1"/>
  <c r="C111" i="12" a="1"/>
  <c r="J132" i="12" a="1"/>
  <c r="I99" i="12" a="1"/>
  <c r="I72" i="12" a="1"/>
  <c r="C113" i="12" a="1"/>
  <c r="J5" i="12" a="1"/>
  <c r="C36" i="12" a="1"/>
  <c r="I114" i="12" a="1"/>
  <c r="J46" i="12" a="1"/>
  <c r="J29" i="12" a="1"/>
  <c r="I107" i="12" a="1"/>
  <c r="I66" i="12" a="1"/>
  <c r="C25" i="12" a="1"/>
  <c r="C105" i="12" a="1"/>
  <c r="J51" i="12" a="1"/>
  <c r="J123" i="12" a="1"/>
  <c r="J138" i="12" l="1"/>
  <c r="I139" i="12"/>
  <c r="I141" i="12"/>
  <c r="I140" i="12"/>
  <c r="I138" i="12"/>
  <c r="J139" i="12"/>
  <c r="J140" i="12"/>
  <c r="J141" i="12"/>
  <c r="J4" i="12"/>
  <c r="J16" i="12"/>
  <c r="J116" i="12"/>
  <c r="J90" i="12"/>
  <c r="J35" i="12"/>
  <c r="J50" i="12"/>
  <c r="J112" i="12"/>
  <c r="J76" i="12"/>
  <c r="J64" i="12"/>
  <c r="J69" i="12"/>
  <c r="J58" i="12"/>
  <c r="J80" i="12"/>
  <c r="J87" i="12"/>
  <c r="J52" i="12"/>
  <c r="J95" i="12"/>
  <c r="J53" i="12"/>
  <c r="J44" i="12"/>
  <c r="J41" i="12"/>
  <c r="J124" i="12"/>
  <c r="J135" i="12"/>
  <c r="J111" i="12"/>
  <c r="J86" i="12"/>
  <c r="J92" i="12"/>
  <c r="J49" i="12"/>
  <c r="J128" i="12"/>
  <c r="J114" i="12"/>
  <c r="J74" i="12"/>
  <c r="J127" i="12"/>
  <c r="J33" i="12"/>
  <c r="J62" i="12"/>
  <c r="J72" i="12"/>
  <c r="J136" i="12"/>
  <c r="J42" i="12"/>
  <c r="J28" i="12"/>
  <c r="J73" i="12"/>
  <c r="J75" i="12"/>
  <c r="J120" i="12"/>
  <c r="J66" i="12"/>
  <c r="J110" i="12"/>
  <c r="J83" i="12"/>
  <c r="J31" i="12"/>
  <c r="J121" i="12"/>
  <c r="J85" i="12"/>
  <c r="J117" i="12"/>
  <c r="J65" i="12"/>
  <c r="J119" i="12"/>
  <c r="J55" i="12"/>
  <c r="J115" i="12"/>
  <c r="J48" i="12"/>
  <c r="J61" i="12"/>
  <c r="J125" i="12"/>
  <c r="J84" i="12"/>
  <c r="J134" i="12"/>
  <c r="J81" i="12"/>
  <c r="J54" i="12"/>
  <c r="J77" i="12"/>
  <c r="J88" i="12"/>
  <c r="J89" i="12"/>
  <c r="J91" i="12"/>
  <c r="J63" i="12"/>
  <c r="J5" i="12"/>
  <c r="J130" i="12"/>
  <c r="J57" i="12"/>
  <c r="J70" i="12"/>
  <c r="J122" i="12"/>
  <c r="J59" i="12"/>
  <c r="J32" i="12"/>
  <c r="J36" i="12"/>
  <c r="J46" i="12"/>
  <c r="J14" i="12"/>
  <c r="J13" i="12"/>
  <c r="I26" i="12"/>
  <c r="J26" i="12"/>
  <c r="J108" i="12"/>
  <c r="J107" i="12"/>
  <c r="J21" i="12"/>
  <c r="J6" i="12"/>
  <c r="J82" i="12"/>
  <c r="J11" i="12"/>
  <c r="J12" i="12"/>
  <c r="J105" i="12"/>
  <c r="J103" i="12"/>
  <c r="J102" i="12"/>
  <c r="J126" i="12"/>
  <c r="J113" i="12"/>
  <c r="J24" i="12"/>
  <c r="J137" i="12"/>
  <c r="J71" i="12"/>
  <c r="J118" i="12"/>
  <c r="J23" i="12"/>
  <c r="J104" i="12"/>
  <c r="J22" i="12"/>
  <c r="J109" i="12"/>
  <c r="J10" i="12"/>
  <c r="J7" i="12"/>
  <c r="J123" i="12"/>
  <c r="J133" i="12"/>
  <c r="J60" i="12"/>
  <c r="J20" i="12"/>
  <c r="J106" i="12"/>
  <c r="J101" i="12"/>
  <c r="J47" i="12"/>
  <c r="J27" i="12"/>
  <c r="J25" i="12"/>
  <c r="J8" i="12"/>
  <c r="J9" i="12"/>
  <c r="J19" i="12"/>
  <c r="J29" i="12"/>
  <c r="J3" i="12"/>
  <c r="J34" i="12"/>
  <c r="J67" i="12"/>
  <c r="J94" i="12"/>
  <c r="J68" i="12"/>
  <c r="J43" i="12"/>
  <c r="J79" i="12"/>
  <c r="J78" i="12"/>
  <c r="J15" i="12"/>
  <c r="J96" i="12"/>
  <c r="J97" i="12"/>
  <c r="J56" i="12"/>
  <c r="J129" i="12"/>
  <c r="J93" i="12"/>
  <c r="J51" i="12"/>
  <c r="J132" i="12"/>
  <c r="J37" i="12"/>
  <c r="J30" i="12"/>
  <c r="J131" i="12"/>
  <c r="J40" i="12"/>
  <c r="J39" i="12"/>
  <c r="J38" i="12"/>
  <c r="J100" i="12"/>
  <c r="J18" i="12"/>
  <c r="J99" i="12"/>
  <c r="J98" i="12"/>
  <c r="J17" i="12"/>
  <c r="J45" i="12"/>
  <c r="F7" i="4"/>
  <c r="I30" i="12"/>
  <c r="I132" i="12"/>
  <c r="I37" i="12"/>
  <c r="I131" i="12"/>
  <c r="F5" i="4"/>
  <c r="I68" i="12"/>
  <c r="I93" i="12"/>
  <c r="I129" i="12"/>
  <c r="I79" i="12"/>
  <c r="I94" i="12"/>
  <c r="I43" i="12"/>
  <c r="I29" i="12"/>
  <c r="I96" i="12"/>
  <c r="I56" i="12"/>
  <c r="I15" i="12"/>
  <c r="I3" i="12"/>
  <c r="I78" i="12"/>
  <c r="I34" i="12"/>
  <c r="I97" i="12"/>
  <c r="I67" i="12"/>
  <c r="I50" i="12"/>
  <c r="I90" i="12"/>
  <c r="I116" i="12"/>
  <c r="I35" i="12"/>
  <c r="F8" i="4"/>
  <c r="I53" i="12"/>
  <c r="I69" i="12"/>
  <c r="I76" i="12"/>
  <c r="I87" i="12"/>
  <c r="I44" i="12"/>
  <c r="I112" i="12"/>
  <c r="I58" i="12"/>
  <c r="I80" i="12"/>
  <c r="I52" i="12"/>
  <c r="I64" i="12"/>
  <c r="I95" i="12"/>
  <c r="I45" i="12"/>
  <c r="I14" i="12"/>
  <c r="I32" i="12"/>
  <c r="I59" i="12"/>
  <c r="I46" i="12"/>
  <c r="I13" i="12"/>
  <c r="I36" i="12"/>
  <c r="F3" i="4"/>
  <c r="F4" i="4"/>
  <c r="I5" i="12"/>
  <c r="I17" i="12"/>
  <c r="I18" i="12"/>
  <c r="I38" i="12"/>
  <c r="I100" i="12"/>
  <c r="I39" i="12"/>
  <c r="I99" i="12"/>
  <c r="I98" i="12"/>
  <c r="I40" i="12"/>
  <c r="F10" i="4"/>
  <c r="F13" i="4"/>
  <c r="F9" i="4"/>
  <c r="F15" i="4"/>
  <c r="F12" i="4"/>
  <c r="F11" i="4"/>
  <c r="I4" i="12"/>
  <c r="F6" i="4"/>
  <c r="I57" i="12"/>
  <c r="I70" i="12"/>
  <c r="I122" i="12"/>
  <c r="I16" i="12"/>
  <c r="I109" i="12"/>
  <c r="I106" i="12"/>
  <c r="I126" i="12"/>
  <c r="I23" i="12"/>
  <c r="I24" i="12"/>
  <c r="I104" i="12"/>
  <c r="I47" i="12"/>
  <c r="I105" i="12"/>
  <c r="I20" i="12"/>
  <c r="I133" i="12"/>
  <c r="I10" i="12"/>
  <c r="I19" i="12"/>
  <c r="I25" i="12"/>
  <c r="I108" i="12"/>
  <c r="I21" i="12"/>
  <c r="I113" i="12"/>
  <c r="I101" i="12"/>
  <c r="I123" i="12"/>
  <c r="I137" i="12"/>
  <c r="I6" i="12"/>
  <c r="I103" i="12"/>
  <c r="I7" i="12"/>
  <c r="I9" i="12"/>
  <c r="I22" i="12"/>
  <c r="I27" i="12"/>
  <c r="I71" i="12"/>
  <c r="I102" i="12"/>
  <c r="I82" i="12"/>
  <c r="I12" i="12"/>
  <c r="I107" i="12"/>
  <c r="I11" i="12"/>
  <c r="I8" i="12"/>
  <c r="I60" i="12"/>
  <c r="I118" i="12"/>
  <c r="I28" i="12"/>
  <c r="I127" i="12"/>
  <c r="I136" i="12"/>
  <c r="I73" i="12"/>
  <c r="I120" i="12"/>
  <c r="I86" i="12"/>
  <c r="I31" i="12"/>
  <c r="I110" i="12"/>
  <c r="I125" i="12"/>
  <c r="I83" i="12"/>
  <c r="I49" i="12"/>
  <c r="I74" i="12"/>
  <c r="I85" i="12"/>
  <c r="I92" i="12"/>
  <c r="I77" i="12"/>
  <c r="I135" i="12"/>
  <c r="I72" i="12"/>
  <c r="I117" i="12"/>
  <c r="I115" i="12"/>
  <c r="I121" i="12"/>
  <c r="I88" i="12"/>
  <c r="I42" i="12"/>
  <c r="I54" i="12"/>
  <c r="I75" i="12"/>
  <c r="I124" i="12"/>
  <c r="I62" i="12"/>
  <c r="I89" i="12"/>
  <c r="I63" i="12"/>
  <c r="I128" i="12"/>
  <c r="I61" i="12"/>
  <c r="I91" i="12"/>
  <c r="I134" i="12"/>
  <c r="I84" i="12"/>
  <c r="I48" i="12"/>
  <c r="I114" i="12"/>
  <c r="I81" i="12"/>
  <c r="I111" i="12"/>
  <c r="I55" i="12"/>
  <c r="I119" i="12"/>
  <c r="I33" i="12"/>
  <c r="I65" i="12"/>
  <c r="I66" i="12"/>
  <c r="I51" i="12"/>
  <c r="I41" i="12"/>
  <c r="J2" i="12"/>
  <c r="I2" i="12"/>
  <c r="C91" i="12"/>
  <c r="C6" i="12"/>
  <c r="C75" i="12"/>
  <c r="C113" i="12"/>
  <c r="C5" i="12"/>
  <c r="C107" i="12"/>
  <c r="C34" i="12"/>
  <c r="C4" i="12"/>
  <c r="C73" i="12"/>
  <c r="C76" i="12"/>
  <c r="C37" i="12"/>
  <c r="C36" i="12"/>
  <c r="C30" i="12"/>
  <c r="C116" i="12"/>
  <c r="C109" i="12"/>
  <c r="C98" i="12"/>
  <c r="C63" i="12"/>
  <c r="C58" i="12"/>
  <c r="C35" i="12"/>
  <c r="C49" i="12"/>
  <c r="C64" i="12"/>
  <c r="C13" i="12"/>
  <c r="C118" i="12"/>
  <c r="C40" i="12"/>
  <c r="C115" i="12"/>
  <c r="C86" i="12"/>
  <c r="C111" i="12"/>
  <c r="C70" i="12"/>
  <c r="C42" i="12"/>
  <c r="C102" i="12"/>
  <c r="C32" i="12"/>
  <c r="C45" i="12"/>
  <c r="C33" i="12"/>
  <c r="C3" i="12"/>
  <c r="C31" i="12"/>
  <c r="C69" i="12"/>
  <c r="C43" i="12"/>
  <c r="C61" i="12"/>
  <c r="C114" i="12"/>
  <c r="C62" i="12"/>
  <c r="C90" i="12"/>
  <c r="C117" i="12"/>
  <c r="C50" i="12"/>
  <c r="C67" i="12"/>
  <c r="C105" i="12"/>
  <c r="C29" i="12"/>
  <c r="C8" i="12"/>
  <c r="C53" i="12"/>
  <c r="C65" i="12"/>
  <c r="C24" i="12"/>
  <c r="C99" i="12"/>
  <c r="C92" i="12"/>
  <c r="C82" i="12"/>
  <c r="C112" i="12"/>
  <c r="C23" i="12"/>
  <c r="C96" i="12"/>
  <c r="C93" i="12"/>
  <c r="C55" i="12"/>
  <c r="C84" i="12"/>
  <c r="C38" i="12"/>
  <c r="C21" i="12"/>
  <c r="C25" i="12"/>
  <c r="C52" i="12"/>
  <c r="C78" i="12"/>
  <c r="C89" i="12"/>
  <c r="C48" i="12"/>
  <c r="C77" i="12"/>
  <c r="C39" i="12"/>
  <c r="C74" i="12"/>
  <c r="C22" i="12"/>
  <c r="C10" i="12"/>
  <c r="C88" i="12"/>
  <c r="C110" i="12"/>
  <c r="C46" i="12"/>
  <c r="C59" i="12"/>
  <c r="C57" i="12"/>
  <c r="C104" i="12"/>
  <c r="C87" i="12"/>
  <c r="C15" i="12"/>
  <c r="C56" i="12"/>
  <c r="C19" i="12"/>
  <c r="C20" i="12"/>
  <c r="C106" i="12"/>
  <c r="C80" i="12"/>
  <c r="C85" i="12"/>
  <c r="C103" i="12"/>
  <c r="C44" i="12"/>
  <c r="C12" i="12"/>
  <c r="C16" i="12"/>
  <c r="C18" i="12"/>
  <c r="C9" i="12"/>
  <c r="C79" i="12"/>
  <c r="C28" i="12"/>
  <c r="C68" i="12"/>
  <c r="C27" i="12"/>
  <c r="C60" i="12"/>
  <c r="C97" i="12"/>
  <c r="C41" i="12"/>
  <c r="C7" i="12"/>
  <c r="C100" i="12"/>
  <c r="C54" i="12"/>
  <c r="C101" i="12"/>
  <c r="C51" i="12"/>
  <c r="C83" i="12"/>
  <c r="C95" i="12"/>
  <c r="C14" i="12"/>
  <c r="F2" i="4"/>
  <c r="H3" i="12" a="1"/>
  <c r="H112" i="12" a="1"/>
  <c r="H15" i="12" a="1"/>
  <c r="H51" i="12" a="1"/>
  <c r="H44" i="12" a="1"/>
  <c r="H42" i="12" a="1"/>
  <c r="H125" i="12" a="1"/>
  <c r="H103" i="12" a="1"/>
  <c r="H117" i="12" a="1"/>
  <c r="H138" i="12" a="1"/>
  <c r="H118" i="12" a="1"/>
  <c r="H57" i="12" a="1"/>
  <c r="H55" i="12" a="1"/>
  <c r="H23" i="12" a="1"/>
  <c r="H123" i="12" a="1"/>
  <c r="H46" i="12" a="1"/>
  <c r="H122" i="12" a="1"/>
  <c r="H63" i="12" a="1"/>
  <c r="H45" i="12" a="1"/>
  <c r="H9" i="12" a="1"/>
  <c r="H47" i="12" a="1"/>
  <c r="H8" i="12" a="1"/>
  <c r="H50" i="12" a="1"/>
  <c r="H49" i="12" a="1"/>
  <c r="H12" i="12" a="1"/>
  <c r="H133" i="12" a="1"/>
  <c r="H32" i="12" a="1"/>
  <c r="H73" i="12" a="1"/>
  <c r="H130" i="12" a="1"/>
  <c r="H111" i="12" a="1"/>
  <c r="H29" i="12" a="1"/>
  <c r="H104" i="12" a="1"/>
  <c r="H128" i="12" a="1"/>
  <c r="H76" i="12" a="1"/>
  <c r="H135" i="12" a="1"/>
  <c r="H13" i="12" a="1"/>
  <c r="H19" i="12" a="1"/>
  <c r="H7" i="12" a="1"/>
  <c r="H134" i="12" a="1"/>
  <c r="H33" i="12" a="1"/>
  <c r="H137" i="12" a="1"/>
  <c r="H95" i="12" a="1"/>
  <c r="H62" i="12" a="1"/>
  <c r="H59" i="12" a="1"/>
  <c r="H53" i="12" a="1"/>
  <c r="H36" i="12" a="1"/>
  <c r="H20" i="12" a="1"/>
  <c r="H22" i="12" a="1"/>
  <c r="H64" i="12" a="1"/>
  <c r="H84" i="12" a="1"/>
  <c r="H77" i="12" a="1"/>
  <c r="H101" i="12" a="1"/>
  <c r="H119" i="12" a="1"/>
  <c r="H83" i="12" a="1"/>
  <c r="H114" i="12" a="1"/>
  <c r="H89" i="12" a="1"/>
  <c r="H93" i="12" a="1"/>
  <c r="H110" i="12" a="1"/>
  <c r="H25" i="12" a="1"/>
  <c r="H11" i="12" a="1"/>
  <c r="H105" i="12" a="1"/>
  <c r="H79" i="12" a="1"/>
  <c r="H121" i="12" a="1"/>
  <c r="H141" i="12" a="1"/>
  <c r="H91" i="12" a="1"/>
  <c r="H80" i="12" a="1"/>
  <c r="H94" i="12" a="1"/>
  <c r="H71" i="12" a="1"/>
  <c r="H136" i="12" a="1"/>
  <c r="H10" i="12" a="1"/>
  <c r="H127" i="12" a="1"/>
  <c r="H14" i="12" a="1"/>
  <c r="H34" i="12" a="1"/>
  <c r="H107" i="12" a="1"/>
  <c r="H86" i="12" a="1"/>
  <c r="H140" i="12" a="1"/>
  <c r="H74" i="12" a="1"/>
  <c r="H97" i="12" a="1"/>
  <c r="H2" i="12" a="1"/>
  <c r="H6" i="12" a="1"/>
  <c r="H16" i="12" a="1"/>
  <c r="H26" i="12" a="1"/>
  <c r="H113" i="12" a="1"/>
  <c r="H88" i="12" a="1"/>
  <c r="H85" i="12" a="1"/>
  <c r="H96" i="12" a="1"/>
  <c r="H92" i="12" a="1"/>
  <c r="H52" i="12" a="1"/>
  <c r="H109" i="12" a="1"/>
  <c r="H54" i="12" a="1"/>
  <c r="H108" i="12" a="1"/>
  <c r="H35" i="12" a="1"/>
  <c r="H24" i="12" a="1"/>
  <c r="H60" i="12" a="1"/>
  <c r="H27" i="12" a="1"/>
  <c r="H48" i="12" a="1"/>
  <c r="H61" i="12" a="1"/>
  <c r="H65" i="12" a="1"/>
  <c r="H115" i="12" a="1"/>
  <c r="H139" i="12" a="1"/>
  <c r="H66" i="12" a="1"/>
  <c r="H90" i="12" a="1"/>
  <c r="H129" i="12" a="1"/>
  <c r="H78" i="12" a="1"/>
  <c r="H75" i="12" a="1"/>
  <c r="H43" i="12" a="1"/>
  <c r="H4" i="12" a="1"/>
  <c r="H87" i="12" a="1"/>
  <c r="H41" i="12" a="1"/>
  <c r="H82" i="12" a="1"/>
  <c r="H106" i="12" a="1"/>
  <c r="H31" i="12" a="1"/>
  <c r="H81" i="12" a="1"/>
  <c r="H69" i="12" a="1"/>
  <c r="H72" i="12" a="1"/>
  <c r="H68" i="12" a="1"/>
  <c r="H28" i="12" a="1"/>
  <c r="H67" i="12" a="1"/>
  <c r="H21" i="12" a="1"/>
  <c r="H116" i="12" a="1"/>
  <c r="H102" i="12" a="1"/>
  <c r="H56" i="12" a="1"/>
  <c r="H5" i="12" a="1"/>
  <c r="H70" i="12" a="1"/>
  <c r="H58" i="12" a="1"/>
  <c r="H124" i="12" a="1"/>
  <c r="H126" i="12" a="1"/>
  <c r="H120" i="12" a="1"/>
  <c r="H138" i="12" l="1"/>
  <c r="H139" i="12"/>
  <c r="H141" i="12"/>
  <c r="H140" i="12"/>
  <c r="H26" i="12"/>
  <c r="H5" i="12"/>
  <c r="H45" i="12"/>
  <c r="H104" i="12"/>
  <c r="H108" i="12"/>
  <c r="H109" i="12"/>
  <c r="H60" i="12"/>
  <c r="H22" i="12"/>
  <c r="H106" i="12"/>
  <c r="H24" i="12"/>
  <c r="H102" i="12"/>
  <c r="H23" i="12"/>
  <c r="H12" i="12"/>
  <c r="H11" i="12"/>
  <c r="H101" i="12"/>
  <c r="H7" i="12"/>
  <c r="H6" i="12"/>
  <c r="H21" i="12"/>
  <c r="H133" i="12"/>
  <c r="H123" i="12"/>
  <c r="H107" i="12"/>
  <c r="H103" i="12"/>
  <c r="H8" i="12"/>
  <c r="H126" i="12"/>
  <c r="H9" i="12"/>
  <c r="H113" i="12"/>
  <c r="H118" i="12"/>
  <c r="H47" i="12"/>
  <c r="H25" i="12"/>
  <c r="H27" i="12"/>
  <c r="H105" i="12"/>
  <c r="H71" i="12"/>
  <c r="H20" i="12"/>
  <c r="H19" i="12"/>
  <c r="H137" i="12"/>
  <c r="H82" i="12"/>
  <c r="H10" i="12"/>
  <c r="H46" i="12"/>
  <c r="H32" i="12"/>
  <c r="H59" i="12"/>
  <c r="H13" i="12"/>
  <c r="H14" i="12"/>
  <c r="H36" i="12"/>
  <c r="H2" i="12"/>
  <c r="H70" i="12"/>
  <c r="H57" i="12"/>
  <c r="H122" i="12"/>
  <c r="H90" i="12"/>
  <c r="H35" i="12"/>
  <c r="H116" i="12"/>
  <c r="H50" i="12"/>
  <c r="H33" i="12"/>
  <c r="H81" i="12"/>
  <c r="H134" i="12"/>
  <c r="H73" i="12"/>
  <c r="H115" i="12"/>
  <c r="H89" i="12"/>
  <c r="H74" i="12"/>
  <c r="H83" i="12"/>
  <c r="H28" i="12"/>
  <c r="H110" i="12"/>
  <c r="H111" i="12"/>
  <c r="H121" i="12"/>
  <c r="H136" i="12"/>
  <c r="H54" i="12"/>
  <c r="H55" i="12"/>
  <c r="H120" i="12"/>
  <c r="H72" i="12"/>
  <c r="H84" i="12"/>
  <c r="H124" i="12"/>
  <c r="H31" i="12"/>
  <c r="H88" i="12"/>
  <c r="H86" i="12"/>
  <c r="H65" i="12"/>
  <c r="H125" i="12"/>
  <c r="H77" i="12"/>
  <c r="H63" i="12"/>
  <c r="H49" i="12"/>
  <c r="H92" i="12"/>
  <c r="H117" i="12"/>
  <c r="H85" i="12"/>
  <c r="H91" i="12"/>
  <c r="H127" i="12"/>
  <c r="H114" i="12"/>
  <c r="H61" i="12"/>
  <c r="H128" i="12"/>
  <c r="H135" i="12"/>
  <c r="H42" i="12"/>
  <c r="H75" i="12"/>
  <c r="H119" i="12"/>
  <c r="H48" i="12"/>
  <c r="H66" i="12"/>
  <c r="H62" i="12"/>
  <c r="H130" i="12"/>
  <c r="H4" i="12"/>
  <c r="H51" i="12"/>
  <c r="H29" i="12"/>
  <c r="H67" i="12"/>
  <c r="H79" i="12"/>
  <c r="H15" i="12"/>
  <c r="H34" i="12"/>
  <c r="H56" i="12"/>
  <c r="H43" i="12"/>
  <c r="H68" i="12"/>
  <c r="H96" i="12"/>
  <c r="H3" i="12"/>
  <c r="H93" i="12"/>
  <c r="H97" i="12"/>
  <c r="H129" i="12"/>
  <c r="H94" i="12"/>
  <c r="H78" i="12"/>
  <c r="H80" i="12"/>
  <c r="H76" i="12"/>
  <c r="H64" i="12"/>
  <c r="H95" i="12"/>
  <c r="H53" i="12"/>
  <c r="H52" i="12"/>
  <c r="H69" i="12"/>
  <c r="H58" i="12"/>
  <c r="H87" i="12"/>
  <c r="H112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<sst xmlns="http://schemas.openxmlformats.org/spreadsheetml/2006/main" count="2008" uniqueCount="755">
  <si>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</si>
  <si>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</si>
  <si>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</si>
  <si>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</si>
  <si>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</si>
  <si>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</si>
  <si>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</si>
  <si>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</si>
  <si>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</si>
  <si>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</si>
  <si>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</si>
  <si>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</si>
  <si>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</si>
  <si>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</si>
  <si>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</si>
  <si>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</si>
  <si>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</si>
  <si>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</si>
  <si>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</si>
  <si>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</si>
  <si>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</si>
  <si>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</si>
  <si>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</si>
  <si>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</si>
  <si>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</si>
  <si>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</si>
  <si>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</si>
  <si>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</si>
  <si>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</si>
  <si>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</si>
  <si>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</si>
  <si>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</si>
  <si>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</si>
  <si>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</si>
  <si>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</si>
  <si>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</si>
  <si>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</si>
  <si>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</si>
  <si>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</si>
  <si>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</si>
  <si>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</si>
  <si>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</si>
  <si>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</si>
  <si>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</si>
  <si>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</si>
  <si>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</si>
  <si>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</si>
  <si>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</si>
  <si>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</si>
  <si>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</si>
  <si>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</si>
  <si>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</si>
  <si>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</si>
  <si>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</si>
  <si>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</si>
  <si>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</si>
  <si>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</si>
  <si>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</si>
  <si>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</si>
  <si>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</si>
  <si>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</si>
  <si>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</si>
  <si>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</si>
  <si>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</si>
  <si>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</si>
  <si>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</si>
  <si>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</si>
  <si>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</si>
  <si>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</si>
  <si>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</si>
  <si>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</si>
  <si>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Mask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</si>
  <si>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</si>
  <si>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</si>
  <si>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</si>
  <si>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</si>
  <si>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</si>
  <si>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</si>
  <si>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</si>
  <si>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</si>
  <si>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</si>
  <si>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</si>
  <si>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</si>
  <si>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</si>
  <si>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</si>
  <si>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</si>
  <si>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</si>
  <si>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</si>
  <si>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</si>
  <si>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</si>
  <si>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</si>
  <si>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</si>
  <si>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</si>
  <si>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</si>
  <si>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</si>
  <si>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</si>
  <si>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</si>
  <si>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</si>
  <si>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</si>
  <si>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</si>
  <si>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</si>
  <si>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</si>
  <si>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</si>
  <si>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</si>
  <si>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</si>
  <si>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</si>
  <si>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</si>
  <si>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</si>
  <si>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</si>
  <si>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</si>
  <si>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</si>
  <si>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</si>
  <si>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</si>
  <si>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</si>
  <si>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</si>
  <si>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</si>
  <si>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</si>
  <si>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</si>
  <si>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</si>
  <si>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</si>
  <si>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</si>
  <si>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</si>
  <si>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</si>
  <si>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</si>
  <si>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</si>
  <si>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</si>
  <si>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</si>
  <si>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</si>
  <si>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</si>
  <si>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</si>
  <si>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</si>
  <si>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</si>
  <si>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</si>
  <si>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</si>
  <si>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</si>
  <si>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</si>
  <si>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</si>
  <si>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</si>
  <si>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</si>
  <si>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</si>
  <si>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</si>
  <si>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</si>
  <si>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</si>
  <si>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</si>
  <si>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</si>
  <si>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</si>
  <si>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</si>
  <si>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</si>
  <si>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</si>
  <si>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</si>
  <si>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</si>
  <si>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</si>
  <si>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</si>
  <si>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</si>
  <si>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</si>
  <si>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</si>
  <si>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</si>
  <si>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</si>
  <si>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</si>
  <si>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</si>
  <si>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</si>
  <si>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</si>
  <si>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</si>
  <si>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</si>
  <si>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</si>
  <si>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</si>
  <si>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</si>
  <si>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</si>
  <si>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</si>
  <si>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</si>
  <si>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</si>
  <si>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</si>
  <si>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</si>
  <si>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</si>
  <si>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</si>
  <si>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</si>
  <si>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</si>
  <si>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</si>
  <si>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</si>
  <si>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</si>
  <si>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</si>
  <si>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</si>
  <si>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</si>
  <si>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</si>
  <si>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</si>
  <si>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</si>
  <si>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</si>
  <si>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</si>
  <si>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</si>
  <si>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</si>
  <si>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</si>
  <si>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</si>
  <si>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</si>
  <si>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</si>
  <si>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</si>
  <si>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</si>
  <si>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</si>
  <si>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</si>
  <si>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</si>
  <si>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</si>
  <si>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</si>
  <si>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</si>
  <si>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</si>
  <si>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</si>
  <si>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</si>
  <si>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</si>
  <si>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</si>
  <si>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</si>
  <si>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</si>
  <si>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</si>
  <si>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</si>
  <si>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</si>
  <si>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</si>
  <si>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</si>
  <si>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</si>
  <si>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</si>
  <si>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</si>
  <si>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</si>
  <si>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</si>
  <si>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</si>
  <si>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</si>
  <si>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</si>
  <si>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</si>
  <si>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</si>
  <si>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</si>
  <si>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</si>
  <si>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</si>
  <si>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</si>
  <si>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</si>
  <si>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</si>
  <si>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</si>
  <si>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</si>
  <si>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</si>
  <si>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</si>
  <si>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</si>
  <si>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</si>
  <si>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</si>
  <si>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</si>
  <si>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</si>
  <si>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</si>
  <si>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</si>
  <si>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</si>
  <si>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</si>
  <si>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</si>
  <si>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</si>
  <si>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</si>
  <si>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</si>
  <si>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</si>
  <si>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</si>
  <si>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</si>
  <si>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</si>
  <si>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</si>
  <si>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</si>
  <si>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</si>
  <si>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</si>
  <si>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</si>
  <si>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</si>
  <si>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</si>
  <si>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</si>
  <si>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</si>
  <si>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</si>
  <si>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</si>
  <si>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</si>
  <si>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</si>
  <si>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</si>
  <si>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</si>
  <si>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</si>
  <si>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</si>
  <si>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</si>
  <si>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</si>
  <si>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</si>
  <si>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</si>
  <si>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</si>
  <si>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</si>
  <si>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</si>
  <si>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</si>
  <si>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</si>
  <si>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</si>
  <si>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</si>
  <si>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</si>
  <si>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</si>
  <si>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</si>
  <si>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</si>
  <si>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</si>
  <si>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</si>
  <si>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</si>
  <si>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</si>
  <si>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</si>
  <si>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</si>
  <si>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</si>
  <si>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</si>
  <si>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</si>
  <si>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</si>
  <si>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</si>
  <si>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</si>
  <si>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</si>
  <si>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</si>
  <si>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</si>
  <si>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</si>
  <si>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</si>
  <si>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</si>
  <si>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</si>
  <si>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</si>
  <si>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</si>
  <si>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</si>
  <si>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</si>
  <si>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</si>
  <si>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</si>
  <si>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</si>
  <si>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</si>
  <si>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</si>
  <si>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</si>
  <si>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</si>
  <si>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</si>
  <si>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</si>
  <si>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</si>
  <si>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</si>
  <si>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</si>
  <si>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</si>
  <si>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</si>
  <si>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</si>
  <si>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</si>
  <si>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</si>
  <si>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</si>
  <si>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</si>
  <si>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</si>
  <si>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</si>
  <si>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</si>
  <si>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</si>
  <si>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</si>
  <si>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</si>
  <si>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</si>
  <si>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</si>
  <si>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</si>
  <si>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</si>
  <si>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</si>
  <si>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</si>
  <si>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</si>
  <si>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</si>
  <si>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</si>
  <si>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</si>
  <si>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</si>
  <si>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</si>
  <si>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</si>
  <si>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</si>
  <si>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</si>
  <si>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</si>
  <si>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</si>
  <si>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</si>
  <si>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</si>
  <si>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</si>
  <si>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</si>
  <si>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</si>
  <si>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</si>
  <si>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</si>
  <si>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</si>
  <si>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</si>
  <si>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</si>
  <si>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</si>
  <si>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</si>
  <si>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</si>
  <si>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</si>
  <si>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</si>
  <si>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</si>
  <si>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</si>
  <si>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</si>
  <si>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</si>
  <si>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</si>
  <si>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</si>
  <si>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</si>
  <si>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</si>
  <si>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</si>
  <si>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</si>
  <si>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</si>
  <si>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</si>
  <si>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</si>
  <si>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</si>
  <si>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</si>
  <si>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</si>
  <si>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</si>
  <si>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</si>
  <si>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</si>
  <si>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</si>
  <si>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</si>
  <si>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</si>
  <si>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</si>
  <si>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</si>
  <si>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</si>
  <si>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</si>
  <si>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</si>
  <si>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</si>
  <si>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</si>
  <si>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Colunas de tabelas</t>
  </si>
  <si>
    <t>Índices de tabelas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</si>
  <si>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</si>
  <si>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</si>
  <si>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</si>
  <si>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</si>
  <si>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</si>
  <si>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</si>
  <si>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</si>
  <si>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</si>
  <si>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</si>
  <si>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</si>
  <si>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</si>
  <si>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</si>
  <si>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</si>
  <si>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</si>
  <si>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</si>
  <si>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</si>
  <si>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</si>
  <si>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</si>
  <si>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</si>
  <si>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</si>
  <si>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</si>
  <si>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</si>
  <si>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</si>
  <si>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</si>
  <si>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</si>
  <si>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</si>
  <si>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</si>
  <si>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</si>
  <si>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</si>
  <si>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</si>
  <si>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</si>
  <si>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</si>
  <si>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</si>
  <si>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</si>
  <si>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</si>
  <si>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</si>
  <si>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</si>
  <si>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</si>
  <si>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</si>
  <si>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</si>
  <si>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</si>
  <si>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</si>
  <si>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</si>
  <si>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</si>
  <si>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</si>
  <si>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</si>
  <si>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</si>
  <si>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</si>
  <si>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</si>
  <si>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</si>
  <si>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</si>
  <si>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</si>
  <si>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</si>
  <si>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</si>
  <si>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</si>
  <si>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</si>
  <si>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</si>
  <si>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</si>
  <si>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</si>
  <si>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</si>
  <si>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</si>
  <si>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</si>
  <si>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</si>
  <si>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</si>
  <si>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</si>
  <si>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</si>
  <si>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</si>
  <si>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</si>
  <si>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</si>
  <si>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</si>
  <si>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IsLikeable</t>
  </si>
  <si>
    <t>Aceita operador LIKE?</t>
  </si>
  <si>
    <t>Sessions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</si>
  <si>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</si>
  <si>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</si>
  <si>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</si>
  <si>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</si>
  <si>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</si>
  <si>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</si>
  <si>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js</t>
  </si>
  <si>
    <t>sql</t>
  </si>
  <si>
    <t>json</t>
  </si>
  <si>
    <t>ConnectionString</t>
  </si>
  <si>
    <t>dev</t>
  </si>
  <si>
    <t>IDX_Sessions_SystemId_UserId_IsLogged</t>
  </si>
  <si>
    <t>IDX_Transactions_SessionId_IsConfirmed</t>
  </si>
  <si>
    <t>CodeSQL</t>
  </si>
  <si>
    <t>CodeJS</t>
  </si>
  <si>
    <t>&lt;</t>
  </si>
  <si>
    <t>=</t>
  </si>
  <si>
    <t>&gt;</t>
  </si>
  <si>
    <t>Operators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</si>
  <si>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</si>
  <si>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</si>
  <si>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</si>
  <si>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</si>
  <si>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</si>
  <si>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</si>
  <si>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Data Source=localhost,1433;Initial Catalog=crudex;Integrated Security=SSPI;Encrypt=yes;TrustServerCertificate=yes;Persist Security Info=False;Connect Timeout=30;</t>
  </si>
  <si>
    <t>SQL Server</t>
  </si>
  <si>
    <t>MySQL</t>
  </si>
  <si>
    <t>MariaDB</t>
  </si>
  <si>
    <t>PostgreSQL</t>
  </si>
  <si>
    <t>Firebird</t>
  </si>
  <si>
    <t>Notes</t>
  </si>
  <si>
    <t>BIGINT</t>
  </si>
  <si>
    <t>Inteiro 64 bits</t>
  </si>
  <si>
    <t>Dados binários fixos</t>
  </si>
  <si>
    <t>SMALLINT</t>
  </si>
  <si>
    <t>Booleano / lógico</t>
  </si>
  <si>
    <t>CHAR</t>
  </si>
  <si>
    <t>Texto fixo</t>
  </si>
  <si>
    <t>DATE</t>
  </si>
  <si>
    <t>Apenas data</t>
  </si>
  <si>
    <t>TIMESTAMP</t>
  </si>
  <si>
    <t>Data e hora completa</t>
  </si>
  <si>
    <t>Data e hora com precisão</t>
  </si>
  <si>
    <t>TIMESTAMP WITH TIME ZONE</t>
  </si>
  <si>
    <t>Data/hora com fuso horário</t>
  </si>
  <si>
    <t>Decimal fixo</t>
  </si>
  <si>
    <t>DOUBLE</t>
  </si>
  <si>
    <t>Ponto flutuante dupla precisão</t>
  </si>
  <si>
    <t>Coordenadas geográficas</t>
  </si>
  <si>
    <t>Formas geométricas</t>
  </si>
  <si>
    <t>Tipo hierárquico exclusivo do SQL Server</t>
  </si>
  <si>
    <t>Tipo binário longo (obsoleto no SQL Server)</t>
  </si>
  <si>
    <t>INTEGER</t>
  </si>
  <si>
    <t>Inteiro padrão</t>
  </si>
  <si>
    <t>DECIMAL(19,4)</t>
  </si>
  <si>
    <t>Valores monetários</t>
  </si>
  <si>
    <t>Texto Unicode fixo</t>
  </si>
  <si>
    <t>Texto Unicode longo (obsoleto)</t>
  </si>
  <si>
    <t>Sinônimo de DECIMAL</t>
  </si>
  <si>
    <t>Texto Unicode variável</t>
  </si>
  <si>
    <t>Texto Unicode variável longo</t>
  </si>
  <si>
    <t>REAL</t>
  </si>
  <si>
    <t>Ponto flutuante simples</t>
  </si>
  <si>
    <t>Data e hora simplificada</t>
  </si>
  <si>
    <t>Inteiro curto</t>
  </si>
  <si>
    <t>DECIMAL(10,4)</t>
  </si>
  <si>
    <t>Valores monetários pequenos</t>
  </si>
  <si>
    <t>Tipo exclusivo do SQL Server para múltiplos tipos</t>
  </si>
  <si>
    <t>VARCHAR(128)</t>
  </si>
  <si>
    <t>Nome de objeto interno</t>
  </si>
  <si>
    <t>Texto longo (obsoleto no SQL Server)</t>
  </si>
  <si>
    <t>TIME</t>
  </si>
  <si>
    <t>Hora do dia</t>
  </si>
  <si>
    <t>Timestamp (rowversion no SQL Server)</t>
  </si>
  <si>
    <t>Inteiro pequeno</t>
  </si>
  <si>
    <t>Identificador global (GUID)</t>
  </si>
  <si>
    <t>Binário variável</t>
  </si>
  <si>
    <t>Binário longo</t>
  </si>
  <si>
    <t>VARCHAR</t>
  </si>
  <si>
    <t>Texto variável</t>
  </si>
  <si>
    <t>Texto longo</t>
  </si>
  <si>
    <t>XML</t>
  </si>
  <si>
    <t>Dados XML</t>
  </si>
  <si>
    <t>DOUBLE PRECISION</t>
  </si>
  <si>
    <t>BLOB SUB_TYPE 0</t>
  </si>
  <si>
    <t>FLOAT</t>
  </si>
  <si>
    <t>BOOLEAN</t>
  </si>
  <si>
    <t>NCHAR</t>
  </si>
  <si>
    <t>TEXT</t>
  </si>
  <si>
    <t>NVARCHAR</t>
  </si>
  <si>
    <t>CHAR(36)</t>
  </si>
  <si>
    <t>BINARY</t>
  </si>
  <si>
    <t>DATETIME</t>
  </si>
  <si>
    <t>DATETIME(6)</t>
  </si>
  <si>
    <t>GEOMETRY</t>
  </si>
  <si>
    <t>LONGBLOB</t>
  </si>
  <si>
    <t>INT</t>
  </si>
  <si>
    <t>LONGTEXT</t>
  </si>
  <si>
    <t>TINYINT</t>
  </si>
  <si>
    <t>VARBINARY</t>
  </si>
  <si>
    <t>BYTEA</t>
  </si>
  <si>
    <t>TIMESTAMP(6)</t>
  </si>
  <si>
    <t>GEOGRAPHY</t>
  </si>
  <si>
    <t>NUMERIC(19,4)</t>
  </si>
  <si>
    <t>NUMERIC(10,4)</t>
  </si>
  <si>
    <t>UUID</t>
  </si>
  <si>
    <t>EngineId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</si>
  <si>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</si>
  <si>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</si>
  <si>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</si>
  <si>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</si>
  <si>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</si>
  <si>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</si>
  <si>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</si>
  <si>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</si>
  <si>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</si>
  <si>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</si>
  <si>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</si>
  <si>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regexp</t>
  </si>
  <si>
    <t>Desenvolvimento</t>
  </si>
  <si>
    <t>hml</t>
  </si>
  <si>
    <t>Homologação</t>
  </si>
  <si>
    <t>prd</t>
  </si>
  <si>
    <t>Produção</t>
  </si>
  <si>
    <t>DECIMAL</t>
  </si>
  <si>
    <t>NUMERIC</t>
  </si>
  <si>
    <t>Interbase</t>
  </si>
  <si>
    <t>SQL Anywhere</t>
  </si>
  <si>
    <t>Informix</t>
  </si>
  <si>
    <t>Oracle</t>
  </si>
  <si>
    <t>DB2</t>
  </si>
  <si>
    <t>TIMESTAMP(0)</t>
  </si>
  <si>
    <t>JSONB</t>
  </si>
  <si>
    <t>BLOB SUB_TYPE TEXT</t>
  </si>
  <si>
    <t>CHAR(38)</t>
  </si>
  <si>
    <t>BLOB</t>
  </si>
  <si>
    <t>BIT</t>
  </si>
  <si>
    <t>ST_GEOMETRY</t>
  </si>
  <si>
    <t>IMAGE</t>
  </si>
  <si>
    <t>MONEY</t>
  </si>
  <si>
    <t>LONG VARCHAR</t>
  </si>
  <si>
    <t>SMALLDATETIME</t>
  </si>
  <si>
    <t>UNIQUEIDENTIFIER</t>
  </si>
  <si>
    <t>LONG BINARY</t>
  </si>
  <si>
    <t>INT8</t>
  </si>
  <si>
    <t>BYTE</t>
  </si>
  <si>
    <t>DATETIME YEAR TO SECOND</t>
  </si>
  <si>
    <t>DATETIME YEAR TO FRACTION(6)</t>
  </si>
  <si>
    <t>DATETIME YEAR TO FRACTION WITH TIME ZONE</t>
  </si>
  <si>
    <t>LVARCHAR</t>
  </si>
  <si>
    <t>LVARCHAR(128)</t>
  </si>
  <si>
    <t>DATETIME HOUR TO SECOND</t>
  </si>
  <si>
    <t>DATETIME YEAR TO FRACTION</t>
  </si>
  <si>
    <t>CLOB</t>
  </si>
  <si>
    <t>NUMBER(19)</t>
  </si>
  <si>
    <t>RAW</t>
  </si>
  <si>
    <t>NUMBER(1)</t>
  </si>
  <si>
    <t>NUMBER</t>
  </si>
  <si>
    <t>BINARY_DOUBLE</t>
  </si>
  <si>
    <t>SDO_GEOMETRY</t>
  </si>
  <si>
    <t>NUMBER(10)</t>
  </si>
  <si>
    <t>NUMBER(19,4)</t>
  </si>
  <si>
    <t>NVARCHAR2</t>
  </si>
  <si>
    <t>BINARY_FLOAT</t>
  </si>
  <si>
    <t>NUMBER(5)</t>
  </si>
  <si>
    <t>NUMBER(10,4)</t>
  </si>
  <si>
    <t>ANYDATA</t>
  </si>
  <si>
    <t>VARCHAR2(128)</t>
  </si>
  <si>
    <t>NUMBER(3)</t>
  </si>
  <si>
    <t>RAW(16)</t>
  </si>
  <si>
    <t>VARCHAR2</t>
  </si>
  <si>
    <t>XMLTYPE</t>
  </si>
  <si>
    <t>GRAPHIC</t>
  </si>
  <si>
    <t>VARGRAPHIC</t>
  </si>
  <si>
    <t>EnvironmentId</t>
  </si>
  <si>
    <t>#EnvironmentName</t>
  </si>
  <si>
    <t>CPF</t>
  </si>
  <si>
    <t>CNPJ</t>
  </si>
  <si>
    <t>RAIZ/CPF/CNPJ</t>
  </si>
  <si>
    <t>###.###.###-##</t>
  </si>
  <si>
    <t>##.###.###/####-##</t>
  </si>
  <si>
    <t>Module</t>
  </si>
  <si>
    <t>Factors</t>
  </si>
  <si>
    <t>DigitGreaterThanNine</t>
  </si>
  <si>
    <t>X</t>
  </si>
  <si>
    <t>CPF 1</t>
  </si>
  <si>
    <t>CPF 2</t>
  </si>
  <si>
    <t>CNPJ 1</t>
  </si>
  <si>
    <t>CNPJ 2</t>
  </si>
  <si>
    <t>CREDIT CARD</t>
  </si>
  <si>
    <t>#### #### #### ####</t>
  </si>
  <si>
    <t>RawRegex</t>
  </si>
  <si>
    <t>RENAVAM</t>
  </si>
  <si>
    <t>###########</t>
  </si>
  <si>
    <t>EAN-8</t>
  </si>
  <si>
    <t>########</t>
  </si>
  <si>
    <t>EAN-13</t>
  </si>
  <si>
    <t>#############</t>
  </si>
  <si>
    <t>ISBN-10</t>
  </si>
  <si>
    <t>##-#####-###-#</t>
  </si>
  <si>
    <t>ISBN-13</t>
  </si>
  <si>
    <t>###-##-#####-##</t>
  </si>
  <si>
    <t>ISSN</t>
  </si>
  <si>
    <t>####-####</t>
  </si>
  <si>
    <t>DigitId</t>
  </si>
  <si>
    <t>#DigitName</t>
  </si>
  <si>
    <t>RAIZ CNPJ</t>
  </si>
  <si>
    <t>##.###.###</t>
  </si>
  <si>
    <t>^\d{11}$</t>
  </si>
  <si>
    <t>^\d{8}$</t>
  </si>
  <si>
    <t>^\d{14}$</t>
  </si>
  <si>
    <t>^\d{16}$</t>
  </si>
  <si>
    <t>^\d{13}$</t>
  </si>
  <si>
    <t>Directory</t>
  </si>
  <si>
    <t>TenantId</t>
  </si>
  <si>
    <t>#TenantName</t>
  </si>
  <si>
    <t>ValidRegex</t>
  </si>
  <si>
    <t>^\d{0,11}$</t>
  </si>
  <si>
    <t>^\d{0,8}$</t>
  </si>
  <si>
    <t>^\d{0,14}$</t>
  </si>
  <si>
    <t>^\d{0,16}$</t>
  </si>
  <si>
    <t>^\d{0,13}$</t>
  </si>
  <si>
    <t>^\d{9}(\d|[xX])$</t>
  </si>
  <si>
    <t>^\d{7}(\d|[xX])$</t>
  </si>
  <si>
    <t>^\d{0,9}(\d|[xX]{0,1})$</t>
  </si>
  <si>
    <t>^\d{0,7}(\d|[xX]){0,1}$</t>
  </si>
  <si>
    <t>Engine oficial e de referência do CRUDEX. Suporta múltiplos result sets, procedures parametrizadas, transações aninhadas e JSON nativo (FOR JSON, OPENJSON). Tipos money, smallmoney, bit, datetimeoffset, varchar(max) e nvarchar(max) são plenamente reconhecidos. Provider .NET: Microsoft.Data.SqlClient. Lib Node.js: mssql. Ideal para desenvolvimento e homologação do CRUDEX.</t>
  </si>
  <si>
    <t>Aceita múltiplos result sets com multipleStatements=true na connection string. Não possui JSON real, apenas JSON_EXTRACT/JSON_SET. Tipos money e smallmoney devem ser substituídos por decimal(19,4). Tipos datetimeoffset não existem. Provider .NET: MySql.Data.MySqlClient. Lib Node.js: mysql2.</t>
  </si>
  <si>
    <t>Idêntico ao MySQL em quase tudo, mas com melhor desempenho em JSON_*. Suporta múltiplos result sets. Tipos identity devem ser substituídos por auto_increment. Provider .NET: MySqlConnector. Lib Node.js: mariadb.</t>
  </si>
  <si>
    <t>Excelente suporte a JSON e JSONB, CTEs e transações seriais. Não suporta múltiplos result sets — cada query precisa ser executada separadamente. Tipos money → numeric(19,4) e bit → boolean. Provider .NET: Npgsql. Lib Node.js: pg.</t>
  </si>
  <si>
    <t>Não suporta múltiplos result sets, cada procedure retorna um único cursor. Não há suporte JSON nativo. Tipos identity precisam ser emulados com generators + triggers. Provider .NET: FirebirdSql.Data.FirebirdClient. Lib Node.js: node-firebird.</t>
  </si>
  <si>
    <t>Limitado a um único result set por procedure. Não possui JSON. Tipos grandes (text, blob) precisam de manipulação via API específica. Provider .NET: Borland.Data.InterBase. Lib Node.js: node-interbase (não oficial).</t>
  </si>
  <si>
    <t>Suporte parcial a múltiplos result sets e bom controle transacional. Sem JSON nativo. Tipos varchar(max) e ntext devem ser mapeados para long varchar. Provider .NET: iAnywhere.Data.SQLAnywhere. Lib Node.js: sqlanywhere.</t>
  </si>
  <si>
    <t>Suporte a múltiplos result sets via EXECUTE PROCEDURE WITH RESUME. JSON limitado via BSON em campos LVARCHAR. Tipos serial substituem identity. Provider .NET: IBM.Data.Informix. Lib Node.js: ibm_db.</t>
  </si>
  <si>
    <t>Suporta múltiplos result sets via REF CURSOR. JSON suportado (JSON_VALUE, JSON_TABLE). Tipos bit → number(1) e identity → generated as identity. Provider .NET: Oracle.ManagedDataAccess.Client. Lib Node.js: oracledb.</t>
  </si>
  <si>
    <t>Suporta múltiplos result sets via cursors nomeados, JSON parcial (JSON_OBJECT). Tipos identity e varchar(max) são restritos. Provider .NET: IBM.Data.DB2. Lib Node.js: ibm_db.</t>
  </si>
  <si>
    <t>≤</t>
  </si>
  <si>
    <t>≥</t>
  </si>
  <si>
    <t>Value</t>
  </si>
  <si>
    <t>OperatorId</t>
  </si>
  <si>
    <t>#OperatorName</t>
  </si>
  <si>
    <t>≠</t>
  </si>
  <si>
    <t>[]</t>
  </si>
  <si>
    <t>][</t>
  </si>
  <si>
    <t>[[</t>
  </si>
  <si>
    <t>]]</t>
  </si>
  <si>
    <t>![]</t>
  </si>
  <si>
    <t>!][</t>
  </si>
  <si>
    <t>![[</t>
  </si>
  <si>
    <t>!]]</t>
  </si>
  <si>
    <t>⊂</t>
  </si>
  <si>
    <t>⊄</t>
  </si>
  <si>
    <t>js;json;sql</t>
  </si>
  <si>
    <t>create;update;delete</t>
  </si>
  <si>
    <t xml:space="preserve">1;2;3;4;5;6;7;8;9 </t>
  </si>
  <si>
    <t>0;1;2;3;4;5;6;7;8;9</t>
  </si>
  <si>
    <t>6;7;8;9;2;3;4;5;6;7;8;9</t>
  </si>
  <si>
    <t>5;6;7;8;9;2;3;4;5;6;7;8;9</t>
  </si>
  <si>
    <t>2;1;2;1;2;1;2;1;2;1;2;1;2;1;2;1</t>
  </si>
  <si>
    <t>3;2;9;8;7;6;5;4;3;2</t>
  </si>
  <si>
    <t>1;3;1;3;1;3;1</t>
  </si>
  <si>
    <t>3;1;3;1;3;1;3;1;3;1;3;1</t>
  </si>
  <si>
    <t>10;9;8;7;6;5;4;3;2</t>
  </si>
  <si>
    <t>8;7;6;5;4;3;2</t>
  </si>
  <si>
    <t>Crudex</t>
  </si>
  <si>
    <t>SGSI</t>
  </si>
  <si>
    <t>#NamespaceName</t>
  </si>
  <si>
    <t>Cat</t>
  </si>
  <si>
    <t>Typ</t>
  </si>
  <si>
    <t>Msk</t>
  </si>
  <si>
    <t>Dmn</t>
  </si>
  <si>
    <t>Sys</t>
  </si>
  <si>
    <t>Mnu</t>
  </si>
  <si>
    <t>Usr</t>
  </si>
  <si>
    <t>SysUsr</t>
  </si>
  <si>
    <t>Db</t>
  </si>
  <si>
    <t>SysDb</t>
  </si>
  <si>
    <t>Tbl</t>
  </si>
  <si>
    <t>DbTbl</t>
  </si>
  <si>
    <t>Col</t>
  </si>
  <si>
    <t>Idx</t>
  </si>
  <si>
    <t>Idxkey</t>
  </si>
  <si>
    <t>Ses</t>
  </si>
  <si>
    <t>Trs</t>
  </si>
  <si>
    <t>Ope</t>
  </si>
  <si>
    <t>Uni</t>
  </si>
  <si>
    <t>NamespaceId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</si>
</sst>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D6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137" customWidth="1"/>
    <col min="4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576</v>
      </c>
      <c r="D1" s="1" t="s">
        <v>28</v>
      </c>
    </row>
    <row r="2" spans="1:4" x14ac:dyDescent="0.3">
      <c r="A2">
        <f>ROW(A2)-1</f>
        <v>1</v>
      </c>
      <c r="B2" t="s">
        <v>732</v>
      </c>
      <c r="C2" t="s">
        <v>577</v>
      </c>
      <c r="D2" t="b">
        <v>1</v>
      </c>
    </row>
    <row r="3" spans="1:4" x14ac:dyDescent="0.3">
      <c r="A3">
        <f>ROW(A3)-1</f>
        <v>2</v>
      </c>
      <c r="B3" t="s">
        <v>578</v>
      </c>
      <c r="C3" t="s">
        <v>579</v>
      </c>
      <c r="D3" t="b">
        <v>1</v>
      </c>
    </row>
    <row r="4" spans="1:4" x14ac:dyDescent="0.3">
      <c r="A4">
        <f>ROW(A4)-1</f>
        <v>3</v>
      </c>
      <c r="B4" t="s">
        <v>580</v>
      </c>
      <c r="C4" t="s">
        <v>581</v>
      </c>
      <c r="D4" t="b">
        <v>1</v>
      </c>
    </row>
    <row r="5" spans="1:4" x14ac:dyDescent="0.3">
      <c r="A5">
        <f>ROW(A5)-1</f>
        <v>4</v>
      </c>
      <c r="B5" t="s">
        <v>582</v>
      </c>
      <c r="C5" t="s">
        <v>583</v>
      </c>
      <c r="D5" t="b">
        <v>1</v>
      </c>
    </row>
    <row r="6" spans="1:4" x14ac:dyDescent="0.3">
      <c r="A6">
        <f>ROW(A6)-1</f>
        <v>5</v>
      </c>
      <c r="B6" t="s">
        <v>584</v>
      </c>
      <c r="C6" t="s">
        <v>585</v>
      </c>
      <c r="D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D11"/>
  <sheetViews>
    <sheetView workbookViewId="0">
      <pane ySplit="1" topLeftCell="A2" activePane="bottomLeft" state="frozen"/>
      <selection pane="bottomLeft" activeCell="C16" sqref="C16"/>
    </sheetView>
  </sheetViews>
  <sheetFormatPr defaultColWidth="9.109375" defaultRowHeight="14.4" x14ac:dyDescent="0.3"/>
  <cols>
    <col min="1" max="1" width="3" bestFit="1" customWidth="1"/>
    <col min="2" max="2" width="12.6640625" bestFit="1" customWidth="1"/>
    <col min="3" max="3" width="143.44140625" customWidth="1"/>
    <col min="4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498</v>
      </c>
      <c r="D1" s="1" t="s">
        <v>28</v>
      </c>
    </row>
    <row r="2" spans="1:4" x14ac:dyDescent="0.3">
      <c r="A2">
        <f>ROW(A2)-1</f>
        <v>1</v>
      </c>
      <c r="B2" t="s">
        <v>493</v>
      </c>
      <c r="C2" t="s">
        <v>694</v>
      </c>
      <c r="D2" t="b">
        <v>1</v>
      </c>
    </row>
    <row r="3" spans="1:4" x14ac:dyDescent="0.3">
      <c r="A3">
        <f t="shared" ref="A3:A11" si="0">ROW(A3)-1</f>
        <v>2</v>
      </c>
      <c r="B3" t="s">
        <v>494</v>
      </c>
      <c r="C3" t="s">
        <v>695</v>
      </c>
      <c r="D3" t="b">
        <v>0</v>
      </c>
    </row>
    <row r="4" spans="1:4" x14ac:dyDescent="0.3">
      <c r="A4">
        <f t="shared" si="0"/>
        <v>3</v>
      </c>
      <c r="B4" t="s">
        <v>495</v>
      </c>
      <c r="C4" t="s">
        <v>696</v>
      </c>
      <c r="D4" t="b">
        <v>0</v>
      </c>
    </row>
    <row r="5" spans="1:4" x14ac:dyDescent="0.3">
      <c r="A5">
        <f t="shared" si="0"/>
        <v>4</v>
      </c>
      <c r="B5" t="s">
        <v>496</v>
      </c>
      <c r="C5" t="s">
        <v>697</v>
      </c>
      <c r="D5" t="b">
        <v>0</v>
      </c>
    </row>
    <row r="6" spans="1:4" x14ac:dyDescent="0.3">
      <c r="A6">
        <f t="shared" si="0"/>
        <v>5</v>
      </c>
      <c r="B6" t="s">
        <v>497</v>
      </c>
      <c r="C6" t="s">
        <v>698</v>
      </c>
      <c r="D6" t="b">
        <v>0</v>
      </c>
    </row>
    <row r="7" spans="1:4" x14ac:dyDescent="0.3">
      <c r="A7">
        <f t="shared" si="0"/>
        <v>6</v>
      </c>
      <c r="B7" t="s">
        <v>594</v>
      </c>
      <c r="C7" t="s">
        <v>699</v>
      </c>
      <c r="D7" t="b">
        <v>0</v>
      </c>
    </row>
    <row r="8" spans="1:4" x14ac:dyDescent="0.3">
      <c r="A8">
        <f t="shared" si="0"/>
        <v>7</v>
      </c>
      <c r="B8" t="s">
        <v>595</v>
      </c>
      <c r="C8" t="s">
        <v>700</v>
      </c>
      <c r="D8" t="b">
        <v>0</v>
      </c>
    </row>
    <row r="9" spans="1:4" x14ac:dyDescent="0.3">
      <c r="A9">
        <f t="shared" si="0"/>
        <v>8</v>
      </c>
      <c r="B9" t="s">
        <v>596</v>
      </c>
      <c r="C9" t="s">
        <v>701</v>
      </c>
      <c r="D9" t="b">
        <v>0</v>
      </c>
    </row>
    <row r="10" spans="1:4" x14ac:dyDescent="0.3">
      <c r="A10">
        <f t="shared" si="0"/>
        <v>9</v>
      </c>
      <c r="B10" t="s">
        <v>597</v>
      </c>
      <c r="C10" t="s">
        <v>702</v>
      </c>
      <c r="D10" t="b">
        <v>0</v>
      </c>
    </row>
    <row r="11" spans="1:4" x14ac:dyDescent="0.3">
      <c r="A11">
        <f t="shared" si="0"/>
        <v>10</v>
      </c>
      <c r="B11" t="s">
        <v>598</v>
      </c>
      <c r="C11" t="s">
        <v>703</v>
      </c>
      <c r="D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M12"/>
  <sheetViews>
    <sheetView workbookViewId="0">
      <pane ySplit="1" topLeftCell="A2" activePane="bottomLeft" state="frozen"/>
      <selection pane="bottomLeft" activeCell="J20" sqref="J20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2.5546875" bestFit="1" customWidth="1"/>
    <col min="4" max="6" width="11.77734375" bestFit="1" customWidth="1"/>
    <col min="7" max="7" width="12.21875" bestFit="1" customWidth="1"/>
    <col min="8" max="8" width="12.5546875" bestFit="1" customWidth="1"/>
    <col min="9" max="9" width="11.77734375" bestFit="1" customWidth="1"/>
    <col min="10" max="10" width="14.21875" bestFit="1" customWidth="1"/>
    <col min="11" max="11" width="11.77734375" customWidth="1"/>
    <col min="12" max="13" width="11.77734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364</v>
      </c>
      <c r="J1" s="1" t="s">
        <v>288</v>
      </c>
      <c r="K1" s="1" t="s">
        <v>339</v>
      </c>
      <c r="L1" s="1" t="s">
        <v>141</v>
      </c>
      <c r="M1" s="1" t="s">
        <v>464</v>
      </c>
    </row>
    <row r="2" spans="1:13" x14ac:dyDescent="0.3">
      <c r="A2">
        <f>ROW(A2)-1</f>
        <v>1</v>
      </c>
      <c r="B2" t="s">
        <v>10</v>
      </c>
      <c r="C2" t="b">
        <v>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0</v>
      </c>
      <c r="J2" t="b">
        <v>0</v>
      </c>
      <c r="K2" t="b">
        <v>1</v>
      </c>
      <c r="L2" t="b">
        <v>1</v>
      </c>
      <c r="M2" t="b">
        <v>1</v>
      </c>
    </row>
    <row r="3" spans="1:13" x14ac:dyDescent="0.3">
      <c r="A3">
        <f t="shared" ref="A3:A11" si="0">ROW(A3)-1</f>
        <v>2</v>
      </c>
      <c r="B3" t="s">
        <v>461</v>
      </c>
      <c r="C3" t="b">
        <v>0</v>
      </c>
      <c r="D3" t="b">
        <v>0</v>
      </c>
      <c r="E3" t="b">
        <v>0</v>
      </c>
      <c r="F3" t="b">
        <v>1</v>
      </c>
      <c r="G3" t="b">
        <v>1</v>
      </c>
      <c r="H3" t="b">
        <v>1</v>
      </c>
      <c r="I3" t="b">
        <v>1</v>
      </c>
      <c r="J3" t="b">
        <v>0</v>
      </c>
      <c r="K3" t="b">
        <v>1</v>
      </c>
      <c r="L3" t="b">
        <v>1</v>
      </c>
      <c r="M3" t="b">
        <v>0</v>
      </c>
    </row>
    <row r="4" spans="1:13" x14ac:dyDescent="0.3">
      <c r="A4">
        <f t="shared" si="0"/>
        <v>3</v>
      </c>
      <c r="B4" t="s">
        <v>13</v>
      </c>
      <c r="C4" t="b">
        <v>0</v>
      </c>
      <c r="D4" t="b">
        <v>0</v>
      </c>
      <c r="E4" t="b">
        <v>0</v>
      </c>
      <c r="F4" t="b">
        <v>1</v>
      </c>
      <c r="G4" t="b">
        <v>1</v>
      </c>
      <c r="H4" t="b">
        <v>1</v>
      </c>
      <c r="I4" t="b">
        <v>0</v>
      </c>
      <c r="J4" t="b">
        <v>0</v>
      </c>
      <c r="K4" t="b">
        <v>1</v>
      </c>
      <c r="L4" t="b">
        <v>1</v>
      </c>
      <c r="M4" t="b">
        <v>0</v>
      </c>
    </row>
    <row r="5" spans="1:13" x14ac:dyDescent="0.3">
      <c r="A5">
        <f t="shared" si="0"/>
        <v>4</v>
      </c>
      <c r="B5" t="s">
        <v>14</v>
      </c>
      <c r="C5" t="b">
        <v>0</v>
      </c>
      <c r="D5" t="b">
        <v>0</v>
      </c>
      <c r="E5" t="b">
        <v>0</v>
      </c>
      <c r="F5" t="b">
        <v>1</v>
      </c>
      <c r="G5" t="b">
        <v>1</v>
      </c>
      <c r="H5" t="b">
        <v>1</v>
      </c>
      <c r="I5" t="b">
        <v>0</v>
      </c>
      <c r="J5" t="b">
        <v>0</v>
      </c>
      <c r="K5" t="b">
        <v>1</v>
      </c>
      <c r="L5" t="b">
        <v>1</v>
      </c>
      <c r="M5" t="b">
        <v>0</v>
      </c>
    </row>
    <row r="6" spans="1:13" x14ac:dyDescent="0.3">
      <c r="A6">
        <f t="shared" si="0"/>
        <v>5</v>
      </c>
      <c r="B6" t="s">
        <v>15</v>
      </c>
      <c r="C6" t="b">
        <v>0</v>
      </c>
      <c r="D6" t="b">
        <v>0</v>
      </c>
      <c r="E6" t="b">
        <v>0</v>
      </c>
      <c r="F6" t="b">
        <v>1</v>
      </c>
      <c r="G6" t="b">
        <v>0</v>
      </c>
      <c r="H6" t="b">
        <v>0</v>
      </c>
      <c r="I6" t="b">
        <v>0</v>
      </c>
      <c r="J6" t="b">
        <v>0</v>
      </c>
      <c r="K6" t="b">
        <v>1</v>
      </c>
      <c r="L6" t="b">
        <v>1</v>
      </c>
      <c r="M6" t="b">
        <v>0</v>
      </c>
    </row>
    <row r="7" spans="1:13" x14ac:dyDescent="0.3">
      <c r="A7">
        <f t="shared" si="0"/>
        <v>6</v>
      </c>
      <c r="B7" t="s">
        <v>16</v>
      </c>
      <c r="C7" t="b">
        <v>0</v>
      </c>
      <c r="D7" t="b">
        <v>0</v>
      </c>
      <c r="E7" t="b">
        <v>0</v>
      </c>
      <c r="F7" t="b">
        <v>1</v>
      </c>
      <c r="G7" t="b">
        <v>1</v>
      </c>
      <c r="H7" t="b">
        <v>1</v>
      </c>
      <c r="I7" t="b">
        <v>0</v>
      </c>
      <c r="J7" t="b">
        <v>0</v>
      </c>
      <c r="K7" t="b">
        <v>1</v>
      </c>
      <c r="L7" t="b">
        <v>1</v>
      </c>
      <c r="M7" t="b">
        <v>0</v>
      </c>
    </row>
    <row r="8" spans="1:13" x14ac:dyDescent="0.3">
      <c r="A8">
        <f t="shared" si="0"/>
        <v>7</v>
      </c>
      <c r="B8" t="s">
        <v>11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1</v>
      </c>
      <c r="K8" t="b">
        <v>0</v>
      </c>
      <c r="L8" t="b">
        <v>0</v>
      </c>
      <c r="M8" t="b">
        <v>1</v>
      </c>
    </row>
    <row r="9" spans="1:13" x14ac:dyDescent="0.3">
      <c r="A9">
        <f t="shared" si="0"/>
        <v>8</v>
      </c>
      <c r="B9" t="s">
        <v>17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</row>
    <row r="10" spans="1:13" x14ac:dyDescent="0.3">
      <c r="A10">
        <v>9</v>
      </c>
      <c r="B10" t="s">
        <v>18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</row>
    <row r="11" spans="1:13" x14ac:dyDescent="0.3">
      <c r="A11">
        <f t="shared" si="0"/>
        <v>10</v>
      </c>
      <c r="B11" t="s">
        <v>19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</row>
    <row r="12" spans="1:13" x14ac:dyDescent="0.3">
      <c r="A12">
        <v>11</v>
      </c>
      <c r="B12" t="s">
        <v>586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1</v>
      </c>
      <c r="L12" t="b">
        <v>0</v>
      </c>
      <c r="M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38"/>
  <sheetViews>
    <sheetView zoomScaleNormal="100" workbookViewId="0">
      <pane ySplit="1" topLeftCell="A8" activePane="bottomLeft" state="frozen"/>
      <selection pane="bottomLeft" activeCell="E15" sqref="E15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7.33203125" style="2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2" width="11.77734375" bestFit="1" customWidth="1"/>
  </cols>
  <sheetData>
    <row r="1" spans="1:12" s="1" customFormat="1" x14ac:dyDescent="0.3">
      <c r="A1" s="1" t="s">
        <v>0</v>
      </c>
      <c r="B1" s="1" t="s">
        <v>20</v>
      </c>
      <c r="C1" s="1" t="s">
        <v>309</v>
      </c>
      <c r="D1" s="1" t="s">
        <v>1</v>
      </c>
      <c r="E1" s="1" t="s">
        <v>332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26</v>
      </c>
      <c r="L1" s="1" t="s">
        <v>28</v>
      </c>
    </row>
    <row r="2" spans="1:12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29</v>
      </c>
      <c r="E2" t="str">
        <f>D2</f>
        <v>bigint</v>
      </c>
      <c r="F2" s="10">
        <v>-9007199254740990</v>
      </c>
      <c r="G2" s="10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</row>
    <row r="3" spans="1:12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18</v>
      </c>
      <c r="E3" t="str">
        <f t="shared" ref="E3:E38" si="1">D3</f>
        <v>binary</v>
      </c>
      <c r="F3" s="2" t="s">
        <v>30</v>
      </c>
      <c r="G3" s="2" t="s">
        <v>30</v>
      </c>
      <c r="H3" t="b">
        <v>0</v>
      </c>
      <c r="I3" t="b">
        <v>0</v>
      </c>
      <c r="J3" t="b">
        <v>0</v>
      </c>
      <c r="K3" t="b">
        <v>0</v>
      </c>
      <c r="L3" t="b">
        <v>1</v>
      </c>
    </row>
    <row r="4" spans="1:12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31</v>
      </c>
      <c r="E4" t="str">
        <f t="shared" si="1"/>
        <v>bit</v>
      </c>
      <c r="F4" s="2" t="s">
        <v>30</v>
      </c>
      <c r="G4" s="2" t="s">
        <v>30</v>
      </c>
      <c r="H4" t="b">
        <v>0</v>
      </c>
      <c r="I4" t="b">
        <v>0</v>
      </c>
      <c r="J4" t="b">
        <v>0</v>
      </c>
      <c r="K4" t="b">
        <v>0</v>
      </c>
      <c r="L4" t="b">
        <v>1</v>
      </c>
    </row>
    <row r="5" spans="1:12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32</v>
      </c>
      <c r="E5" t="str">
        <f t="shared" si="1"/>
        <v>char</v>
      </c>
      <c r="F5" s="2" t="s">
        <v>30</v>
      </c>
      <c r="G5" s="2" t="s">
        <v>30</v>
      </c>
      <c r="H5" t="b">
        <v>1</v>
      </c>
      <c r="I5" t="b">
        <v>0</v>
      </c>
      <c r="J5" t="b">
        <v>0</v>
      </c>
      <c r="K5" t="b">
        <v>0</v>
      </c>
      <c r="L5" t="b">
        <v>1</v>
      </c>
    </row>
    <row r="6" spans="1:12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13</v>
      </c>
      <c r="E6" t="str">
        <f t="shared" si="1"/>
        <v>date</v>
      </c>
      <c r="F6" s="5" t="s">
        <v>451</v>
      </c>
      <c r="G6" s="5" t="s">
        <v>452</v>
      </c>
      <c r="H6" t="b">
        <v>0</v>
      </c>
      <c r="I6" t="b">
        <v>0</v>
      </c>
      <c r="J6" t="b">
        <v>0</v>
      </c>
      <c r="K6" t="b">
        <v>0</v>
      </c>
      <c r="L6" t="b">
        <v>1</v>
      </c>
    </row>
    <row r="7" spans="1:12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14</v>
      </c>
      <c r="E7" t="str">
        <f t="shared" si="1"/>
        <v>datetime</v>
      </c>
      <c r="F7" s="5" t="s">
        <v>453</v>
      </c>
      <c r="G7" s="5" t="s">
        <v>454</v>
      </c>
      <c r="H7" t="b">
        <v>0</v>
      </c>
      <c r="I7" t="b">
        <v>0</v>
      </c>
      <c r="J7" t="b">
        <v>0</v>
      </c>
      <c r="K7" t="b">
        <v>0</v>
      </c>
      <c r="L7" t="b">
        <v>1</v>
      </c>
    </row>
    <row r="8" spans="1:12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33</v>
      </c>
      <c r="E8" t="str">
        <f t="shared" si="1"/>
        <v>datetime2</v>
      </c>
      <c r="F8" s="5" t="s">
        <v>455</v>
      </c>
      <c r="G8" s="5" t="s">
        <v>456</v>
      </c>
      <c r="H8" t="b">
        <v>0</v>
      </c>
      <c r="I8" t="b">
        <v>0</v>
      </c>
      <c r="J8" t="b">
        <v>0</v>
      </c>
      <c r="K8" t="b">
        <v>0</v>
      </c>
      <c r="L8" t="b">
        <v>1</v>
      </c>
    </row>
    <row r="9" spans="1:12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34</v>
      </c>
      <c r="E9" t="str">
        <f t="shared" si="1"/>
        <v>datetimeoffset</v>
      </c>
      <c r="F9" s="5" t="s">
        <v>455</v>
      </c>
      <c r="G9" s="5" t="s">
        <v>456</v>
      </c>
      <c r="H9" t="b">
        <v>0</v>
      </c>
      <c r="I9" t="b">
        <v>0</v>
      </c>
      <c r="J9" t="b">
        <v>0</v>
      </c>
      <c r="K9" t="b">
        <v>0</v>
      </c>
      <c r="L9" t="b">
        <v>1</v>
      </c>
    </row>
    <row r="10" spans="1:12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35</v>
      </c>
      <c r="E10" t="str">
        <f t="shared" si="1"/>
        <v>decimal</v>
      </c>
      <c r="F10" s="10">
        <v>-9007199254740990</v>
      </c>
      <c r="G10" s="10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1</v>
      </c>
    </row>
    <row r="11" spans="1:12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36</v>
      </c>
      <c r="E11" t="str">
        <f t="shared" si="1"/>
        <v>float</v>
      </c>
      <c r="F11" s="10">
        <v>-9007199254740990</v>
      </c>
      <c r="G11" s="10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</row>
    <row r="12" spans="1:12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37</v>
      </c>
      <c r="E12" t="str">
        <f t="shared" si="1"/>
        <v>geography</v>
      </c>
      <c r="F12" s="2" t="s">
        <v>30</v>
      </c>
      <c r="G12" s="2" t="s">
        <v>30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</row>
    <row r="13" spans="1:12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38</v>
      </c>
      <c r="E13" t="str">
        <f t="shared" si="1"/>
        <v>geometry</v>
      </c>
      <c r="F13" s="2" t="s">
        <v>30</v>
      </c>
      <c r="G13" s="2" t="s">
        <v>30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</row>
    <row r="14" spans="1:12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39</v>
      </c>
      <c r="E14" t="str">
        <f t="shared" si="1"/>
        <v>hierarchyid</v>
      </c>
      <c r="F14" s="2" t="s">
        <v>30</v>
      </c>
      <c r="G14" s="2" t="s">
        <v>30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</row>
    <row r="15" spans="1:12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17</v>
      </c>
      <c r="E15" t="str">
        <f t="shared" si="1"/>
        <v>image</v>
      </c>
      <c r="F15" s="2" t="s">
        <v>30</v>
      </c>
      <c r="G15" s="2" t="s">
        <v>30</v>
      </c>
      <c r="H15" t="b">
        <v>0</v>
      </c>
      <c r="I15" t="b">
        <v>0</v>
      </c>
      <c r="J15" t="b">
        <v>0</v>
      </c>
      <c r="K15" t="b">
        <v>0</v>
      </c>
      <c r="L15" t="b">
        <v>1</v>
      </c>
    </row>
    <row r="16" spans="1:12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40</v>
      </c>
      <c r="E16" t="str">
        <f t="shared" si="1"/>
        <v>int</v>
      </c>
      <c r="F16" s="2">
        <v>-2147483648</v>
      </c>
      <c r="G16" s="2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</row>
    <row r="17" spans="1:12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41</v>
      </c>
      <c r="E17" t="str">
        <f t="shared" si="1"/>
        <v>money</v>
      </c>
      <c r="F17" s="10">
        <v>-922337203685477</v>
      </c>
      <c r="G17" s="10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42</v>
      </c>
      <c r="E18" t="str">
        <f t="shared" si="1"/>
        <v>nchar</v>
      </c>
      <c r="F18" s="2" t="s">
        <v>30</v>
      </c>
      <c r="G18" s="2" t="s">
        <v>30</v>
      </c>
      <c r="H18" t="b">
        <v>1</v>
      </c>
      <c r="I18" t="b">
        <v>0</v>
      </c>
      <c r="J18" t="b">
        <v>0</v>
      </c>
      <c r="K18" t="b">
        <v>0</v>
      </c>
      <c r="L18" t="b">
        <v>1</v>
      </c>
    </row>
    <row r="19" spans="1:12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43</v>
      </c>
      <c r="E19" t="str">
        <f t="shared" si="1"/>
        <v>ntext</v>
      </c>
      <c r="F19" s="2" t="s">
        <v>30</v>
      </c>
      <c r="G19" s="2" t="s">
        <v>30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12</v>
      </c>
      <c r="E20" t="str">
        <f t="shared" si="1"/>
        <v>numeric</v>
      </c>
      <c r="F20" s="10">
        <v>-9007199254740990</v>
      </c>
      <c r="G20" s="10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1</v>
      </c>
    </row>
    <row r="21" spans="1:12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44</v>
      </c>
      <c r="E21" t="str">
        <f t="shared" si="1"/>
        <v>nvarchar</v>
      </c>
      <c r="F21" s="2" t="s">
        <v>30</v>
      </c>
      <c r="G21" s="2" t="s">
        <v>30</v>
      </c>
      <c r="H21" t="b">
        <v>1</v>
      </c>
      <c r="I21" t="b">
        <v>0</v>
      </c>
      <c r="J21" t="b">
        <v>0</v>
      </c>
      <c r="K21" t="b">
        <v>0</v>
      </c>
      <c r="L21" t="b">
        <v>1</v>
      </c>
    </row>
    <row r="22" spans="1:12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378</v>
      </c>
      <c r="E22" t="str">
        <f t="shared" ref="E22" si="2">D22</f>
        <v>nvarchar(max)</v>
      </c>
      <c r="F22" s="2" t="s">
        <v>30</v>
      </c>
      <c r="G22" s="2" t="s">
        <v>30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</row>
    <row r="23" spans="1:12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45</v>
      </c>
      <c r="E23" t="str">
        <f t="shared" si="1"/>
        <v>real</v>
      </c>
      <c r="F23" s="10">
        <v>-9007199254740990</v>
      </c>
      <c r="G23" s="10">
        <v>9007199254740990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46</v>
      </c>
      <c r="E24" t="str">
        <f t="shared" si="1"/>
        <v>smalldatetime</v>
      </c>
      <c r="F24" s="5" t="s">
        <v>457</v>
      </c>
      <c r="G24" s="5" t="s">
        <v>458</v>
      </c>
      <c r="H24" t="b">
        <v>0</v>
      </c>
      <c r="I24" t="b">
        <v>0</v>
      </c>
      <c r="J24" t="b">
        <v>0</v>
      </c>
      <c r="K24" t="b">
        <v>0</v>
      </c>
      <c r="L24" t="b">
        <v>1</v>
      </c>
    </row>
    <row r="25" spans="1:12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47</v>
      </c>
      <c r="E25" t="str">
        <f t="shared" si="1"/>
        <v>smallint</v>
      </c>
      <c r="F25" s="2">
        <v>-32768</v>
      </c>
      <c r="G25" s="2">
        <v>32767</v>
      </c>
      <c r="H25" t="b">
        <v>0</v>
      </c>
      <c r="I25" t="b">
        <v>0</v>
      </c>
      <c r="J25" t="b">
        <v>1</v>
      </c>
      <c r="K25" t="b">
        <v>1</v>
      </c>
      <c r="L25" t="b">
        <v>1</v>
      </c>
    </row>
    <row r="26" spans="1:12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48</v>
      </c>
      <c r="E26" t="str">
        <f t="shared" si="1"/>
        <v>smallmoney</v>
      </c>
      <c r="F26" s="2">
        <v>214748</v>
      </c>
      <c r="G26" s="2">
        <v>214748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</row>
    <row r="27" spans="1:12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49</v>
      </c>
      <c r="E27" t="str">
        <f t="shared" si="1"/>
        <v>sql_variant</v>
      </c>
      <c r="F27" s="2" t="s">
        <v>30</v>
      </c>
      <c r="G27" s="2" t="s">
        <v>30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50</v>
      </c>
      <c r="E28" t="str">
        <f t="shared" si="1"/>
        <v>sysname</v>
      </c>
      <c r="F28" s="2" t="s">
        <v>30</v>
      </c>
      <c r="G28" s="2" t="s">
        <v>30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</row>
    <row r="29" spans="1:12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F29" s="2" t="s">
        <v>30</v>
      </c>
      <c r="G29" s="2" t="s">
        <v>30</v>
      </c>
      <c r="H29" t="b">
        <v>0</v>
      </c>
      <c r="I29" t="b">
        <v>0</v>
      </c>
      <c r="J29" t="b">
        <v>0</v>
      </c>
      <c r="K29" t="b">
        <v>0</v>
      </c>
      <c r="L29" t="b">
        <v>1</v>
      </c>
    </row>
    <row r="30" spans="1:12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16</v>
      </c>
      <c r="E30" t="str">
        <f t="shared" si="1"/>
        <v>time</v>
      </c>
      <c r="F30" s="5" t="s">
        <v>459</v>
      </c>
      <c r="G30" s="5" t="s">
        <v>460</v>
      </c>
      <c r="H30" t="b">
        <v>0</v>
      </c>
      <c r="I30" t="b">
        <v>0</v>
      </c>
      <c r="J30" t="b">
        <v>0</v>
      </c>
      <c r="K30" t="b">
        <v>0</v>
      </c>
      <c r="L30" t="b">
        <v>1</v>
      </c>
    </row>
    <row r="31" spans="1:12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51</v>
      </c>
      <c r="E31" t="str">
        <f t="shared" si="1"/>
        <v>timestamp</v>
      </c>
      <c r="F31" s="5" t="s">
        <v>30</v>
      </c>
      <c r="G31" s="5"/>
      <c r="H31" t="b">
        <v>0</v>
      </c>
      <c r="I31" t="b">
        <v>0</v>
      </c>
      <c r="J31" t="b">
        <v>0</v>
      </c>
      <c r="K31" t="b">
        <v>0</v>
      </c>
      <c r="L31" t="b">
        <v>1</v>
      </c>
    </row>
    <row r="32" spans="1:12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52</v>
      </c>
      <c r="E32" t="str">
        <f t="shared" si="1"/>
        <v>tinyint</v>
      </c>
      <c r="F32" s="2">
        <v>0</v>
      </c>
      <c r="G32" s="2">
        <v>255</v>
      </c>
      <c r="H32" t="b">
        <v>0</v>
      </c>
      <c r="I32" t="b">
        <v>0</v>
      </c>
      <c r="J32" t="b">
        <v>1</v>
      </c>
      <c r="K32" t="b">
        <v>1</v>
      </c>
      <c r="L32" t="b">
        <v>1</v>
      </c>
    </row>
    <row r="33" spans="1:12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53</v>
      </c>
      <c r="E33" t="str">
        <f t="shared" si="1"/>
        <v>uniqueidentifier</v>
      </c>
      <c r="F33" s="2" t="s">
        <v>30</v>
      </c>
      <c r="G33" s="2" t="s">
        <v>30</v>
      </c>
      <c r="H33" t="b">
        <v>0</v>
      </c>
      <c r="I33" t="b">
        <v>0</v>
      </c>
      <c r="J33" t="b">
        <v>1</v>
      </c>
      <c r="K33" t="b">
        <v>0</v>
      </c>
      <c r="L33" t="b">
        <v>1</v>
      </c>
    </row>
    <row r="34" spans="1:12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54</v>
      </c>
      <c r="E34" t="str">
        <f t="shared" si="1"/>
        <v>varbinary</v>
      </c>
      <c r="F34" s="2" t="s">
        <v>30</v>
      </c>
      <c r="G34" s="2" t="s">
        <v>30</v>
      </c>
      <c r="H34" t="b">
        <v>1</v>
      </c>
      <c r="I34" t="b">
        <v>0</v>
      </c>
      <c r="J34" t="b">
        <v>0</v>
      </c>
      <c r="K34" t="b">
        <v>0</v>
      </c>
      <c r="L34" t="b">
        <v>1</v>
      </c>
    </row>
    <row r="35" spans="1:12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379</v>
      </c>
      <c r="E35" t="str">
        <f t="shared" ref="E35" si="4">D35</f>
        <v>varbinary(max)</v>
      </c>
      <c r="F35" s="2" t="s">
        <v>30</v>
      </c>
      <c r="G35" s="2" t="s">
        <v>30</v>
      </c>
      <c r="H35" t="b">
        <v>0</v>
      </c>
      <c r="I35" t="b">
        <v>0</v>
      </c>
      <c r="J35" t="b">
        <v>0</v>
      </c>
      <c r="K35" t="b">
        <v>0</v>
      </c>
      <c r="L35" t="b">
        <v>1</v>
      </c>
    </row>
    <row r="36" spans="1:12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55</v>
      </c>
      <c r="E36" t="str">
        <f t="shared" si="1"/>
        <v>varchar</v>
      </c>
      <c r="F36" s="2" t="s">
        <v>30</v>
      </c>
      <c r="G36" s="2" t="s">
        <v>30</v>
      </c>
      <c r="H36" t="b">
        <v>1</v>
      </c>
      <c r="I36" t="b">
        <v>0</v>
      </c>
      <c r="J36" t="b">
        <v>0</v>
      </c>
      <c r="K36" t="b">
        <v>0</v>
      </c>
      <c r="L36" t="b">
        <v>1</v>
      </c>
    </row>
    <row r="37" spans="1:12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377</v>
      </c>
      <c r="E37" t="str">
        <f t="shared" ref="E37" si="5">D37</f>
        <v>varchar(max)</v>
      </c>
      <c r="F37" s="2" t="s">
        <v>30</v>
      </c>
      <c r="G37" s="2" t="s">
        <v>30</v>
      </c>
      <c r="H37" t="b">
        <v>0</v>
      </c>
      <c r="I37" t="b">
        <v>0</v>
      </c>
      <c r="J37" t="b">
        <v>0</v>
      </c>
      <c r="K37" t="b">
        <v>0</v>
      </c>
      <c r="L37" t="b">
        <v>1</v>
      </c>
    </row>
    <row r="38" spans="1:12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56</v>
      </c>
      <c r="E38" t="str">
        <f t="shared" si="1"/>
        <v>xml</v>
      </c>
      <c r="F38" s="2" t="s">
        <v>30</v>
      </c>
      <c r="G38" s="2" t="s">
        <v>30</v>
      </c>
      <c r="H38" t="b">
        <v>0</v>
      </c>
      <c r="I38" t="b">
        <v>0</v>
      </c>
      <c r="J38" t="b">
        <v>0</v>
      </c>
      <c r="K38" t="b">
        <v>0</v>
      </c>
      <c r="L3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G371"/>
  <sheetViews>
    <sheetView zoomScaleNormal="100" workbookViewId="0">
      <pane ySplit="1" topLeftCell="A2" activePane="bottomLeft" state="frozen"/>
      <selection pane="bottomLeft" activeCell="F302" sqref="F302"/>
    </sheetView>
  </sheetViews>
  <sheetFormatPr defaultRowHeight="14.4" x14ac:dyDescent="0.3"/>
  <cols>
    <col min="1" max="1" width="5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26" bestFit="1" customWidth="1"/>
    <col min="6" max="7" width="41.33203125" bestFit="1" customWidth="1"/>
  </cols>
  <sheetData>
    <row r="1" spans="1:7" x14ac:dyDescent="0.3">
      <c r="A1" s="21" t="s">
        <v>0</v>
      </c>
      <c r="B1" s="21" t="s">
        <v>574</v>
      </c>
      <c r="C1" s="21" t="s">
        <v>575</v>
      </c>
      <c r="D1" s="21" t="s">
        <v>57</v>
      </c>
      <c r="E1" s="21" t="s">
        <v>310</v>
      </c>
      <c r="F1" s="21" t="s">
        <v>1</v>
      </c>
      <c r="G1" s="21" t="s">
        <v>498</v>
      </c>
    </row>
    <row r="2" spans="1:7" x14ac:dyDescent="0.3">
      <c r="A2">
        <v>1</v>
      </c>
      <c r="B2">
        <v>1</v>
      </c>
      <c r="C2" t="str" cm="1">
        <f t="array" ref="C2">GetValue("Engines",B2,"Name")</f>
        <v>SQL Server</v>
      </c>
      <c r="D2">
        <v>1</v>
      </c>
      <c r="E2" t="str" cm="1">
        <f t="array" ref="E2">GetValue("Types",D2,"Name")</f>
        <v>bigint</v>
      </c>
      <c r="F2" t="s">
        <v>29</v>
      </c>
      <c r="G2" t="s">
        <v>500</v>
      </c>
    </row>
    <row r="3" spans="1:7" x14ac:dyDescent="0.3">
      <c r="A3">
        <f>A2+1</f>
        <v>2</v>
      </c>
      <c r="B3">
        <v>1</v>
      </c>
      <c r="C3" t="str" cm="1">
        <f t="array" ref="C3">GetValue("Engines",B3,"Name")</f>
        <v>SQL Server</v>
      </c>
      <c r="D3">
        <v>2</v>
      </c>
      <c r="E3" t="str" cm="1">
        <f t="array" ref="E3">GetValue("Types",D3,"Name")</f>
        <v>binary</v>
      </c>
      <c r="F3" t="s">
        <v>18</v>
      </c>
      <c r="G3" t="s">
        <v>501</v>
      </c>
    </row>
    <row r="4" spans="1:7" x14ac:dyDescent="0.3">
      <c r="A4">
        <f t="shared" ref="A4:A67" si="0">A3+1</f>
        <v>3</v>
      </c>
      <c r="B4">
        <v>1</v>
      </c>
      <c r="C4" t="str" cm="1">
        <f t="array" ref="C4">GetValue("Engines",B4,"Name")</f>
        <v>SQL Server</v>
      </c>
      <c r="D4">
        <v>3</v>
      </c>
      <c r="E4" t="str" cm="1">
        <f t="array" ref="E4">GetValue("Types",D4,"Name")</f>
        <v>bit</v>
      </c>
      <c r="F4" t="s">
        <v>31</v>
      </c>
      <c r="G4" t="s">
        <v>503</v>
      </c>
    </row>
    <row r="5" spans="1:7" x14ac:dyDescent="0.3">
      <c r="A5">
        <f t="shared" si="0"/>
        <v>4</v>
      </c>
      <c r="B5">
        <v>1</v>
      </c>
      <c r="C5" t="str" cm="1">
        <f t="array" ref="C5">GetValue("Engines",B5,"Name")</f>
        <v>SQL Server</v>
      </c>
      <c r="D5">
        <v>4</v>
      </c>
      <c r="E5" t="str" cm="1">
        <f t="array" ref="E5">GetValue("Types",D5,"Name")</f>
        <v>char</v>
      </c>
      <c r="F5" t="s">
        <v>32</v>
      </c>
      <c r="G5" t="s">
        <v>505</v>
      </c>
    </row>
    <row r="6" spans="1:7" x14ac:dyDescent="0.3">
      <c r="A6">
        <f t="shared" si="0"/>
        <v>5</v>
      </c>
      <c r="B6">
        <v>1</v>
      </c>
      <c r="C6" t="str" cm="1">
        <f t="array" ref="C6">GetValue("Engines",B6,"Name")</f>
        <v>SQL Server</v>
      </c>
      <c r="D6">
        <v>5</v>
      </c>
      <c r="E6" t="str" cm="1">
        <f t="array" ref="E6">GetValue("Types",D6,"Name")</f>
        <v>date</v>
      </c>
      <c r="F6" t="s">
        <v>13</v>
      </c>
      <c r="G6" t="s">
        <v>507</v>
      </c>
    </row>
    <row r="7" spans="1:7" x14ac:dyDescent="0.3">
      <c r="A7">
        <f t="shared" si="0"/>
        <v>6</v>
      </c>
      <c r="B7">
        <v>1</v>
      </c>
      <c r="C7" t="str" cm="1">
        <f t="array" ref="C7">GetValue("Engines",B7,"Name")</f>
        <v>SQL Server</v>
      </c>
      <c r="D7">
        <v>6</v>
      </c>
      <c r="E7" t="str" cm="1">
        <f t="array" ref="E7">GetValue("Types",D7,"Name")</f>
        <v>datetime</v>
      </c>
      <c r="F7" t="s">
        <v>14</v>
      </c>
      <c r="G7" t="s">
        <v>509</v>
      </c>
    </row>
    <row r="8" spans="1:7" x14ac:dyDescent="0.3">
      <c r="A8">
        <f t="shared" si="0"/>
        <v>7</v>
      </c>
      <c r="B8">
        <v>1</v>
      </c>
      <c r="C8" t="str" cm="1">
        <f t="array" ref="C8">GetValue("Engines",B8,"Name")</f>
        <v>SQL Server</v>
      </c>
      <c r="D8">
        <v>7</v>
      </c>
      <c r="E8" t="str" cm="1">
        <f t="array" ref="E8">GetValue("Types",D8,"Name")</f>
        <v>datetime2</v>
      </c>
      <c r="F8" t="s">
        <v>33</v>
      </c>
      <c r="G8" t="s">
        <v>510</v>
      </c>
    </row>
    <row r="9" spans="1:7" x14ac:dyDescent="0.3">
      <c r="A9">
        <f t="shared" si="0"/>
        <v>8</v>
      </c>
      <c r="B9">
        <v>1</v>
      </c>
      <c r="C9" t="str" cm="1">
        <f t="array" ref="C9">GetValue("Engines",B9,"Name")</f>
        <v>SQL Server</v>
      </c>
      <c r="D9">
        <v>8</v>
      </c>
      <c r="E9" t="str" cm="1">
        <f t="array" ref="E9">GetValue("Types",D9,"Name")</f>
        <v>datetimeoffset</v>
      </c>
      <c r="F9" t="s">
        <v>34</v>
      </c>
      <c r="G9" t="s">
        <v>512</v>
      </c>
    </row>
    <row r="10" spans="1:7" x14ac:dyDescent="0.3">
      <c r="A10">
        <f t="shared" si="0"/>
        <v>9</v>
      </c>
      <c r="B10">
        <v>1</v>
      </c>
      <c r="C10" t="str" cm="1">
        <f t="array" ref="C10">GetValue("Engines",B10,"Name")</f>
        <v>SQL Server</v>
      </c>
      <c r="D10">
        <v>9</v>
      </c>
      <c r="E10" t="str" cm="1">
        <f t="array" ref="E10">GetValue("Types",D10,"Name")</f>
        <v>decimal</v>
      </c>
      <c r="F10" t="s">
        <v>35</v>
      </c>
      <c r="G10" t="s">
        <v>513</v>
      </c>
    </row>
    <row r="11" spans="1:7" x14ac:dyDescent="0.3">
      <c r="A11">
        <f t="shared" si="0"/>
        <v>10</v>
      </c>
      <c r="B11">
        <v>1</v>
      </c>
      <c r="C11" t="str" cm="1">
        <f t="array" ref="C11">GetValue("Engines",B11,"Name")</f>
        <v>SQL Server</v>
      </c>
      <c r="D11">
        <v>10</v>
      </c>
      <c r="E11" t="str" cm="1">
        <f t="array" ref="E11">GetValue("Types",D11,"Name")</f>
        <v>float</v>
      </c>
      <c r="F11" t="s">
        <v>36</v>
      </c>
      <c r="G11" t="s">
        <v>515</v>
      </c>
    </row>
    <row r="12" spans="1:7" x14ac:dyDescent="0.3">
      <c r="A12">
        <f t="shared" si="0"/>
        <v>11</v>
      </c>
      <c r="B12">
        <v>1</v>
      </c>
      <c r="C12" t="str" cm="1">
        <f t="array" ref="C12">GetValue("Engines",B12,"Name")</f>
        <v>SQL Server</v>
      </c>
      <c r="D12">
        <v>11</v>
      </c>
      <c r="E12" t="str" cm="1">
        <f t="array" ref="E12">GetValue("Types",D12,"Name")</f>
        <v>geography</v>
      </c>
      <c r="F12" t="s">
        <v>37</v>
      </c>
      <c r="G12" t="s">
        <v>516</v>
      </c>
    </row>
    <row r="13" spans="1:7" x14ac:dyDescent="0.3">
      <c r="A13">
        <f t="shared" si="0"/>
        <v>12</v>
      </c>
      <c r="B13">
        <v>1</v>
      </c>
      <c r="C13" t="str" cm="1">
        <f t="array" ref="C13">GetValue("Engines",B13,"Name")</f>
        <v>SQL Server</v>
      </c>
      <c r="D13">
        <v>12</v>
      </c>
      <c r="E13" t="str" cm="1">
        <f t="array" ref="E13">GetValue("Types",D13,"Name")</f>
        <v>geometry</v>
      </c>
      <c r="F13" t="s">
        <v>38</v>
      </c>
      <c r="G13" t="s">
        <v>517</v>
      </c>
    </row>
    <row r="14" spans="1:7" x14ac:dyDescent="0.3">
      <c r="A14">
        <f t="shared" si="0"/>
        <v>13</v>
      </c>
      <c r="B14">
        <v>1</v>
      </c>
      <c r="C14" t="str" cm="1">
        <f t="array" ref="C14">GetValue("Engines",B14,"Name")</f>
        <v>SQL Server</v>
      </c>
      <c r="D14">
        <v>13</v>
      </c>
      <c r="E14" t="str" cm="1">
        <f t="array" ref="E14">GetValue("Types",D14,"Name")</f>
        <v>hierarchyid</v>
      </c>
      <c r="F14" t="s">
        <v>39</v>
      </c>
      <c r="G14" t="s">
        <v>518</v>
      </c>
    </row>
    <row r="15" spans="1:7" x14ac:dyDescent="0.3">
      <c r="A15">
        <f t="shared" si="0"/>
        <v>14</v>
      </c>
      <c r="B15">
        <v>1</v>
      </c>
      <c r="C15" t="str" cm="1">
        <f t="array" ref="C15">GetValue("Engines",B15,"Name")</f>
        <v>SQL Server</v>
      </c>
      <c r="D15">
        <v>14</v>
      </c>
      <c r="E15" t="str" cm="1">
        <f t="array" ref="E15">GetValue("Types",D15,"Name")</f>
        <v>image</v>
      </c>
      <c r="F15" t="s">
        <v>17</v>
      </c>
      <c r="G15" t="s">
        <v>519</v>
      </c>
    </row>
    <row r="16" spans="1:7" x14ac:dyDescent="0.3">
      <c r="A16">
        <f t="shared" si="0"/>
        <v>15</v>
      </c>
      <c r="B16">
        <v>1</v>
      </c>
      <c r="C16" t="str" cm="1">
        <f t="array" ref="C16">GetValue("Engines",B16,"Name")</f>
        <v>SQL Server</v>
      </c>
      <c r="D16">
        <v>15</v>
      </c>
      <c r="E16" t="str" cm="1">
        <f t="array" ref="E16">GetValue("Types",D16,"Name")</f>
        <v>int</v>
      </c>
      <c r="F16" t="s">
        <v>40</v>
      </c>
      <c r="G16" t="s">
        <v>521</v>
      </c>
    </row>
    <row r="17" spans="1:7" x14ac:dyDescent="0.3">
      <c r="A17">
        <f t="shared" si="0"/>
        <v>16</v>
      </c>
      <c r="B17">
        <v>1</v>
      </c>
      <c r="C17" t="str" cm="1">
        <f t="array" ref="C17">GetValue("Engines",B17,"Name")</f>
        <v>SQL Server</v>
      </c>
      <c r="D17">
        <v>16</v>
      </c>
      <c r="E17" t="str" cm="1">
        <f t="array" ref="E17">GetValue("Types",D17,"Name")</f>
        <v>money</v>
      </c>
      <c r="F17" t="s">
        <v>41</v>
      </c>
      <c r="G17" t="s">
        <v>523</v>
      </c>
    </row>
    <row r="18" spans="1:7" x14ac:dyDescent="0.3">
      <c r="A18">
        <f t="shared" si="0"/>
        <v>17</v>
      </c>
      <c r="B18">
        <v>1</v>
      </c>
      <c r="C18" t="str" cm="1">
        <f t="array" ref="C18">GetValue("Engines",B18,"Name")</f>
        <v>SQL Server</v>
      </c>
      <c r="D18">
        <v>17</v>
      </c>
      <c r="E18" t="str" cm="1">
        <f t="array" ref="E18">GetValue("Types",D18,"Name")</f>
        <v>nchar</v>
      </c>
      <c r="F18" t="s">
        <v>42</v>
      </c>
      <c r="G18" t="s">
        <v>524</v>
      </c>
    </row>
    <row r="19" spans="1:7" x14ac:dyDescent="0.3">
      <c r="A19">
        <f t="shared" si="0"/>
        <v>18</v>
      </c>
      <c r="B19">
        <v>1</v>
      </c>
      <c r="C19" t="str" cm="1">
        <f t="array" ref="C19">GetValue("Engines",B19,"Name")</f>
        <v>SQL Server</v>
      </c>
      <c r="D19">
        <v>18</v>
      </c>
      <c r="E19" t="str" cm="1">
        <f t="array" ref="E19">GetValue("Types",D19,"Name")</f>
        <v>ntext</v>
      </c>
      <c r="F19" t="s">
        <v>43</v>
      </c>
      <c r="G19" t="s">
        <v>525</v>
      </c>
    </row>
    <row r="20" spans="1:7" x14ac:dyDescent="0.3">
      <c r="A20">
        <f t="shared" si="0"/>
        <v>19</v>
      </c>
      <c r="B20">
        <v>1</v>
      </c>
      <c r="C20" t="str" cm="1">
        <f t="array" ref="C20">GetValue("Engines",B20,"Name")</f>
        <v>SQL Server</v>
      </c>
      <c r="D20">
        <v>19</v>
      </c>
      <c r="E20" t="str" cm="1">
        <f t="array" ref="E20">GetValue("Types",D20,"Name")</f>
        <v>numeric</v>
      </c>
      <c r="F20" t="s">
        <v>12</v>
      </c>
      <c r="G20" t="s">
        <v>526</v>
      </c>
    </row>
    <row r="21" spans="1:7" x14ac:dyDescent="0.3">
      <c r="A21">
        <f t="shared" si="0"/>
        <v>20</v>
      </c>
      <c r="B21">
        <v>1</v>
      </c>
      <c r="C21" t="str" cm="1">
        <f t="array" ref="C21">GetValue("Engines",B21,"Name")</f>
        <v>SQL Server</v>
      </c>
      <c r="D21">
        <v>20</v>
      </c>
      <c r="E21" t="str" cm="1">
        <f t="array" ref="E21">GetValue("Types",D21,"Name")</f>
        <v>nvarchar</v>
      </c>
      <c r="F21" t="s">
        <v>44</v>
      </c>
      <c r="G21" t="s">
        <v>527</v>
      </c>
    </row>
    <row r="22" spans="1:7" x14ac:dyDescent="0.3">
      <c r="A22">
        <f t="shared" si="0"/>
        <v>21</v>
      </c>
      <c r="B22">
        <v>1</v>
      </c>
      <c r="C22" t="str" cm="1">
        <f t="array" ref="C22">GetValue("Engines",B22,"Name")</f>
        <v>SQL Server</v>
      </c>
      <c r="D22">
        <v>21</v>
      </c>
      <c r="E22" t="str" cm="1">
        <f t="array" ref="E22">GetValue("Types",D22,"Name")</f>
        <v>nvarchar(max)</v>
      </c>
      <c r="F22" t="s">
        <v>378</v>
      </c>
      <c r="G22" t="s">
        <v>528</v>
      </c>
    </row>
    <row r="23" spans="1:7" x14ac:dyDescent="0.3">
      <c r="A23">
        <f t="shared" si="0"/>
        <v>22</v>
      </c>
      <c r="B23">
        <v>1</v>
      </c>
      <c r="C23" t="str" cm="1">
        <f t="array" ref="C23">GetValue("Engines",B23,"Name")</f>
        <v>SQL Server</v>
      </c>
      <c r="D23">
        <v>22</v>
      </c>
      <c r="E23" t="str" cm="1">
        <f t="array" ref="E23">GetValue("Types",D23,"Name")</f>
        <v>real</v>
      </c>
      <c r="F23" t="s">
        <v>45</v>
      </c>
      <c r="G23" t="s">
        <v>530</v>
      </c>
    </row>
    <row r="24" spans="1:7" x14ac:dyDescent="0.3">
      <c r="A24">
        <f t="shared" si="0"/>
        <v>23</v>
      </c>
      <c r="B24">
        <v>1</v>
      </c>
      <c r="C24" t="str" cm="1">
        <f t="array" ref="C24">GetValue("Engines",B24,"Name")</f>
        <v>SQL Server</v>
      </c>
      <c r="D24">
        <v>23</v>
      </c>
      <c r="E24" t="str" cm="1">
        <f t="array" ref="E24">GetValue("Types",D24,"Name")</f>
        <v>smalldatetime</v>
      </c>
      <c r="F24" t="s">
        <v>46</v>
      </c>
      <c r="G24" t="s">
        <v>531</v>
      </c>
    </row>
    <row r="25" spans="1:7" x14ac:dyDescent="0.3">
      <c r="A25">
        <f t="shared" si="0"/>
        <v>24</v>
      </c>
      <c r="B25">
        <v>1</v>
      </c>
      <c r="C25" t="str" cm="1">
        <f t="array" ref="C25">GetValue("Engines",B25,"Name")</f>
        <v>SQL Server</v>
      </c>
      <c r="D25">
        <v>24</v>
      </c>
      <c r="E25" t="str" cm="1">
        <f t="array" ref="E25">GetValue("Types",D25,"Name")</f>
        <v>smallint</v>
      </c>
      <c r="F25" t="s">
        <v>47</v>
      </c>
      <c r="G25" t="s">
        <v>532</v>
      </c>
    </row>
    <row r="26" spans="1:7" x14ac:dyDescent="0.3">
      <c r="A26">
        <f t="shared" si="0"/>
        <v>25</v>
      </c>
      <c r="B26">
        <v>1</v>
      </c>
      <c r="C26" t="str" cm="1">
        <f t="array" ref="C26">GetValue("Engines",B26,"Name")</f>
        <v>SQL Server</v>
      </c>
      <c r="D26">
        <v>25</v>
      </c>
      <c r="E26" t="str" cm="1">
        <f t="array" ref="E26">GetValue("Types",D26,"Name")</f>
        <v>smallmoney</v>
      </c>
      <c r="F26" t="s">
        <v>48</v>
      </c>
      <c r="G26" t="s">
        <v>534</v>
      </c>
    </row>
    <row r="27" spans="1:7" x14ac:dyDescent="0.3">
      <c r="A27">
        <f t="shared" si="0"/>
        <v>26</v>
      </c>
      <c r="B27">
        <v>1</v>
      </c>
      <c r="C27" t="str" cm="1">
        <f t="array" ref="C27">GetValue("Engines",B27,"Name")</f>
        <v>SQL Server</v>
      </c>
      <c r="D27">
        <v>26</v>
      </c>
      <c r="E27" t="str" cm="1">
        <f t="array" ref="E27">GetValue("Types",D27,"Name")</f>
        <v>sql_variant</v>
      </c>
      <c r="F27" t="s">
        <v>49</v>
      </c>
      <c r="G27" t="s">
        <v>535</v>
      </c>
    </row>
    <row r="28" spans="1:7" x14ac:dyDescent="0.3">
      <c r="A28">
        <f t="shared" si="0"/>
        <v>27</v>
      </c>
      <c r="B28">
        <v>1</v>
      </c>
      <c r="C28" t="str" cm="1">
        <f t="array" ref="C28">GetValue("Engines",B28,"Name")</f>
        <v>SQL Server</v>
      </c>
      <c r="D28">
        <v>27</v>
      </c>
      <c r="E28" t="str" cm="1">
        <f t="array" ref="E28">GetValue("Types",D28,"Name")</f>
        <v>sysname</v>
      </c>
      <c r="F28" t="s">
        <v>50</v>
      </c>
      <c r="G28" t="s">
        <v>537</v>
      </c>
    </row>
    <row r="29" spans="1:7" x14ac:dyDescent="0.3">
      <c r="A29">
        <f t="shared" si="0"/>
        <v>28</v>
      </c>
      <c r="B29">
        <v>1</v>
      </c>
      <c r="C29" t="str" cm="1">
        <f t="array" ref="C29">GetValue("Engines",B29,"Name")</f>
        <v>SQL Server</v>
      </c>
      <c r="D29">
        <v>28</v>
      </c>
      <c r="E29" t="str" cm="1">
        <f t="array" ref="E29">GetValue("Types",D29,"Name")</f>
        <v>text</v>
      </c>
      <c r="F29" t="s">
        <v>11</v>
      </c>
      <c r="G29" t="s">
        <v>538</v>
      </c>
    </row>
    <row r="30" spans="1:7" x14ac:dyDescent="0.3">
      <c r="A30">
        <f t="shared" si="0"/>
        <v>29</v>
      </c>
      <c r="B30">
        <v>1</v>
      </c>
      <c r="C30" t="str" cm="1">
        <f t="array" ref="C30">GetValue("Engines",B30,"Name")</f>
        <v>SQL Server</v>
      </c>
      <c r="D30">
        <v>29</v>
      </c>
      <c r="E30" t="str" cm="1">
        <f t="array" ref="E30">GetValue("Types",D30,"Name")</f>
        <v>time</v>
      </c>
      <c r="F30" t="s">
        <v>16</v>
      </c>
      <c r="G30" t="s">
        <v>540</v>
      </c>
    </row>
    <row r="31" spans="1:7" x14ac:dyDescent="0.3">
      <c r="A31">
        <f t="shared" si="0"/>
        <v>30</v>
      </c>
      <c r="B31">
        <v>1</v>
      </c>
      <c r="C31" t="str" cm="1">
        <f t="array" ref="C31">GetValue("Engines",B31,"Name")</f>
        <v>SQL Server</v>
      </c>
      <c r="D31">
        <v>30</v>
      </c>
      <c r="E31" t="str" cm="1">
        <f t="array" ref="E31">GetValue("Types",D31,"Name")</f>
        <v>timestamp</v>
      </c>
      <c r="F31" t="s">
        <v>51</v>
      </c>
      <c r="G31" t="s">
        <v>541</v>
      </c>
    </row>
    <row r="32" spans="1:7" x14ac:dyDescent="0.3">
      <c r="A32">
        <f t="shared" si="0"/>
        <v>31</v>
      </c>
      <c r="B32">
        <v>1</v>
      </c>
      <c r="C32" t="str" cm="1">
        <f t="array" ref="C32">GetValue("Engines",B32,"Name")</f>
        <v>SQL Server</v>
      </c>
      <c r="D32">
        <v>31</v>
      </c>
      <c r="E32" t="str" cm="1">
        <f t="array" ref="E32">GetValue("Types",D32,"Name")</f>
        <v>tinyint</v>
      </c>
      <c r="F32" t="s">
        <v>52</v>
      </c>
      <c r="G32" t="s">
        <v>542</v>
      </c>
    </row>
    <row r="33" spans="1:7" x14ac:dyDescent="0.3">
      <c r="A33">
        <f t="shared" si="0"/>
        <v>32</v>
      </c>
      <c r="B33">
        <v>1</v>
      </c>
      <c r="C33" t="str" cm="1">
        <f t="array" ref="C33">GetValue("Engines",B33,"Name")</f>
        <v>SQL Server</v>
      </c>
      <c r="D33">
        <v>32</v>
      </c>
      <c r="E33" t="str" cm="1">
        <f t="array" ref="E33">GetValue("Types",D33,"Name")</f>
        <v>uniqueidentifier</v>
      </c>
      <c r="F33" t="s">
        <v>53</v>
      </c>
      <c r="G33" t="s">
        <v>543</v>
      </c>
    </row>
    <row r="34" spans="1:7" x14ac:dyDescent="0.3">
      <c r="A34">
        <f t="shared" si="0"/>
        <v>33</v>
      </c>
      <c r="B34">
        <v>1</v>
      </c>
      <c r="C34" t="str" cm="1">
        <f t="array" ref="C34">GetValue("Engines",B34,"Name")</f>
        <v>SQL Server</v>
      </c>
      <c r="D34">
        <v>33</v>
      </c>
      <c r="E34" t="str" cm="1">
        <f t="array" ref="E34">GetValue("Types",D34,"Name")</f>
        <v>varbinary</v>
      </c>
      <c r="F34" t="s">
        <v>54</v>
      </c>
      <c r="G34" t="s">
        <v>544</v>
      </c>
    </row>
    <row r="35" spans="1:7" x14ac:dyDescent="0.3">
      <c r="A35">
        <f t="shared" si="0"/>
        <v>34</v>
      </c>
      <c r="B35">
        <v>1</v>
      </c>
      <c r="C35" t="str" cm="1">
        <f t="array" ref="C35">GetValue("Engines",B35,"Name")</f>
        <v>SQL Server</v>
      </c>
      <c r="D35">
        <v>34</v>
      </c>
      <c r="E35" t="str" cm="1">
        <f t="array" ref="E35">GetValue("Types",D35,"Name")</f>
        <v>varbinary(max)</v>
      </c>
      <c r="F35" t="s">
        <v>379</v>
      </c>
      <c r="G35" t="s">
        <v>545</v>
      </c>
    </row>
    <row r="36" spans="1:7" x14ac:dyDescent="0.3">
      <c r="A36">
        <f t="shared" si="0"/>
        <v>35</v>
      </c>
      <c r="B36">
        <v>1</v>
      </c>
      <c r="C36" t="str" cm="1">
        <f t="array" ref="C36">GetValue("Engines",B36,"Name")</f>
        <v>SQL Server</v>
      </c>
      <c r="D36">
        <v>35</v>
      </c>
      <c r="E36" t="str" cm="1">
        <f t="array" ref="E36">GetValue("Types",D36,"Name")</f>
        <v>varchar</v>
      </c>
      <c r="F36" t="s">
        <v>55</v>
      </c>
      <c r="G36" t="s">
        <v>547</v>
      </c>
    </row>
    <row r="37" spans="1:7" x14ac:dyDescent="0.3">
      <c r="A37">
        <f t="shared" si="0"/>
        <v>36</v>
      </c>
      <c r="B37">
        <v>1</v>
      </c>
      <c r="C37" t="str" cm="1">
        <f t="array" ref="C37">GetValue("Engines",B37,"Name")</f>
        <v>SQL Server</v>
      </c>
      <c r="D37">
        <v>36</v>
      </c>
      <c r="E37" t="str" cm="1">
        <f t="array" ref="E37">GetValue("Types",D37,"Name")</f>
        <v>varchar(max)</v>
      </c>
      <c r="F37" t="s">
        <v>377</v>
      </c>
      <c r="G37" t="s">
        <v>548</v>
      </c>
    </row>
    <row r="38" spans="1:7" x14ac:dyDescent="0.3">
      <c r="A38">
        <f t="shared" si="0"/>
        <v>37</v>
      </c>
      <c r="B38">
        <v>1</v>
      </c>
      <c r="C38" t="str" cm="1">
        <f t="array" ref="C38">GetValue("Engines",B38,"Name")</f>
        <v>SQL Server</v>
      </c>
      <c r="D38">
        <v>37</v>
      </c>
      <c r="E38" t="str" cm="1">
        <f t="array" ref="E38">GetValue("Types",D38,"Name")</f>
        <v>xml</v>
      </c>
      <c r="F38" t="s">
        <v>56</v>
      </c>
      <c r="G38" t="s">
        <v>550</v>
      </c>
    </row>
    <row r="39" spans="1:7" x14ac:dyDescent="0.3">
      <c r="A39">
        <f t="shared" si="0"/>
        <v>38</v>
      </c>
      <c r="B39">
        <v>2</v>
      </c>
      <c r="C39" t="str" cm="1">
        <f t="array" ref="C39">GetValue("Engines",B39,"Name")</f>
        <v>MySQL</v>
      </c>
      <c r="D39">
        <v>1</v>
      </c>
      <c r="E39" t="str" cm="1">
        <f t="array" ref="E39">GetValue("Types",D39,"Name")</f>
        <v>bigint</v>
      </c>
      <c r="F39" t="s">
        <v>499</v>
      </c>
      <c r="G39" t="s">
        <v>500</v>
      </c>
    </row>
    <row r="40" spans="1:7" x14ac:dyDescent="0.3">
      <c r="A40">
        <f t="shared" si="0"/>
        <v>39</v>
      </c>
      <c r="B40">
        <v>2</v>
      </c>
      <c r="C40" t="str" cm="1">
        <f t="array" ref="C40">GetValue("Engines",B40,"Name")</f>
        <v>MySQL</v>
      </c>
      <c r="D40">
        <v>2</v>
      </c>
      <c r="E40" t="str" cm="1">
        <f t="array" ref="E40">GetValue("Types",D40,"Name")</f>
        <v>binary</v>
      </c>
      <c r="F40" t="s">
        <v>559</v>
      </c>
      <c r="G40" t="s">
        <v>501</v>
      </c>
    </row>
    <row r="41" spans="1:7" x14ac:dyDescent="0.3">
      <c r="A41">
        <f t="shared" si="0"/>
        <v>40</v>
      </c>
      <c r="B41">
        <v>2</v>
      </c>
      <c r="C41" t="str" cm="1">
        <f t="array" ref="C41">GetValue("Engines",B41,"Name")</f>
        <v>MySQL</v>
      </c>
      <c r="D41">
        <v>3</v>
      </c>
      <c r="E41" t="str" cm="1">
        <f t="array" ref="E41">GetValue("Types",D41,"Name")</f>
        <v>bit</v>
      </c>
      <c r="F41" t="s">
        <v>554</v>
      </c>
      <c r="G41" t="s">
        <v>503</v>
      </c>
    </row>
    <row r="42" spans="1:7" x14ac:dyDescent="0.3">
      <c r="A42">
        <f t="shared" si="0"/>
        <v>41</v>
      </c>
      <c r="B42">
        <v>2</v>
      </c>
      <c r="C42" t="str" cm="1">
        <f t="array" ref="C42">GetValue("Engines",B42,"Name")</f>
        <v>MySQL</v>
      </c>
      <c r="D42">
        <v>4</v>
      </c>
      <c r="E42" t="str" cm="1">
        <f t="array" ref="E42">GetValue("Types",D42,"Name")</f>
        <v>char</v>
      </c>
      <c r="F42" t="s">
        <v>504</v>
      </c>
      <c r="G42" t="s">
        <v>505</v>
      </c>
    </row>
    <row r="43" spans="1:7" x14ac:dyDescent="0.3">
      <c r="A43">
        <f t="shared" si="0"/>
        <v>42</v>
      </c>
      <c r="B43">
        <v>2</v>
      </c>
      <c r="C43" t="str" cm="1">
        <f t="array" ref="C43">GetValue("Engines",B43,"Name")</f>
        <v>MySQL</v>
      </c>
      <c r="D43">
        <v>5</v>
      </c>
      <c r="E43" t="str" cm="1">
        <f t="array" ref="E43">GetValue("Types",D43,"Name")</f>
        <v>date</v>
      </c>
      <c r="F43" t="s">
        <v>506</v>
      </c>
      <c r="G43" t="s">
        <v>507</v>
      </c>
    </row>
    <row r="44" spans="1:7" x14ac:dyDescent="0.3">
      <c r="A44">
        <f t="shared" si="0"/>
        <v>43</v>
      </c>
      <c r="B44">
        <v>2</v>
      </c>
      <c r="C44" t="str" cm="1">
        <f t="array" ref="C44">GetValue("Engines",B44,"Name")</f>
        <v>MySQL</v>
      </c>
      <c r="D44">
        <v>6</v>
      </c>
      <c r="E44" t="str" cm="1">
        <f t="array" ref="E44">GetValue("Types",D44,"Name")</f>
        <v>datetime</v>
      </c>
      <c r="F44" t="s">
        <v>560</v>
      </c>
      <c r="G44" t="s">
        <v>509</v>
      </c>
    </row>
    <row r="45" spans="1:7" x14ac:dyDescent="0.3">
      <c r="A45">
        <f t="shared" si="0"/>
        <v>44</v>
      </c>
      <c r="B45">
        <v>2</v>
      </c>
      <c r="C45" t="str" cm="1">
        <f t="array" ref="C45">GetValue("Engines",B45,"Name")</f>
        <v>MySQL</v>
      </c>
      <c r="D45">
        <v>7</v>
      </c>
      <c r="E45" t="str" cm="1">
        <f t="array" ref="E45">GetValue("Types",D45,"Name")</f>
        <v>datetime2</v>
      </c>
      <c r="F45" t="s">
        <v>561</v>
      </c>
      <c r="G45" t="s">
        <v>510</v>
      </c>
    </row>
    <row r="46" spans="1:7" x14ac:dyDescent="0.3">
      <c r="A46">
        <f t="shared" si="0"/>
        <v>45</v>
      </c>
      <c r="B46">
        <v>2</v>
      </c>
      <c r="C46" t="str" cm="1">
        <f t="array" ref="C46">GetValue("Engines",B46,"Name")</f>
        <v>MySQL</v>
      </c>
      <c r="D46">
        <v>8</v>
      </c>
      <c r="E46" t="str" cm="1">
        <f t="array" ref="E46">GetValue("Types",D46,"Name")</f>
        <v>datetimeoffset</v>
      </c>
      <c r="F46" t="s">
        <v>508</v>
      </c>
      <c r="G46" t="s">
        <v>512</v>
      </c>
    </row>
    <row r="47" spans="1:7" x14ac:dyDescent="0.3">
      <c r="A47">
        <f t="shared" si="0"/>
        <v>46</v>
      </c>
      <c r="B47">
        <v>2</v>
      </c>
      <c r="C47" t="str" cm="1">
        <f t="array" ref="C47">GetValue("Engines",B47,"Name")</f>
        <v>MySQL</v>
      </c>
      <c r="D47">
        <v>9</v>
      </c>
      <c r="E47" t="str" cm="1">
        <f t="array" ref="E47">GetValue("Types",D47,"Name")</f>
        <v>decimal</v>
      </c>
      <c r="F47" t="s">
        <v>592</v>
      </c>
      <c r="G47" t="s">
        <v>513</v>
      </c>
    </row>
    <row r="48" spans="1:7" x14ac:dyDescent="0.3">
      <c r="A48">
        <f t="shared" si="0"/>
        <v>47</v>
      </c>
      <c r="B48">
        <v>2</v>
      </c>
      <c r="C48" t="str" cm="1">
        <f t="array" ref="C48">GetValue("Engines",B48,"Name")</f>
        <v>MySQL</v>
      </c>
      <c r="D48">
        <v>10</v>
      </c>
      <c r="E48" t="str" cm="1">
        <f t="array" ref="E48">GetValue("Types",D48,"Name")</f>
        <v>float</v>
      </c>
      <c r="F48" t="s">
        <v>514</v>
      </c>
      <c r="G48" t="s">
        <v>515</v>
      </c>
    </row>
    <row r="49" spans="1:7" x14ac:dyDescent="0.3">
      <c r="A49">
        <f t="shared" si="0"/>
        <v>48</v>
      </c>
      <c r="B49">
        <v>2</v>
      </c>
      <c r="C49" t="str" cm="1">
        <f t="array" ref="C49">GetValue("Engines",B49,"Name")</f>
        <v>MySQL</v>
      </c>
      <c r="D49">
        <v>11</v>
      </c>
      <c r="E49" t="str" cm="1">
        <f t="array" ref="E49">GetValue("Types",D49,"Name")</f>
        <v>geography</v>
      </c>
      <c r="F49" t="s">
        <v>562</v>
      </c>
      <c r="G49" t="s">
        <v>516</v>
      </c>
    </row>
    <row r="50" spans="1:7" x14ac:dyDescent="0.3">
      <c r="A50">
        <f t="shared" si="0"/>
        <v>49</v>
      </c>
      <c r="B50">
        <v>2</v>
      </c>
      <c r="C50" t="str" cm="1">
        <f t="array" ref="C50">GetValue("Engines",B50,"Name")</f>
        <v>MySQL</v>
      </c>
      <c r="D50">
        <v>12</v>
      </c>
      <c r="E50" t="str" cm="1">
        <f t="array" ref="E50">GetValue("Types",D50,"Name")</f>
        <v>geometry</v>
      </c>
      <c r="F50" t="s">
        <v>562</v>
      </c>
      <c r="G50" t="s">
        <v>517</v>
      </c>
    </row>
    <row r="51" spans="1:7" x14ac:dyDescent="0.3">
      <c r="A51">
        <f t="shared" si="0"/>
        <v>50</v>
      </c>
      <c r="B51">
        <v>2</v>
      </c>
      <c r="C51" t="str" cm="1">
        <f t="array" ref="C51">GetValue("Engines",B51,"Name")</f>
        <v>MySQL</v>
      </c>
      <c r="D51">
        <v>13</v>
      </c>
      <c r="E51" t="str" cm="1">
        <f t="array" ref="E51">GetValue("Types",D51,"Name")</f>
        <v>hierarchyid</v>
      </c>
      <c r="G51" t="s">
        <v>518</v>
      </c>
    </row>
    <row r="52" spans="1:7" x14ac:dyDescent="0.3">
      <c r="A52">
        <f t="shared" si="0"/>
        <v>51</v>
      </c>
      <c r="B52">
        <v>2</v>
      </c>
      <c r="C52" t="str" cm="1">
        <f t="array" ref="C52">GetValue("Engines",B52,"Name")</f>
        <v>MySQL</v>
      </c>
      <c r="D52">
        <v>14</v>
      </c>
      <c r="E52" t="str" cm="1">
        <f t="array" ref="E52">GetValue("Types",D52,"Name")</f>
        <v>image</v>
      </c>
      <c r="F52" t="s">
        <v>563</v>
      </c>
      <c r="G52" t="s">
        <v>519</v>
      </c>
    </row>
    <row r="53" spans="1:7" x14ac:dyDescent="0.3">
      <c r="A53">
        <f t="shared" si="0"/>
        <v>52</v>
      </c>
      <c r="B53">
        <v>2</v>
      </c>
      <c r="C53" t="str" cm="1">
        <f t="array" ref="C53">GetValue("Engines",B53,"Name")</f>
        <v>MySQL</v>
      </c>
      <c r="D53">
        <v>15</v>
      </c>
      <c r="E53" t="str" cm="1">
        <f t="array" ref="E53">GetValue("Types",D53,"Name")</f>
        <v>int</v>
      </c>
      <c r="F53" t="s">
        <v>564</v>
      </c>
      <c r="G53" t="s">
        <v>521</v>
      </c>
    </row>
    <row r="54" spans="1:7" x14ac:dyDescent="0.3">
      <c r="A54">
        <f t="shared" si="0"/>
        <v>53</v>
      </c>
      <c r="B54">
        <v>2</v>
      </c>
      <c r="C54" t="str" cm="1">
        <f t="array" ref="C54">GetValue("Engines",B54,"Name")</f>
        <v>MySQL</v>
      </c>
      <c r="D54">
        <v>16</v>
      </c>
      <c r="E54" t="str" cm="1">
        <f t="array" ref="E54">GetValue("Types",D54,"Name")</f>
        <v>money</v>
      </c>
      <c r="F54" t="s">
        <v>522</v>
      </c>
      <c r="G54" t="s">
        <v>523</v>
      </c>
    </row>
    <row r="55" spans="1:7" x14ac:dyDescent="0.3">
      <c r="A55">
        <f t="shared" si="0"/>
        <v>54</v>
      </c>
      <c r="B55">
        <v>2</v>
      </c>
      <c r="C55" t="str" cm="1">
        <f t="array" ref="C55">GetValue("Engines",B55,"Name")</f>
        <v>MySQL</v>
      </c>
      <c r="D55">
        <v>17</v>
      </c>
      <c r="E55" t="str" cm="1">
        <f t="array" ref="E55">GetValue("Types",D55,"Name")</f>
        <v>nchar</v>
      </c>
      <c r="F55" t="s">
        <v>504</v>
      </c>
      <c r="G55" t="s">
        <v>524</v>
      </c>
    </row>
    <row r="56" spans="1:7" x14ac:dyDescent="0.3">
      <c r="A56">
        <f t="shared" si="0"/>
        <v>55</v>
      </c>
      <c r="B56">
        <v>2</v>
      </c>
      <c r="C56" t="str" cm="1">
        <f t="array" ref="C56">GetValue("Engines",B56,"Name")</f>
        <v>MySQL</v>
      </c>
      <c r="D56">
        <v>18</v>
      </c>
      <c r="E56" t="str" cm="1">
        <f t="array" ref="E56">GetValue("Types",D56,"Name")</f>
        <v>ntext</v>
      </c>
      <c r="F56" t="s">
        <v>565</v>
      </c>
      <c r="G56" t="s">
        <v>525</v>
      </c>
    </row>
    <row r="57" spans="1:7" x14ac:dyDescent="0.3">
      <c r="A57">
        <f t="shared" si="0"/>
        <v>56</v>
      </c>
      <c r="B57">
        <v>2</v>
      </c>
      <c r="C57" t="str" cm="1">
        <f t="array" ref="C57">GetValue("Engines",B57,"Name")</f>
        <v>MySQL</v>
      </c>
      <c r="D57">
        <v>19</v>
      </c>
      <c r="E57" t="str" cm="1">
        <f t="array" ref="E57">GetValue("Types",D57,"Name")</f>
        <v>numeric</v>
      </c>
      <c r="F57" t="s">
        <v>593</v>
      </c>
      <c r="G57" t="s">
        <v>526</v>
      </c>
    </row>
    <row r="58" spans="1:7" x14ac:dyDescent="0.3">
      <c r="A58">
        <f t="shared" si="0"/>
        <v>57</v>
      </c>
      <c r="B58">
        <v>2</v>
      </c>
      <c r="C58" t="str" cm="1">
        <f t="array" ref="C58">GetValue("Engines",B58,"Name")</f>
        <v>MySQL</v>
      </c>
      <c r="D58">
        <v>20</v>
      </c>
      <c r="E58" t="str" cm="1">
        <f t="array" ref="E58">GetValue("Types",D58,"Name")</f>
        <v>nvarchar</v>
      </c>
      <c r="F58" t="s">
        <v>546</v>
      </c>
      <c r="G58" t="s">
        <v>527</v>
      </c>
    </row>
    <row r="59" spans="1:7" x14ac:dyDescent="0.3">
      <c r="A59">
        <f t="shared" si="0"/>
        <v>58</v>
      </c>
      <c r="B59">
        <v>2</v>
      </c>
      <c r="C59" t="str" cm="1">
        <f t="array" ref="C59">GetValue("Engines",B59,"Name")</f>
        <v>MySQL</v>
      </c>
      <c r="D59">
        <v>21</v>
      </c>
      <c r="E59" t="str" cm="1">
        <f t="array" ref="E59">GetValue("Types",D59,"Name")</f>
        <v>nvarchar(max)</v>
      </c>
      <c r="F59" t="s">
        <v>565</v>
      </c>
      <c r="G59" t="s">
        <v>528</v>
      </c>
    </row>
    <row r="60" spans="1:7" x14ac:dyDescent="0.3">
      <c r="A60">
        <f t="shared" si="0"/>
        <v>59</v>
      </c>
      <c r="B60">
        <v>2</v>
      </c>
      <c r="C60" t="str" cm="1">
        <f t="array" ref="C60">GetValue("Engines",B60,"Name")</f>
        <v>MySQL</v>
      </c>
      <c r="D60">
        <v>22</v>
      </c>
      <c r="E60" t="str" cm="1">
        <f t="array" ref="E60">GetValue("Types",D60,"Name")</f>
        <v>real</v>
      </c>
      <c r="F60" t="s">
        <v>553</v>
      </c>
      <c r="G60" t="s">
        <v>530</v>
      </c>
    </row>
    <row r="61" spans="1:7" x14ac:dyDescent="0.3">
      <c r="A61">
        <f t="shared" si="0"/>
        <v>60</v>
      </c>
      <c r="B61">
        <v>2</v>
      </c>
      <c r="C61" t="str" cm="1">
        <f t="array" ref="C61">GetValue("Engines",B61,"Name")</f>
        <v>MySQL</v>
      </c>
      <c r="D61">
        <v>23</v>
      </c>
      <c r="E61" t="str" cm="1">
        <f t="array" ref="E61">GetValue("Types",D61,"Name")</f>
        <v>smalldatetime</v>
      </c>
      <c r="F61" t="s">
        <v>560</v>
      </c>
      <c r="G61" t="s">
        <v>531</v>
      </c>
    </row>
    <row r="62" spans="1:7" x14ac:dyDescent="0.3">
      <c r="A62">
        <f t="shared" si="0"/>
        <v>61</v>
      </c>
      <c r="B62">
        <v>2</v>
      </c>
      <c r="C62" t="str" cm="1">
        <f t="array" ref="C62">GetValue("Engines",B62,"Name")</f>
        <v>MySQL</v>
      </c>
      <c r="D62">
        <v>24</v>
      </c>
      <c r="E62" t="str" cm="1">
        <f t="array" ref="E62">GetValue("Types",D62,"Name")</f>
        <v>smallint</v>
      </c>
      <c r="F62" t="s">
        <v>502</v>
      </c>
      <c r="G62" t="s">
        <v>532</v>
      </c>
    </row>
    <row r="63" spans="1:7" x14ac:dyDescent="0.3">
      <c r="A63">
        <f t="shared" si="0"/>
        <v>62</v>
      </c>
      <c r="B63">
        <v>2</v>
      </c>
      <c r="C63" t="str" cm="1">
        <f t="array" ref="C63">GetValue("Engines",B63,"Name")</f>
        <v>MySQL</v>
      </c>
      <c r="D63">
        <v>25</v>
      </c>
      <c r="E63" t="str" cm="1">
        <f t="array" ref="E63">GetValue("Types",D63,"Name")</f>
        <v>smallmoney</v>
      </c>
      <c r="F63" t="s">
        <v>533</v>
      </c>
      <c r="G63" t="s">
        <v>534</v>
      </c>
    </row>
    <row r="64" spans="1:7" x14ac:dyDescent="0.3">
      <c r="A64">
        <f t="shared" si="0"/>
        <v>63</v>
      </c>
      <c r="B64">
        <v>2</v>
      </c>
      <c r="C64" t="str" cm="1">
        <f t="array" ref="C64">GetValue("Engines",B64,"Name")</f>
        <v>MySQL</v>
      </c>
      <c r="D64">
        <v>26</v>
      </c>
      <c r="E64" t="str" cm="1">
        <f t="array" ref="E64">GetValue("Types",D64,"Name")</f>
        <v>sql_variant</v>
      </c>
      <c r="F64" t="s">
        <v>556</v>
      </c>
      <c r="G64" t="s">
        <v>535</v>
      </c>
    </row>
    <row r="65" spans="1:7" x14ac:dyDescent="0.3">
      <c r="A65">
        <f t="shared" si="0"/>
        <v>64</v>
      </c>
      <c r="B65">
        <v>2</v>
      </c>
      <c r="C65" t="str" cm="1">
        <f t="array" ref="C65">GetValue("Engines",B65,"Name")</f>
        <v>MySQL</v>
      </c>
      <c r="D65">
        <v>27</v>
      </c>
      <c r="E65" t="str" cm="1">
        <f t="array" ref="E65">GetValue("Types",D65,"Name")</f>
        <v>sysname</v>
      </c>
      <c r="F65" t="s">
        <v>536</v>
      </c>
      <c r="G65" t="s">
        <v>537</v>
      </c>
    </row>
    <row r="66" spans="1:7" x14ac:dyDescent="0.3">
      <c r="A66">
        <f t="shared" si="0"/>
        <v>65</v>
      </c>
      <c r="B66">
        <v>2</v>
      </c>
      <c r="C66" t="str" cm="1">
        <f t="array" ref="C66">GetValue("Engines",B66,"Name")</f>
        <v>MySQL</v>
      </c>
      <c r="D66">
        <v>28</v>
      </c>
      <c r="E66" t="str" cm="1">
        <f t="array" ref="E66">GetValue("Types",D66,"Name")</f>
        <v>text</v>
      </c>
      <c r="F66" t="s">
        <v>565</v>
      </c>
      <c r="G66" t="s">
        <v>538</v>
      </c>
    </row>
    <row r="67" spans="1:7" x14ac:dyDescent="0.3">
      <c r="A67">
        <f t="shared" si="0"/>
        <v>66</v>
      </c>
      <c r="B67">
        <v>2</v>
      </c>
      <c r="C67" t="str" cm="1">
        <f t="array" ref="C67">GetValue("Engines",B67,"Name")</f>
        <v>MySQL</v>
      </c>
      <c r="D67">
        <v>29</v>
      </c>
      <c r="E67" t="str" cm="1">
        <f t="array" ref="E67">GetValue("Types",D67,"Name")</f>
        <v>time</v>
      </c>
      <c r="F67" t="s">
        <v>539</v>
      </c>
      <c r="G67" t="s">
        <v>540</v>
      </c>
    </row>
    <row r="68" spans="1:7" x14ac:dyDescent="0.3">
      <c r="A68">
        <f t="shared" ref="A68:A131" si="1">A67+1</f>
        <v>67</v>
      </c>
      <c r="B68">
        <v>2</v>
      </c>
      <c r="C68" t="str" cm="1">
        <f t="array" ref="C68">GetValue("Engines",B68,"Name")</f>
        <v>MySQL</v>
      </c>
      <c r="D68">
        <v>30</v>
      </c>
      <c r="E68" t="str" cm="1">
        <f t="array" ref="E68">GetValue("Types",D68,"Name")</f>
        <v>timestamp</v>
      </c>
      <c r="F68" t="s">
        <v>508</v>
      </c>
      <c r="G68" t="s">
        <v>541</v>
      </c>
    </row>
    <row r="69" spans="1:7" x14ac:dyDescent="0.3">
      <c r="A69">
        <f t="shared" si="1"/>
        <v>68</v>
      </c>
      <c r="B69">
        <v>2</v>
      </c>
      <c r="C69" t="str" cm="1">
        <f t="array" ref="C69">GetValue("Engines",B69,"Name")</f>
        <v>MySQL</v>
      </c>
      <c r="D69">
        <v>31</v>
      </c>
      <c r="E69" t="str" cm="1">
        <f t="array" ref="E69">GetValue("Types",D69,"Name")</f>
        <v>tinyint</v>
      </c>
      <c r="F69" t="s">
        <v>566</v>
      </c>
      <c r="G69" t="s">
        <v>542</v>
      </c>
    </row>
    <row r="70" spans="1:7" x14ac:dyDescent="0.3">
      <c r="A70">
        <f t="shared" si="1"/>
        <v>69</v>
      </c>
      <c r="B70">
        <v>2</v>
      </c>
      <c r="C70" t="str" cm="1">
        <f t="array" ref="C70">GetValue("Engines",B70,"Name")</f>
        <v>MySQL</v>
      </c>
      <c r="D70">
        <v>32</v>
      </c>
      <c r="E70" t="str" cm="1">
        <f t="array" ref="E70">GetValue("Types",D70,"Name")</f>
        <v>uniqueidentifier</v>
      </c>
      <c r="F70" t="s">
        <v>558</v>
      </c>
      <c r="G70" t="s">
        <v>543</v>
      </c>
    </row>
    <row r="71" spans="1:7" x14ac:dyDescent="0.3">
      <c r="A71">
        <f t="shared" si="1"/>
        <v>70</v>
      </c>
      <c r="B71">
        <v>2</v>
      </c>
      <c r="C71" t="str" cm="1">
        <f t="array" ref="C71">GetValue("Engines",B71,"Name")</f>
        <v>MySQL</v>
      </c>
      <c r="D71">
        <v>33</v>
      </c>
      <c r="E71" t="str" cm="1">
        <f t="array" ref="E71">GetValue("Types",D71,"Name")</f>
        <v>varbinary</v>
      </c>
      <c r="F71" t="s">
        <v>567</v>
      </c>
      <c r="G71" t="s">
        <v>544</v>
      </c>
    </row>
    <row r="72" spans="1:7" x14ac:dyDescent="0.3">
      <c r="A72">
        <f t="shared" si="1"/>
        <v>71</v>
      </c>
      <c r="B72">
        <v>2</v>
      </c>
      <c r="C72" t="str" cm="1">
        <f t="array" ref="C72">GetValue("Engines",B72,"Name")</f>
        <v>MySQL</v>
      </c>
      <c r="D72">
        <v>34</v>
      </c>
      <c r="E72" t="str" cm="1">
        <f t="array" ref="E72">GetValue("Types",D72,"Name")</f>
        <v>varbinary(max)</v>
      </c>
      <c r="F72" t="s">
        <v>563</v>
      </c>
      <c r="G72" t="s">
        <v>545</v>
      </c>
    </row>
    <row r="73" spans="1:7" x14ac:dyDescent="0.3">
      <c r="A73">
        <f t="shared" si="1"/>
        <v>72</v>
      </c>
      <c r="B73">
        <v>2</v>
      </c>
      <c r="C73" t="str" cm="1">
        <f t="array" ref="C73">GetValue("Engines",B73,"Name")</f>
        <v>MySQL</v>
      </c>
      <c r="D73">
        <v>35</v>
      </c>
      <c r="E73" t="str" cm="1">
        <f t="array" ref="E73">GetValue("Types",D73,"Name")</f>
        <v>varchar</v>
      </c>
      <c r="F73" t="s">
        <v>546</v>
      </c>
      <c r="G73" t="s">
        <v>547</v>
      </c>
    </row>
    <row r="74" spans="1:7" x14ac:dyDescent="0.3">
      <c r="A74">
        <f t="shared" si="1"/>
        <v>73</v>
      </c>
      <c r="B74">
        <v>2</v>
      </c>
      <c r="C74" t="str" cm="1">
        <f t="array" ref="C74">GetValue("Engines",B74,"Name")</f>
        <v>MySQL</v>
      </c>
      <c r="D74">
        <v>36</v>
      </c>
      <c r="E74" t="str" cm="1">
        <f t="array" ref="E74">GetValue("Types",D74,"Name")</f>
        <v>varchar(max)</v>
      </c>
      <c r="F74" t="s">
        <v>565</v>
      </c>
      <c r="G74" t="s">
        <v>548</v>
      </c>
    </row>
    <row r="75" spans="1:7" x14ac:dyDescent="0.3">
      <c r="A75">
        <f t="shared" si="1"/>
        <v>74</v>
      </c>
      <c r="B75">
        <v>2</v>
      </c>
      <c r="C75" t="str" cm="1">
        <f t="array" ref="C75">GetValue("Engines",B75,"Name")</f>
        <v>MySQL</v>
      </c>
      <c r="D75">
        <v>37</v>
      </c>
      <c r="E75" t="str" cm="1">
        <f t="array" ref="E75">GetValue("Types",D75,"Name")</f>
        <v>xml</v>
      </c>
      <c r="F75" t="s">
        <v>565</v>
      </c>
      <c r="G75" t="s">
        <v>550</v>
      </c>
    </row>
    <row r="76" spans="1:7" x14ac:dyDescent="0.3">
      <c r="A76">
        <f t="shared" si="1"/>
        <v>75</v>
      </c>
      <c r="B76">
        <v>3</v>
      </c>
      <c r="C76" t="str" cm="1">
        <f t="array" ref="C76">GetValue("Engines",B76,"Name")</f>
        <v>MariaDB</v>
      </c>
      <c r="D76">
        <v>1</v>
      </c>
      <c r="E76" t="str" cm="1">
        <f t="array" ref="E76">GetValue("Types",D76,"Name")</f>
        <v>bigint</v>
      </c>
      <c r="F76" t="s">
        <v>499</v>
      </c>
      <c r="G76" t="s">
        <v>500</v>
      </c>
    </row>
    <row r="77" spans="1:7" x14ac:dyDescent="0.3">
      <c r="A77">
        <f t="shared" si="1"/>
        <v>76</v>
      </c>
      <c r="B77">
        <v>3</v>
      </c>
      <c r="C77" t="str" cm="1">
        <f t="array" ref="C77">GetValue("Engines",B77,"Name")</f>
        <v>MariaDB</v>
      </c>
      <c r="D77">
        <v>2</v>
      </c>
      <c r="E77" t="str" cm="1">
        <f t="array" ref="E77">GetValue("Types",D77,"Name")</f>
        <v>binary</v>
      </c>
      <c r="F77" t="s">
        <v>559</v>
      </c>
      <c r="G77" t="s">
        <v>501</v>
      </c>
    </row>
    <row r="78" spans="1:7" x14ac:dyDescent="0.3">
      <c r="A78">
        <f t="shared" si="1"/>
        <v>77</v>
      </c>
      <c r="B78">
        <v>3</v>
      </c>
      <c r="C78" t="str" cm="1">
        <f t="array" ref="C78">GetValue("Engines",B78,"Name")</f>
        <v>MariaDB</v>
      </c>
      <c r="D78">
        <v>3</v>
      </c>
      <c r="E78" t="str" cm="1">
        <f t="array" ref="E78">GetValue("Types",D78,"Name")</f>
        <v>bit</v>
      </c>
      <c r="F78" t="s">
        <v>554</v>
      </c>
      <c r="G78" t="s">
        <v>503</v>
      </c>
    </row>
    <row r="79" spans="1:7" x14ac:dyDescent="0.3">
      <c r="A79">
        <f t="shared" si="1"/>
        <v>78</v>
      </c>
      <c r="B79">
        <v>3</v>
      </c>
      <c r="C79" t="str" cm="1">
        <f t="array" ref="C79">GetValue("Engines",B79,"Name")</f>
        <v>MariaDB</v>
      </c>
      <c r="D79">
        <v>4</v>
      </c>
      <c r="E79" t="str" cm="1">
        <f t="array" ref="E79">GetValue("Types",D79,"Name")</f>
        <v>char</v>
      </c>
      <c r="F79" t="s">
        <v>504</v>
      </c>
      <c r="G79" t="s">
        <v>505</v>
      </c>
    </row>
    <row r="80" spans="1:7" x14ac:dyDescent="0.3">
      <c r="A80">
        <f t="shared" si="1"/>
        <v>79</v>
      </c>
      <c r="B80">
        <v>3</v>
      </c>
      <c r="C80" t="str" cm="1">
        <f t="array" ref="C80">GetValue("Engines",B80,"Name")</f>
        <v>MariaDB</v>
      </c>
      <c r="D80">
        <v>5</v>
      </c>
      <c r="E80" t="str" cm="1">
        <f t="array" ref="E80">GetValue("Types",D80,"Name")</f>
        <v>date</v>
      </c>
      <c r="F80" t="s">
        <v>506</v>
      </c>
      <c r="G80" t="s">
        <v>507</v>
      </c>
    </row>
    <row r="81" spans="1:7" x14ac:dyDescent="0.3">
      <c r="A81">
        <f t="shared" si="1"/>
        <v>80</v>
      </c>
      <c r="B81">
        <v>3</v>
      </c>
      <c r="C81" t="str" cm="1">
        <f t="array" ref="C81">GetValue("Engines",B81,"Name")</f>
        <v>MariaDB</v>
      </c>
      <c r="D81">
        <v>6</v>
      </c>
      <c r="E81" t="str" cm="1">
        <f t="array" ref="E81">GetValue("Types",D81,"Name")</f>
        <v>datetime</v>
      </c>
      <c r="F81" t="s">
        <v>560</v>
      </c>
      <c r="G81" t="s">
        <v>509</v>
      </c>
    </row>
    <row r="82" spans="1:7" x14ac:dyDescent="0.3">
      <c r="A82">
        <f t="shared" si="1"/>
        <v>81</v>
      </c>
      <c r="B82">
        <v>3</v>
      </c>
      <c r="C82" t="str" cm="1">
        <f t="array" ref="C82">GetValue("Engines",B82,"Name")</f>
        <v>MariaDB</v>
      </c>
      <c r="D82">
        <v>7</v>
      </c>
      <c r="E82" t="str" cm="1">
        <f t="array" ref="E82">GetValue("Types",D82,"Name")</f>
        <v>datetime2</v>
      </c>
      <c r="F82" t="s">
        <v>561</v>
      </c>
      <c r="G82" t="s">
        <v>510</v>
      </c>
    </row>
    <row r="83" spans="1:7" x14ac:dyDescent="0.3">
      <c r="A83">
        <f t="shared" si="1"/>
        <v>82</v>
      </c>
      <c r="B83">
        <v>3</v>
      </c>
      <c r="C83" t="str" cm="1">
        <f t="array" ref="C83">GetValue("Engines",B83,"Name")</f>
        <v>MariaDB</v>
      </c>
      <c r="D83">
        <v>8</v>
      </c>
      <c r="E83" t="str" cm="1">
        <f t="array" ref="E83">GetValue("Types",D83,"Name")</f>
        <v>datetimeoffset</v>
      </c>
      <c r="F83" t="s">
        <v>508</v>
      </c>
      <c r="G83" t="s">
        <v>512</v>
      </c>
    </row>
    <row r="84" spans="1:7" x14ac:dyDescent="0.3">
      <c r="A84">
        <f t="shared" si="1"/>
        <v>83</v>
      </c>
      <c r="B84">
        <v>3</v>
      </c>
      <c r="C84" t="str" cm="1">
        <f t="array" ref="C84">GetValue("Engines",B84,"Name")</f>
        <v>MariaDB</v>
      </c>
      <c r="D84">
        <v>9</v>
      </c>
      <c r="E84" t="str" cm="1">
        <f t="array" ref="E84">GetValue("Types",D84,"Name")</f>
        <v>decimal</v>
      </c>
      <c r="F84" t="s">
        <v>592</v>
      </c>
      <c r="G84" t="s">
        <v>513</v>
      </c>
    </row>
    <row r="85" spans="1:7" x14ac:dyDescent="0.3">
      <c r="A85">
        <f t="shared" si="1"/>
        <v>84</v>
      </c>
      <c r="B85">
        <v>3</v>
      </c>
      <c r="C85" t="str" cm="1">
        <f t="array" ref="C85">GetValue("Engines",B85,"Name")</f>
        <v>MariaDB</v>
      </c>
      <c r="D85">
        <v>10</v>
      </c>
      <c r="E85" t="str" cm="1">
        <f t="array" ref="E85">GetValue("Types",D85,"Name")</f>
        <v>float</v>
      </c>
      <c r="F85" t="s">
        <v>514</v>
      </c>
      <c r="G85" t="s">
        <v>515</v>
      </c>
    </row>
    <row r="86" spans="1:7" x14ac:dyDescent="0.3">
      <c r="A86">
        <f t="shared" si="1"/>
        <v>85</v>
      </c>
      <c r="B86">
        <v>3</v>
      </c>
      <c r="C86" t="str" cm="1">
        <f t="array" ref="C86">GetValue("Engines",B86,"Name")</f>
        <v>MariaDB</v>
      </c>
      <c r="D86">
        <v>11</v>
      </c>
      <c r="E86" t="str" cm="1">
        <f t="array" ref="E86">GetValue("Types",D86,"Name")</f>
        <v>geography</v>
      </c>
      <c r="F86" t="s">
        <v>562</v>
      </c>
      <c r="G86" t="s">
        <v>516</v>
      </c>
    </row>
    <row r="87" spans="1:7" x14ac:dyDescent="0.3">
      <c r="A87">
        <f t="shared" si="1"/>
        <v>86</v>
      </c>
      <c r="B87">
        <v>3</v>
      </c>
      <c r="C87" t="str" cm="1">
        <f t="array" ref="C87">GetValue("Engines",B87,"Name")</f>
        <v>MariaDB</v>
      </c>
      <c r="D87">
        <v>12</v>
      </c>
      <c r="E87" t="str" cm="1">
        <f t="array" ref="E87">GetValue("Types",D87,"Name")</f>
        <v>geometry</v>
      </c>
      <c r="F87" t="s">
        <v>562</v>
      </c>
      <c r="G87" t="s">
        <v>517</v>
      </c>
    </row>
    <row r="88" spans="1:7" x14ac:dyDescent="0.3">
      <c r="A88">
        <f t="shared" si="1"/>
        <v>87</v>
      </c>
      <c r="B88">
        <v>3</v>
      </c>
      <c r="C88" t="str" cm="1">
        <f t="array" ref="C88">GetValue("Engines",B88,"Name")</f>
        <v>MariaDB</v>
      </c>
      <c r="D88">
        <v>13</v>
      </c>
      <c r="E88" t="str" cm="1">
        <f t="array" ref="E88">GetValue("Types",D88,"Name")</f>
        <v>hierarchyid</v>
      </c>
      <c r="G88" t="s">
        <v>518</v>
      </c>
    </row>
    <row r="89" spans="1:7" x14ac:dyDescent="0.3">
      <c r="A89">
        <f t="shared" si="1"/>
        <v>88</v>
      </c>
      <c r="B89">
        <v>3</v>
      </c>
      <c r="C89" t="str" cm="1">
        <f t="array" ref="C89">GetValue("Engines",B89,"Name")</f>
        <v>MariaDB</v>
      </c>
      <c r="D89">
        <v>14</v>
      </c>
      <c r="E89" t="str" cm="1">
        <f t="array" ref="E89">GetValue("Types",D89,"Name")</f>
        <v>image</v>
      </c>
      <c r="F89" t="s">
        <v>563</v>
      </c>
      <c r="G89" t="s">
        <v>519</v>
      </c>
    </row>
    <row r="90" spans="1:7" x14ac:dyDescent="0.3">
      <c r="A90">
        <f t="shared" si="1"/>
        <v>89</v>
      </c>
      <c r="B90">
        <v>3</v>
      </c>
      <c r="C90" t="str" cm="1">
        <f t="array" ref="C90">GetValue("Engines",B90,"Name")</f>
        <v>MariaDB</v>
      </c>
      <c r="D90">
        <v>15</v>
      </c>
      <c r="E90" t="str" cm="1">
        <f t="array" ref="E90">GetValue("Types",D90,"Name")</f>
        <v>int</v>
      </c>
      <c r="F90" t="s">
        <v>564</v>
      </c>
      <c r="G90" t="s">
        <v>521</v>
      </c>
    </row>
    <row r="91" spans="1:7" x14ac:dyDescent="0.3">
      <c r="A91">
        <f t="shared" si="1"/>
        <v>90</v>
      </c>
      <c r="B91">
        <v>3</v>
      </c>
      <c r="C91" t="str" cm="1">
        <f t="array" ref="C91">GetValue("Engines",B91,"Name")</f>
        <v>MariaDB</v>
      </c>
      <c r="D91">
        <v>16</v>
      </c>
      <c r="E91" t="str" cm="1">
        <f t="array" ref="E91">GetValue("Types",D91,"Name")</f>
        <v>money</v>
      </c>
      <c r="F91" t="s">
        <v>522</v>
      </c>
      <c r="G91" t="s">
        <v>523</v>
      </c>
    </row>
    <row r="92" spans="1:7" x14ac:dyDescent="0.3">
      <c r="A92">
        <f t="shared" si="1"/>
        <v>91</v>
      </c>
      <c r="B92">
        <v>3</v>
      </c>
      <c r="C92" t="str" cm="1">
        <f t="array" ref="C92">GetValue("Engines",B92,"Name")</f>
        <v>MariaDB</v>
      </c>
      <c r="D92">
        <v>17</v>
      </c>
      <c r="E92" t="str" cm="1">
        <f t="array" ref="E92">GetValue("Types",D92,"Name")</f>
        <v>nchar</v>
      </c>
      <c r="F92" t="s">
        <v>504</v>
      </c>
      <c r="G92" t="s">
        <v>524</v>
      </c>
    </row>
    <row r="93" spans="1:7" x14ac:dyDescent="0.3">
      <c r="A93">
        <f t="shared" si="1"/>
        <v>92</v>
      </c>
      <c r="B93">
        <v>3</v>
      </c>
      <c r="C93" t="str" cm="1">
        <f t="array" ref="C93">GetValue("Engines",B93,"Name")</f>
        <v>MariaDB</v>
      </c>
      <c r="D93">
        <v>18</v>
      </c>
      <c r="E93" t="str" cm="1">
        <f t="array" ref="E93">GetValue("Types",D93,"Name")</f>
        <v>ntext</v>
      </c>
      <c r="F93" t="s">
        <v>565</v>
      </c>
      <c r="G93" t="s">
        <v>525</v>
      </c>
    </row>
    <row r="94" spans="1:7" x14ac:dyDescent="0.3">
      <c r="A94">
        <f t="shared" si="1"/>
        <v>93</v>
      </c>
      <c r="B94">
        <v>3</v>
      </c>
      <c r="C94" t="str" cm="1">
        <f t="array" ref="C94">GetValue("Engines",B94,"Name")</f>
        <v>MariaDB</v>
      </c>
      <c r="D94">
        <v>19</v>
      </c>
      <c r="E94" t="str" cm="1">
        <f t="array" ref="E94">GetValue("Types",D94,"Name")</f>
        <v>numeric</v>
      </c>
      <c r="F94" t="s">
        <v>593</v>
      </c>
      <c r="G94" t="s">
        <v>526</v>
      </c>
    </row>
    <row r="95" spans="1:7" x14ac:dyDescent="0.3">
      <c r="A95">
        <f t="shared" si="1"/>
        <v>94</v>
      </c>
      <c r="B95">
        <v>3</v>
      </c>
      <c r="C95" t="str" cm="1">
        <f t="array" ref="C95">GetValue("Engines",B95,"Name")</f>
        <v>MariaDB</v>
      </c>
      <c r="D95">
        <v>20</v>
      </c>
      <c r="E95" t="str" cm="1">
        <f t="array" ref="E95">GetValue("Types",D95,"Name")</f>
        <v>nvarchar</v>
      </c>
      <c r="F95" t="s">
        <v>546</v>
      </c>
      <c r="G95" t="s">
        <v>527</v>
      </c>
    </row>
    <row r="96" spans="1:7" x14ac:dyDescent="0.3">
      <c r="A96">
        <f t="shared" si="1"/>
        <v>95</v>
      </c>
      <c r="B96">
        <v>3</v>
      </c>
      <c r="C96" t="str" cm="1">
        <f t="array" ref="C96">GetValue("Engines",B96,"Name")</f>
        <v>MariaDB</v>
      </c>
      <c r="D96">
        <v>21</v>
      </c>
      <c r="E96" t="str" cm="1">
        <f t="array" ref="E96">GetValue("Types",D96,"Name")</f>
        <v>nvarchar(max)</v>
      </c>
      <c r="F96" t="s">
        <v>565</v>
      </c>
      <c r="G96" t="s">
        <v>528</v>
      </c>
    </row>
    <row r="97" spans="1:7" x14ac:dyDescent="0.3">
      <c r="A97">
        <f t="shared" si="1"/>
        <v>96</v>
      </c>
      <c r="B97">
        <v>3</v>
      </c>
      <c r="C97" t="str" cm="1">
        <f t="array" ref="C97">GetValue("Engines",B97,"Name")</f>
        <v>MariaDB</v>
      </c>
      <c r="D97">
        <v>22</v>
      </c>
      <c r="E97" t="str" cm="1">
        <f t="array" ref="E97">GetValue("Types",D97,"Name")</f>
        <v>real</v>
      </c>
      <c r="F97" t="s">
        <v>553</v>
      </c>
      <c r="G97" t="s">
        <v>530</v>
      </c>
    </row>
    <row r="98" spans="1:7" x14ac:dyDescent="0.3">
      <c r="A98">
        <f t="shared" si="1"/>
        <v>97</v>
      </c>
      <c r="B98">
        <v>3</v>
      </c>
      <c r="C98" t="str" cm="1">
        <f t="array" ref="C98">GetValue("Engines",B98,"Name")</f>
        <v>MariaDB</v>
      </c>
      <c r="D98">
        <v>23</v>
      </c>
      <c r="E98" t="str" cm="1">
        <f t="array" ref="E98">GetValue("Types",D98,"Name")</f>
        <v>smalldatetime</v>
      </c>
      <c r="F98" t="s">
        <v>560</v>
      </c>
      <c r="G98" t="s">
        <v>531</v>
      </c>
    </row>
    <row r="99" spans="1:7" x14ac:dyDescent="0.3">
      <c r="A99">
        <f t="shared" si="1"/>
        <v>98</v>
      </c>
      <c r="B99">
        <v>3</v>
      </c>
      <c r="C99" t="str" cm="1">
        <f t="array" ref="C99">GetValue("Engines",B99,"Name")</f>
        <v>MariaDB</v>
      </c>
      <c r="D99">
        <v>24</v>
      </c>
      <c r="E99" t="str" cm="1">
        <f t="array" ref="E99">GetValue("Types",D99,"Name")</f>
        <v>smallint</v>
      </c>
      <c r="F99" t="s">
        <v>502</v>
      </c>
      <c r="G99" t="s">
        <v>532</v>
      </c>
    </row>
    <row r="100" spans="1:7" x14ac:dyDescent="0.3">
      <c r="A100">
        <f t="shared" si="1"/>
        <v>99</v>
      </c>
      <c r="B100">
        <v>3</v>
      </c>
      <c r="C100" t="str" cm="1">
        <f t="array" ref="C100">GetValue("Engines",B100,"Name")</f>
        <v>MariaDB</v>
      </c>
      <c r="D100">
        <v>25</v>
      </c>
      <c r="E100" t="str" cm="1">
        <f t="array" ref="E100">GetValue("Types",D100,"Name")</f>
        <v>smallmoney</v>
      </c>
      <c r="F100" t="s">
        <v>533</v>
      </c>
      <c r="G100" t="s">
        <v>534</v>
      </c>
    </row>
    <row r="101" spans="1:7" x14ac:dyDescent="0.3">
      <c r="A101">
        <f t="shared" si="1"/>
        <v>100</v>
      </c>
      <c r="B101">
        <v>3</v>
      </c>
      <c r="C101" t="str" cm="1">
        <f t="array" ref="C101">GetValue("Engines",B101,"Name")</f>
        <v>MariaDB</v>
      </c>
      <c r="D101">
        <v>26</v>
      </c>
      <c r="E101" t="str" cm="1">
        <f t="array" ref="E101">GetValue("Types",D101,"Name")</f>
        <v>sql_variant</v>
      </c>
      <c r="F101" t="s">
        <v>556</v>
      </c>
      <c r="G101" t="s">
        <v>535</v>
      </c>
    </row>
    <row r="102" spans="1:7" x14ac:dyDescent="0.3">
      <c r="A102">
        <f t="shared" si="1"/>
        <v>101</v>
      </c>
      <c r="B102">
        <v>3</v>
      </c>
      <c r="C102" t="str" cm="1">
        <f t="array" ref="C102">GetValue("Engines",B102,"Name")</f>
        <v>MariaDB</v>
      </c>
      <c r="D102">
        <v>27</v>
      </c>
      <c r="E102" t="str" cm="1">
        <f t="array" ref="E102">GetValue("Types",D102,"Name")</f>
        <v>sysname</v>
      </c>
      <c r="F102" t="s">
        <v>536</v>
      </c>
      <c r="G102" t="s">
        <v>537</v>
      </c>
    </row>
    <row r="103" spans="1:7" x14ac:dyDescent="0.3">
      <c r="A103">
        <f t="shared" si="1"/>
        <v>102</v>
      </c>
      <c r="B103">
        <v>3</v>
      </c>
      <c r="C103" t="str" cm="1">
        <f t="array" ref="C103">GetValue("Engines",B103,"Name")</f>
        <v>MariaDB</v>
      </c>
      <c r="D103">
        <v>28</v>
      </c>
      <c r="E103" t="str" cm="1">
        <f t="array" ref="E103">GetValue("Types",D103,"Name")</f>
        <v>text</v>
      </c>
      <c r="F103" t="s">
        <v>565</v>
      </c>
      <c r="G103" t="s">
        <v>538</v>
      </c>
    </row>
    <row r="104" spans="1:7" x14ac:dyDescent="0.3">
      <c r="A104">
        <f t="shared" si="1"/>
        <v>103</v>
      </c>
      <c r="B104">
        <v>3</v>
      </c>
      <c r="C104" t="str" cm="1">
        <f t="array" ref="C104">GetValue("Engines",B104,"Name")</f>
        <v>MariaDB</v>
      </c>
      <c r="D104">
        <v>29</v>
      </c>
      <c r="E104" t="str" cm="1">
        <f t="array" ref="E104">GetValue("Types",D104,"Name")</f>
        <v>time</v>
      </c>
      <c r="F104" t="s">
        <v>539</v>
      </c>
      <c r="G104" t="s">
        <v>540</v>
      </c>
    </row>
    <row r="105" spans="1:7" x14ac:dyDescent="0.3">
      <c r="A105">
        <f t="shared" si="1"/>
        <v>104</v>
      </c>
      <c r="B105">
        <v>3</v>
      </c>
      <c r="C105" t="str" cm="1">
        <f t="array" ref="C105">GetValue("Engines",B105,"Name")</f>
        <v>MariaDB</v>
      </c>
      <c r="D105">
        <v>30</v>
      </c>
      <c r="E105" t="str" cm="1">
        <f t="array" ref="E105">GetValue("Types",D105,"Name")</f>
        <v>timestamp</v>
      </c>
      <c r="F105" t="s">
        <v>508</v>
      </c>
      <c r="G105" t="s">
        <v>541</v>
      </c>
    </row>
    <row r="106" spans="1:7" x14ac:dyDescent="0.3">
      <c r="A106">
        <f t="shared" si="1"/>
        <v>105</v>
      </c>
      <c r="B106">
        <v>3</v>
      </c>
      <c r="C106" t="str" cm="1">
        <f t="array" ref="C106">GetValue("Engines",B106,"Name")</f>
        <v>MariaDB</v>
      </c>
      <c r="D106">
        <v>31</v>
      </c>
      <c r="E106" t="str" cm="1">
        <f t="array" ref="E106">GetValue("Types",D106,"Name")</f>
        <v>tinyint</v>
      </c>
      <c r="F106" t="s">
        <v>566</v>
      </c>
      <c r="G106" t="s">
        <v>542</v>
      </c>
    </row>
    <row r="107" spans="1:7" x14ac:dyDescent="0.3">
      <c r="A107">
        <f t="shared" si="1"/>
        <v>106</v>
      </c>
      <c r="B107">
        <v>3</v>
      </c>
      <c r="C107" t="str" cm="1">
        <f t="array" ref="C107">GetValue("Engines",B107,"Name")</f>
        <v>MariaDB</v>
      </c>
      <c r="D107">
        <v>32</v>
      </c>
      <c r="E107" t="str" cm="1">
        <f t="array" ref="E107">GetValue("Types",D107,"Name")</f>
        <v>uniqueidentifier</v>
      </c>
      <c r="F107" t="s">
        <v>558</v>
      </c>
      <c r="G107" t="s">
        <v>543</v>
      </c>
    </row>
    <row r="108" spans="1:7" x14ac:dyDescent="0.3">
      <c r="A108">
        <f t="shared" si="1"/>
        <v>107</v>
      </c>
      <c r="B108">
        <v>3</v>
      </c>
      <c r="C108" t="str" cm="1">
        <f t="array" ref="C108">GetValue("Engines",B108,"Name")</f>
        <v>MariaDB</v>
      </c>
      <c r="D108">
        <v>33</v>
      </c>
      <c r="E108" t="str" cm="1">
        <f t="array" ref="E108">GetValue("Types",D108,"Name")</f>
        <v>varbinary</v>
      </c>
      <c r="F108" t="s">
        <v>567</v>
      </c>
      <c r="G108" t="s">
        <v>544</v>
      </c>
    </row>
    <row r="109" spans="1:7" x14ac:dyDescent="0.3">
      <c r="A109">
        <f t="shared" si="1"/>
        <v>108</v>
      </c>
      <c r="B109">
        <v>3</v>
      </c>
      <c r="C109" t="str" cm="1">
        <f t="array" ref="C109">GetValue("Engines",B109,"Name")</f>
        <v>MariaDB</v>
      </c>
      <c r="D109">
        <v>34</v>
      </c>
      <c r="E109" t="str" cm="1">
        <f t="array" ref="E109">GetValue("Types",D109,"Name")</f>
        <v>varbinary(max)</v>
      </c>
      <c r="F109" t="s">
        <v>563</v>
      </c>
      <c r="G109" t="s">
        <v>545</v>
      </c>
    </row>
    <row r="110" spans="1:7" x14ac:dyDescent="0.3">
      <c r="A110">
        <f t="shared" si="1"/>
        <v>109</v>
      </c>
      <c r="B110">
        <v>3</v>
      </c>
      <c r="C110" t="str" cm="1">
        <f t="array" ref="C110">GetValue("Engines",B110,"Name")</f>
        <v>MariaDB</v>
      </c>
      <c r="D110">
        <v>35</v>
      </c>
      <c r="E110" t="str" cm="1">
        <f t="array" ref="E110">GetValue("Types",D110,"Name")</f>
        <v>varchar</v>
      </c>
      <c r="F110" t="s">
        <v>546</v>
      </c>
      <c r="G110" t="s">
        <v>547</v>
      </c>
    </row>
    <row r="111" spans="1:7" x14ac:dyDescent="0.3">
      <c r="A111">
        <f t="shared" si="1"/>
        <v>110</v>
      </c>
      <c r="B111">
        <v>3</v>
      </c>
      <c r="C111" t="str" cm="1">
        <f t="array" ref="C111">GetValue("Engines",B111,"Name")</f>
        <v>MariaDB</v>
      </c>
      <c r="D111">
        <v>36</v>
      </c>
      <c r="E111" t="str" cm="1">
        <f t="array" ref="E111">GetValue("Types",D111,"Name")</f>
        <v>varchar(max)</v>
      </c>
      <c r="F111" t="s">
        <v>565</v>
      </c>
      <c r="G111" t="s">
        <v>548</v>
      </c>
    </row>
    <row r="112" spans="1:7" x14ac:dyDescent="0.3">
      <c r="A112">
        <f t="shared" si="1"/>
        <v>111</v>
      </c>
      <c r="B112">
        <v>3</v>
      </c>
      <c r="C112" t="str" cm="1">
        <f t="array" ref="C112">GetValue("Engines",B112,"Name")</f>
        <v>MariaDB</v>
      </c>
      <c r="D112">
        <v>37</v>
      </c>
      <c r="E112" t="str" cm="1">
        <f t="array" ref="E112">GetValue("Types",D112,"Name")</f>
        <v>xml</v>
      </c>
      <c r="F112" t="s">
        <v>565</v>
      </c>
      <c r="G112" t="s">
        <v>550</v>
      </c>
    </row>
    <row r="113" spans="1:7" x14ac:dyDescent="0.3">
      <c r="A113">
        <f t="shared" si="1"/>
        <v>112</v>
      </c>
      <c r="B113">
        <v>4</v>
      </c>
      <c r="C113" t="str" cm="1">
        <f t="array" ref="C113">GetValue("Engines",B113,"Name")</f>
        <v>PostgreSQL</v>
      </c>
      <c r="D113">
        <v>1</v>
      </c>
      <c r="E113" t="str" cm="1">
        <f t="array" ref="E113">GetValue("Types",D113,"Name")</f>
        <v>bigint</v>
      </c>
      <c r="F113" t="s">
        <v>499</v>
      </c>
      <c r="G113" t="s">
        <v>500</v>
      </c>
    </row>
    <row r="114" spans="1:7" x14ac:dyDescent="0.3">
      <c r="A114">
        <f t="shared" si="1"/>
        <v>113</v>
      </c>
      <c r="B114">
        <v>4</v>
      </c>
      <c r="C114" t="str" cm="1">
        <f t="array" ref="C114">GetValue("Engines",B114,"Name")</f>
        <v>PostgreSQL</v>
      </c>
      <c r="D114">
        <v>2</v>
      </c>
      <c r="E114" t="str" cm="1">
        <f t="array" ref="E114">GetValue("Types",D114,"Name")</f>
        <v>binary</v>
      </c>
      <c r="F114" t="s">
        <v>568</v>
      </c>
      <c r="G114" t="s">
        <v>501</v>
      </c>
    </row>
    <row r="115" spans="1:7" x14ac:dyDescent="0.3">
      <c r="A115">
        <f t="shared" si="1"/>
        <v>114</v>
      </c>
      <c r="B115">
        <v>4</v>
      </c>
      <c r="C115" t="str" cm="1">
        <f t="array" ref="C115">GetValue("Engines",B115,"Name")</f>
        <v>PostgreSQL</v>
      </c>
      <c r="D115">
        <v>3</v>
      </c>
      <c r="E115" t="str" cm="1">
        <f t="array" ref="E115">GetValue("Types",D115,"Name")</f>
        <v>bit</v>
      </c>
      <c r="F115" t="s">
        <v>554</v>
      </c>
      <c r="G115" t="s">
        <v>503</v>
      </c>
    </row>
    <row r="116" spans="1:7" x14ac:dyDescent="0.3">
      <c r="A116">
        <f t="shared" si="1"/>
        <v>115</v>
      </c>
      <c r="B116">
        <v>4</v>
      </c>
      <c r="C116" t="str" cm="1">
        <f t="array" ref="C116">GetValue("Engines",B116,"Name")</f>
        <v>PostgreSQL</v>
      </c>
      <c r="D116">
        <v>4</v>
      </c>
      <c r="E116" t="str" cm="1">
        <f t="array" ref="E116">GetValue("Types",D116,"Name")</f>
        <v>char</v>
      </c>
      <c r="F116" t="s">
        <v>504</v>
      </c>
      <c r="G116" t="s">
        <v>505</v>
      </c>
    </row>
    <row r="117" spans="1:7" x14ac:dyDescent="0.3">
      <c r="A117">
        <f t="shared" si="1"/>
        <v>116</v>
      </c>
      <c r="B117">
        <v>4</v>
      </c>
      <c r="C117" t="str" cm="1">
        <f t="array" ref="C117">GetValue("Engines",B117,"Name")</f>
        <v>PostgreSQL</v>
      </c>
      <c r="D117">
        <v>5</v>
      </c>
      <c r="E117" t="str" cm="1">
        <f t="array" ref="E117">GetValue("Types",D117,"Name")</f>
        <v>date</v>
      </c>
      <c r="F117" t="s">
        <v>506</v>
      </c>
      <c r="G117" t="s">
        <v>507</v>
      </c>
    </row>
    <row r="118" spans="1:7" x14ac:dyDescent="0.3">
      <c r="A118">
        <f t="shared" si="1"/>
        <v>117</v>
      </c>
      <c r="B118">
        <v>4</v>
      </c>
      <c r="C118" t="str" cm="1">
        <f t="array" ref="C118">GetValue("Engines",B118,"Name")</f>
        <v>PostgreSQL</v>
      </c>
      <c r="D118">
        <v>6</v>
      </c>
      <c r="E118" t="str" cm="1">
        <f t="array" ref="E118">GetValue("Types",D118,"Name")</f>
        <v>datetime</v>
      </c>
      <c r="F118" t="s">
        <v>508</v>
      </c>
      <c r="G118" t="s">
        <v>509</v>
      </c>
    </row>
    <row r="119" spans="1:7" x14ac:dyDescent="0.3">
      <c r="A119">
        <f t="shared" si="1"/>
        <v>118</v>
      </c>
      <c r="B119">
        <v>4</v>
      </c>
      <c r="C119" t="str" cm="1">
        <f t="array" ref="C119">GetValue("Engines",B119,"Name")</f>
        <v>PostgreSQL</v>
      </c>
      <c r="D119">
        <v>7</v>
      </c>
      <c r="E119" t="str" cm="1">
        <f t="array" ref="E119">GetValue("Types",D119,"Name")</f>
        <v>datetime2</v>
      </c>
      <c r="F119" t="s">
        <v>569</v>
      </c>
      <c r="G119" t="s">
        <v>510</v>
      </c>
    </row>
    <row r="120" spans="1:7" x14ac:dyDescent="0.3">
      <c r="A120">
        <f t="shared" si="1"/>
        <v>119</v>
      </c>
      <c r="B120">
        <v>4</v>
      </c>
      <c r="C120" t="str" cm="1">
        <f t="array" ref="C120">GetValue("Engines",B120,"Name")</f>
        <v>PostgreSQL</v>
      </c>
      <c r="D120">
        <v>8</v>
      </c>
      <c r="E120" t="str" cm="1">
        <f t="array" ref="E120">GetValue("Types",D120,"Name")</f>
        <v>datetimeoffset</v>
      </c>
      <c r="F120" t="s">
        <v>511</v>
      </c>
      <c r="G120" t="s">
        <v>512</v>
      </c>
    </row>
    <row r="121" spans="1:7" x14ac:dyDescent="0.3">
      <c r="A121">
        <f t="shared" si="1"/>
        <v>120</v>
      </c>
      <c r="B121">
        <v>4</v>
      </c>
      <c r="C121" t="str" cm="1">
        <f t="array" ref="C121">GetValue("Engines",B121,"Name")</f>
        <v>PostgreSQL</v>
      </c>
      <c r="D121">
        <v>9</v>
      </c>
      <c r="E121" t="str" cm="1">
        <f t="array" ref="E121">GetValue("Types",D121,"Name")</f>
        <v>decimal</v>
      </c>
      <c r="F121" t="s">
        <v>593</v>
      </c>
      <c r="G121" t="s">
        <v>513</v>
      </c>
    </row>
    <row r="122" spans="1:7" x14ac:dyDescent="0.3">
      <c r="A122">
        <f t="shared" si="1"/>
        <v>121</v>
      </c>
      <c r="B122">
        <v>4</v>
      </c>
      <c r="C122" t="str" cm="1">
        <f t="array" ref="C122">GetValue("Engines",B122,"Name")</f>
        <v>PostgreSQL</v>
      </c>
      <c r="D122">
        <v>10</v>
      </c>
      <c r="E122" t="str" cm="1">
        <f t="array" ref="E122">GetValue("Types",D122,"Name")</f>
        <v>float</v>
      </c>
      <c r="F122" t="s">
        <v>551</v>
      </c>
      <c r="G122" t="s">
        <v>515</v>
      </c>
    </row>
    <row r="123" spans="1:7" x14ac:dyDescent="0.3">
      <c r="A123">
        <f t="shared" si="1"/>
        <v>122</v>
      </c>
      <c r="B123">
        <v>4</v>
      </c>
      <c r="C123" t="str" cm="1">
        <f t="array" ref="C123">GetValue("Engines",B123,"Name")</f>
        <v>PostgreSQL</v>
      </c>
      <c r="D123">
        <v>11</v>
      </c>
      <c r="E123" t="str" cm="1">
        <f t="array" ref="E123">GetValue("Types",D123,"Name")</f>
        <v>geography</v>
      </c>
      <c r="F123" t="s">
        <v>570</v>
      </c>
      <c r="G123" t="s">
        <v>516</v>
      </c>
    </row>
    <row r="124" spans="1:7" x14ac:dyDescent="0.3">
      <c r="A124">
        <f t="shared" si="1"/>
        <v>123</v>
      </c>
      <c r="B124">
        <v>4</v>
      </c>
      <c r="C124" t="str" cm="1">
        <f t="array" ref="C124">GetValue("Engines",B124,"Name")</f>
        <v>PostgreSQL</v>
      </c>
      <c r="D124">
        <v>12</v>
      </c>
      <c r="E124" t="str" cm="1">
        <f t="array" ref="E124">GetValue("Types",D124,"Name")</f>
        <v>geometry</v>
      </c>
      <c r="F124" t="s">
        <v>562</v>
      </c>
      <c r="G124" t="s">
        <v>517</v>
      </c>
    </row>
    <row r="125" spans="1:7" x14ac:dyDescent="0.3">
      <c r="A125">
        <f t="shared" si="1"/>
        <v>124</v>
      </c>
      <c r="B125">
        <v>4</v>
      </c>
      <c r="C125" t="str" cm="1">
        <f t="array" ref="C125">GetValue("Engines",B125,"Name")</f>
        <v>PostgreSQL</v>
      </c>
      <c r="D125">
        <v>13</v>
      </c>
      <c r="E125" t="str" cm="1">
        <f t="array" ref="E125">GetValue("Types",D125,"Name")</f>
        <v>hierarchyid</v>
      </c>
      <c r="G125" t="s">
        <v>518</v>
      </c>
    </row>
    <row r="126" spans="1:7" x14ac:dyDescent="0.3">
      <c r="A126">
        <f t="shared" si="1"/>
        <v>125</v>
      </c>
      <c r="B126">
        <v>4</v>
      </c>
      <c r="C126" t="str" cm="1">
        <f t="array" ref="C126">GetValue("Engines",B126,"Name")</f>
        <v>PostgreSQL</v>
      </c>
      <c r="D126">
        <v>14</v>
      </c>
      <c r="E126" t="str" cm="1">
        <f t="array" ref="E126">GetValue("Types",D126,"Name")</f>
        <v>image</v>
      </c>
      <c r="F126" t="s">
        <v>568</v>
      </c>
      <c r="G126" t="s">
        <v>519</v>
      </c>
    </row>
    <row r="127" spans="1:7" x14ac:dyDescent="0.3">
      <c r="A127">
        <f t="shared" si="1"/>
        <v>126</v>
      </c>
      <c r="B127">
        <v>4</v>
      </c>
      <c r="C127" t="str" cm="1">
        <f t="array" ref="C127">GetValue("Engines",B127,"Name")</f>
        <v>PostgreSQL</v>
      </c>
      <c r="D127">
        <v>15</v>
      </c>
      <c r="E127" t="str" cm="1">
        <f t="array" ref="E127">GetValue("Types",D127,"Name")</f>
        <v>int</v>
      </c>
      <c r="F127" t="s">
        <v>520</v>
      </c>
      <c r="G127" t="s">
        <v>521</v>
      </c>
    </row>
    <row r="128" spans="1:7" x14ac:dyDescent="0.3">
      <c r="A128">
        <f t="shared" si="1"/>
        <v>127</v>
      </c>
      <c r="B128">
        <v>4</v>
      </c>
      <c r="C128" t="str" cm="1">
        <f t="array" ref="C128">GetValue("Engines",B128,"Name")</f>
        <v>PostgreSQL</v>
      </c>
      <c r="D128">
        <v>16</v>
      </c>
      <c r="E128" t="str" cm="1">
        <f t="array" ref="E128">GetValue("Types",D128,"Name")</f>
        <v>money</v>
      </c>
      <c r="F128" t="s">
        <v>571</v>
      </c>
      <c r="G128" t="s">
        <v>523</v>
      </c>
    </row>
    <row r="129" spans="1:7" x14ac:dyDescent="0.3">
      <c r="A129">
        <f t="shared" si="1"/>
        <v>128</v>
      </c>
      <c r="B129">
        <v>4</v>
      </c>
      <c r="C129" t="str" cm="1">
        <f t="array" ref="C129">GetValue("Engines",B129,"Name")</f>
        <v>PostgreSQL</v>
      </c>
      <c r="D129">
        <v>17</v>
      </c>
      <c r="E129" t="str" cm="1">
        <f t="array" ref="E129">GetValue("Types",D129,"Name")</f>
        <v>nchar</v>
      </c>
      <c r="F129" t="s">
        <v>504</v>
      </c>
      <c r="G129" t="s">
        <v>524</v>
      </c>
    </row>
    <row r="130" spans="1:7" x14ac:dyDescent="0.3">
      <c r="A130">
        <f t="shared" si="1"/>
        <v>129</v>
      </c>
      <c r="B130">
        <v>4</v>
      </c>
      <c r="C130" t="str" cm="1">
        <f t="array" ref="C130">GetValue("Engines",B130,"Name")</f>
        <v>PostgreSQL</v>
      </c>
      <c r="D130">
        <v>18</v>
      </c>
      <c r="E130" t="str" cm="1">
        <f t="array" ref="E130">GetValue("Types",D130,"Name")</f>
        <v>ntext</v>
      </c>
      <c r="F130" t="s">
        <v>556</v>
      </c>
      <c r="G130" t="s">
        <v>525</v>
      </c>
    </row>
    <row r="131" spans="1:7" x14ac:dyDescent="0.3">
      <c r="A131">
        <f t="shared" si="1"/>
        <v>130</v>
      </c>
      <c r="B131">
        <v>4</v>
      </c>
      <c r="C131" t="str" cm="1">
        <f t="array" ref="C131">GetValue("Engines",B131,"Name")</f>
        <v>PostgreSQL</v>
      </c>
      <c r="D131">
        <v>19</v>
      </c>
      <c r="E131" t="str" cm="1">
        <f t="array" ref="E131">GetValue("Types",D131,"Name")</f>
        <v>numeric</v>
      </c>
      <c r="F131" t="s">
        <v>593</v>
      </c>
      <c r="G131" t="s">
        <v>526</v>
      </c>
    </row>
    <row r="132" spans="1:7" x14ac:dyDescent="0.3">
      <c r="A132">
        <f t="shared" ref="A132:A371" si="2">A131+1</f>
        <v>131</v>
      </c>
      <c r="B132">
        <v>4</v>
      </c>
      <c r="C132" t="str" cm="1">
        <f t="array" ref="C132">GetValue("Engines",B132,"Name")</f>
        <v>PostgreSQL</v>
      </c>
      <c r="D132">
        <v>20</v>
      </c>
      <c r="E132" t="str" cm="1">
        <f t="array" ref="E132">GetValue("Types",D132,"Name")</f>
        <v>nvarchar</v>
      </c>
      <c r="F132" t="s">
        <v>546</v>
      </c>
      <c r="G132" t="s">
        <v>527</v>
      </c>
    </row>
    <row r="133" spans="1:7" x14ac:dyDescent="0.3">
      <c r="A133">
        <f t="shared" si="2"/>
        <v>132</v>
      </c>
      <c r="B133">
        <v>4</v>
      </c>
      <c r="C133" t="str" cm="1">
        <f t="array" ref="C133">GetValue("Engines",B133,"Name")</f>
        <v>PostgreSQL</v>
      </c>
      <c r="D133">
        <v>21</v>
      </c>
      <c r="E133" t="str" cm="1">
        <f t="array" ref="E133">GetValue("Types",D133,"Name")</f>
        <v>nvarchar(max)</v>
      </c>
      <c r="F133" t="s">
        <v>556</v>
      </c>
      <c r="G133" t="s">
        <v>528</v>
      </c>
    </row>
    <row r="134" spans="1:7" x14ac:dyDescent="0.3">
      <c r="A134">
        <f t="shared" si="2"/>
        <v>133</v>
      </c>
      <c r="B134">
        <v>4</v>
      </c>
      <c r="C134" t="str" cm="1">
        <f t="array" ref="C134">GetValue("Engines",B134,"Name")</f>
        <v>PostgreSQL</v>
      </c>
      <c r="D134">
        <v>22</v>
      </c>
      <c r="E134" t="str" cm="1">
        <f t="array" ref="E134">GetValue("Types",D134,"Name")</f>
        <v>real</v>
      </c>
      <c r="F134" t="s">
        <v>529</v>
      </c>
      <c r="G134" t="s">
        <v>530</v>
      </c>
    </row>
    <row r="135" spans="1:7" x14ac:dyDescent="0.3">
      <c r="A135">
        <f t="shared" si="2"/>
        <v>134</v>
      </c>
      <c r="B135">
        <v>4</v>
      </c>
      <c r="C135" t="str" cm="1">
        <f t="array" ref="C135">GetValue("Engines",B135,"Name")</f>
        <v>PostgreSQL</v>
      </c>
      <c r="D135">
        <v>23</v>
      </c>
      <c r="E135" t="str" cm="1">
        <f t="array" ref="E135">GetValue("Types",D135,"Name")</f>
        <v>smalldatetime</v>
      </c>
      <c r="F135" t="s">
        <v>599</v>
      </c>
      <c r="G135" t="s">
        <v>531</v>
      </c>
    </row>
    <row r="136" spans="1:7" x14ac:dyDescent="0.3">
      <c r="A136">
        <f t="shared" si="2"/>
        <v>135</v>
      </c>
      <c r="B136">
        <v>4</v>
      </c>
      <c r="C136" t="str" cm="1">
        <f t="array" ref="C136">GetValue("Engines",B136,"Name")</f>
        <v>PostgreSQL</v>
      </c>
      <c r="D136">
        <v>24</v>
      </c>
      <c r="E136" t="str" cm="1">
        <f t="array" ref="E136">GetValue("Types",D136,"Name")</f>
        <v>smallint</v>
      </c>
      <c r="F136" t="s">
        <v>502</v>
      </c>
      <c r="G136" t="s">
        <v>532</v>
      </c>
    </row>
    <row r="137" spans="1:7" x14ac:dyDescent="0.3">
      <c r="A137">
        <f t="shared" si="2"/>
        <v>136</v>
      </c>
      <c r="B137">
        <v>4</v>
      </c>
      <c r="C137" t="str" cm="1">
        <f t="array" ref="C137">GetValue("Engines",B137,"Name")</f>
        <v>PostgreSQL</v>
      </c>
      <c r="D137">
        <v>25</v>
      </c>
      <c r="E137" t="str" cm="1">
        <f t="array" ref="E137">GetValue("Types",D137,"Name")</f>
        <v>smallmoney</v>
      </c>
      <c r="F137" t="s">
        <v>572</v>
      </c>
      <c r="G137" t="s">
        <v>534</v>
      </c>
    </row>
    <row r="138" spans="1:7" x14ac:dyDescent="0.3">
      <c r="A138">
        <f t="shared" si="2"/>
        <v>137</v>
      </c>
      <c r="B138">
        <v>4</v>
      </c>
      <c r="C138" t="str" cm="1">
        <f t="array" ref="C138">GetValue("Engines",B138,"Name")</f>
        <v>PostgreSQL</v>
      </c>
      <c r="D138">
        <v>26</v>
      </c>
      <c r="E138" t="str" cm="1">
        <f t="array" ref="E138">GetValue("Types",D138,"Name")</f>
        <v>sql_variant</v>
      </c>
      <c r="F138" t="s">
        <v>600</v>
      </c>
      <c r="G138" t="s">
        <v>535</v>
      </c>
    </row>
    <row r="139" spans="1:7" x14ac:dyDescent="0.3">
      <c r="A139">
        <f t="shared" si="2"/>
        <v>138</v>
      </c>
      <c r="B139">
        <v>4</v>
      </c>
      <c r="C139" t="str" cm="1">
        <f t="array" ref="C139">GetValue("Engines",B139,"Name")</f>
        <v>PostgreSQL</v>
      </c>
      <c r="D139">
        <v>27</v>
      </c>
      <c r="E139" t="str" cm="1">
        <f t="array" ref="E139">GetValue("Types",D139,"Name")</f>
        <v>sysname</v>
      </c>
      <c r="F139" t="s">
        <v>536</v>
      </c>
      <c r="G139" t="s">
        <v>537</v>
      </c>
    </row>
    <row r="140" spans="1:7" x14ac:dyDescent="0.3">
      <c r="A140">
        <f t="shared" si="2"/>
        <v>139</v>
      </c>
      <c r="B140">
        <v>4</v>
      </c>
      <c r="C140" t="str" cm="1">
        <f t="array" ref="C140">GetValue("Engines",B140,"Name")</f>
        <v>PostgreSQL</v>
      </c>
      <c r="D140">
        <v>28</v>
      </c>
      <c r="E140" t="str" cm="1">
        <f t="array" ref="E140">GetValue("Types",D140,"Name")</f>
        <v>text</v>
      </c>
      <c r="F140" t="s">
        <v>556</v>
      </c>
      <c r="G140" t="s">
        <v>538</v>
      </c>
    </row>
    <row r="141" spans="1:7" x14ac:dyDescent="0.3">
      <c r="A141">
        <f t="shared" si="2"/>
        <v>140</v>
      </c>
      <c r="B141">
        <v>4</v>
      </c>
      <c r="C141" t="str" cm="1">
        <f t="array" ref="C141">GetValue("Engines",B141,"Name")</f>
        <v>PostgreSQL</v>
      </c>
      <c r="D141">
        <v>29</v>
      </c>
      <c r="E141" t="str" cm="1">
        <f t="array" ref="E141">GetValue("Types",D141,"Name")</f>
        <v>time</v>
      </c>
      <c r="F141" t="s">
        <v>539</v>
      </c>
      <c r="G141" t="s">
        <v>540</v>
      </c>
    </row>
    <row r="142" spans="1:7" x14ac:dyDescent="0.3">
      <c r="A142">
        <f t="shared" si="2"/>
        <v>141</v>
      </c>
      <c r="B142">
        <v>4</v>
      </c>
      <c r="C142" t="str" cm="1">
        <f t="array" ref="C142">GetValue("Engines",B142,"Name")</f>
        <v>PostgreSQL</v>
      </c>
      <c r="D142">
        <v>30</v>
      </c>
      <c r="E142" t="str" cm="1">
        <f t="array" ref="E142">GetValue("Types",D142,"Name")</f>
        <v>timestamp</v>
      </c>
      <c r="F142" t="s">
        <v>508</v>
      </c>
      <c r="G142" t="s">
        <v>541</v>
      </c>
    </row>
    <row r="143" spans="1:7" x14ac:dyDescent="0.3">
      <c r="A143">
        <f t="shared" si="2"/>
        <v>142</v>
      </c>
      <c r="B143">
        <v>4</v>
      </c>
      <c r="C143" t="str" cm="1">
        <f t="array" ref="C143">GetValue("Engines",B143,"Name")</f>
        <v>PostgreSQL</v>
      </c>
      <c r="D143">
        <v>31</v>
      </c>
      <c r="E143" t="str" cm="1">
        <f t="array" ref="E143">GetValue("Types",D143,"Name")</f>
        <v>tinyint</v>
      </c>
      <c r="F143" t="s">
        <v>502</v>
      </c>
      <c r="G143" t="s">
        <v>542</v>
      </c>
    </row>
    <row r="144" spans="1:7" x14ac:dyDescent="0.3">
      <c r="A144">
        <f t="shared" si="2"/>
        <v>143</v>
      </c>
      <c r="B144">
        <v>4</v>
      </c>
      <c r="C144" t="str" cm="1">
        <f t="array" ref="C144">GetValue("Engines",B144,"Name")</f>
        <v>PostgreSQL</v>
      </c>
      <c r="D144">
        <v>32</v>
      </c>
      <c r="E144" t="str" cm="1">
        <f t="array" ref="E144">GetValue("Types",D144,"Name")</f>
        <v>uniqueidentifier</v>
      </c>
      <c r="F144" t="s">
        <v>573</v>
      </c>
      <c r="G144" t="s">
        <v>543</v>
      </c>
    </row>
    <row r="145" spans="1:7" x14ac:dyDescent="0.3">
      <c r="A145">
        <f t="shared" si="2"/>
        <v>144</v>
      </c>
      <c r="B145">
        <v>4</v>
      </c>
      <c r="C145" t="str" cm="1">
        <f t="array" ref="C145">GetValue("Engines",B145,"Name")</f>
        <v>PostgreSQL</v>
      </c>
      <c r="D145">
        <v>33</v>
      </c>
      <c r="E145" t="str" cm="1">
        <f t="array" ref="E145">GetValue("Types",D145,"Name")</f>
        <v>varbinary</v>
      </c>
      <c r="F145" t="s">
        <v>568</v>
      </c>
      <c r="G145" t="s">
        <v>544</v>
      </c>
    </row>
    <row r="146" spans="1:7" x14ac:dyDescent="0.3">
      <c r="A146">
        <f t="shared" si="2"/>
        <v>145</v>
      </c>
      <c r="B146">
        <v>4</v>
      </c>
      <c r="C146" t="str" cm="1">
        <f t="array" ref="C146">GetValue("Engines",B146,"Name")</f>
        <v>PostgreSQL</v>
      </c>
      <c r="D146">
        <v>34</v>
      </c>
      <c r="E146" t="str" cm="1">
        <f t="array" ref="E146">GetValue("Types",D146,"Name")</f>
        <v>varbinary(max)</v>
      </c>
      <c r="F146" t="s">
        <v>568</v>
      </c>
      <c r="G146" t="s">
        <v>545</v>
      </c>
    </row>
    <row r="147" spans="1:7" x14ac:dyDescent="0.3">
      <c r="A147">
        <f t="shared" si="2"/>
        <v>146</v>
      </c>
      <c r="B147">
        <v>4</v>
      </c>
      <c r="C147" t="str" cm="1">
        <f t="array" ref="C147">GetValue("Engines",B147,"Name")</f>
        <v>PostgreSQL</v>
      </c>
      <c r="D147">
        <v>35</v>
      </c>
      <c r="E147" t="str" cm="1">
        <f t="array" ref="E147">GetValue("Types",D147,"Name")</f>
        <v>varchar</v>
      </c>
      <c r="F147" t="s">
        <v>546</v>
      </c>
      <c r="G147" t="s">
        <v>547</v>
      </c>
    </row>
    <row r="148" spans="1:7" x14ac:dyDescent="0.3">
      <c r="A148">
        <f t="shared" si="2"/>
        <v>147</v>
      </c>
      <c r="B148">
        <v>4</v>
      </c>
      <c r="C148" t="str" cm="1">
        <f t="array" ref="C148">GetValue("Engines",B148,"Name")</f>
        <v>PostgreSQL</v>
      </c>
      <c r="D148">
        <v>36</v>
      </c>
      <c r="E148" t="str" cm="1">
        <f t="array" ref="E148">GetValue("Types",D148,"Name")</f>
        <v>varchar(max)</v>
      </c>
      <c r="F148" t="s">
        <v>556</v>
      </c>
      <c r="G148" t="s">
        <v>548</v>
      </c>
    </row>
    <row r="149" spans="1:7" x14ac:dyDescent="0.3">
      <c r="A149">
        <f t="shared" si="2"/>
        <v>148</v>
      </c>
      <c r="B149">
        <v>4</v>
      </c>
      <c r="C149" t="str" cm="1">
        <f t="array" ref="C149">GetValue("Engines",B149,"Name")</f>
        <v>PostgreSQL</v>
      </c>
      <c r="D149">
        <v>37</v>
      </c>
      <c r="E149" t="str" cm="1">
        <f t="array" ref="E149">GetValue("Types",D149,"Name")</f>
        <v>xml</v>
      </c>
      <c r="F149" t="s">
        <v>549</v>
      </c>
      <c r="G149" t="s">
        <v>550</v>
      </c>
    </row>
    <row r="150" spans="1:7" x14ac:dyDescent="0.3">
      <c r="A150">
        <f t="shared" si="2"/>
        <v>149</v>
      </c>
      <c r="B150">
        <v>5</v>
      </c>
      <c r="C150" t="str" cm="1">
        <f t="array" ref="C150">GetValue("Engines",B150,"Name")</f>
        <v>Firebird</v>
      </c>
      <c r="D150">
        <v>1</v>
      </c>
      <c r="E150" t="str" cm="1">
        <f t="array" ref="E150">GetValue("Types",D150,"Name")</f>
        <v>bigint</v>
      </c>
      <c r="F150" t="s">
        <v>499</v>
      </c>
      <c r="G150" t="s">
        <v>500</v>
      </c>
    </row>
    <row r="151" spans="1:7" x14ac:dyDescent="0.3">
      <c r="A151">
        <f t="shared" si="2"/>
        <v>150</v>
      </c>
      <c r="B151">
        <v>5</v>
      </c>
      <c r="C151" t="str" cm="1">
        <f t="array" ref="C151">GetValue("Engines",B151,"Name")</f>
        <v>Firebird</v>
      </c>
      <c r="D151">
        <v>2</v>
      </c>
      <c r="E151" t="str" cm="1">
        <f t="array" ref="E151">GetValue("Types",D151,"Name")</f>
        <v>binary</v>
      </c>
      <c r="F151" t="s">
        <v>559</v>
      </c>
      <c r="G151" t="s">
        <v>501</v>
      </c>
    </row>
    <row r="152" spans="1:7" x14ac:dyDescent="0.3">
      <c r="A152">
        <f t="shared" si="2"/>
        <v>151</v>
      </c>
      <c r="B152">
        <v>5</v>
      </c>
      <c r="C152" t="str" cm="1">
        <f t="array" ref="C152">GetValue("Engines",B152,"Name")</f>
        <v>Firebird</v>
      </c>
      <c r="D152">
        <v>3</v>
      </c>
      <c r="E152" t="str" cm="1">
        <f t="array" ref="E152">GetValue("Types",D152,"Name")</f>
        <v>bit</v>
      </c>
      <c r="F152" t="s">
        <v>502</v>
      </c>
      <c r="G152" t="s">
        <v>503</v>
      </c>
    </row>
    <row r="153" spans="1:7" x14ac:dyDescent="0.3">
      <c r="A153">
        <f t="shared" si="2"/>
        <v>152</v>
      </c>
      <c r="B153">
        <v>5</v>
      </c>
      <c r="C153" t="str" cm="1">
        <f t="array" ref="C153">GetValue("Engines",B153,"Name")</f>
        <v>Firebird</v>
      </c>
      <c r="D153">
        <v>4</v>
      </c>
      <c r="E153" t="str" cm="1">
        <f t="array" ref="E153">GetValue("Types",D153,"Name")</f>
        <v>char</v>
      </c>
      <c r="F153" t="s">
        <v>504</v>
      </c>
      <c r="G153" t="s">
        <v>505</v>
      </c>
    </row>
    <row r="154" spans="1:7" x14ac:dyDescent="0.3">
      <c r="A154">
        <f t="shared" si="2"/>
        <v>153</v>
      </c>
      <c r="B154">
        <v>5</v>
      </c>
      <c r="C154" t="str" cm="1">
        <f t="array" ref="C154">GetValue("Engines",B154,"Name")</f>
        <v>Firebird</v>
      </c>
      <c r="D154">
        <v>5</v>
      </c>
      <c r="E154" t="str" cm="1">
        <f t="array" ref="E154">GetValue("Types",D154,"Name")</f>
        <v>date</v>
      </c>
      <c r="F154" t="s">
        <v>506</v>
      </c>
      <c r="G154" t="s">
        <v>507</v>
      </c>
    </row>
    <row r="155" spans="1:7" x14ac:dyDescent="0.3">
      <c r="A155">
        <f t="shared" si="2"/>
        <v>154</v>
      </c>
      <c r="B155">
        <v>5</v>
      </c>
      <c r="C155" t="str" cm="1">
        <f t="array" ref="C155">GetValue("Engines",B155,"Name")</f>
        <v>Firebird</v>
      </c>
      <c r="D155">
        <v>6</v>
      </c>
      <c r="E155" t="str" cm="1">
        <f t="array" ref="E155">GetValue("Types",D155,"Name")</f>
        <v>datetime</v>
      </c>
      <c r="F155" t="s">
        <v>508</v>
      </c>
      <c r="G155" t="s">
        <v>509</v>
      </c>
    </row>
    <row r="156" spans="1:7" x14ac:dyDescent="0.3">
      <c r="A156">
        <f t="shared" si="2"/>
        <v>155</v>
      </c>
      <c r="B156">
        <v>5</v>
      </c>
      <c r="C156" t="str" cm="1">
        <f t="array" ref="C156">GetValue("Engines",B156,"Name")</f>
        <v>Firebird</v>
      </c>
      <c r="D156">
        <v>7</v>
      </c>
      <c r="E156" t="str" cm="1">
        <f t="array" ref="E156">GetValue("Types",D156,"Name")</f>
        <v>datetime2</v>
      </c>
      <c r="F156" t="s">
        <v>508</v>
      </c>
      <c r="G156" t="s">
        <v>510</v>
      </c>
    </row>
    <row r="157" spans="1:7" x14ac:dyDescent="0.3">
      <c r="A157">
        <f t="shared" si="2"/>
        <v>156</v>
      </c>
      <c r="B157">
        <v>5</v>
      </c>
      <c r="C157" t="str" cm="1">
        <f t="array" ref="C157">GetValue("Engines",B157,"Name")</f>
        <v>Firebird</v>
      </c>
      <c r="D157">
        <v>8</v>
      </c>
      <c r="E157" t="str" cm="1">
        <f t="array" ref="E157">GetValue("Types",D157,"Name")</f>
        <v>datetimeoffset</v>
      </c>
      <c r="F157" t="s">
        <v>511</v>
      </c>
      <c r="G157" t="s">
        <v>512</v>
      </c>
    </row>
    <row r="158" spans="1:7" x14ac:dyDescent="0.3">
      <c r="A158">
        <f t="shared" si="2"/>
        <v>157</v>
      </c>
      <c r="B158">
        <v>5</v>
      </c>
      <c r="C158" t="str" cm="1">
        <f t="array" ref="C158">GetValue("Engines",B158,"Name")</f>
        <v>Firebird</v>
      </c>
      <c r="D158">
        <v>9</v>
      </c>
      <c r="E158" t="str" cm="1">
        <f t="array" ref="E158">GetValue("Types",D158,"Name")</f>
        <v>decimal</v>
      </c>
      <c r="F158" t="s">
        <v>592</v>
      </c>
      <c r="G158" t="s">
        <v>513</v>
      </c>
    </row>
    <row r="159" spans="1:7" x14ac:dyDescent="0.3">
      <c r="A159">
        <f t="shared" si="2"/>
        <v>158</v>
      </c>
      <c r="B159">
        <v>5</v>
      </c>
      <c r="C159" t="str" cm="1">
        <f t="array" ref="C159">GetValue("Engines",B159,"Name")</f>
        <v>Firebird</v>
      </c>
      <c r="D159">
        <v>10</v>
      </c>
      <c r="E159" t="str" cm="1">
        <f t="array" ref="E159">GetValue("Types",D159,"Name")</f>
        <v>float</v>
      </c>
      <c r="F159" t="s">
        <v>551</v>
      </c>
      <c r="G159" t="s">
        <v>515</v>
      </c>
    </row>
    <row r="160" spans="1:7" x14ac:dyDescent="0.3">
      <c r="A160">
        <f t="shared" si="2"/>
        <v>159</v>
      </c>
      <c r="B160">
        <v>5</v>
      </c>
      <c r="C160" t="str" cm="1">
        <f t="array" ref="C160">GetValue("Engines",B160,"Name")</f>
        <v>Firebird</v>
      </c>
      <c r="D160">
        <v>11</v>
      </c>
      <c r="E160" t="str" cm="1">
        <f t="array" ref="E160">GetValue("Types",D160,"Name")</f>
        <v>geography</v>
      </c>
      <c r="G160" t="s">
        <v>516</v>
      </c>
    </row>
    <row r="161" spans="1:7" x14ac:dyDescent="0.3">
      <c r="A161">
        <f t="shared" si="2"/>
        <v>160</v>
      </c>
      <c r="B161">
        <v>5</v>
      </c>
      <c r="C161" t="str" cm="1">
        <f t="array" ref="C161">GetValue("Engines",B161,"Name")</f>
        <v>Firebird</v>
      </c>
      <c r="D161">
        <v>12</v>
      </c>
      <c r="E161" t="str" cm="1">
        <f t="array" ref="E161">GetValue("Types",D161,"Name")</f>
        <v>geometry</v>
      </c>
      <c r="G161" t="s">
        <v>517</v>
      </c>
    </row>
    <row r="162" spans="1:7" x14ac:dyDescent="0.3">
      <c r="A162">
        <f t="shared" si="2"/>
        <v>161</v>
      </c>
      <c r="B162">
        <v>5</v>
      </c>
      <c r="C162" t="str" cm="1">
        <f t="array" ref="C162">GetValue("Engines",B162,"Name")</f>
        <v>Firebird</v>
      </c>
      <c r="D162">
        <v>13</v>
      </c>
      <c r="E162" t="str" cm="1">
        <f t="array" ref="E162">GetValue("Types",D162,"Name")</f>
        <v>hierarchyid</v>
      </c>
      <c r="G162" t="s">
        <v>518</v>
      </c>
    </row>
    <row r="163" spans="1:7" x14ac:dyDescent="0.3">
      <c r="A163">
        <f t="shared" si="2"/>
        <v>162</v>
      </c>
      <c r="B163">
        <v>5</v>
      </c>
      <c r="C163" t="str" cm="1">
        <f t="array" ref="C163">GetValue("Engines",B163,"Name")</f>
        <v>Firebird</v>
      </c>
      <c r="D163">
        <v>14</v>
      </c>
      <c r="E163" t="str" cm="1">
        <f t="array" ref="E163">GetValue("Types",D163,"Name")</f>
        <v>image</v>
      </c>
      <c r="F163" t="s">
        <v>552</v>
      </c>
      <c r="G163" t="s">
        <v>519</v>
      </c>
    </row>
    <row r="164" spans="1:7" x14ac:dyDescent="0.3">
      <c r="A164">
        <f t="shared" si="2"/>
        <v>163</v>
      </c>
      <c r="B164">
        <v>5</v>
      </c>
      <c r="C164" t="str" cm="1">
        <f t="array" ref="C164">GetValue("Engines",B164,"Name")</f>
        <v>Firebird</v>
      </c>
      <c r="D164">
        <v>15</v>
      </c>
      <c r="E164" t="str" cm="1">
        <f t="array" ref="E164">GetValue("Types",D164,"Name")</f>
        <v>int</v>
      </c>
      <c r="F164" t="s">
        <v>520</v>
      </c>
      <c r="G164" t="s">
        <v>521</v>
      </c>
    </row>
    <row r="165" spans="1:7" x14ac:dyDescent="0.3">
      <c r="A165">
        <f t="shared" si="2"/>
        <v>164</v>
      </c>
      <c r="B165">
        <v>5</v>
      </c>
      <c r="C165" t="str" cm="1">
        <f t="array" ref="C165">GetValue("Engines",B165,"Name")</f>
        <v>Firebird</v>
      </c>
      <c r="D165">
        <v>16</v>
      </c>
      <c r="E165" t="str" cm="1">
        <f t="array" ref="E165">GetValue("Types",D165,"Name")</f>
        <v>money</v>
      </c>
      <c r="F165" t="s">
        <v>522</v>
      </c>
      <c r="G165" t="s">
        <v>523</v>
      </c>
    </row>
    <row r="166" spans="1:7" x14ac:dyDescent="0.3">
      <c r="A166">
        <f t="shared" si="2"/>
        <v>165</v>
      </c>
      <c r="B166">
        <v>5</v>
      </c>
      <c r="C166" t="str" cm="1">
        <f t="array" ref="C166">GetValue("Engines",B166,"Name")</f>
        <v>Firebird</v>
      </c>
      <c r="D166">
        <v>17</v>
      </c>
      <c r="E166" t="str" cm="1">
        <f t="array" ref="E166">GetValue("Types",D166,"Name")</f>
        <v>nchar</v>
      </c>
      <c r="F166" t="s">
        <v>504</v>
      </c>
      <c r="G166" t="s">
        <v>524</v>
      </c>
    </row>
    <row r="167" spans="1:7" x14ac:dyDescent="0.3">
      <c r="A167">
        <f t="shared" si="2"/>
        <v>166</v>
      </c>
      <c r="B167">
        <v>5</v>
      </c>
      <c r="C167" t="str" cm="1">
        <f t="array" ref="C167">GetValue("Engines",B167,"Name")</f>
        <v>Firebird</v>
      </c>
      <c r="D167">
        <v>18</v>
      </c>
      <c r="E167" t="str" cm="1">
        <f t="array" ref="E167">GetValue("Types",D167,"Name")</f>
        <v>ntext</v>
      </c>
      <c r="F167" t="s">
        <v>601</v>
      </c>
      <c r="G167" t="s">
        <v>525</v>
      </c>
    </row>
    <row r="168" spans="1:7" x14ac:dyDescent="0.3">
      <c r="A168">
        <f t="shared" si="2"/>
        <v>167</v>
      </c>
      <c r="B168">
        <v>5</v>
      </c>
      <c r="C168" t="str" cm="1">
        <f t="array" ref="C168">GetValue("Engines",B168,"Name")</f>
        <v>Firebird</v>
      </c>
      <c r="D168">
        <v>19</v>
      </c>
      <c r="E168" t="str" cm="1">
        <f t="array" ref="E168">GetValue("Types",D168,"Name")</f>
        <v>numeric</v>
      </c>
      <c r="F168" t="s">
        <v>593</v>
      </c>
      <c r="G168" t="s">
        <v>526</v>
      </c>
    </row>
    <row r="169" spans="1:7" x14ac:dyDescent="0.3">
      <c r="A169">
        <f t="shared" si="2"/>
        <v>168</v>
      </c>
      <c r="B169">
        <v>5</v>
      </c>
      <c r="C169" t="str" cm="1">
        <f t="array" ref="C169">GetValue("Engines",B169,"Name")</f>
        <v>Firebird</v>
      </c>
      <c r="D169">
        <v>20</v>
      </c>
      <c r="E169" t="str" cm="1">
        <f t="array" ref="E169">GetValue("Types",D169,"Name")</f>
        <v>nvarchar</v>
      </c>
      <c r="F169" t="s">
        <v>546</v>
      </c>
      <c r="G169" t="s">
        <v>527</v>
      </c>
    </row>
    <row r="170" spans="1:7" x14ac:dyDescent="0.3">
      <c r="A170">
        <f t="shared" si="2"/>
        <v>169</v>
      </c>
      <c r="B170">
        <v>5</v>
      </c>
      <c r="C170" t="str" cm="1">
        <f t="array" ref="C170">GetValue("Engines",B170,"Name")</f>
        <v>Firebird</v>
      </c>
      <c r="D170">
        <v>21</v>
      </c>
      <c r="E170" t="str" cm="1">
        <f t="array" ref="E170">GetValue("Types",D170,"Name")</f>
        <v>nvarchar(max)</v>
      </c>
      <c r="F170" t="s">
        <v>601</v>
      </c>
      <c r="G170" t="s">
        <v>528</v>
      </c>
    </row>
    <row r="171" spans="1:7" x14ac:dyDescent="0.3">
      <c r="A171">
        <f t="shared" si="2"/>
        <v>170</v>
      </c>
      <c r="B171">
        <v>5</v>
      </c>
      <c r="C171" t="str" cm="1">
        <f t="array" ref="C171">GetValue("Engines",B171,"Name")</f>
        <v>Firebird</v>
      </c>
      <c r="D171">
        <v>22</v>
      </c>
      <c r="E171" t="str" cm="1">
        <f t="array" ref="E171">GetValue("Types",D171,"Name")</f>
        <v>real</v>
      </c>
      <c r="F171" t="s">
        <v>553</v>
      </c>
      <c r="G171" t="s">
        <v>530</v>
      </c>
    </row>
    <row r="172" spans="1:7" x14ac:dyDescent="0.3">
      <c r="A172">
        <f t="shared" si="2"/>
        <v>171</v>
      </c>
      <c r="B172">
        <v>5</v>
      </c>
      <c r="C172" t="str" cm="1">
        <f t="array" ref="C172">GetValue("Engines",B172,"Name")</f>
        <v>Firebird</v>
      </c>
      <c r="D172">
        <v>23</v>
      </c>
      <c r="E172" t="str" cm="1">
        <f t="array" ref="E172">GetValue("Types",D172,"Name")</f>
        <v>smalldatetime</v>
      </c>
      <c r="F172" t="s">
        <v>508</v>
      </c>
      <c r="G172" t="s">
        <v>531</v>
      </c>
    </row>
    <row r="173" spans="1:7" x14ac:dyDescent="0.3">
      <c r="A173">
        <f t="shared" si="2"/>
        <v>172</v>
      </c>
      <c r="B173">
        <v>5</v>
      </c>
      <c r="C173" t="str" cm="1">
        <f t="array" ref="C173">GetValue("Engines",B173,"Name")</f>
        <v>Firebird</v>
      </c>
      <c r="D173">
        <v>24</v>
      </c>
      <c r="E173" t="str" cm="1">
        <f t="array" ref="E173">GetValue("Types",D173,"Name")</f>
        <v>smallint</v>
      </c>
      <c r="F173" t="s">
        <v>502</v>
      </c>
      <c r="G173" t="s">
        <v>532</v>
      </c>
    </row>
    <row r="174" spans="1:7" x14ac:dyDescent="0.3">
      <c r="A174">
        <f t="shared" si="2"/>
        <v>173</v>
      </c>
      <c r="B174">
        <v>5</v>
      </c>
      <c r="C174" t="str" cm="1">
        <f t="array" ref="C174">GetValue("Engines",B174,"Name")</f>
        <v>Firebird</v>
      </c>
      <c r="D174">
        <v>25</v>
      </c>
      <c r="E174" t="str" cm="1">
        <f t="array" ref="E174">GetValue("Types",D174,"Name")</f>
        <v>smallmoney</v>
      </c>
      <c r="F174" t="s">
        <v>533</v>
      </c>
      <c r="G174" t="s">
        <v>534</v>
      </c>
    </row>
    <row r="175" spans="1:7" x14ac:dyDescent="0.3">
      <c r="A175">
        <f t="shared" si="2"/>
        <v>174</v>
      </c>
      <c r="B175">
        <v>5</v>
      </c>
      <c r="C175" t="str" cm="1">
        <f t="array" ref="C175">GetValue("Engines",B175,"Name")</f>
        <v>Firebird</v>
      </c>
      <c r="D175">
        <v>26</v>
      </c>
      <c r="E175" t="str" cm="1">
        <f t="array" ref="E175">GetValue("Types",D175,"Name")</f>
        <v>sql_variant</v>
      </c>
      <c r="F175" t="s">
        <v>601</v>
      </c>
      <c r="G175" t="s">
        <v>535</v>
      </c>
    </row>
    <row r="176" spans="1:7" x14ac:dyDescent="0.3">
      <c r="A176">
        <f t="shared" si="2"/>
        <v>175</v>
      </c>
      <c r="B176">
        <v>5</v>
      </c>
      <c r="C176" t="str" cm="1">
        <f t="array" ref="C176">GetValue("Engines",B176,"Name")</f>
        <v>Firebird</v>
      </c>
      <c r="D176">
        <v>27</v>
      </c>
      <c r="E176" t="str" cm="1">
        <f t="array" ref="E176">GetValue("Types",D176,"Name")</f>
        <v>sysname</v>
      </c>
      <c r="F176" t="s">
        <v>536</v>
      </c>
      <c r="G176" t="s">
        <v>537</v>
      </c>
    </row>
    <row r="177" spans="1:7" x14ac:dyDescent="0.3">
      <c r="A177">
        <f t="shared" si="2"/>
        <v>176</v>
      </c>
      <c r="B177">
        <v>5</v>
      </c>
      <c r="C177" t="str" cm="1">
        <f t="array" ref="C177">GetValue("Engines",B177,"Name")</f>
        <v>Firebird</v>
      </c>
      <c r="D177">
        <v>28</v>
      </c>
      <c r="E177" t="str" cm="1">
        <f t="array" ref="E177">GetValue("Types",D177,"Name")</f>
        <v>text</v>
      </c>
      <c r="F177" t="s">
        <v>601</v>
      </c>
      <c r="G177" t="s">
        <v>538</v>
      </c>
    </row>
    <row r="178" spans="1:7" x14ac:dyDescent="0.3">
      <c r="A178">
        <f t="shared" si="2"/>
        <v>177</v>
      </c>
      <c r="B178">
        <v>5</v>
      </c>
      <c r="C178" t="str" cm="1">
        <f t="array" ref="C178">GetValue("Engines",B178,"Name")</f>
        <v>Firebird</v>
      </c>
      <c r="D178">
        <v>29</v>
      </c>
      <c r="E178" t="str" cm="1">
        <f t="array" ref="E178">GetValue("Types",D178,"Name")</f>
        <v>time</v>
      </c>
      <c r="F178" t="s">
        <v>539</v>
      </c>
      <c r="G178" t="s">
        <v>540</v>
      </c>
    </row>
    <row r="179" spans="1:7" x14ac:dyDescent="0.3">
      <c r="A179">
        <f t="shared" si="2"/>
        <v>178</v>
      </c>
      <c r="B179">
        <v>5</v>
      </c>
      <c r="C179" t="str" cm="1">
        <f t="array" ref="C179">GetValue("Engines",B179,"Name")</f>
        <v>Firebird</v>
      </c>
      <c r="D179">
        <v>30</v>
      </c>
      <c r="E179" t="str" cm="1">
        <f t="array" ref="E179">GetValue("Types",D179,"Name")</f>
        <v>timestamp</v>
      </c>
      <c r="F179" t="s">
        <v>508</v>
      </c>
      <c r="G179" t="s">
        <v>541</v>
      </c>
    </row>
    <row r="180" spans="1:7" x14ac:dyDescent="0.3">
      <c r="A180">
        <f t="shared" si="2"/>
        <v>179</v>
      </c>
      <c r="B180">
        <v>5</v>
      </c>
      <c r="C180" t="str" cm="1">
        <f t="array" ref="C180">GetValue("Engines",B180,"Name")</f>
        <v>Firebird</v>
      </c>
      <c r="D180">
        <v>31</v>
      </c>
      <c r="E180" t="str" cm="1">
        <f t="array" ref="E180">GetValue("Types",D180,"Name")</f>
        <v>tinyint</v>
      </c>
      <c r="F180" t="s">
        <v>502</v>
      </c>
      <c r="G180" t="s">
        <v>542</v>
      </c>
    </row>
    <row r="181" spans="1:7" x14ac:dyDescent="0.3">
      <c r="A181">
        <f t="shared" si="2"/>
        <v>180</v>
      </c>
      <c r="B181">
        <v>5</v>
      </c>
      <c r="C181" t="str" cm="1">
        <f t="array" ref="C181">GetValue("Engines",B181,"Name")</f>
        <v>Firebird</v>
      </c>
      <c r="D181">
        <v>32</v>
      </c>
      <c r="E181" t="str" cm="1">
        <f t="array" ref="E181">GetValue("Types",D181,"Name")</f>
        <v>uniqueidentifier</v>
      </c>
      <c r="F181" t="s">
        <v>602</v>
      </c>
      <c r="G181" t="s">
        <v>543</v>
      </c>
    </row>
    <row r="182" spans="1:7" x14ac:dyDescent="0.3">
      <c r="A182">
        <f t="shared" si="2"/>
        <v>181</v>
      </c>
      <c r="B182">
        <v>5</v>
      </c>
      <c r="C182" t="str" cm="1">
        <f t="array" ref="C182">GetValue("Engines",B182,"Name")</f>
        <v>Firebird</v>
      </c>
      <c r="D182">
        <v>33</v>
      </c>
      <c r="E182" t="str" cm="1">
        <f t="array" ref="E182">GetValue("Types",D182,"Name")</f>
        <v>varbinary</v>
      </c>
      <c r="F182" t="s">
        <v>552</v>
      </c>
      <c r="G182" t="s">
        <v>544</v>
      </c>
    </row>
    <row r="183" spans="1:7" x14ac:dyDescent="0.3">
      <c r="A183">
        <f t="shared" si="2"/>
        <v>182</v>
      </c>
      <c r="B183">
        <v>5</v>
      </c>
      <c r="C183" t="str" cm="1">
        <f t="array" ref="C183">GetValue("Engines",B183,"Name")</f>
        <v>Firebird</v>
      </c>
      <c r="D183">
        <v>34</v>
      </c>
      <c r="E183" t="str" cm="1">
        <f t="array" ref="E183">GetValue("Types",D183,"Name")</f>
        <v>varbinary(max)</v>
      </c>
      <c r="F183" t="s">
        <v>603</v>
      </c>
      <c r="G183" t="s">
        <v>545</v>
      </c>
    </row>
    <row r="184" spans="1:7" x14ac:dyDescent="0.3">
      <c r="A184">
        <f t="shared" si="2"/>
        <v>183</v>
      </c>
      <c r="B184">
        <v>5</v>
      </c>
      <c r="C184" t="str" cm="1">
        <f t="array" ref="C184">GetValue("Engines",B184,"Name")</f>
        <v>Firebird</v>
      </c>
      <c r="D184">
        <v>35</v>
      </c>
      <c r="E184" t="str" cm="1">
        <f t="array" ref="E184">GetValue("Types",D184,"Name")</f>
        <v>varchar</v>
      </c>
      <c r="F184" t="s">
        <v>546</v>
      </c>
      <c r="G184" t="s">
        <v>547</v>
      </c>
    </row>
    <row r="185" spans="1:7" x14ac:dyDescent="0.3">
      <c r="A185">
        <f t="shared" si="2"/>
        <v>184</v>
      </c>
      <c r="B185">
        <v>5</v>
      </c>
      <c r="C185" t="str" cm="1">
        <f t="array" ref="C185">GetValue("Engines",B185,"Name")</f>
        <v>Firebird</v>
      </c>
      <c r="D185">
        <v>36</v>
      </c>
      <c r="E185" t="str" cm="1">
        <f t="array" ref="E185">GetValue("Types",D185,"Name")</f>
        <v>varchar(max)</v>
      </c>
      <c r="F185" t="s">
        <v>601</v>
      </c>
      <c r="G185" t="s">
        <v>548</v>
      </c>
    </row>
    <row r="186" spans="1:7" x14ac:dyDescent="0.3">
      <c r="A186">
        <f t="shared" si="2"/>
        <v>185</v>
      </c>
      <c r="B186">
        <v>5</v>
      </c>
      <c r="C186" t="str" cm="1">
        <f t="array" ref="C186">GetValue("Engines",B186,"Name")</f>
        <v>Firebird</v>
      </c>
      <c r="D186">
        <v>37</v>
      </c>
      <c r="E186" t="str" cm="1">
        <f t="array" ref="E186">GetValue("Types",D186,"Name")</f>
        <v>xml</v>
      </c>
      <c r="F186" t="s">
        <v>601</v>
      </c>
      <c r="G186" t="s">
        <v>550</v>
      </c>
    </row>
    <row r="187" spans="1:7" x14ac:dyDescent="0.3">
      <c r="A187">
        <f t="shared" si="2"/>
        <v>186</v>
      </c>
      <c r="B187">
        <v>6</v>
      </c>
      <c r="C187" t="str" cm="1">
        <f t="array" ref="C187">GetValue("Engines",B187,"Name")</f>
        <v>Interbase</v>
      </c>
      <c r="D187">
        <v>1</v>
      </c>
      <c r="E187" t="str" cm="1">
        <f t="array" ref="E187">GetValue("Types",D187,"Name")</f>
        <v>bigint</v>
      </c>
      <c r="F187" t="s">
        <v>499</v>
      </c>
      <c r="G187" t="s">
        <v>500</v>
      </c>
    </row>
    <row r="188" spans="1:7" x14ac:dyDescent="0.3">
      <c r="A188">
        <f t="shared" si="2"/>
        <v>187</v>
      </c>
      <c r="B188">
        <v>6</v>
      </c>
      <c r="C188" t="str" cm="1">
        <f t="array" ref="C188">GetValue("Engines",B188,"Name")</f>
        <v>Interbase</v>
      </c>
      <c r="D188">
        <v>2</v>
      </c>
      <c r="E188" t="str" cm="1">
        <f t="array" ref="E188">GetValue("Types",D188,"Name")</f>
        <v>binary</v>
      </c>
      <c r="F188" t="s">
        <v>559</v>
      </c>
      <c r="G188" t="s">
        <v>501</v>
      </c>
    </row>
    <row r="189" spans="1:7" x14ac:dyDescent="0.3">
      <c r="A189">
        <f t="shared" si="2"/>
        <v>188</v>
      </c>
      <c r="B189">
        <v>6</v>
      </c>
      <c r="C189" t="str" cm="1">
        <f t="array" ref="C189">GetValue("Engines",B189,"Name")</f>
        <v>Interbase</v>
      </c>
      <c r="D189">
        <v>3</v>
      </c>
      <c r="E189" t="str" cm="1">
        <f t="array" ref="E189">GetValue("Types",D189,"Name")</f>
        <v>bit</v>
      </c>
      <c r="F189" t="s">
        <v>502</v>
      </c>
      <c r="G189" t="s">
        <v>503</v>
      </c>
    </row>
    <row r="190" spans="1:7" x14ac:dyDescent="0.3">
      <c r="A190">
        <f t="shared" si="2"/>
        <v>189</v>
      </c>
      <c r="B190">
        <v>6</v>
      </c>
      <c r="C190" t="str" cm="1">
        <f t="array" ref="C190">GetValue("Engines",B190,"Name")</f>
        <v>Interbase</v>
      </c>
      <c r="D190">
        <v>4</v>
      </c>
      <c r="E190" t="str" cm="1">
        <f t="array" ref="E190">GetValue("Types",D190,"Name")</f>
        <v>char</v>
      </c>
      <c r="F190" t="s">
        <v>504</v>
      </c>
      <c r="G190" t="s">
        <v>505</v>
      </c>
    </row>
    <row r="191" spans="1:7" x14ac:dyDescent="0.3">
      <c r="A191">
        <f t="shared" si="2"/>
        <v>190</v>
      </c>
      <c r="B191">
        <v>6</v>
      </c>
      <c r="C191" t="str" cm="1">
        <f t="array" ref="C191">GetValue("Engines",B191,"Name")</f>
        <v>Interbase</v>
      </c>
      <c r="D191">
        <v>5</v>
      </c>
      <c r="E191" t="str" cm="1">
        <f t="array" ref="E191">GetValue("Types",D191,"Name")</f>
        <v>date</v>
      </c>
      <c r="F191" t="s">
        <v>506</v>
      </c>
      <c r="G191" t="s">
        <v>507</v>
      </c>
    </row>
    <row r="192" spans="1:7" x14ac:dyDescent="0.3">
      <c r="A192">
        <f t="shared" si="2"/>
        <v>191</v>
      </c>
      <c r="B192">
        <v>6</v>
      </c>
      <c r="C192" t="str" cm="1">
        <f t="array" ref="C192">GetValue("Engines",B192,"Name")</f>
        <v>Interbase</v>
      </c>
      <c r="D192">
        <v>6</v>
      </c>
      <c r="E192" t="str" cm="1">
        <f t="array" ref="E192">GetValue("Types",D192,"Name")</f>
        <v>datetime</v>
      </c>
      <c r="F192" t="s">
        <v>508</v>
      </c>
      <c r="G192" t="s">
        <v>509</v>
      </c>
    </row>
    <row r="193" spans="1:7" x14ac:dyDescent="0.3">
      <c r="A193">
        <f t="shared" si="2"/>
        <v>192</v>
      </c>
      <c r="B193">
        <v>6</v>
      </c>
      <c r="C193" t="str" cm="1">
        <f t="array" ref="C193">GetValue("Engines",B193,"Name")</f>
        <v>Interbase</v>
      </c>
      <c r="D193">
        <v>7</v>
      </c>
      <c r="E193" t="str" cm="1">
        <f t="array" ref="E193">GetValue("Types",D193,"Name")</f>
        <v>datetime2</v>
      </c>
      <c r="F193" t="s">
        <v>508</v>
      </c>
      <c r="G193" t="s">
        <v>510</v>
      </c>
    </row>
    <row r="194" spans="1:7" x14ac:dyDescent="0.3">
      <c r="A194">
        <f t="shared" si="2"/>
        <v>193</v>
      </c>
      <c r="B194">
        <v>6</v>
      </c>
      <c r="C194" t="str" cm="1">
        <f t="array" ref="C194">GetValue("Engines",B194,"Name")</f>
        <v>Interbase</v>
      </c>
      <c r="D194">
        <v>8</v>
      </c>
      <c r="E194" t="str" cm="1">
        <f t="array" ref="E194">GetValue("Types",D194,"Name")</f>
        <v>datetimeoffset</v>
      </c>
      <c r="F194" t="s">
        <v>511</v>
      </c>
      <c r="G194" t="s">
        <v>512</v>
      </c>
    </row>
    <row r="195" spans="1:7" x14ac:dyDescent="0.3">
      <c r="A195">
        <f t="shared" si="2"/>
        <v>194</v>
      </c>
      <c r="B195">
        <v>6</v>
      </c>
      <c r="C195" t="str" cm="1">
        <f t="array" ref="C195">GetValue("Engines",B195,"Name")</f>
        <v>Interbase</v>
      </c>
      <c r="D195">
        <v>9</v>
      </c>
      <c r="E195" t="str" cm="1">
        <f t="array" ref="E195">GetValue("Types",D195,"Name")</f>
        <v>decimal</v>
      </c>
      <c r="F195" t="s">
        <v>592</v>
      </c>
      <c r="G195" t="s">
        <v>513</v>
      </c>
    </row>
    <row r="196" spans="1:7" x14ac:dyDescent="0.3">
      <c r="A196">
        <f t="shared" si="2"/>
        <v>195</v>
      </c>
      <c r="B196">
        <v>6</v>
      </c>
      <c r="C196" t="str" cm="1">
        <f t="array" ref="C196">GetValue("Engines",B196,"Name")</f>
        <v>Interbase</v>
      </c>
      <c r="D196">
        <v>10</v>
      </c>
      <c r="E196" t="str" cm="1">
        <f t="array" ref="E196">GetValue("Types",D196,"Name")</f>
        <v>float</v>
      </c>
      <c r="F196" t="s">
        <v>551</v>
      </c>
      <c r="G196" t="s">
        <v>515</v>
      </c>
    </row>
    <row r="197" spans="1:7" x14ac:dyDescent="0.3">
      <c r="A197">
        <f t="shared" si="2"/>
        <v>196</v>
      </c>
      <c r="B197">
        <v>6</v>
      </c>
      <c r="C197" t="str" cm="1">
        <f t="array" ref="C197">GetValue("Engines",B197,"Name")</f>
        <v>Interbase</v>
      </c>
      <c r="D197">
        <v>11</v>
      </c>
      <c r="E197" t="str" cm="1">
        <f t="array" ref="E197">GetValue("Types",D197,"Name")</f>
        <v>geography</v>
      </c>
      <c r="G197" t="s">
        <v>516</v>
      </c>
    </row>
    <row r="198" spans="1:7" x14ac:dyDescent="0.3">
      <c r="A198">
        <f t="shared" si="2"/>
        <v>197</v>
      </c>
      <c r="B198">
        <v>6</v>
      </c>
      <c r="C198" t="str" cm="1">
        <f t="array" ref="C198">GetValue("Engines",B198,"Name")</f>
        <v>Interbase</v>
      </c>
      <c r="D198">
        <v>12</v>
      </c>
      <c r="E198" t="str" cm="1">
        <f t="array" ref="E198">GetValue("Types",D198,"Name")</f>
        <v>geometry</v>
      </c>
      <c r="G198" t="s">
        <v>517</v>
      </c>
    </row>
    <row r="199" spans="1:7" x14ac:dyDescent="0.3">
      <c r="A199">
        <f t="shared" si="2"/>
        <v>198</v>
      </c>
      <c r="B199">
        <v>6</v>
      </c>
      <c r="C199" t="str" cm="1">
        <f t="array" ref="C199">GetValue("Engines",B199,"Name")</f>
        <v>Interbase</v>
      </c>
      <c r="D199">
        <v>13</v>
      </c>
      <c r="E199" t="str" cm="1">
        <f t="array" ref="E199">GetValue("Types",D199,"Name")</f>
        <v>hierarchyid</v>
      </c>
      <c r="G199" t="s">
        <v>518</v>
      </c>
    </row>
    <row r="200" spans="1:7" x14ac:dyDescent="0.3">
      <c r="A200">
        <f t="shared" si="2"/>
        <v>199</v>
      </c>
      <c r="B200">
        <v>6</v>
      </c>
      <c r="C200" t="str" cm="1">
        <f t="array" ref="C200">GetValue("Engines",B200,"Name")</f>
        <v>Interbase</v>
      </c>
      <c r="D200">
        <v>14</v>
      </c>
      <c r="E200" t="str" cm="1">
        <f t="array" ref="E200">GetValue("Types",D200,"Name")</f>
        <v>image</v>
      </c>
      <c r="F200" t="s">
        <v>552</v>
      </c>
      <c r="G200" t="s">
        <v>519</v>
      </c>
    </row>
    <row r="201" spans="1:7" x14ac:dyDescent="0.3">
      <c r="A201">
        <f t="shared" si="2"/>
        <v>200</v>
      </c>
      <c r="B201">
        <v>6</v>
      </c>
      <c r="C201" t="str" cm="1">
        <f t="array" ref="C201">GetValue("Engines",B201,"Name")</f>
        <v>Interbase</v>
      </c>
      <c r="D201">
        <v>15</v>
      </c>
      <c r="E201" t="str" cm="1">
        <f t="array" ref="E201">GetValue("Types",D201,"Name")</f>
        <v>int</v>
      </c>
      <c r="F201" t="s">
        <v>520</v>
      </c>
      <c r="G201" t="s">
        <v>521</v>
      </c>
    </row>
    <row r="202" spans="1:7" x14ac:dyDescent="0.3">
      <c r="A202">
        <f t="shared" si="2"/>
        <v>201</v>
      </c>
      <c r="B202">
        <v>6</v>
      </c>
      <c r="C202" t="str" cm="1">
        <f t="array" ref="C202">GetValue("Engines",B202,"Name")</f>
        <v>Interbase</v>
      </c>
      <c r="D202">
        <v>16</v>
      </c>
      <c r="E202" t="str" cm="1">
        <f t="array" ref="E202">GetValue("Types",D202,"Name")</f>
        <v>money</v>
      </c>
      <c r="F202" t="s">
        <v>522</v>
      </c>
      <c r="G202" t="s">
        <v>523</v>
      </c>
    </row>
    <row r="203" spans="1:7" x14ac:dyDescent="0.3">
      <c r="A203">
        <f t="shared" si="2"/>
        <v>202</v>
      </c>
      <c r="B203">
        <v>6</v>
      </c>
      <c r="C203" t="str" cm="1">
        <f t="array" ref="C203">GetValue("Engines",B203,"Name")</f>
        <v>Interbase</v>
      </c>
      <c r="D203">
        <v>17</v>
      </c>
      <c r="E203" t="str" cm="1">
        <f t="array" ref="E203">GetValue("Types",D203,"Name")</f>
        <v>nchar</v>
      </c>
      <c r="F203" t="s">
        <v>504</v>
      </c>
      <c r="G203" t="s">
        <v>524</v>
      </c>
    </row>
    <row r="204" spans="1:7" x14ac:dyDescent="0.3">
      <c r="A204">
        <f t="shared" si="2"/>
        <v>203</v>
      </c>
      <c r="B204">
        <v>6</v>
      </c>
      <c r="C204" t="str" cm="1">
        <f t="array" ref="C204">GetValue("Engines",B204,"Name")</f>
        <v>Interbase</v>
      </c>
      <c r="D204">
        <v>18</v>
      </c>
      <c r="E204" t="str" cm="1">
        <f t="array" ref="E204">GetValue("Types",D204,"Name")</f>
        <v>ntext</v>
      </c>
      <c r="F204" t="s">
        <v>601</v>
      </c>
      <c r="G204" t="s">
        <v>525</v>
      </c>
    </row>
    <row r="205" spans="1:7" x14ac:dyDescent="0.3">
      <c r="A205">
        <f t="shared" si="2"/>
        <v>204</v>
      </c>
      <c r="B205">
        <v>6</v>
      </c>
      <c r="C205" t="str" cm="1">
        <f t="array" ref="C205">GetValue("Engines",B205,"Name")</f>
        <v>Interbase</v>
      </c>
      <c r="D205">
        <v>19</v>
      </c>
      <c r="E205" t="str" cm="1">
        <f t="array" ref="E205">GetValue("Types",D205,"Name")</f>
        <v>numeric</v>
      </c>
      <c r="F205" t="s">
        <v>593</v>
      </c>
      <c r="G205" t="s">
        <v>526</v>
      </c>
    </row>
    <row r="206" spans="1:7" x14ac:dyDescent="0.3">
      <c r="A206">
        <f t="shared" si="2"/>
        <v>205</v>
      </c>
      <c r="B206">
        <v>6</v>
      </c>
      <c r="C206" t="str" cm="1">
        <f t="array" ref="C206">GetValue("Engines",B206,"Name")</f>
        <v>Interbase</v>
      </c>
      <c r="D206">
        <v>20</v>
      </c>
      <c r="E206" t="str" cm="1">
        <f t="array" ref="E206">GetValue("Types",D206,"Name")</f>
        <v>nvarchar</v>
      </c>
      <c r="F206" t="s">
        <v>546</v>
      </c>
      <c r="G206" t="s">
        <v>527</v>
      </c>
    </row>
    <row r="207" spans="1:7" x14ac:dyDescent="0.3">
      <c r="A207">
        <f t="shared" si="2"/>
        <v>206</v>
      </c>
      <c r="B207">
        <v>6</v>
      </c>
      <c r="C207" t="str" cm="1">
        <f t="array" ref="C207">GetValue("Engines",B207,"Name")</f>
        <v>Interbase</v>
      </c>
      <c r="D207">
        <v>21</v>
      </c>
      <c r="E207" t="str" cm="1">
        <f t="array" ref="E207">GetValue("Types",D207,"Name")</f>
        <v>nvarchar(max)</v>
      </c>
      <c r="F207" t="s">
        <v>601</v>
      </c>
      <c r="G207" t="s">
        <v>528</v>
      </c>
    </row>
    <row r="208" spans="1:7" x14ac:dyDescent="0.3">
      <c r="A208">
        <f t="shared" si="2"/>
        <v>207</v>
      </c>
      <c r="B208">
        <v>6</v>
      </c>
      <c r="C208" t="str" cm="1">
        <f t="array" ref="C208">GetValue("Engines",B208,"Name")</f>
        <v>Interbase</v>
      </c>
      <c r="D208">
        <v>22</v>
      </c>
      <c r="E208" t="str" cm="1">
        <f t="array" ref="E208">GetValue("Types",D208,"Name")</f>
        <v>real</v>
      </c>
      <c r="F208" t="s">
        <v>553</v>
      </c>
      <c r="G208" t="s">
        <v>530</v>
      </c>
    </row>
    <row r="209" spans="1:7" x14ac:dyDescent="0.3">
      <c r="A209">
        <f t="shared" si="2"/>
        <v>208</v>
      </c>
      <c r="B209">
        <v>6</v>
      </c>
      <c r="C209" t="str" cm="1">
        <f t="array" ref="C209">GetValue("Engines",B209,"Name")</f>
        <v>Interbase</v>
      </c>
      <c r="D209">
        <v>23</v>
      </c>
      <c r="E209" t="str" cm="1">
        <f t="array" ref="E209">GetValue("Types",D209,"Name")</f>
        <v>smalldatetime</v>
      </c>
      <c r="F209" t="s">
        <v>508</v>
      </c>
      <c r="G209" t="s">
        <v>531</v>
      </c>
    </row>
    <row r="210" spans="1:7" x14ac:dyDescent="0.3">
      <c r="A210">
        <f t="shared" si="2"/>
        <v>209</v>
      </c>
      <c r="B210">
        <v>6</v>
      </c>
      <c r="C210" t="str" cm="1">
        <f t="array" ref="C210">GetValue("Engines",B210,"Name")</f>
        <v>Interbase</v>
      </c>
      <c r="D210">
        <v>24</v>
      </c>
      <c r="E210" t="str" cm="1">
        <f t="array" ref="E210">GetValue("Types",D210,"Name")</f>
        <v>smallint</v>
      </c>
      <c r="F210" t="s">
        <v>502</v>
      </c>
      <c r="G210" t="s">
        <v>532</v>
      </c>
    </row>
    <row r="211" spans="1:7" x14ac:dyDescent="0.3">
      <c r="A211">
        <f t="shared" si="2"/>
        <v>210</v>
      </c>
      <c r="B211">
        <v>6</v>
      </c>
      <c r="C211" t="str" cm="1">
        <f t="array" ref="C211">GetValue("Engines",B211,"Name")</f>
        <v>Interbase</v>
      </c>
      <c r="D211">
        <v>25</v>
      </c>
      <c r="E211" t="str" cm="1">
        <f t="array" ref="E211">GetValue("Types",D211,"Name")</f>
        <v>smallmoney</v>
      </c>
      <c r="F211" t="s">
        <v>533</v>
      </c>
      <c r="G211" t="s">
        <v>534</v>
      </c>
    </row>
    <row r="212" spans="1:7" x14ac:dyDescent="0.3">
      <c r="A212">
        <f t="shared" si="2"/>
        <v>211</v>
      </c>
      <c r="B212">
        <v>6</v>
      </c>
      <c r="C212" t="str" cm="1">
        <f t="array" ref="C212">GetValue("Engines",B212,"Name")</f>
        <v>Interbase</v>
      </c>
      <c r="D212">
        <v>26</v>
      </c>
      <c r="E212" t="str" cm="1">
        <f t="array" ref="E212">GetValue("Types",D212,"Name")</f>
        <v>sql_variant</v>
      </c>
      <c r="F212" t="s">
        <v>601</v>
      </c>
      <c r="G212" t="s">
        <v>535</v>
      </c>
    </row>
    <row r="213" spans="1:7" x14ac:dyDescent="0.3">
      <c r="A213">
        <f t="shared" si="2"/>
        <v>212</v>
      </c>
      <c r="B213">
        <v>6</v>
      </c>
      <c r="C213" t="str" cm="1">
        <f t="array" ref="C213">GetValue("Engines",B213,"Name")</f>
        <v>Interbase</v>
      </c>
      <c r="D213">
        <v>27</v>
      </c>
      <c r="E213" t="str" cm="1">
        <f t="array" ref="E213">GetValue("Types",D213,"Name")</f>
        <v>sysname</v>
      </c>
      <c r="F213" t="s">
        <v>536</v>
      </c>
      <c r="G213" t="s">
        <v>537</v>
      </c>
    </row>
    <row r="214" spans="1:7" x14ac:dyDescent="0.3">
      <c r="A214">
        <f t="shared" si="2"/>
        <v>213</v>
      </c>
      <c r="B214">
        <v>6</v>
      </c>
      <c r="C214" t="str" cm="1">
        <f t="array" ref="C214">GetValue("Engines",B214,"Name")</f>
        <v>Interbase</v>
      </c>
      <c r="D214">
        <v>28</v>
      </c>
      <c r="E214" t="str" cm="1">
        <f t="array" ref="E214">GetValue("Types",D214,"Name")</f>
        <v>text</v>
      </c>
      <c r="F214" t="s">
        <v>601</v>
      </c>
      <c r="G214" t="s">
        <v>538</v>
      </c>
    </row>
    <row r="215" spans="1:7" x14ac:dyDescent="0.3">
      <c r="A215">
        <f t="shared" si="2"/>
        <v>214</v>
      </c>
      <c r="B215">
        <v>6</v>
      </c>
      <c r="C215" t="str" cm="1">
        <f t="array" ref="C215">GetValue("Engines",B215,"Name")</f>
        <v>Interbase</v>
      </c>
      <c r="D215">
        <v>29</v>
      </c>
      <c r="E215" t="str" cm="1">
        <f t="array" ref="E215">GetValue("Types",D215,"Name")</f>
        <v>time</v>
      </c>
      <c r="F215" t="s">
        <v>539</v>
      </c>
      <c r="G215" t="s">
        <v>540</v>
      </c>
    </row>
    <row r="216" spans="1:7" x14ac:dyDescent="0.3">
      <c r="A216">
        <f t="shared" si="2"/>
        <v>215</v>
      </c>
      <c r="B216">
        <v>6</v>
      </c>
      <c r="C216" t="str" cm="1">
        <f t="array" ref="C216">GetValue("Engines",B216,"Name")</f>
        <v>Interbase</v>
      </c>
      <c r="D216">
        <v>30</v>
      </c>
      <c r="E216" t="str" cm="1">
        <f t="array" ref="E216">GetValue("Types",D216,"Name")</f>
        <v>timestamp</v>
      </c>
      <c r="F216" t="s">
        <v>508</v>
      </c>
      <c r="G216" t="s">
        <v>541</v>
      </c>
    </row>
    <row r="217" spans="1:7" x14ac:dyDescent="0.3">
      <c r="A217">
        <f t="shared" si="2"/>
        <v>216</v>
      </c>
      <c r="B217">
        <v>6</v>
      </c>
      <c r="C217" t="str" cm="1">
        <f t="array" ref="C217">GetValue("Engines",B217,"Name")</f>
        <v>Interbase</v>
      </c>
      <c r="D217">
        <v>31</v>
      </c>
      <c r="E217" t="str" cm="1">
        <f t="array" ref="E217">GetValue("Types",D217,"Name")</f>
        <v>tinyint</v>
      </c>
      <c r="F217" t="s">
        <v>502</v>
      </c>
      <c r="G217" t="s">
        <v>542</v>
      </c>
    </row>
    <row r="218" spans="1:7" x14ac:dyDescent="0.3">
      <c r="A218">
        <f t="shared" si="2"/>
        <v>217</v>
      </c>
      <c r="B218">
        <v>6</v>
      </c>
      <c r="C218" t="str" cm="1">
        <f t="array" ref="C218">GetValue("Engines",B218,"Name")</f>
        <v>Interbase</v>
      </c>
      <c r="D218">
        <v>32</v>
      </c>
      <c r="E218" t="str" cm="1">
        <f t="array" ref="E218">GetValue("Types",D218,"Name")</f>
        <v>uniqueidentifier</v>
      </c>
      <c r="F218" t="s">
        <v>602</v>
      </c>
      <c r="G218" t="s">
        <v>543</v>
      </c>
    </row>
    <row r="219" spans="1:7" x14ac:dyDescent="0.3">
      <c r="A219">
        <f t="shared" si="2"/>
        <v>218</v>
      </c>
      <c r="B219">
        <v>6</v>
      </c>
      <c r="C219" t="str" cm="1">
        <f t="array" ref="C219">GetValue("Engines",B219,"Name")</f>
        <v>Interbase</v>
      </c>
      <c r="D219">
        <v>33</v>
      </c>
      <c r="E219" t="str" cm="1">
        <f t="array" ref="E219">GetValue("Types",D219,"Name")</f>
        <v>varbinary</v>
      </c>
      <c r="F219" t="s">
        <v>552</v>
      </c>
      <c r="G219" t="s">
        <v>544</v>
      </c>
    </row>
    <row r="220" spans="1:7" x14ac:dyDescent="0.3">
      <c r="A220">
        <f t="shared" si="2"/>
        <v>219</v>
      </c>
      <c r="B220">
        <v>6</v>
      </c>
      <c r="C220" t="str" cm="1">
        <f t="array" ref="C220">GetValue("Engines",B220,"Name")</f>
        <v>Interbase</v>
      </c>
      <c r="D220">
        <v>34</v>
      </c>
      <c r="E220" t="str" cm="1">
        <f t="array" ref="E220">GetValue("Types",D220,"Name")</f>
        <v>varbinary(max)</v>
      </c>
      <c r="F220" t="s">
        <v>603</v>
      </c>
      <c r="G220" t="s">
        <v>545</v>
      </c>
    </row>
    <row r="221" spans="1:7" x14ac:dyDescent="0.3">
      <c r="A221">
        <f t="shared" si="2"/>
        <v>220</v>
      </c>
      <c r="B221">
        <v>6</v>
      </c>
      <c r="C221" t="str" cm="1">
        <f t="array" ref="C221">GetValue("Engines",B221,"Name")</f>
        <v>Interbase</v>
      </c>
      <c r="D221">
        <v>35</v>
      </c>
      <c r="E221" t="str" cm="1">
        <f t="array" ref="E221">GetValue("Types",D221,"Name")</f>
        <v>varchar</v>
      </c>
      <c r="F221" t="s">
        <v>546</v>
      </c>
      <c r="G221" t="s">
        <v>547</v>
      </c>
    </row>
    <row r="222" spans="1:7" x14ac:dyDescent="0.3">
      <c r="A222">
        <f t="shared" si="2"/>
        <v>221</v>
      </c>
      <c r="B222">
        <v>6</v>
      </c>
      <c r="C222" t="str" cm="1">
        <f t="array" ref="C222">GetValue("Engines",B222,"Name")</f>
        <v>Interbase</v>
      </c>
      <c r="D222">
        <v>36</v>
      </c>
      <c r="E222" t="str" cm="1">
        <f t="array" ref="E222">GetValue("Types",D222,"Name")</f>
        <v>varchar(max)</v>
      </c>
      <c r="F222" t="s">
        <v>601</v>
      </c>
      <c r="G222" t="s">
        <v>548</v>
      </c>
    </row>
    <row r="223" spans="1:7" x14ac:dyDescent="0.3">
      <c r="A223">
        <f t="shared" si="2"/>
        <v>222</v>
      </c>
      <c r="B223">
        <v>6</v>
      </c>
      <c r="C223" t="str" cm="1">
        <f t="array" ref="C223">GetValue("Engines",B223,"Name")</f>
        <v>Interbase</v>
      </c>
      <c r="D223">
        <v>37</v>
      </c>
      <c r="E223" t="str" cm="1">
        <f t="array" ref="E223">GetValue("Types",D223,"Name")</f>
        <v>xml</v>
      </c>
      <c r="F223" t="s">
        <v>601</v>
      </c>
      <c r="G223" t="s">
        <v>550</v>
      </c>
    </row>
    <row r="224" spans="1:7" x14ac:dyDescent="0.3">
      <c r="A224">
        <f t="shared" si="2"/>
        <v>223</v>
      </c>
      <c r="B224">
        <v>7</v>
      </c>
      <c r="C224" t="str" cm="1">
        <f t="array" ref="C224">GetValue("Engines",B224,"Name")</f>
        <v>SQL Anywhere</v>
      </c>
      <c r="D224">
        <v>1</v>
      </c>
      <c r="E224" t="s">
        <v>499</v>
      </c>
      <c r="F224" t="s">
        <v>499</v>
      </c>
      <c r="G224" t="s">
        <v>500</v>
      </c>
    </row>
    <row r="225" spans="1:7" x14ac:dyDescent="0.3">
      <c r="A225">
        <f t="shared" si="2"/>
        <v>224</v>
      </c>
      <c r="B225">
        <v>7</v>
      </c>
      <c r="C225" t="str" cm="1">
        <f t="array" ref="C225">GetValue("Engines",B225,"Name")</f>
        <v>SQL Anywhere</v>
      </c>
      <c r="D225">
        <v>2</v>
      </c>
      <c r="E225" t="s">
        <v>559</v>
      </c>
      <c r="F225" t="s">
        <v>559</v>
      </c>
      <c r="G225" t="s">
        <v>501</v>
      </c>
    </row>
    <row r="226" spans="1:7" x14ac:dyDescent="0.3">
      <c r="A226">
        <f t="shared" si="2"/>
        <v>225</v>
      </c>
      <c r="B226">
        <v>7</v>
      </c>
      <c r="C226" t="str" cm="1">
        <f t="array" ref="C226">GetValue("Engines",B226,"Name")</f>
        <v>SQL Anywhere</v>
      </c>
      <c r="D226">
        <v>3</v>
      </c>
      <c r="E226" t="s">
        <v>604</v>
      </c>
      <c r="F226" t="s">
        <v>502</v>
      </c>
      <c r="G226" t="s">
        <v>503</v>
      </c>
    </row>
    <row r="227" spans="1:7" x14ac:dyDescent="0.3">
      <c r="A227">
        <f t="shared" si="2"/>
        <v>226</v>
      </c>
      <c r="B227">
        <v>7</v>
      </c>
      <c r="C227" t="str" cm="1">
        <f t="array" ref="C227">GetValue("Engines",B227,"Name")</f>
        <v>SQL Anywhere</v>
      </c>
      <c r="D227">
        <v>4</v>
      </c>
      <c r="E227" t="s">
        <v>504</v>
      </c>
      <c r="F227" t="s">
        <v>504</v>
      </c>
      <c r="G227" t="s">
        <v>505</v>
      </c>
    </row>
    <row r="228" spans="1:7" x14ac:dyDescent="0.3">
      <c r="A228">
        <f t="shared" si="2"/>
        <v>227</v>
      </c>
      <c r="B228">
        <v>7</v>
      </c>
      <c r="C228" t="str" cm="1">
        <f t="array" ref="C228">GetValue("Engines",B228,"Name")</f>
        <v>SQL Anywhere</v>
      </c>
      <c r="D228">
        <v>5</v>
      </c>
      <c r="E228" t="s">
        <v>506</v>
      </c>
      <c r="F228" t="s">
        <v>506</v>
      </c>
      <c r="G228" t="s">
        <v>507</v>
      </c>
    </row>
    <row r="229" spans="1:7" x14ac:dyDescent="0.3">
      <c r="A229">
        <f t="shared" si="2"/>
        <v>228</v>
      </c>
      <c r="B229">
        <v>7</v>
      </c>
      <c r="C229" t="str" cm="1">
        <f t="array" ref="C229">GetValue("Engines",B229,"Name")</f>
        <v>SQL Anywhere</v>
      </c>
      <c r="D229">
        <v>6</v>
      </c>
      <c r="E229" t="s">
        <v>560</v>
      </c>
      <c r="F229" t="s">
        <v>508</v>
      </c>
      <c r="G229" t="s">
        <v>509</v>
      </c>
    </row>
    <row r="230" spans="1:7" x14ac:dyDescent="0.3">
      <c r="A230">
        <f t="shared" si="2"/>
        <v>229</v>
      </c>
      <c r="B230">
        <v>7</v>
      </c>
      <c r="C230" t="str" cm="1">
        <f t="array" ref="C230">GetValue("Engines",B230,"Name")</f>
        <v>SQL Anywhere</v>
      </c>
      <c r="D230">
        <v>7</v>
      </c>
      <c r="E230" t="s">
        <v>508</v>
      </c>
      <c r="F230" t="s">
        <v>508</v>
      </c>
      <c r="G230" t="s">
        <v>510</v>
      </c>
    </row>
    <row r="231" spans="1:7" x14ac:dyDescent="0.3">
      <c r="A231">
        <f t="shared" si="2"/>
        <v>230</v>
      </c>
      <c r="B231">
        <v>7</v>
      </c>
      <c r="C231" t="str" cm="1">
        <f t="array" ref="C231">GetValue("Engines",B231,"Name")</f>
        <v>SQL Anywhere</v>
      </c>
      <c r="D231">
        <v>8</v>
      </c>
      <c r="E231" t="s">
        <v>511</v>
      </c>
      <c r="F231" t="s">
        <v>511</v>
      </c>
      <c r="G231" t="s">
        <v>512</v>
      </c>
    </row>
    <row r="232" spans="1:7" x14ac:dyDescent="0.3">
      <c r="A232">
        <f t="shared" si="2"/>
        <v>231</v>
      </c>
      <c r="B232">
        <v>7</v>
      </c>
      <c r="C232" t="str" cm="1">
        <f t="array" ref="C232">GetValue("Engines",B232,"Name")</f>
        <v>SQL Anywhere</v>
      </c>
      <c r="D232">
        <v>9</v>
      </c>
      <c r="E232" t="s">
        <v>592</v>
      </c>
      <c r="F232" t="s">
        <v>592</v>
      </c>
      <c r="G232" t="s">
        <v>513</v>
      </c>
    </row>
    <row r="233" spans="1:7" x14ac:dyDescent="0.3">
      <c r="A233">
        <f t="shared" si="2"/>
        <v>232</v>
      </c>
      <c r="B233">
        <v>7</v>
      </c>
      <c r="C233" t="str" cm="1">
        <f t="array" ref="C233">GetValue("Engines",B233,"Name")</f>
        <v>SQL Anywhere</v>
      </c>
      <c r="D233">
        <v>10</v>
      </c>
      <c r="E233" t="s">
        <v>553</v>
      </c>
      <c r="F233" t="s">
        <v>551</v>
      </c>
      <c r="G233" t="s">
        <v>515</v>
      </c>
    </row>
    <row r="234" spans="1:7" x14ac:dyDescent="0.3">
      <c r="A234">
        <f t="shared" si="2"/>
        <v>233</v>
      </c>
      <c r="B234">
        <v>7</v>
      </c>
      <c r="C234" t="str" cm="1">
        <f t="array" ref="C234">GetValue("Engines",B234,"Name")</f>
        <v>SQL Anywhere</v>
      </c>
      <c r="D234">
        <v>11</v>
      </c>
      <c r="G234" t="s">
        <v>516</v>
      </c>
    </row>
    <row r="235" spans="1:7" x14ac:dyDescent="0.3">
      <c r="A235">
        <f t="shared" si="2"/>
        <v>234</v>
      </c>
      <c r="B235">
        <v>7</v>
      </c>
      <c r="C235" t="str" cm="1">
        <f t="array" ref="C235">GetValue("Engines",B235,"Name")</f>
        <v>SQL Anywhere</v>
      </c>
      <c r="D235">
        <v>12</v>
      </c>
      <c r="E235" t="s">
        <v>605</v>
      </c>
      <c r="G235" t="s">
        <v>517</v>
      </c>
    </row>
    <row r="236" spans="1:7" x14ac:dyDescent="0.3">
      <c r="A236">
        <f t="shared" si="2"/>
        <v>235</v>
      </c>
      <c r="B236">
        <v>7</v>
      </c>
      <c r="C236" t="str" cm="1">
        <f t="array" ref="C236">GetValue("Engines",B236,"Name")</f>
        <v>SQL Anywhere</v>
      </c>
      <c r="D236">
        <v>13</v>
      </c>
      <c r="G236" t="s">
        <v>518</v>
      </c>
    </row>
    <row r="237" spans="1:7" x14ac:dyDescent="0.3">
      <c r="A237">
        <f t="shared" si="2"/>
        <v>236</v>
      </c>
      <c r="B237">
        <v>7</v>
      </c>
      <c r="C237" t="str" cm="1">
        <f t="array" ref="C237">GetValue("Engines",B237,"Name")</f>
        <v>SQL Anywhere</v>
      </c>
      <c r="D237">
        <v>14</v>
      </c>
      <c r="E237" t="s">
        <v>606</v>
      </c>
      <c r="F237" t="s">
        <v>611</v>
      </c>
      <c r="G237" t="s">
        <v>519</v>
      </c>
    </row>
    <row r="238" spans="1:7" x14ac:dyDescent="0.3">
      <c r="A238">
        <f t="shared" si="2"/>
        <v>237</v>
      </c>
      <c r="B238">
        <v>7</v>
      </c>
      <c r="C238" t="str" cm="1">
        <f t="array" ref="C238">GetValue("Engines",B238,"Name")</f>
        <v>SQL Anywhere</v>
      </c>
      <c r="D238">
        <v>15</v>
      </c>
      <c r="E238" t="s">
        <v>520</v>
      </c>
      <c r="F238" t="s">
        <v>520</v>
      </c>
      <c r="G238" t="s">
        <v>521</v>
      </c>
    </row>
    <row r="239" spans="1:7" x14ac:dyDescent="0.3">
      <c r="A239">
        <f t="shared" si="2"/>
        <v>238</v>
      </c>
      <c r="B239">
        <v>7</v>
      </c>
      <c r="C239" t="str" cm="1">
        <f t="array" ref="C239">GetValue("Engines",B239,"Name")</f>
        <v>SQL Anywhere</v>
      </c>
      <c r="D239">
        <v>16</v>
      </c>
      <c r="E239" t="s">
        <v>607</v>
      </c>
      <c r="F239" t="s">
        <v>522</v>
      </c>
      <c r="G239" t="s">
        <v>523</v>
      </c>
    </row>
    <row r="240" spans="1:7" x14ac:dyDescent="0.3">
      <c r="A240">
        <f t="shared" si="2"/>
        <v>239</v>
      </c>
      <c r="B240">
        <v>7</v>
      </c>
      <c r="C240" t="str" cm="1">
        <f t="array" ref="C240">GetValue("Engines",B240,"Name")</f>
        <v>SQL Anywhere</v>
      </c>
      <c r="D240">
        <v>17</v>
      </c>
      <c r="E240" t="s">
        <v>555</v>
      </c>
      <c r="F240" t="s">
        <v>504</v>
      </c>
      <c r="G240" t="s">
        <v>524</v>
      </c>
    </row>
    <row r="241" spans="1:7" x14ac:dyDescent="0.3">
      <c r="A241">
        <f t="shared" si="2"/>
        <v>240</v>
      </c>
      <c r="B241">
        <v>7</v>
      </c>
      <c r="C241" t="str" cm="1">
        <f t="array" ref="C241">GetValue("Engines",B241,"Name")</f>
        <v>SQL Anywhere</v>
      </c>
      <c r="D241">
        <v>18</v>
      </c>
      <c r="E241" t="s">
        <v>608</v>
      </c>
      <c r="F241" t="s">
        <v>608</v>
      </c>
      <c r="G241" t="s">
        <v>525</v>
      </c>
    </row>
    <row r="242" spans="1:7" x14ac:dyDescent="0.3">
      <c r="A242">
        <f t="shared" si="2"/>
        <v>241</v>
      </c>
      <c r="B242">
        <v>7</v>
      </c>
      <c r="C242" t="str" cm="1">
        <f t="array" ref="C242">GetValue("Engines",B242,"Name")</f>
        <v>SQL Anywhere</v>
      </c>
      <c r="D242">
        <v>19</v>
      </c>
      <c r="E242" t="s">
        <v>593</v>
      </c>
      <c r="F242" t="s">
        <v>593</v>
      </c>
      <c r="G242" t="s">
        <v>526</v>
      </c>
    </row>
    <row r="243" spans="1:7" x14ac:dyDescent="0.3">
      <c r="A243">
        <f t="shared" si="2"/>
        <v>242</v>
      </c>
      <c r="B243">
        <v>7</v>
      </c>
      <c r="C243" t="str" cm="1">
        <f t="array" ref="C243">GetValue("Engines",B243,"Name")</f>
        <v>SQL Anywhere</v>
      </c>
      <c r="D243">
        <v>20</v>
      </c>
      <c r="E243" t="s">
        <v>557</v>
      </c>
      <c r="F243" t="s">
        <v>546</v>
      </c>
      <c r="G243" t="s">
        <v>527</v>
      </c>
    </row>
    <row r="244" spans="1:7" x14ac:dyDescent="0.3">
      <c r="A244">
        <f t="shared" si="2"/>
        <v>243</v>
      </c>
      <c r="B244">
        <v>7</v>
      </c>
      <c r="C244" t="str" cm="1">
        <f t="array" ref="C244">GetValue("Engines",B244,"Name")</f>
        <v>SQL Anywhere</v>
      </c>
      <c r="D244">
        <v>21</v>
      </c>
      <c r="E244" t="s">
        <v>608</v>
      </c>
      <c r="F244" t="s">
        <v>608</v>
      </c>
      <c r="G244" t="s">
        <v>528</v>
      </c>
    </row>
    <row r="245" spans="1:7" x14ac:dyDescent="0.3">
      <c r="A245">
        <f t="shared" si="2"/>
        <v>244</v>
      </c>
      <c r="B245">
        <v>7</v>
      </c>
      <c r="C245" t="str" cm="1">
        <f t="array" ref="C245">GetValue("Engines",B245,"Name")</f>
        <v>SQL Anywhere</v>
      </c>
      <c r="D245">
        <v>22</v>
      </c>
      <c r="E245" t="s">
        <v>529</v>
      </c>
      <c r="F245" t="s">
        <v>553</v>
      </c>
      <c r="G245" t="s">
        <v>530</v>
      </c>
    </row>
    <row r="246" spans="1:7" x14ac:dyDescent="0.3">
      <c r="A246">
        <f t="shared" si="2"/>
        <v>245</v>
      </c>
      <c r="B246">
        <v>7</v>
      </c>
      <c r="C246" t="str" cm="1">
        <f t="array" ref="C246">GetValue("Engines",B246,"Name")</f>
        <v>SQL Anywhere</v>
      </c>
      <c r="D246">
        <v>23</v>
      </c>
      <c r="E246" t="s">
        <v>609</v>
      </c>
      <c r="F246" t="s">
        <v>508</v>
      </c>
      <c r="G246" t="s">
        <v>531</v>
      </c>
    </row>
    <row r="247" spans="1:7" x14ac:dyDescent="0.3">
      <c r="A247">
        <f t="shared" si="2"/>
        <v>246</v>
      </c>
      <c r="B247">
        <v>7</v>
      </c>
      <c r="C247" t="str" cm="1">
        <f t="array" ref="C247">GetValue("Engines",B247,"Name")</f>
        <v>SQL Anywhere</v>
      </c>
      <c r="D247">
        <v>24</v>
      </c>
      <c r="E247" t="s">
        <v>502</v>
      </c>
      <c r="F247" t="s">
        <v>502</v>
      </c>
      <c r="G247" t="s">
        <v>532</v>
      </c>
    </row>
    <row r="248" spans="1:7" x14ac:dyDescent="0.3">
      <c r="A248">
        <f t="shared" si="2"/>
        <v>247</v>
      </c>
      <c r="B248">
        <v>7</v>
      </c>
      <c r="C248" t="str" cm="1">
        <f t="array" ref="C248">GetValue("Engines",B248,"Name")</f>
        <v>SQL Anywhere</v>
      </c>
      <c r="D248">
        <v>25</v>
      </c>
      <c r="E248" t="s">
        <v>607</v>
      </c>
      <c r="F248" t="s">
        <v>533</v>
      </c>
      <c r="G248" t="s">
        <v>534</v>
      </c>
    </row>
    <row r="249" spans="1:7" x14ac:dyDescent="0.3">
      <c r="A249">
        <f t="shared" si="2"/>
        <v>248</v>
      </c>
      <c r="B249">
        <v>7</v>
      </c>
      <c r="C249" t="str" cm="1">
        <f t="array" ref="C249">GetValue("Engines",B249,"Name")</f>
        <v>SQL Anywhere</v>
      </c>
      <c r="D249">
        <v>26</v>
      </c>
      <c r="E249" t="s">
        <v>608</v>
      </c>
      <c r="F249" t="s">
        <v>608</v>
      </c>
      <c r="G249" t="s">
        <v>535</v>
      </c>
    </row>
    <row r="250" spans="1:7" x14ac:dyDescent="0.3">
      <c r="A250">
        <f t="shared" si="2"/>
        <v>249</v>
      </c>
      <c r="B250">
        <v>7</v>
      </c>
      <c r="C250" t="str" cm="1">
        <f t="array" ref="C250">GetValue("Engines",B250,"Name")</f>
        <v>SQL Anywhere</v>
      </c>
      <c r="D250">
        <v>27</v>
      </c>
      <c r="E250" t="s">
        <v>536</v>
      </c>
      <c r="F250" t="s">
        <v>536</v>
      </c>
      <c r="G250" t="s">
        <v>537</v>
      </c>
    </row>
    <row r="251" spans="1:7" x14ac:dyDescent="0.3">
      <c r="A251">
        <f t="shared" si="2"/>
        <v>250</v>
      </c>
      <c r="B251">
        <v>7</v>
      </c>
      <c r="C251" t="str" cm="1">
        <f t="array" ref="C251">GetValue("Engines",B251,"Name")</f>
        <v>SQL Anywhere</v>
      </c>
      <c r="D251">
        <v>28</v>
      </c>
      <c r="E251" t="s">
        <v>608</v>
      </c>
      <c r="F251" t="s">
        <v>608</v>
      </c>
      <c r="G251" t="s">
        <v>538</v>
      </c>
    </row>
    <row r="252" spans="1:7" x14ac:dyDescent="0.3">
      <c r="A252">
        <f t="shared" si="2"/>
        <v>251</v>
      </c>
      <c r="B252">
        <v>7</v>
      </c>
      <c r="C252" t="str" cm="1">
        <f t="array" ref="C252">GetValue("Engines",B252,"Name")</f>
        <v>SQL Anywhere</v>
      </c>
      <c r="D252">
        <v>29</v>
      </c>
      <c r="E252" t="s">
        <v>539</v>
      </c>
      <c r="F252" t="s">
        <v>539</v>
      </c>
      <c r="G252" t="s">
        <v>540</v>
      </c>
    </row>
    <row r="253" spans="1:7" x14ac:dyDescent="0.3">
      <c r="A253">
        <f t="shared" si="2"/>
        <v>252</v>
      </c>
      <c r="B253">
        <v>7</v>
      </c>
      <c r="C253" t="str" cm="1">
        <f t="array" ref="C253">GetValue("Engines",B253,"Name")</f>
        <v>SQL Anywhere</v>
      </c>
      <c r="D253">
        <v>30</v>
      </c>
      <c r="E253" t="s">
        <v>508</v>
      </c>
      <c r="F253" t="s">
        <v>508</v>
      </c>
      <c r="G253" t="s">
        <v>541</v>
      </c>
    </row>
    <row r="254" spans="1:7" x14ac:dyDescent="0.3">
      <c r="A254">
        <f t="shared" si="2"/>
        <v>253</v>
      </c>
      <c r="B254">
        <v>7</v>
      </c>
      <c r="C254" t="str" cm="1">
        <f t="array" ref="C254">GetValue("Engines",B254,"Name")</f>
        <v>SQL Anywhere</v>
      </c>
      <c r="D254">
        <v>31</v>
      </c>
      <c r="E254" t="s">
        <v>566</v>
      </c>
      <c r="F254" t="s">
        <v>502</v>
      </c>
      <c r="G254" t="s">
        <v>542</v>
      </c>
    </row>
    <row r="255" spans="1:7" x14ac:dyDescent="0.3">
      <c r="A255">
        <f t="shared" si="2"/>
        <v>254</v>
      </c>
      <c r="B255">
        <v>7</v>
      </c>
      <c r="C255" t="str" cm="1">
        <f t="array" ref="C255">GetValue("Engines",B255,"Name")</f>
        <v>SQL Anywhere</v>
      </c>
      <c r="D255">
        <v>32</v>
      </c>
      <c r="E255" t="s">
        <v>610</v>
      </c>
      <c r="F255" t="s">
        <v>602</v>
      </c>
      <c r="G255" t="s">
        <v>543</v>
      </c>
    </row>
    <row r="256" spans="1:7" x14ac:dyDescent="0.3">
      <c r="A256">
        <f t="shared" si="2"/>
        <v>255</v>
      </c>
      <c r="B256">
        <v>7</v>
      </c>
      <c r="C256" t="str" cm="1">
        <f t="array" ref="C256">GetValue("Engines",B256,"Name")</f>
        <v>SQL Anywhere</v>
      </c>
      <c r="D256">
        <v>33</v>
      </c>
      <c r="E256" t="s">
        <v>567</v>
      </c>
      <c r="F256" t="s">
        <v>611</v>
      </c>
      <c r="G256" t="s">
        <v>544</v>
      </c>
    </row>
    <row r="257" spans="1:7" x14ac:dyDescent="0.3">
      <c r="A257">
        <f t="shared" si="2"/>
        <v>256</v>
      </c>
      <c r="B257">
        <v>7</v>
      </c>
      <c r="C257" t="str" cm="1">
        <f t="array" ref="C257">GetValue("Engines",B257,"Name")</f>
        <v>SQL Anywhere</v>
      </c>
      <c r="D257">
        <v>34</v>
      </c>
      <c r="E257" t="s">
        <v>611</v>
      </c>
      <c r="F257" t="s">
        <v>603</v>
      </c>
      <c r="G257" t="s">
        <v>545</v>
      </c>
    </row>
    <row r="258" spans="1:7" x14ac:dyDescent="0.3">
      <c r="A258">
        <f t="shared" si="2"/>
        <v>257</v>
      </c>
      <c r="B258">
        <v>7</v>
      </c>
      <c r="C258" t="str" cm="1">
        <f t="array" ref="C258">GetValue("Engines",B258,"Name")</f>
        <v>SQL Anywhere</v>
      </c>
      <c r="D258">
        <v>35</v>
      </c>
      <c r="E258" t="s">
        <v>546</v>
      </c>
      <c r="F258" t="s">
        <v>546</v>
      </c>
      <c r="G258" t="s">
        <v>547</v>
      </c>
    </row>
    <row r="259" spans="1:7" x14ac:dyDescent="0.3">
      <c r="A259">
        <f t="shared" si="2"/>
        <v>258</v>
      </c>
      <c r="B259">
        <v>7</v>
      </c>
      <c r="C259" t="str" cm="1">
        <f t="array" ref="C259">GetValue("Engines",B259,"Name")</f>
        <v>SQL Anywhere</v>
      </c>
      <c r="D259">
        <v>36</v>
      </c>
      <c r="E259" t="s">
        <v>608</v>
      </c>
      <c r="F259" t="s">
        <v>608</v>
      </c>
      <c r="G259" t="s">
        <v>548</v>
      </c>
    </row>
    <row r="260" spans="1:7" x14ac:dyDescent="0.3">
      <c r="A260">
        <f t="shared" si="2"/>
        <v>259</v>
      </c>
      <c r="B260">
        <v>7</v>
      </c>
      <c r="C260" t="str" cm="1">
        <f t="array" ref="C260">GetValue("Engines",B260,"Name")</f>
        <v>SQL Anywhere</v>
      </c>
      <c r="D260">
        <v>37</v>
      </c>
      <c r="E260" t="s">
        <v>549</v>
      </c>
      <c r="F260" t="s">
        <v>608</v>
      </c>
      <c r="G260" t="s">
        <v>550</v>
      </c>
    </row>
    <row r="261" spans="1:7" x14ac:dyDescent="0.3">
      <c r="A261">
        <f t="shared" si="2"/>
        <v>260</v>
      </c>
      <c r="B261">
        <v>8</v>
      </c>
      <c r="C261" t="str" cm="1">
        <f t="array" ref="C261">GetValue("Engines",B261,"Name")</f>
        <v>Informix</v>
      </c>
      <c r="D261">
        <v>1</v>
      </c>
      <c r="E261" t="str" cm="1">
        <f t="array" ref="E261">GetValue("Types",D261,"Name")</f>
        <v>bigint</v>
      </c>
      <c r="F261" t="s">
        <v>612</v>
      </c>
      <c r="G261" t="s">
        <v>500</v>
      </c>
    </row>
    <row r="262" spans="1:7" x14ac:dyDescent="0.3">
      <c r="A262">
        <f t="shared" si="2"/>
        <v>261</v>
      </c>
      <c r="B262">
        <v>8</v>
      </c>
      <c r="C262" t="str" cm="1">
        <f t="array" ref="C262">GetValue("Engines",B262,"Name")</f>
        <v>Informix</v>
      </c>
      <c r="D262">
        <v>2</v>
      </c>
      <c r="E262" t="str" cm="1">
        <f t="array" ref="E262">GetValue("Types",D262,"Name")</f>
        <v>binary</v>
      </c>
      <c r="F262" t="s">
        <v>613</v>
      </c>
      <c r="G262" t="s">
        <v>501</v>
      </c>
    </row>
    <row r="263" spans="1:7" x14ac:dyDescent="0.3">
      <c r="A263">
        <f t="shared" si="2"/>
        <v>262</v>
      </c>
      <c r="B263">
        <v>8</v>
      </c>
      <c r="C263" t="str" cm="1">
        <f t="array" ref="C263">GetValue("Engines",B263,"Name")</f>
        <v>Informix</v>
      </c>
      <c r="D263">
        <v>3</v>
      </c>
      <c r="E263" t="str" cm="1">
        <f t="array" ref="E263">GetValue("Types",D263,"Name")</f>
        <v>bit</v>
      </c>
      <c r="F263" t="s">
        <v>554</v>
      </c>
      <c r="G263" t="s">
        <v>503</v>
      </c>
    </row>
    <row r="264" spans="1:7" x14ac:dyDescent="0.3">
      <c r="A264">
        <f t="shared" si="2"/>
        <v>263</v>
      </c>
      <c r="B264">
        <v>8</v>
      </c>
      <c r="C264" t="str" cm="1">
        <f t="array" ref="C264">GetValue("Engines",B264,"Name")</f>
        <v>Informix</v>
      </c>
      <c r="D264">
        <v>4</v>
      </c>
      <c r="E264" t="str" cm="1">
        <f t="array" ref="E264">GetValue("Types",D264,"Name")</f>
        <v>char</v>
      </c>
      <c r="F264" t="s">
        <v>504</v>
      </c>
      <c r="G264" t="s">
        <v>505</v>
      </c>
    </row>
    <row r="265" spans="1:7" x14ac:dyDescent="0.3">
      <c r="A265">
        <f t="shared" si="2"/>
        <v>264</v>
      </c>
      <c r="B265">
        <v>8</v>
      </c>
      <c r="C265" t="str" cm="1">
        <f t="array" ref="C265">GetValue("Engines",B265,"Name")</f>
        <v>Informix</v>
      </c>
      <c r="D265">
        <v>5</v>
      </c>
      <c r="E265" t="str" cm="1">
        <f t="array" ref="E265">GetValue("Types",D265,"Name")</f>
        <v>date</v>
      </c>
      <c r="F265" t="s">
        <v>506</v>
      </c>
      <c r="G265" t="s">
        <v>507</v>
      </c>
    </row>
    <row r="266" spans="1:7" x14ac:dyDescent="0.3">
      <c r="A266">
        <f t="shared" si="2"/>
        <v>265</v>
      </c>
      <c r="B266">
        <v>8</v>
      </c>
      <c r="C266" t="str" cm="1">
        <f t="array" ref="C266">GetValue("Engines",B266,"Name")</f>
        <v>Informix</v>
      </c>
      <c r="D266">
        <v>6</v>
      </c>
      <c r="E266" t="str" cm="1">
        <f t="array" ref="E266">GetValue("Types",D266,"Name")</f>
        <v>datetime</v>
      </c>
      <c r="F266" t="s">
        <v>614</v>
      </c>
      <c r="G266" t="s">
        <v>509</v>
      </c>
    </row>
    <row r="267" spans="1:7" x14ac:dyDescent="0.3">
      <c r="A267">
        <f t="shared" si="2"/>
        <v>266</v>
      </c>
      <c r="B267">
        <v>8</v>
      </c>
      <c r="C267" t="str" cm="1">
        <f t="array" ref="C267">GetValue("Engines",B267,"Name")</f>
        <v>Informix</v>
      </c>
      <c r="D267">
        <v>7</v>
      </c>
      <c r="E267" t="str" cm="1">
        <f t="array" ref="E267">GetValue("Types",D267,"Name")</f>
        <v>datetime2</v>
      </c>
      <c r="F267" t="s">
        <v>615</v>
      </c>
      <c r="G267" t="s">
        <v>510</v>
      </c>
    </row>
    <row r="268" spans="1:7" x14ac:dyDescent="0.3">
      <c r="A268">
        <f t="shared" si="2"/>
        <v>267</v>
      </c>
      <c r="B268">
        <v>8</v>
      </c>
      <c r="C268" t="str" cm="1">
        <f t="array" ref="C268">GetValue("Engines",B268,"Name")</f>
        <v>Informix</v>
      </c>
      <c r="D268">
        <v>8</v>
      </c>
      <c r="E268" t="str" cm="1">
        <f t="array" ref="E268">GetValue("Types",D268,"Name")</f>
        <v>datetimeoffset</v>
      </c>
      <c r="F268" t="s">
        <v>616</v>
      </c>
      <c r="G268" t="s">
        <v>512</v>
      </c>
    </row>
    <row r="269" spans="1:7" x14ac:dyDescent="0.3">
      <c r="A269">
        <f t="shared" si="2"/>
        <v>268</v>
      </c>
      <c r="B269">
        <v>8</v>
      </c>
      <c r="C269" t="str" cm="1">
        <f t="array" ref="C269">GetValue("Engines",B269,"Name")</f>
        <v>Informix</v>
      </c>
      <c r="D269">
        <v>9</v>
      </c>
      <c r="E269" t="str" cm="1">
        <f t="array" ref="E269">GetValue("Types",D269,"Name")</f>
        <v>decimal</v>
      </c>
      <c r="F269" t="s">
        <v>592</v>
      </c>
      <c r="G269" t="s">
        <v>513</v>
      </c>
    </row>
    <row r="270" spans="1:7" x14ac:dyDescent="0.3">
      <c r="A270">
        <f t="shared" si="2"/>
        <v>269</v>
      </c>
      <c r="B270">
        <v>8</v>
      </c>
      <c r="C270" t="str" cm="1">
        <f t="array" ref="C270">GetValue("Engines",B270,"Name")</f>
        <v>Informix</v>
      </c>
      <c r="D270">
        <v>10</v>
      </c>
      <c r="E270" t="str" cm="1">
        <f t="array" ref="E270">GetValue("Types",D270,"Name")</f>
        <v>float</v>
      </c>
      <c r="F270" t="s">
        <v>553</v>
      </c>
      <c r="G270" t="s">
        <v>515</v>
      </c>
    </row>
    <row r="271" spans="1:7" x14ac:dyDescent="0.3">
      <c r="A271">
        <f t="shared" si="2"/>
        <v>270</v>
      </c>
      <c r="B271">
        <v>8</v>
      </c>
      <c r="C271" t="str" cm="1">
        <f t="array" ref="C271">GetValue("Engines",B271,"Name")</f>
        <v>Informix</v>
      </c>
      <c r="D271">
        <v>11</v>
      </c>
      <c r="E271" t="str" cm="1">
        <f t="array" ref="E271">GetValue("Types",D271,"Name")</f>
        <v>geography</v>
      </c>
      <c r="G271" t="s">
        <v>516</v>
      </c>
    </row>
    <row r="272" spans="1:7" x14ac:dyDescent="0.3">
      <c r="A272">
        <f t="shared" si="2"/>
        <v>271</v>
      </c>
      <c r="B272">
        <v>8</v>
      </c>
      <c r="C272" t="str" cm="1">
        <f t="array" ref="C272">GetValue("Engines",B272,"Name")</f>
        <v>Informix</v>
      </c>
      <c r="D272">
        <v>12</v>
      </c>
      <c r="E272" t="str" cm="1">
        <f t="array" ref="E272">GetValue("Types",D272,"Name")</f>
        <v>geometry</v>
      </c>
      <c r="G272" t="s">
        <v>517</v>
      </c>
    </row>
    <row r="273" spans="1:7" x14ac:dyDescent="0.3">
      <c r="A273">
        <f t="shared" si="2"/>
        <v>272</v>
      </c>
      <c r="B273">
        <v>8</v>
      </c>
      <c r="C273" t="str" cm="1">
        <f t="array" ref="C273">GetValue("Engines",B273,"Name")</f>
        <v>Informix</v>
      </c>
      <c r="D273">
        <v>13</v>
      </c>
      <c r="E273" t="str" cm="1">
        <f t="array" ref="E273">GetValue("Types",D273,"Name")</f>
        <v>hierarchyid</v>
      </c>
      <c r="G273" t="s">
        <v>518</v>
      </c>
    </row>
    <row r="274" spans="1:7" x14ac:dyDescent="0.3">
      <c r="A274">
        <f t="shared" si="2"/>
        <v>273</v>
      </c>
      <c r="B274">
        <v>8</v>
      </c>
      <c r="C274" t="str" cm="1">
        <f t="array" ref="C274">GetValue("Engines",B274,"Name")</f>
        <v>Informix</v>
      </c>
      <c r="D274">
        <v>14</v>
      </c>
      <c r="E274" t="str" cm="1">
        <f t="array" ref="E274">GetValue("Types",D274,"Name")</f>
        <v>image</v>
      </c>
      <c r="F274" t="s">
        <v>613</v>
      </c>
      <c r="G274" t="s">
        <v>519</v>
      </c>
    </row>
    <row r="275" spans="1:7" x14ac:dyDescent="0.3">
      <c r="A275">
        <f t="shared" si="2"/>
        <v>274</v>
      </c>
      <c r="B275">
        <v>8</v>
      </c>
      <c r="C275" t="str" cm="1">
        <f t="array" ref="C275">GetValue("Engines",B275,"Name")</f>
        <v>Informix</v>
      </c>
      <c r="D275">
        <v>15</v>
      </c>
      <c r="E275" t="str" cm="1">
        <f t="array" ref="E275">GetValue("Types",D275,"Name")</f>
        <v>int</v>
      </c>
      <c r="F275" t="s">
        <v>520</v>
      </c>
      <c r="G275" t="s">
        <v>521</v>
      </c>
    </row>
    <row r="276" spans="1:7" x14ac:dyDescent="0.3">
      <c r="A276">
        <f t="shared" si="2"/>
        <v>275</v>
      </c>
      <c r="B276">
        <v>8</v>
      </c>
      <c r="C276" t="str" cm="1">
        <f t="array" ref="C276">GetValue("Engines",B276,"Name")</f>
        <v>Informix</v>
      </c>
      <c r="D276">
        <v>16</v>
      </c>
      <c r="E276" t="str" cm="1">
        <f t="array" ref="E276">GetValue("Types",D276,"Name")</f>
        <v>money</v>
      </c>
      <c r="F276" t="s">
        <v>522</v>
      </c>
      <c r="G276" t="s">
        <v>523</v>
      </c>
    </row>
    <row r="277" spans="1:7" x14ac:dyDescent="0.3">
      <c r="A277">
        <f t="shared" si="2"/>
        <v>276</v>
      </c>
      <c r="B277">
        <v>8</v>
      </c>
      <c r="C277" t="str" cm="1">
        <f t="array" ref="C277">GetValue("Engines",B277,"Name")</f>
        <v>Informix</v>
      </c>
      <c r="D277">
        <v>17</v>
      </c>
      <c r="E277" t="str" cm="1">
        <f t="array" ref="E277">GetValue("Types",D277,"Name")</f>
        <v>nchar</v>
      </c>
      <c r="F277" t="s">
        <v>555</v>
      </c>
      <c r="G277" t="s">
        <v>524</v>
      </c>
    </row>
    <row r="278" spans="1:7" x14ac:dyDescent="0.3">
      <c r="A278">
        <f t="shared" si="2"/>
        <v>277</v>
      </c>
      <c r="B278">
        <v>8</v>
      </c>
      <c r="C278" t="str" cm="1">
        <f t="array" ref="C278">GetValue("Engines",B278,"Name")</f>
        <v>Informix</v>
      </c>
      <c r="D278">
        <v>18</v>
      </c>
      <c r="E278" t="str" cm="1">
        <f t="array" ref="E278">GetValue("Types",D278,"Name")</f>
        <v>ntext</v>
      </c>
      <c r="F278" t="s">
        <v>556</v>
      </c>
      <c r="G278" t="s">
        <v>525</v>
      </c>
    </row>
    <row r="279" spans="1:7" x14ac:dyDescent="0.3">
      <c r="A279">
        <f t="shared" si="2"/>
        <v>278</v>
      </c>
      <c r="B279">
        <v>8</v>
      </c>
      <c r="C279" t="str" cm="1">
        <f t="array" ref="C279">GetValue("Engines",B279,"Name")</f>
        <v>Informix</v>
      </c>
      <c r="D279">
        <v>19</v>
      </c>
      <c r="E279" t="str" cm="1">
        <f t="array" ref="E279">GetValue("Types",D279,"Name")</f>
        <v>numeric</v>
      </c>
      <c r="F279" t="s">
        <v>592</v>
      </c>
      <c r="G279" t="s">
        <v>526</v>
      </c>
    </row>
    <row r="280" spans="1:7" x14ac:dyDescent="0.3">
      <c r="A280">
        <f t="shared" si="2"/>
        <v>279</v>
      </c>
      <c r="B280">
        <v>8</v>
      </c>
      <c r="C280" t="str" cm="1">
        <f t="array" ref="C280">GetValue("Engines",B280,"Name")</f>
        <v>Informix</v>
      </c>
      <c r="D280">
        <v>20</v>
      </c>
      <c r="E280" t="str" cm="1">
        <f t="array" ref="E280">GetValue("Types",D280,"Name")</f>
        <v>nvarchar</v>
      </c>
      <c r="F280" t="s">
        <v>557</v>
      </c>
      <c r="G280" t="s">
        <v>527</v>
      </c>
    </row>
    <row r="281" spans="1:7" x14ac:dyDescent="0.3">
      <c r="A281">
        <f t="shared" si="2"/>
        <v>280</v>
      </c>
      <c r="B281">
        <v>8</v>
      </c>
      <c r="C281" t="str" cm="1">
        <f t="array" ref="C281">GetValue("Engines",B281,"Name")</f>
        <v>Informix</v>
      </c>
      <c r="D281">
        <v>21</v>
      </c>
      <c r="E281" t="str" cm="1">
        <f t="array" ref="E281">GetValue("Types",D281,"Name")</f>
        <v>nvarchar(max)</v>
      </c>
      <c r="F281" t="s">
        <v>556</v>
      </c>
      <c r="G281" t="s">
        <v>528</v>
      </c>
    </row>
    <row r="282" spans="1:7" x14ac:dyDescent="0.3">
      <c r="A282">
        <f t="shared" si="2"/>
        <v>281</v>
      </c>
      <c r="B282">
        <v>8</v>
      </c>
      <c r="C282" t="str" cm="1">
        <f t="array" ref="C282">GetValue("Engines",B282,"Name")</f>
        <v>Informix</v>
      </c>
      <c r="D282">
        <v>22</v>
      </c>
      <c r="E282" t="str" cm="1">
        <f t="array" ref="E282">GetValue("Types",D282,"Name")</f>
        <v>real</v>
      </c>
      <c r="F282" t="s">
        <v>553</v>
      </c>
      <c r="G282" t="s">
        <v>530</v>
      </c>
    </row>
    <row r="283" spans="1:7" x14ac:dyDescent="0.3">
      <c r="A283">
        <f t="shared" si="2"/>
        <v>282</v>
      </c>
      <c r="B283">
        <v>8</v>
      </c>
      <c r="C283" t="str" cm="1">
        <f t="array" ref="C283">GetValue("Engines",B283,"Name")</f>
        <v>Informix</v>
      </c>
      <c r="D283">
        <v>23</v>
      </c>
      <c r="E283" t="str" cm="1">
        <f t="array" ref="E283">GetValue("Types",D283,"Name")</f>
        <v>smalldatetime</v>
      </c>
      <c r="F283" t="s">
        <v>614</v>
      </c>
      <c r="G283" t="s">
        <v>531</v>
      </c>
    </row>
    <row r="284" spans="1:7" x14ac:dyDescent="0.3">
      <c r="A284">
        <f t="shared" si="2"/>
        <v>283</v>
      </c>
      <c r="B284">
        <v>8</v>
      </c>
      <c r="C284" t="str" cm="1">
        <f t="array" ref="C284">GetValue("Engines",B284,"Name")</f>
        <v>Informix</v>
      </c>
      <c r="D284">
        <v>24</v>
      </c>
      <c r="E284" t="str" cm="1">
        <f t="array" ref="E284">GetValue("Types",D284,"Name")</f>
        <v>smallint</v>
      </c>
      <c r="F284" t="s">
        <v>502</v>
      </c>
      <c r="G284" t="s">
        <v>532</v>
      </c>
    </row>
    <row r="285" spans="1:7" x14ac:dyDescent="0.3">
      <c r="A285">
        <f t="shared" si="2"/>
        <v>284</v>
      </c>
      <c r="B285">
        <v>8</v>
      </c>
      <c r="C285" t="str" cm="1">
        <f t="array" ref="C285">GetValue("Engines",B285,"Name")</f>
        <v>Informix</v>
      </c>
      <c r="D285">
        <v>25</v>
      </c>
      <c r="E285" t="str" cm="1">
        <f t="array" ref="E285">GetValue("Types",D285,"Name")</f>
        <v>smallmoney</v>
      </c>
      <c r="F285" t="s">
        <v>533</v>
      </c>
      <c r="G285" t="s">
        <v>534</v>
      </c>
    </row>
    <row r="286" spans="1:7" x14ac:dyDescent="0.3">
      <c r="A286">
        <f t="shared" si="2"/>
        <v>285</v>
      </c>
      <c r="B286">
        <v>8</v>
      </c>
      <c r="C286" t="str" cm="1">
        <f t="array" ref="C286">GetValue("Engines",B286,"Name")</f>
        <v>Informix</v>
      </c>
      <c r="D286">
        <v>26</v>
      </c>
      <c r="E286" t="str" cm="1">
        <f t="array" ref="E286">GetValue("Types",D286,"Name")</f>
        <v>sql_variant</v>
      </c>
      <c r="F286" t="s">
        <v>617</v>
      </c>
      <c r="G286" t="s">
        <v>535</v>
      </c>
    </row>
    <row r="287" spans="1:7" x14ac:dyDescent="0.3">
      <c r="A287">
        <f t="shared" si="2"/>
        <v>286</v>
      </c>
      <c r="B287">
        <v>8</v>
      </c>
      <c r="C287" t="str" cm="1">
        <f t="array" ref="C287">GetValue("Engines",B287,"Name")</f>
        <v>Informix</v>
      </c>
      <c r="D287">
        <v>27</v>
      </c>
      <c r="E287" t="str" cm="1">
        <f t="array" ref="E287">GetValue("Types",D287,"Name")</f>
        <v>sysname</v>
      </c>
      <c r="F287" t="s">
        <v>618</v>
      </c>
      <c r="G287" t="s">
        <v>537</v>
      </c>
    </row>
    <row r="288" spans="1:7" x14ac:dyDescent="0.3">
      <c r="A288">
        <f t="shared" si="2"/>
        <v>287</v>
      </c>
      <c r="B288">
        <v>8</v>
      </c>
      <c r="C288" t="str" cm="1">
        <f t="array" ref="C288">GetValue("Engines",B288,"Name")</f>
        <v>Informix</v>
      </c>
      <c r="D288">
        <v>28</v>
      </c>
      <c r="E288" t="str" cm="1">
        <f t="array" ref="E288">GetValue("Types",D288,"Name")</f>
        <v>text</v>
      </c>
      <c r="F288" t="s">
        <v>556</v>
      </c>
      <c r="G288" t="s">
        <v>538</v>
      </c>
    </row>
    <row r="289" spans="1:7" x14ac:dyDescent="0.3">
      <c r="A289">
        <f t="shared" si="2"/>
        <v>288</v>
      </c>
      <c r="B289">
        <v>8</v>
      </c>
      <c r="C289" t="str" cm="1">
        <f t="array" ref="C289">GetValue("Engines",B289,"Name")</f>
        <v>Informix</v>
      </c>
      <c r="D289">
        <v>29</v>
      </c>
      <c r="E289" t="str" cm="1">
        <f t="array" ref="E289">GetValue("Types",D289,"Name")</f>
        <v>time</v>
      </c>
      <c r="F289" t="s">
        <v>619</v>
      </c>
      <c r="G289" t="s">
        <v>540</v>
      </c>
    </row>
    <row r="290" spans="1:7" x14ac:dyDescent="0.3">
      <c r="A290">
        <f t="shared" si="2"/>
        <v>289</v>
      </c>
      <c r="B290">
        <v>8</v>
      </c>
      <c r="C290" t="str" cm="1">
        <f t="array" ref="C290">GetValue("Engines",B290,"Name")</f>
        <v>Informix</v>
      </c>
      <c r="D290">
        <v>30</v>
      </c>
      <c r="E290" t="str" cm="1">
        <f t="array" ref="E290">GetValue("Types",D290,"Name")</f>
        <v>timestamp</v>
      </c>
      <c r="F290" t="s">
        <v>620</v>
      </c>
      <c r="G290" t="s">
        <v>541</v>
      </c>
    </row>
    <row r="291" spans="1:7" x14ac:dyDescent="0.3">
      <c r="A291">
        <f t="shared" si="2"/>
        <v>290</v>
      </c>
      <c r="B291">
        <v>8</v>
      </c>
      <c r="C291" t="str" cm="1">
        <f t="array" ref="C291">GetValue("Engines",B291,"Name")</f>
        <v>Informix</v>
      </c>
      <c r="D291">
        <v>31</v>
      </c>
      <c r="E291" t="str" cm="1">
        <f t="array" ref="E291">GetValue("Types",D291,"Name")</f>
        <v>tinyint</v>
      </c>
      <c r="F291" t="s">
        <v>502</v>
      </c>
      <c r="G291" t="s">
        <v>542</v>
      </c>
    </row>
    <row r="292" spans="1:7" x14ac:dyDescent="0.3">
      <c r="A292">
        <f t="shared" si="2"/>
        <v>291</v>
      </c>
      <c r="B292">
        <v>8</v>
      </c>
      <c r="C292" t="str" cm="1">
        <f t="array" ref="C292">GetValue("Engines",B292,"Name")</f>
        <v>Informix</v>
      </c>
      <c r="D292">
        <v>32</v>
      </c>
      <c r="E292" t="str" cm="1">
        <f t="array" ref="E292">GetValue("Types",D292,"Name")</f>
        <v>uniqueidentifier</v>
      </c>
      <c r="F292" t="s">
        <v>558</v>
      </c>
      <c r="G292" t="s">
        <v>543</v>
      </c>
    </row>
    <row r="293" spans="1:7" x14ac:dyDescent="0.3">
      <c r="A293">
        <f t="shared" si="2"/>
        <v>292</v>
      </c>
      <c r="B293">
        <v>8</v>
      </c>
      <c r="C293" t="str" cm="1">
        <f t="array" ref="C293">GetValue("Engines",B293,"Name")</f>
        <v>Informix</v>
      </c>
      <c r="D293">
        <v>33</v>
      </c>
      <c r="E293" t="str" cm="1">
        <f t="array" ref="E293">GetValue("Types",D293,"Name")</f>
        <v>varbinary</v>
      </c>
      <c r="F293" t="s">
        <v>613</v>
      </c>
      <c r="G293" t="s">
        <v>544</v>
      </c>
    </row>
    <row r="294" spans="1:7" x14ac:dyDescent="0.3">
      <c r="A294">
        <f t="shared" si="2"/>
        <v>293</v>
      </c>
      <c r="B294">
        <v>8</v>
      </c>
      <c r="C294" t="str" cm="1">
        <f t="array" ref="C294">GetValue("Engines",B294,"Name")</f>
        <v>Informix</v>
      </c>
      <c r="D294">
        <v>34</v>
      </c>
      <c r="E294" t="str" cm="1">
        <f t="array" ref="E294">GetValue("Types",D294,"Name")</f>
        <v>varbinary(max)</v>
      </c>
      <c r="F294" t="s">
        <v>613</v>
      </c>
      <c r="G294" t="s">
        <v>545</v>
      </c>
    </row>
    <row r="295" spans="1:7" x14ac:dyDescent="0.3">
      <c r="A295">
        <f t="shared" si="2"/>
        <v>294</v>
      </c>
      <c r="B295">
        <v>8</v>
      </c>
      <c r="C295" t="str" cm="1">
        <f t="array" ref="C295">GetValue("Engines",B295,"Name")</f>
        <v>Informix</v>
      </c>
      <c r="D295">
        <v>35</v>
      </c>
      <c r="E295" t="str" cm="1">
        <f t="array" ref="E295">GetValue("Types",D295,"Name")</f>
        <v>varchar</v>
      </c>
      <c r="F295" t="s">
        <v>546</v>
      </c>
      <c r="G295" t="s">
        <v>547</v>
      </c>
    </row>
    <row r="296" spans="1:7" x14ac:dyDescent="0.3">
      <c r="A296">
        <f t="shared" si="2"/>
        <v>295</v>
      </c>
      <c r="B296">
        <v>8</v>
      </c>
      <c r="C296" t="str" cm="1">
        <f t="array" ref="C296">GetValue("Engines",B296,"Name")</f>
        <v>Informix</v>
      </c>
      <c r="D296">
        <v>36</v>
      </c>
      <c r="E296" t="str" cm="1">
        <f t="array" ref="E296">GetValue("Types",D296,"Name")</f>
        <v>varchar(max)</v>
      </c>
      <c r="F296" t="s">
        <v>556</v>
      </c>
      <c r="G296" t="s">
        <v>548</v>
      </c>
    </row>
    <row r="297" spans="1:7" x14ac:dyDescent="0.3">
      <c r="A297">
        <f t="shared" si="2"/>
        <v>296</v>
      </c>
      <c r="B297">
        <v>8</v>
      </c>
      <c r="C297" t="str" cm="1">
        <f t="array" ref="C297">GetValue("Engines",B297,"Name")</f>
        <v>Informix</v>
      </c>
      <c r="D297">
        <v>37</v>
      </c>
      <c r="E297" t="str" cm="1">
        <f t="array" ref="E297">GetValue("Types",D297,"Name")</f>
        <v>xml</v>
      </c>
      <c r="F297" t="s">
        <v>621</v>
      </c>
      <c r="G297" t="s">
        <v>550</v>
      </c>
    </row>
    <row r="298" spans="1:7" x14ac:dyDescent="0.3">
      <c r="A298">
        <f t="shared" si="2"/>
        <v>297</v>
      </c>
      <c r="B298">
        <v>9</v>
      </c>
      <c r="C298" t="str" cm="1">
        <f t="array" ref="C298">GetValue("Engines",B298,"Name")</f>
        <v>Oracle</v>
      </c>
      <c r="D298">
        <v>1</v>
      </c>
      <c r="E298" t="str" cm="1">
        <f t="array" ref="E298">GetValue("Types",D298,"Name")</f>
        <v>bigint</v>
      </c>
      <c r="F298" t="s">
        <v>622</v>
      </c>
      <c r="G298" t="s">
        <v>500</v>
      </c>
    </row>
    <row r="299" spans="1:7" x14ac:dyDescent="0.3">
      <c r="A299">
        <f t="shared" si="2"/>
        <v>298</v>
      </c>
      <c r="B299">
        <v>9</v>
      </c>
      <c r="C299" t="str" cm="1">
        <f t="array" ref="C299">GetValue("Engines",B299,"Name")</f>
        <v>Oracle</v>
      </c>
      <c r="D299">
        <v>2</v>
      </c>
      <c r="E299" t="str" cm="1">
        <f t="array" ref="E299">GetValue("Types",D299,"Name")</f>
        <v>binary</v>
      </c>
      <c r="F299" t="s">
        <v>623</v>
      </c>
      <c r="G299" t="s">
        <v>501</v>
      </c>
    </row>
    <row r="300" spans="1:7" x14ac:dyDescent="0.3">
      <c r="A300">
        <f t="shared" si="2"/>
        <v>299</v>
      </c>
      <c r="B300">
        <v>9</v>
      </c>
      <c r="C300" t="str" cm="1">
        <f t="array" ref="C300">GetValue("Engines",B300,"Name")</f>
        <v>Oracle</v>
      </c>
      <c r="D300">
        <v>3</v>
      </c>
      <c r="E300" t="str" cm="1">
        <f t="array" ref="E300">GetValue("Types",D300,"Name")</f>
        <v>bit</v>
      </c>
      <c r="F300" t="s">
        <v>624</v>
      </c>
      <c r="G300" t="s">
        <v>503</v>
      </c>
    </row>
    <row r="301" spans="1:7" x14ac:dyDescent="0.3">
      <c r="A301">
        <f t="shared" si="2"/>
        <v>300</v>
      </c>
      <c r="B301">
        <v>9</v>
      </c>
      <c r="C301" t="str" cm="1">
        <f t="array" ref="C301">GetValue("Engines",B301,"Name")</f>
        <v>Oracle</v>
      </c>
      <c r="D301">
        <v>4</v>
      </c>
      <c r="E301" t="str" cm="1">
        <f t="array" ref="E301">GetValue("Types",D301,"Name")</f>
        <v>char</v>
      </c>
      <c r="F301" t="s">
        <v>504</v>
      </c>
      <c r="G301" t="s">
        <v>505</v>
      </c>
    </row>
    <row r="302" spans="1:7" x14ac:dyDescent="0.3">
      <c r="A302">
        <f t="shared" si="2"/>
        <v>301</v>
      </c>
      <c r="B302">
        <v>9</v>
      </c>
      <c r="C302" t="str" cm="1">
        <f t="array" ref="C302">GetValue("Engines",B302,"Name")</f>
        <v>Oracle</v>
      </c>
      <c r="D302">
        <v>5</v>
      </c>
      <c r="E302" t="str" cm="1">
        <f t="array" ref="E302">GetValue("Types",D302,"Name")</f>
        <v>date</v>
      </c>
      <c r="F302" t="s">
        <v>506</v>
      </c>
      <c r="G302" t="s">
        <v>507</v>
      </c>
    </row>
    <row r="303" spans="1:7" x14ac:dyDescent="0.3">
      <c r="A303">
        <f t="shared" si="2"/>
        <v>302</v>
      </c>
      <c r="B303">
        <v>9</v>
      </c>
      <c r="C303" t="str" cm="1">
        <f t="array" ref="C303">GetValue("Engines",B303,"Name")</f>
        <v>Oracle</v>
      </c>
      <c r="D303">
        <v>6</v>
      </c>
      <c r="E303" t="str" cm="1">
        <f t="array" ref="E303">GetValue("Types",D303,"Name")</f>
        <v>datetime</v>
      </c>
      <c r="F303" t="s">
        <v>506</v>
      </c>
      <c r="G303" t="s">
        <v>509</v>
      </c>
    </row>
    <row r="304" spans="1:7" x14ac:dyDescent="0.3">
      <c r="A304">
        <f t="shared" si="2"/>
        <v>303</v>
      </c>
      <c r="B304">
        <v>9</v>
      </c>
      <c r="C304" t="str" cm="1">
        <f t="array" ref="C304">GetValue("Engines",B304,"Name")</f>
        <v>Oracle</v>
      </c>
      <c r="D304">
        <v>7</v>
      </c>
      <c r="E304" t="str" cm="1">
        <f t="array" ref="E304">GetValue("Types",D304,"Name")</f>
        <v>datetime2</v>
      </c>
      <c r="F304" t="s">
        <v>569</v>
      </c>
      <c r="G304" t="s">
        <v>510</v>
      </c>
    </row>
    <row r="305" spans="1:7" x14ac:dyDescent="0.3">
      <c r="A305">
        <f t="shared" si="2"/>
        <v>304</v>
      </c>
      <c r="B305">
        <v>9</v>
      </c>
      <c r="C305" t="str" cm="1">
        <f t="array" ref="C305">GetValue("Engines",B305,"Name")</f>
        <v>Oracle</v>
      </c>
      <c r="D305">
        <v>8</v>
      </c>
      <c r="E305" t="str" cm="1">
        <f t="array" ref="E305">GetValue("Types",D305,"Name")</f>
        <v>datetimeoffset</v>
      </c>
      <c r="F305" t="s">
        <v>511</v>
      </c>
      <c r="G305" t="s">
        <v>512</v>
      </c>
    </row>
    <row r="306" spans="1:7" x14ac:dyDescent="0.3">
      <c r="A306">
        <f t="shared" si="2"/>
        <v>305</v>
      </c>
      <c r="B306">
        <v>9</v>
      </c>
      <c r="C306" t="str" cm="1">
        <f t="array" ref="C306">GetValue("Engines",B306,"Name")</f>
        <v>Oracle</v>
      </c>
      <c r="D306">
        <v>9</v>
      </c>
      <c r="E306" t="str" cm="1">
        <f t="array" ref="E306">GetValue("Types",D306,"Name")</f>
        <v>decimal</v>
      </c>
      <c r="F306" t="s">
        <v>625</v>
      </c>
      <c r="G306" t="s">
        <v>513</v>
      </c>
    </row>
    <row r="307" spans="1:7" x14ac:dyDescent="0.3">
      <c r="A307">
        <f t="shared" si="2"/>
        <v>306</v>
      </c>
      <c r="B307">
        <v>9</v>
      </c>
      <c r="C307" t="str" cm="1">
        <f t="array" ref="C307">GetValue("Engines",B307,"Name")</f>
        <v>Oracle</v>
      </c>
      <c r="D307">
        <v>10</v>
      </c>
      <c r="E307" t="str" cm="1">
        <f t="array" ref="E307">GetValue("Types",D307,"Name")</f>
        <v>float</v>
      </c>
      <c r="F307" t="s">
        <v>626</v>
      </c>
      <c r="G307" t="s">
        <v>515</v>
      </c>
    </row>
    <row r="308" spans="1:7" x14ac:dyDescent="0.3">
      <c r="A308">
        <f t="shared" si="2"/>
        <v>307</v>
      </c>
      <c r="B308">
        <v>9</v>
      </c>
      <c r="C308" t="str" cm="1">
        <f t="array" ref="C308">GetValue("Engines",B308,"Name")</f>
        <v>Oracle</v>
      </c>
      <c r="D308">
        <v>11</v>
      </c>
      <c r="E308" t="str" cm="1">
        <f t="array" ref="E308">GetValue("Types",D308,"Name")</f>
        <v>geography</v>
      </c>
      <c r="F308" t="s">
        <v>627</v>
      </c>
      <c r="G308" t="s">
        <v>516</v>
      </c>
    </row>
    <row r="309" spans="1:7" x14ac:dyDescent="0.3">
      <c r="A309">
        <f t="shared" si="2"/>
        <v>308</v>
      </c>
      <c r="B309">
        <v>9</v>
      </c>
      <c r="C309" t="str" cm="1">
        <f t="array" ref="C309">GetValue("Engines",B309,"Name")</f>
        <v>Oracle</v>
      </c>
      <c r="D309">
        <v>12</v>
      </c>
      <c r="E309" t="str" cm="1">
        <f t="array" ref="E309">GetValue("Types",D309,"Name")</f>
        <v>geometry</v>
      </c>
      <c r="F309" t="s">
        <v>627</v>
      </c>
      <c r="G309" t="s">
        <v>517</v>
      </c>
    </row>
    <row r="310" spans="1:7" x14ac:dyDescent="0.3">
      <c r="A310">
        <f t="shared" si="2"/>
        <v>309</v>
      </c>
      <c r="B310">
        <v>9</v>
      </c>
      <c r="C310" t="str" cm="1">
        <f t="array" ref="C310">GetValue("Engines",B310,"Name")</f>
        <v>Oracle</v>
      </c>
      <c r="D310">
        <v>13</v>
      </c>
      <c r="E310" t="str" cm="1">
        <f t="array" ref="E310">GetValue("Types",D310,"Name")</f>
        <v>hierarchyid</v>
      </c>
      <c r="G310" t="s">
        <v>518</v>
      </c>
    </row>
    <row r="311" spans="1:7" x14ac:dyDescent="0.3">
      <c r="A311">
        <f t="shared" si="2"/>
        <v>310</v>
      </c>
      <c r="B311">
        <v>9</v>
      </c>
      <c r="C311" t="str" cm="1">
        <f t="array" ref="C311">GetValue("Engines",B311,"Name")</f>
        <v>Oracle</v>
      </c>
      <c r="D311">
        <v>14</v>
      </c>
      <c r="E311" t="str" cm="1">
        <f t="array" ref="E311">GetValue("Types",D311,"Name")</f>
        <v>image</v>
      </c>
      <c r="F311" t="s">
        <v>603</v>
      </c>
      <c r="G311" t="s">
        <v>519</v>
      </c>
    </row>
    <row r="312" spans="1:7" x14ac:dyDescent="0.3">
      <c r="A312">
        <f t="shared" si="2"/>
        <v>311</v>
      </c>
      <c r="B312">
        <v>9</v>
      </c>
      <c r="C312" t="str" cm="1">
        <f t="array" ref="C312">GetValue("Engines",B312,"Name")</f>
        <v>Oracle</v>
      </c>
      <c r="D312">
        <v>15</v>
      </c>
      <c r="E312" t="str" cm="1">
        <f t="array" ref="E312">GetValue("Types",D312,"Name")</f>
        <v>int</v>
      </c>
      <c r="F312" t="s">
        <v>628</v>
      </c>
      <c r="G312" t="s">
        <v>521</v>
      </c>
    </row>
    <row r="313" spans="1:7" x14ac:dyDescent="0.3">
      <c r="A313">
        <f t="shared" si="2"/>
        <v>312</v>
      </c>
      <c r="B313">
        <v>9</v>
      </c>
      <c r="C313" t="str" cm="1">
        <f t="array" ref="C313">GetValue("Engines",B313,"Name")</f>
        <v>Oracle</v>
      </c>
      <c r="D313">
        <v>16</v>
      </c>
      <c r="E313" t="str" cm="1">
        <f t="array" ref="E313">GetValue("Types",D313,"Name")</f>
        <v>money</v>
      </c>
      <c r="F313" t="s">
        <v>629</v>
      </c>
      <c r="G313" t="s">
        <v>523</v>
      </c>
    </row>
    <row r="314" spans="1:7" x14ac:dyDescent="0.3">
      <c r="A314">
        <f t="shared" si="2"/>
        <v>313</v>
      </c>
      <c r="B314">
        <v>9</v>
      </c>
      <c r="C314" t="str" cm="1">
        <f t="array" ref="C314">GetValue("Engines",B314,"Name")</f>
        <v>Oracle</v>
      </c>
      <c r="D314">
        <v>17</v>
      </c>
      <c r="E314" t="str" cm="1">
        <f t="array" ref="E314">GetValue("Types",D314,"Name")</f>
        <v>nchar</v>
      </c>
      <c r="F314" t="s">
        <v>555</v>
      </c>
      <c r="G314" t="s">
        <v>524</v>
      </c>
    </row>
    <row r="315" spans="1:7" x14ac:dyDescent="0.3">
      <c r="A315">
        <f t="shared" si="2"/>
        <v>314</v>
      </c>
      <c r="B315">
        <v>9</v>
      </c>
      <c r="C315" t="str" cm="1">
        <f t="array" ref="C315">GetValue("Engines",B315,"Name")</f>
        <v>Oracle</v>
      </c>
      <c r="D315">
        <v>18</v>
      </c>
      <c r="E315" t="str" cm="1">
        <f t="array" ref="E315">GetValue("Types",D315,"Name")</f>
        <v>ntext</v>
      </c>
      <c r="F315" t="s">
        <v>621</v>
      </c>
      <c r="G315" t="s">
        <v>525</v>
      </c>
    </row>
    <row r="316" spans="1:7" x14ac:dyDescent="0.3">
      <c r="A316">
        <f t="shared" si="2"/>
        <v>315</v>
      </c>
      <c r="B316">
        <v>9</v>
      </c>
      <c r="C316" t="str" cm="1">
        <f t="array" ref="C316">GetValue("Engines",B316,"Name")</f>
        <v>Oracle</v>
      </c>
      <c r="D316">
        <v>19</v>
      </c>
      <c r="E316" t="str" cm="1">
        <f t="array" ref="E316">GetValue("Types",D316,"Name")</f>
        <v>numeric</v>
      </c>
      <c r="F316" t="s">
        <v>625</v>
      </c>
      <c r="G316" t="s">
        <v>526</v>
      </c>
    </row>
    <row r="317" spans="1:7" x14ac:dyDescent="0.3">
      <c r="A317">
        <f t="shared" si="2"/>
        <v>316</v>
      </c>
      <c r="B317">
        <v>9</v>
      </c>
      <c r="C317" t="str" cm="1">
        <f t="array" ref="C317">GetValue("Engines",B317,"Name")</f>
        <v>Oracle</v>
      </c>
      <c r="D317">
        <v>20</v>
      </c>
      <c r="E317" t="str" cm="1">
        <f t="array" ref="E317">GetValue("Types",D317,"Name")</f>
        <v>nvarchar</v>
      </c>
      <c r="F317" t="s">
        <v>630</v>
      </c>
      <c r="G317" t="s">
        <v>527</v>
      </c>
    </row>
    <row r="318" spans="1:7" x14ac:dyDescent="0.3">
      <c r="A318">
        <f t="shared" si="2"/>
        <v>317</v>
      </c>
      <c r="B318">
        <v>9</v>
      </c>
      <c r="C318" t="str" cm="1">
        <f t="array" ref="C318">GetValue("Engines",B318,"Name")</f>
        <v>Oracle</v>
      </c>
      <c r="D318">
        <v>21</v>
      </c>
      <c r="E318" t="str" cm="1">
        <f t="array" ref="E318">GetValue("Types",D318,"Name")</f>
        <v>nvarchar(max)</v>
      </c>
      <c r="F318" t="s">
        <v>621</v>
      </c>
      <c r="G318" t="s">
        <v>528</v>
      </c>
    </row>
    <row r="319" spans="1:7" x14ac:dyDescent="0.3">
      <c r="A319">
        <f t="shared" si="2"/>
        <v>318</v>
      </c>
      <c r="B319">
        <v>9</v>
      </c>
      <c r="C319" t="str" cm="1">
        <f t="array" ref="C319">GetValue("Engines",B319,"Name")</f>
        <v>Oracle</v>
      </c>
      <c r="D319">
        <v>22</v>
      </c>
      <c r="E319" t="str" cm="1">
        <f t="array" ref="E319">GetValue("Types",D319,"Name")</f>
        <v>real</v>
      </c>
      <c r="F319" t="s">
        <v>631</v>
      </c>
      <c r="G319" t="s">
        <v>530</v>
      </c>
    </row>
    <row r="320" spans="1:7" x14ac:dyDescent="0.3">
      <c r="A320">
        <f t="shared" si="2"/>
        <v>319</v>
      </c>
      <c r="B320">
        <v>9</v>
      </c>
      <c r="C320" t="str" cm="1">
        <f t="array" ref="C320">GetValue("Engines",B320,"Name")</f>
        <v>Oracle</v>
      </c>
      <c r="D320">
        <v>23</v>
      </c>
      <c r="E320" t="str" cm="1">
        <f t="array" ref="E320">GetValue("Types",D320,"Name")</f>
        <v>smalldatetime</v>
      </c>
      <c r="F320" t="s">
        <v>506</v>
      </c>
      <c r="G320" t="s">
        <v>531</v>
      </c>
    </row>
    <row r="321" spans="1:7" x14ac:dyDescent="0.3">
      <c r="A321">
        <f t="shared" si="2"/>
        <v>320</v>
      </c>
      <c r="B321">
        <v>9</v>
      </c>
      <c r="C321" t="str" cm="1">
        <f t="array" ref="C321">GetValue("Engines",B321,"Name")</f>
        <v>Oracle</v>
      </c>
      <c r="D321">
        <v>24</v>
      </c>
      <c r="E321" t="str" cm="1">
        <f t="array" ref="E321">GetValue("Types",D321,"Name")</f>
        <v>smallint</v>
      </c>
      <c r="F321" t="s">
        <v>632</v>
      </c>
      <c r="G321" t="s">
        <v>532</v>
      </c>
    </row>
    <row r="322" spans="1:7" x14ac:dyDescent="0.3">
      <c r="A322">
        <f t="shared" si="2"/>
        <v>321</v>
      </c>
      <c r="B322">
        <v>9</v>
      </c>
      <c r="C322" t="str" cm="1">
        <f t="array" ref="C322">GetValue("Engines",B322,"Name")</f>
        <v>Oracle</v>
      </c>
      <c r="D322">
        <v>25</v>
      </c>
      <c r="E322" t="str" cm="1">
        <f t="array" ref="E322">GetValue("Types",D322,"Name")</f>
        <v>smallmoney</v>
      </c>
      <c r="F322" t="s">
        <v>633</v>
      </c>
      <c r="G322" t="s">
        <v>534</v>
      </c>
    </row>
    <row r="323" spans="1:7" x14ac:dyDescent="0.3">
      <c r="A323">
        <f t="shared" si="2"/>
        <v>322</v>
      </c>
      <c r="B323">
        <v>9</v>
      </c>
      <c r="C323" t="str" cm="1">
        <f t="array" ref="C323">GetValue("Engines",B323,"Name")</f>
        <v>Oracle</v>
      </c>
      <c r="D323">
        <v>26</v>
      </c>
      <c r="E323" t="str" cm="1">
        <f t="array" ref="E323">GetValue("Types",D323,"Name")</f>
        <v>sql_variant</v>
      </c>
      <c r="F323" t="s">
        <v>634</v>
      </c>
      <c r="G323" t="s">
        <v>535</v>
      </c>
    </row>
    <row r="324" spans="1:7" x14ac:dyDescent="0.3">
      <c r="A324">
        <f t="shared" si="2"/>
        <v>323</v>
      </c>
      <c r="B324">
        <v>9</v>
      </c>
      <c r="C324" t="str" cm="1">
        <f t="array" ref="C324">GetValue("Engines",B324,"Name")</f>
        <v>Oracle</v>
      </c>
      <c r="D324">
        <v>27</v>
      </c>
      <c r="E324" t="str" cm="1">
        <f t="array" ref="E324">GetValue("Types",D324,"Name")</f>
        <v>sysname</v>
      </c>
      <c r="F324" t="s">
        <v>635</v>
      </c>
      <c r="G324" t="s">
        <v>537</v>
      </c>
    </row>
    <row r="325" spans="1:7" x14ac:dyDescent="0.3">
      <c r="A325">
        <f t="shared" si="2"/>
        <v>324</v>
      </c>
      <c r="B325">
        <v>9</v>
      </c>
      <c r="C325" t="str" cm="1">
        <f t="array" ref="C325">GetValue("Engines",B325,"Name")</f>
        <v>Oracle</v>
      </c>
      <c r="D325">
        <v>28</v>
      </c>
      <c r="E325" t="str" cm="1">
        <f t="array" ref="E325">GetValue("Types",D325,"Name")</f>
        <v>text</v>
      </c>
      <c r="F325" t="s">
        <v>621</v>
      </c>
      <c r="G325" t="s">
        <v>538</v>
      </c>
    </row>
    <row r="326" spans="1:7" x14ac:dyDescent="0.3">
      <c r="A326">
        <f t="shared" si="2"/>
        <v>325</v>
      </c>
      <c r="B326">
        <v>9</v>
      </c>
      <c r="C326" t="str" cm="1">
        <f t="array" ref="C326">GetValue("Engines",B326,"Name")</f>
        <v>Oracle</v>
      </c>
      <c r="D326">
        <v>29</v>
      </c>
      <c r="E326" t="str" cm="1">
        <f t="array" ref="E326">GetValue("Types",D326,"Name")</f>
        <v>time</v>
      </c>
      <c r="F326" t="s">
        <v>506</v>
      </c>
      <c r="G326" t="s">
        <v>540</v>
      </c>
    </row>
    <row r="327" spans="1:7" x14ac:dyDescent="0.3">
      <c r="A327">
        <f t="shared" si="2"/>
        <v>326</v>
      </c>
      <c r="B327">
        <v>9</v>
      </c>
      <c r="C327" t="str" cm="1">
        <f t="array" ref="C327">GetValue("Engines",B327,"Name")</f>
        <v>Oracle</v>
      </c>
      <c r="D327">
        <v>30</v>
      </c>
      <c r="E327" t="str" cm="1">
        <f t="array" ref="E327">GetValue("Types",D327,"Name")</f>
        <v>timestamp</v>
      </c>
      <c r="F327" t="s">
        <v>508</v>
      </c>
      <c r="G327" t="s">
        <v>541</v>
      </c>
    </row>
    <row r="328" spans="1:7" x14ac:dyDescent="0.3">
      <c r="A328">
        <f t="shared" si="2"/>
        <v>327</v>
      </c>
      <c r="B328">
        <v>9</v>
      </c>
      <c r="C328" t="str" cm="1">
        <f t="array" ref="C328">GetValue("Engines",B328,"Name")</f>
        <v>Oracle</v>
      </c>
      <c r="D328">
        <v>31</v>
      </c>
      <c r="E328" t="str" cm="1">
        <f t="array" ref="E328">GetValue("Types",D328,"Name")</f>
        <v>tinyint</v>
      </c>
      <c r="F328" t="s">
        <v>636</v>
      </c>
      <c r="G328" t="s">
        <v>542</v>
      </c>
    </row>
    <row r="329" spans="1:7" x14ac:dyDescent="0.3">
      <c r="A329">
        <f t="shared" si="2"/>
        <v>328</v>
      </c>
      <c r="B329">
        <v>9</v>
      </c>
      <c r="C329" t="str" cm="1">
        <f t="array" ref="C329">GetValue("Engines",B329,"Name")</f>
        <v>Oracle</v>
      </c>
      <c r="D329">
        <v>32</v>
      </c>
      <c r="E329" t="str" cm="1">
        <f t="array" ref="E329">GetValue("Types",D329,"Name")</f>
        <v>uniqueidentifier</v>
      </c>
      <c r="F329" t="s">
        <v>637</v>
      </c>
      <c r="G329" t="s">
        <v>543</v>
      </c>
    </row>
    <row r="330" spans="1:7" x14ac:dyDescent="0.3">
      <c r="A330">
        <f t="shared" si="2"/>
        <v>329</v>
      </c>
      <c r="B330">
        <v>9</v>
      </c>
      <c r="C330" t="str" cm="1">
        <f t="array" ref="C330">GetValue("Engines",B330,"Name")</f>
        <v>Oracle</v>
      </c>
      <c r="D330">
        <v>33</v>
      </c>
      <c r="E330" t="str" cm="1">
        <f t="array" ref="E330">GetValue("Types",D330,"Name")</f>
        <v>varbinary</v>
      </c>
      <c r="F330" t="s">
        <v>603</v>
      </c>
      <c r="G330" t="s">
        <v>544</v>
      </c>
    </row>
    <row r="331" spans="1:7" x14ac:dyDescent="0.3">
      <c r="A331">
        <f t="shared" si="2"/>
        <v>330</v>
      </c>
      <c r="B331">
        <v>9</v>
      </c>
      <c r="C331" t="str" cm="1">
        <f t="array" ref="C331">GetValue("Engines",B331,"Name")</f>
        <v>Oracle</v>
      </c>
      <c r="D331">
        <v>34</v>
      </c>
      <c r="E331" t="str" cm="1">
        <f t="array" ref="E331">GetValue("Types",D331,"Name")</f>
        <v>varbinary(max)</v>
      </c>
      <c r="F331" t="s">
        <v>603</v>
      </c>
      <c r="G331" t="s">
        <v>545</v>
      </c>
    </row>
    <row r="332" spans="1:7" x14ac:dyDescent="0.3">
      <c r="A332">
        <f t="shared" si="2"/>
        <v>331</v>
      </c>
      <c r="B332">
        <v>9</v>
      </c>
      <c r="C332" t="str" cm="1">
        <f t="array" ref="C332">GetValue("Engines",B332,"Name")</f>
        <v>Oracle</v>
      </c>
      <c r="D332">
        <v>35</v>
      </c>
      <c r="E332" t="str" cm="1">
        <f t="array" ref="E332">GetValue("Types",D332,"Name")</f>
        <v>varchar</v>
      </c>
      <c r="F332" t="s">
        <v>638</v>
      </c>
      <c r="G332" t="s">
        <v>547</v>
      </c>
    </row>
    <row r="333" spans="1:7" x14ac:dyDescent="0.3">
      <c r="A333">
        <f t="shared" si="2"/>
        <v>332</v>
      </c>
      <c r="B333">
        <v>9</v>
      </c>
      <c r="C333" t="str" cm="1">
        <f t="array" ref="C333">GetValue("Engines",B333,"Name")</f>
        <v>Oracle</v>
      </c>
      <c r="D333">
        <v>36</v>
      </c>
      <c r="E333" t="str" cm="1">
        <f t="array" ref="E333">GetValue("Types",D333,"Name")</f>
        <v>varchar(max)</v>
      </c>
      <c r="F333" t="s">
        <v>621</v>
      </c>
      <c r="G333" t="s">
        <v>548</v>
      </c>
    </row>
    <row r="334" spans="1:7" x14ac:dyDescent="0.3">
      <c r="A334">
        <f t="shared" si="2"/>
        <v>333</v>
      </c>
      <c r="B334">
        <v>9</v>
      </c>
      <c r="C334" t="str" cm="1">
        <f t="array" ref="C334">GetValue("Engines",B334,"Name")</f>
        <v>Oracle</v>
      </c>
      <c r="D334">
        <v>37</v>
      </c>
      <c r="E334" t="str" cm="1">
        <f t="array" ref="E334">GetValue("Types",D334,"Name")</f>
        <v>xml</v>
      </c>
      <c r="F334" t="s">
        <v>639</v>
      </c>
      <c r="G334" t="s">
        <v>550</v>
      </c>
    </row>
    <row r="335" spans="1:7" x14ac:dyDescent="0.3">
      <c r="A335">
        <f t="shared" si="2"/>
        <v>334</v>
      </c>
      <c r="B335">
        <v>10</v>
      </c>
      <c r="C335" t="str" cm="1">
        <f t="array" ref="C335">GetValue("Engines",B335,"Name")</f>
        <v>DB2</v>
      </c>
      <c r="D335">
        <v>1</v>
      </c>
      <c r="E335" t="str" cm="1">
        <f t="array" ref="E335">GetValue("Types",D335,"Name")</f>
        <v>bigint</v>
      </c>
      <c r="F335" t="s">
        <v>499</v>
      </c>
      <c r="G335" t="s">
        <v>500</v>
      </c>
    </row>
    <row r="336" spans="1:7" x14ac:dyDescent="0.3">
      <c r="A336">
        <f t="shared" si="2"/>
        <v>335</v>
      </c>
      <c r="B336">
        <v>10</v>
      </c>
      <c r="C336" t="str" cm="1">
        <f t="array" ref="C336">GetValue("Engines",B336,"Name")</f>
        <v>DB2</v>
      </c>
      <c r="D336">
        <v>2</v>
      </c>
      <c r="E336" t="str" cm="1">
        <f t="array" ref="E336">GetValue("Types",D336,"Name")</f>
        <v>binary</v>
      </c>
      <c r="F336" t="s">
        <v>603</v>
      </c>
      <c r="G336" t="s">
        <v>501</v>
      </c>
    </row>
    <row r="337" spans="1:7" x14ac:dyDescent="0.3">
      <c r="A337">
        <f t="shared" si="2"/>
        <v>336</v>
      </c>
      <c r="B337">
        <v>10</v>
      </c>
      <c r="C337" t="str" cm="1">
        <f t="array" ref="C337">GetValue("Engines",B337,"Name")</f>
        <v>DB2</v>
      </c>
      <c r="D337">
        <v>3</v>
      </c>
      <c r="E337" t="str" cm="1">
        <f t="array" ref="E337">GetValue("Types",D337,"Name")</f>
        <v>bit</v>
      </c>
      <c r="F337" t="s">
        <v>502</v>
      </c>
      <c r="G337" t="s">
        <v>503</v>
      </c>
    </row>
    <row r="338" spans="1:7" x14ac:dyDescent="0.3">
      <c r="A338">
        <f t="shared" si="2"/>
        <v>337</v>
      </c>
      <c r="B338">
        <v>10</v>
      </c>
      <c r="C338" t="str" cm="1">
        <f t="array" ref="C338">GetValue("Engines",B338,"Name")</f>
        <v>DB2</v>
      </c>
      <c r="D338">
        <v>4</v>
      </c>
      <c r="E338" t="str" cm="1">
        <f t="array" ref="E338">GetValue("Types",D338,"Name")</f>
        <v>char</v>
      </c>
      <c r="F338" t="s">
        <v>504</v>
      </c>
      <c r="G338" t="s">
        <v>505</v>
      </c>
    </row>
    <row r="339" spans="1:7" x14ac:dyDescent="0.3">
      <c r="A339">
        <f t="shared" si="2"/>
        <v>338</v>
      </c>
      <c r="B339">
        <v>10</v>
      </c>
      <c r="C339" t="str" cm="1">
        <f t="array" ref="C339">GetValue("Engines",B339,"Name")</f>
        <v>DB2</v>
      </c>
      <c r="D339">
        <v>5</v>
      </c>
      <c r="E339" t="str" cm="1">
        <f t="array" ref="E339">GetValue("Types",D339,"Name")</f>
        <v>date</v>
      </c>
      <c r="F339" t="s">
        <v>506</v>
      </c>
      <c r="G339" t="s">
        <v>507</v>
      </c>
    </row>
    <row r="340" spans="1:7" x14ac:dyDescent="0.3">
      <c r="A340">
        <f t="shared" si="2"/>
        <v>339</v>
      </c>
      <c r="B340">
        <v>10</v>
      </c>
      <c r="C340" t="str" cm="1">
        <f t="array" ref="C340">GetValue("Engines",B340,"Name")</f>
        <v>DB2</v>
      </c>
      <c r="D340">
        <v>6</v>
      </c>
      <c r="E340" t="str" cm="1">
        <f t="array" ref="E340">GetValue("Types",D340,"Name")</f>
        <v>datetime</v>
      </c>
      <c r="F340" t="s">
        <v>508</v>
      </c>
      <c r="G340" t="s">
        <v>509</v>
      </c>
    </row>
    <row r="341" spans="1:7" x14ac:dyDescent="0.3">
      <c r="A341">
        <f t="shared" si="2"/>
        <v>340</v>
      </c>
      <c r="B341">
        <v>10</v>
      </c>
      <c r="C341" t="str" cm="1">
        <f t="array" ref="C341">GetValue("Engines",B341,"Name")</f>
        <v>DB2</v>
      </c>
      <c r="D341">
        <v>7</v>
      </c>
      <c r="E341" t="str" cm="1">
        <f t="array" ref="E341">GetValue("Types",D341,"Name")</f>
        <v>datetime2</v>
      </c>
      <c r="F341" t="s">
        <v>569</v>
      </c>
      <c r="G341" t="s">
        <v>510</v>
      </c>
    </row>
    <row r="342" spans="1:7" x14ac:dyDescent="0.3">
      <c r="A342">
        <f t="shared" si="2"/>
        <v>341</v>
      </c>
      <c r="B342">
        <v>10</v>
      </c>
      <c r="C342" t="str" cm="1">
        <f t="array" ref="C342">GetValue("Engines",B342,"Name")</f>
        <v>DB2</v>
      </c>
      <c r="D342">
        <v>8</v>
      </c>
      <c r="E342" t="str" cm="1">
        <f t="array" ref="E342">GetValue("Types",D342,"Name")</f>
        <v>datetimeoffset</v>
      </c>
      <c r="F342" t="s">
        <v>511</v>
      </c>
      <c r="G342" t="s">
        <v>512</v>
      </c>
    </row>
    <row r="343" spans="1:7" x14ac:dyDescent="0.3">
      <c r="A343">
        <f t="shared" si="2"/>
        <v>342</v>
      </c>
      <c r="B343">
        <v>10</v>
      </c>
      <c r="C343" t="str" cm="1">
        <f t="array" ref="C343">GetValue("Engines",B343,"Name")</f>
        <v>DB2</v>
      </c>
      <c r="D343">
        <v>9</v>
      </c>
      <c r="E343" t="str" cm="1">
        <f t="array" ref="E343">GetValue("Types",D343,"Name")</f>
        <v>decimal</v>
      </c>
      <c r="F343" t="s">
        <v>592</v>
      </c>
      <c r="G343" t="s">
        <v>513</v>
      </c>
    </row>
    <row r="344" spans="1:7" x14ac:dyDescent="0.3">
      <c r="A344">
        <f t="shared" si="2"/>
        <v>343</v>
      </c>
      <c r="B344">
        <v>10</v>
      </c>
      <c r="C344" t="str" cm="1">
        <f t="array" ref="C344">GetValue("Engines",B344,"Name")</f>
        <v>DB2</v>
      </c>
      <c r="D344">
        <v>10</v>
      </c>
      <c r="E344" t="str" cm="1">
        <f t="array" ref="E344">GetValue("Types",D344,"Name")</f>
        <v>float</v>
      </c>
      <c r="F344" t="s">
        <v>514</v>
      </c>
      <c r="G344" t="s">
        <v>515</v>
      </c>
    </row>
    <row r="345" spans="1:7" x14ac:dyDescent="0.3">
      <c r="A345">
        <f t="shared" si="2"/>
        <v>344</v>
      </c>
      <c r="B345">
        <v>10</v>
      </c>
      <c r="C345" t="str" cm="1">
        <f t="array" ref="C345">GetValue("Engines",B345,"Name")</f>
        <v>DB2</v>
      </c>
      <c r="D345">
        <v>11</v>
      </c>
      <c r="E345" t="str" cm="1">
        <f t="array" ref="E345">GetValue("Types",D345,"Name")</f>
        <v>geography</v>
      </c>
      <c r="G345" t="s">
        <v>516</v>
      </c>
    </row>
    <row r="346" spans="1:7" x14ac:dyDescent="0.3">
      <c r="A346">
        <f t="shared" si="2"/>
        <v>345</v>
      </c>
      <c r="B346">
        <v>10</v>
      </c>
      <c r="C346" t="str" cm="1">
        <f t="array" ref="C346">GetValue("Engines",B346,"Name")</f>
        <v>DB2</v>
      </c>
      <c r="D346">
        <v>12</v>
      </c>
      <c r="E346" t="str" cm="1">
        <f t="array" ref="E346">GetValue("Types",D346,"Name")</f>
        <v>geometry</v>
      </c>
      <c r="F346" t="s">
        <v>605</v>
      </c>
      <c r="G346" t="s">
        <v>517</v>
      </c>
    </row>
    <row r="347" spans="1:7" x14ac:dyDescent="0.3">
      <c r="A347">
        <f t="shared" si="2"/>
        <v>346</v>
      </c>
      <c r="B347">
        <v>10</v>
      </c>
      <c r="C347" t="str" cm="1">
        <f t="array" ref="C347">GetValue("Engines",B347,"Name")</f>
        <v>DB2</v>
      </c>
      <c r="D347">
        <v>13</v>
      </c>
      <c r="E347" t="str" cm="1">
        <f t="array" ref="E347">GetValue("Types",D347,"Name")</f>
        <v>hierarchyid</v>
      </c>
      <c r="G347" t="s">
        <v>518</v>
      </c>
    </row>
    <row r="348" spans="1:7" x14ac:dyDescent="0.3">
      <c r="A348">
        <f t="shared" si="2"/>
        <v>347</v>
      </c>
      <c r="B348">
        <v>10</v>
      </c>
      <c r="C348" t="str" cm="1">
        <f t="array" ref="C348">GetValue("Engines",B348,"Name")</f>
        <v>DB2</v>
      </c>
      <c r="D348">
        <v>14</v>
      </c>
      <c r="E348" t="str" cm="1">
        <f t="array" ref="E348">GetValue("Types",D348,"Name")</f>
        <v>image</v>
      </c>
      <c r="F348" t="s">
        <v>603</v>
      </c>
      <c r="G348" t="s">
        <v>519</v>
      </c>
    </row>
    <row r="349" spans="1:7" x14ac:dyDescent="0.3">
      <c r="A349">
        <f t="shared" si="2"/>
        <v>348</v>
      </c>
      <c r="B349">
        <v>10</v>
      </c>
      <c r="C349" t="str" cm="1">
        <f t="array" ref="C349">GetValue("Engines",B349,"Name")</f>
        <v>DB2</v>
      </c>
      <c r="D349">
        <v>15</v>
      </c>
      <c r="E349" t="str" cm="1">
        <f t="array" ref="E349">GetValue("Types",D349,"Name")</f>
        <v>int</v>
      </c>
      <c r="F349" t="s">
        <v>520</v>
      </c>
      <c r="G349" t="s">
        <v>521</v>
      </c>
    </row>
    <row r="350" spans="1:7" x14ac:dyDescent="0.3">
      <c r="A350">
        <f t="shared" si="2"/>
        <v>349</v>
      </c>
      <c r="B350">
        <v>10</v>
      </c>
      <c r="C350" t="str" cm="1">
        <f t="array" ref="C350">GetValue("Engines",B350,"Name")</f>
        <v>DB2</v>
      </c>
      <c r="D350">
        <v>16</v>
      </c>
      <c r="E350" t="str" cm="1">
        <f t="array" ref="E350">GetValue("Types",D350,"Name")</f>
        <v>money</v>
      </c>
      <c r="F350" t="s">
        <v>522</v>
      </c>
      <c r="G350" t="s">
        <v>523</v>
      </c>
    </row>
    <row r="351" spans="1:7" x14ac:dyDescent="0.3">
      <c r="A351">
        <f t="shared" si="2"/>
        <v>350</v>
      </c>
      <c r="B351">
        <v>10</v>
      </c>
      <c r="C351" t="str" cm="1">
        <f t="array" ref="C351">GetValue("Engines",B351,"Name")</f>
        <v>DB2</v>
      </c>
      <c r="D351">
        <v>17</v>
      </c>
      <c r="E351" t="str" cm="1">
        <f t="array" ref="E351">GetValue("Types",D351,"Name")</f>
        <v>nchar</v>
      </c>
      <c r="F351" t="s">
        <v>640</v>
      </c>
      <c r="G351" t="s">
        <v>524</v>
      </c>
    </row>
    <row r="352" spans="1:7" x14ac:dyDescent="0.3">
      <c r="A352">
        <f t="shared" si="2"/>
        <v>351</v>
      </c>
      <c r="B352">
        <v>10</v>
      </c>
      <c r="C352" t="str" cm="1">
        <f t="array" ref="C352">GetValue("Engines",B352,"Name")</f>
        <v>DB2</v>
      </c>
      <c r="D352">
        <v>18</v>
      </c>
      <c r="E352" t="str" cm="1">
        <f t="array" ref="E352">GetValue("Types",D352,"Name")</f>
        <v>ntext</v>
      </c>
      <c r="F352" t="s">
        <v>621</v>
      </c>
      <c r="G352" t="s">
        <v>525</v>
      </c>
    </row>
    <row r="353" spans="1:7" x14ac:dyDescent="0.3">
      <c r="A353">
        <f t="shared" si="2"/>
        <v>352</v>
      </c>
      <c r="B353">
        <v>10</v>
      </c>
      <c r="C353" t="str" cm="1">
        <f t="array" ref="C353">GetValue("Engines",B353,"Name")</f>
        <v>DB2</v>
      </c>
      <c r="D353">
        <v>19</v>
      </c>
      <c r="E353" t="str" cm="1">
        <f t="array" ref="E353">GetValue("Types",D353,"Name")</f>
        <v>numeric</v>
      </c>
      <c r="F353" t="s">
        <v>593</v>
      </c>
      <c r="G353" t="s">
        <v>526</v>
      </c>
    </row>
    <row r="354" spans="1:7" x14ac:dyDescent="0.3">
      <c r="A354">
        <f t="shared" si="2"/>
        <v>353</v>
      </c>
      <c r="B354">
        <v>10</v>
      </c>
      <c r="C354" t="str" cm="1">
        <f t="array" ref="C354">GetValue("Engines",B354,"Name")</f>
        <v>DB2</v>
      </c>
      <c r="D354">
        <v>20</v>
      </c>
      <c r="E354" t="str" cm="1">
        <f t="array" ref="E354">GetValue("Types",D354,"Name")</f>
        <v>nvarchar</v>
      </c>
      <c r="F354" t="s">
        <v>641</v>
      </c>
      <c r="G354" t="s">
        <v>527</v>
      </c>
    </row>
    <row r="355" spans="1:7" x14ac:dyDescent="0.3">
      <c r="A355">
        <f t="shared" si="2"/>
        <v>354</v>
      </c>
      <c r="B355">
        <v>10</v>
      </c>
      <c r="C355" t="str" cm="1">
        <f t="array" ref="C355">GetValue("Engines",B355,"Name")</f>
        <v>DB2</v>
      </c>
      <c r="D355">
        <v>21</v>
      </c>
      <c r="E355" t="str" cm="1">
        <f t="array" ref="E355">GetValue("Types",D355,"Name")</f>
        <v>nvarchar(max)</v>
      </c>
      <c r="F355" t="s">
        <v>621</v>
      </c>
      <c r="G355" t="s">
        <v>528</v>
      </c>
    </row>
    <row r="356" spans="1:7" x14ac:dyDescent="0.3">
      <c r="A356">
        <f t="shared" si="2"/>
        <v>355</v>
      </c>
      <c r="B356">
        <v>10</v>
      </c>
      <c r="C356" t="str" cm="1">
        <f t="array" ref="C356">GetValue("Engines",B356,"Name")</f>
        <v>DB2</v>
      </c>
      <c r="D356">
        <v>22</v>
      </c>
      <c r="E356" t="str" cm="1">
        <f t="array" ref="E356">GetValue("Types",D356,"Name")</f>
        <v>real</v>
      </c>
      <c r="F356" t="s">
        <v>529</v>
      </c>
      <c r="G356" t="s">
        <v>530</v>
      </c>
    </row>
    <row r="357" spans="1:7" x14ac:dyDescent="0.3">
      <c r="A357">
        <f t="shared" si="2"/>
        <v>356</v>
      </c>
      <c r="B357">
        <v>10</v>
      </c>
      <c r="C357" t="str" cm="1">
        <f t="array" ref="C357">GetValue("Engines",B357,"Name")</f>
        <v>DB2</v>
      </c>
      <c r="D357">
        <v>23</v>
      </c>
      <c r="E357" t="str" cm="1">
        <f t="array" ref="E357">GetValue("Types",D357,"Name")</f>
        <v>smalldatetime</v>
      </c>
      <c r="F357" t="s">
        <v>508</v>
      </c>
      <c r="G357" t="s">
        <v>531</v>
      </c>
    </row>
    <row r="358" spans="1:7" x14ac:dyDescent="0.3">
      <c r="A358">
        <f t="shared" si="2"/>
        <v>357</v>
      </c>
      <c r="B358">
        <v>10</v>
      </c>
      <c r="C358" t="str" cm="1">
        <f t="array" ref="C358">GetValue("Engines",B358,"Name")</f>
        <v>DB2</v>
      </c>
      <c r="D358">
        <v>24</v>
      </c>
      <c r="E358" t="str" cm="1">
        <f t="array" ref="E358">GetValue("Types",D358,"Name")</f>
        <v>smallint</v>
      </c>
      <c r="F358" t="s">
        <v>502</v>
      </c>
      <c r="G358" t="s">
        <v>532</v>
      </c>
    </row>
    <row r="359" spans="1:7" x14ac:dyDescent="0.3">
      <c r="A359">
        <f t="shared" si="2"/>
        <v>358</v>
      </c>
      <c r="B359">
        <v>10</v>
      </c>
      <c r="C359" t="str" cm="1">
        <f t="array" ref="C359">GetValue("Engines",B359,"Name")</f>
        <v>DB2</v>
      </c>
      <c r="D359">
        <v>25</v>
      </c>
      <c r="E359" t="str" cm="1">
        <f t="array" ref="E359">GetValue("Types",D359,"Name")</f>
        <v>smallmoney</v>
      </c>
      <c r="F359" t="s">
        <v>533</v>
      </c>
      <c r="G359" t="s">
        <v>534</v>
      </c>
    </row>
    <row r="360" spans="1:7" x14ac:dyDescent="0.3">
      <c r="A360">
        <f t="shared" si="2"/>
        <v>359</v>
      </c>
      <c r="B360">
        <v>10</v>
      </c>
      <c r="C360" t="str" cm="1">
        <f t="array" ref="C360">GetValue("Engines",B360,"Name")</f>
        <v>DB2</v>
      </c>
      <c r="D360">
        <v>26</v>
      </c>
      <c r="E360" t="str" cm="1">
        <f t="array" ref="E360">GetValue("Types",D360,"Name")</f>
        <v>sql_variant</v>
      </c>
      <c r="F360" t="s">
        <v>549</v>
      </c>
      <c r="G360" t="s">
        <v>535</v>
      </c>
    </row>
    <row r="361" spans="1:7" x14ac:dyDescent="0.3">
      <c r="A361">
        <f t="shared" si="2"/>
        <v>360</v>
      </c>
      <c r="B361">
        <v>10</v>
      </c>
      <c r="C361" t="str" cm="1">
        <f t="array" ref="C361">GetValue("Engines",B361,"Name")</f>
        <v>DB2</v>
      </c>
      <c r="D361">
        <v>27</v>
      </c>
      <c r="E361" t="str" cm="1">
        <f t="array" ref="E361">GetValue("Types",D361,"Name")</f>
        <v>sysname</v>
      </c>
      <c r="F361" t="s">
        <v>536</v>
      </c>
      <c r="G361" t="s">
        <v>537</v>
      </c>
    </row>
    <row r="362" spans="1:7" x14ac:dyDescent="0.3">
      <c r="A362">
        <f t="shared" si="2"/>
        <v>361</v>
      </c>
      <c r="B362">
        <v>10</v>
      </c>
      <c r="C362" t="str" cm="1">
        <f t="array" ref="C362">GetValue("Engines",B362,"Name")</f>
        <v>DB2</v>
      </c>
      <c r="D362">
        <v>28</v>
      </c>
      <c r="E362" t="str" cm="1">
        <f t="array" ref="E362">GetValue("Types",D362,"Name")</f>
        <v>text</v>
      </c>
      <c r="F362" t="s">
        <v>621</v>
      </c>
      <c r="G362" t="s">
        <v>538</v>
      </c>
    </row>
    <row r="363" spans="1:7" x14ac:dyDescent="0.3">
      <c r="A363">
        <f t="shared" si="2"/>
        <v>362</v>
      </c>
      <c r="B363">
        <v>10</v>
      </c>
      <c r="C363" t="str" cm="1">
        <f t="array" ref="C363">GetValue("Engines",B363,"Name")</f>
        <v>DB2</v>
      </c>
      <c r="D363">
        <v>29</v>
      </c>
      <c r="E363" t="str" cm="1">
        <f t="array" ref="E363">GetValue("Types",D363,"Name")</f>
        <v>time</v>
      </c>
      <c r="F363" t="s">
        <v>539</v>
      </c>
      <c r="G363" t="s">
        <v>540</v>
      </c>
    </row>
    <row r="364" spans="1:7" x14ac:dyDescent="0.3">
      <c r="A364">
        <f t="shared" si="2"/>
        <v>363</v>
      </c>
      <c r="B364">
        <v>10</v>
      </c>
      <c r="C364" t="str" cm="1">
        <f t="array" ref="C364">GetValue("Engines",B364,"Name")</f>
        <v>DB2</v>
      </c>
      <c r="D364">
        <v>30</v>
      </c>
      <c r="E364" t="str" cm="1">
        <f t="array" ref="E364">GetValue("Types",D364,"Name")</f>
        <v>timestamp</v>
      </c>
      <c r="F364" t="s">
        <v>508</v>
      </c>
      <c r="G364" t="s">
        <v>541</v>
      </c>
    </row>
    <row r="365" spans="1:7" x14ac:dyDescent="0.3">
      <c r="A365">
        <f t="shared" si="2"/>
        <v>364</v>
      </c>
      <c r="B365">
        <v>10</v>
      </c>
      <c r="C365" t="str" cm="1">
        <f t="array" ref="C365">GetValue("Engines",B365,"Name")</f>
        <v>DB2</v>
      </c>
      <c r="D365">
        <v>31</v>
      </c>
      <c r="E365" t="str" cm="1">
        <f t="array" ref="E365">GetValue("Types",D365,"Name")</f>
        <v>tinyint</v>
      </c>
      <c r="F365" t="s">
        <v>502</v>
      </c>
      <c r="G365" t="s">
        <v>542</v>
      </c>
    </row>
    <row r="366" spans="1:7" x14ac:dyDescent="0.3">
      <c r="A366">
        <f t="shared" si="2"/>
        <v>365</v>
      </c>
      <c r="B366">
        <v>10</v>
      </c>
      <c r="C366" t="str" cm="1">
        <f t="array" ref="C366">GetValue("Engines",B366,"Name")</f>
        <v>DB2</v>
      </c>
      <c r="D366">
        <v>32</v>
      </c>
      <c r="E366" t="str" cm="1">
        <f t="array" ref="E366">GetValue("Types",D366,"Name")</f>
        <v>uniqueidentifier</v>
      </c>
      <c r="F366" t="s">
        <v>558</v>
      </c>
      <c r="G366" t="s">
        <v>543</v>
      </c>
    </row>
    <row r="367" spans="1:7" x14ac:dyDescent="0.3">
      <c r="A367">
        <f t="shared" si="2"/>
        <v>366</v>
      </c>
      <c r="B367">
        <v>10</v>
      </c>
      <c r="C367" t="str" cm="1">
        <f t="array" ref="C367">GetValue("Engines",B367,"Name")</f>
        <v>DB2</v>
      </c>
      <c r="D367">
        <v>33</v>
      </c>
      <c r="E367" t="str" cm="1">
        <f t="array" ref="E367">GetValue("Types",D367,"Name")</f>
        <v>varbinary</v>
      </c>
      <c r="F367" t="s">
        <v>603</v>
      </c>
      <c r="G367" t="s">
        <v>544</v>
      </c>
    </row>
    <row r="368" spans="1:7" x14ac:dyDescent="0.3">
      <c r="A368">
        <f t="shared" si="2"/>
        <v>367</v>
      </c>
      <c r="B368">
        <v>10</v>
      </c>
      <c r="C368" t="str" cm="1">
        <f t="array" ref="C368">GetValue("Engines",B368,"Name")</f>
        <v>DB2</v>
      </c>
      <c r="D368">
        <v>34</v>
      </c>
      <c r="E368" t="str" cm="1">
        <f t="array" ref="E368">GetValue("Types",D368,"Name")</f>
        <v>varbinary(max)</v>
      </c>
      <c r="F368" t="s">
        <v>603</v>
      </c>
      <c r="G368" t="s">
        <v>545</v>
      </c>
    </row>
    <row r="369" spans="1:7" x14ac:dyDescent="0.3">
      <c r="A369">
        <f t="shared" si="2"/>
        <v>368</v>
      </c>
      <c r="B369">
        <v>10</v>
      </c>
      <c r="C369" t="str" cm="1">
        <f t="array" ref="C369">GetValue("Engines",B369,"Name")</f>
        <v>DB2</v>
      </c>
      <c r="D369">
        <v>35</v>
      </c>
      <c r="E369" t="str" cm="1">
        <f t="array" ref="E369">GetValue("Types",D369,"Name")</f>
        <v>varchar</v>
      </c>
      <c r="F369" t="s">
        <v>546</v>
      </c>
      <c r="G369" t="s">
        <v>547</v>
      </c>
    </row>
    <row r="370" spans="1:7" x14ac:dyDescent="0.3">
      <c r="A370">
        <f t="shared" si="2"/>
        <v>369</v>
      </c>
      <c r="B370">
        <v>10</v>
      </c>
      <c r="C370" t="str" cm="1">
        <f t="array" ref="C370">GetValue("Engines",B370,"Name")</f>
        <v>DB2</v>
      </c>
      <c r="D370">
        <v>36</v>
      </c>
      <c r="E370" t="str" cm="1">
        <f t="array" ref="E370">GetValue("Types",D370,"Name")</f>
        <v>varchar(max)</v>
      </c>
      <c r="F370" t="s">
        <v>621</v>
      </c>
      <c r="G370" t="s">
        <v>548</v>
      </c>
    </row>
    <row r="371" spans="1:7" x14ac:dyDescent="0.3">
      <c r="A371">
        <f t="shared" si="2"/>
        <v>370</v>
      </c>
      <c r="B371">
        <v>10</v>
      </c>
      <c r="C371" t="str" cm="1">
        <f t="array" ref="C371">GetValue("Engines",B371,"Name")</f>
        <v>DB2</v>
      </c>
      <c r="D371">
        <v>37</v>
      </c>
      <c r="E371" t="str" cm="1">
        <f t="array" ref="E371">GetValue("Types",D371,"Name")</f>
        <v>xml</v>
      </c>
      <c r="F371" t="s">
        <v>549</v>
      </c>
      <c r="G371" t="s">
        <v>550</v>
      </c>
    </row>
  </sheetData>
  <sortState xmlns:xlrd2="http://schemas.microsoft.com/office/spreadsheetml/2017/richdata2" ref="A2:G186">
    <sortCondition ref="D2:D186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31"/>
  <sheetViews>
    <sheetView zoomScaleNormal="100" workbookViewId="0">
      <pane ySplit="1" topLeftCell="A14" activePane="bottomLeft" state="frozen"/>
      <selection pane="bottomLeft" activeCell="F31" sqref="F31"/>
    </sheetView>
  </sheetViews>
  <sheetFormatPr defaultColWidth="3.109375" defaultRowHeight="14.4" x14ac:dyDescent="0.3"/>
  <cols>
    <col min="1" max="1" width="3" bestFit="1" customWidth="1"/>
    <col min="2" max="2" width="8.5546875" bestFit="1" customWidth="1"/>
    <col min="3" max="3" width="12.88671875" bestFit="1" customWidth="1"/>
    <col min="4" max="4" width="6.77734375" bestFit="1" customWidth="1"/>
    <col min="5" max="5" width="12.6640625" bestFit="1" customWidth="1"/>
    <col min="6" max="6" width="14.6640625" bestFit="1" customWidth="1"/>
    <col min="7" max="7" width="12.6640625" bestFit="1" customWidth="1"/>
    <col min="8" max="8" width="13.44140625" bestFit="1" customWidth="1"/>
    <col min="9" max="9" width="6.77734375" bestFit="1" customWidth="1"/>
    <col min="10" max="10" width="8.44140625" bestFit="1" customWidth="1"/>
    <col min="11" max="11" width="18.1093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682</v>
      </c>
      <c r="C1" s="1" t="s">
        <v>683</v>
      </c>
      <c r="D1" s="1" t="s">
        <v>57</v>
      </c>
      <c r="E1" s="1" t="s">
        <v>310</v>
      </c>
      <c r="F1" s="1" t="s">
        <v>309</v>
      </c>
      <c r="G1" s="1" t="s">
        <v>332</v>
      </c>
      <c r="H1" s="1" t="s">
        <v>1</v>
      </c>
      <c r="I1" s="1" t="s">
        <v>59</v>
      </c>
      <c r="J1" s="1" t="s">
        <v>60</v>
      </c>
      <c r="K1" s="1" t="s">
        <v>295</v>
      </c>
      <c r="L1" s="1" t="s">
        <v>61</v>
      </c>
      <c r="M1" s="1" t="s">
        <v>21</v>
      </c>
      <c r="N1" s="1" t="s">
        <v>22</v>
      </c>
      <c r="O1" s="1" t="s">
        <v>289</v>
      </c>
    </row>
    <row r="2" spans="1:15" x14ac:dyDescent="0.3">
      <c r="A2">
        <f t="shared" ref="A2:A7" si="0">ROW(A2)-1</f>
        <v>1</v>
      </c>
      <c r="B2">
        <v>1</v>
      </c>
      <c r="C2" t="str" cm="1">
        <f t="array" ref="C2">GetValue("Tenants",B2,"Name")</f>
        <v>Crudex</v>
      </c>
      <c r="D2">
        <v>1</v>
      </c>
      <c r="E2" t="str">
        <f t="array" ref="E2">GetValue("Types",D2,"Name")</f>
        <v>bigint</v>
      </c>
      <c r="F2" t="str" cm="1">
        <f t="array" ref="F2">GetValue("Types",D2,"#CategoryName")</f>
        <v>number</v>
      </c>
      <c r="G2" t="str" cm="1">
        <f t="array" ref="G2">GetDataType(A2)</f>
        <v>bigint</v>
      </c>
      <c r="H2" t="s">
        <v>62</v>
      </c>
      <c r="M2" s="4"/>
      <c r="N2" s="4"/>
    </row>
    <row r="3" spans="1:15" x14ac:dyDescent="0.3">
      <c r="A3">
        <f t="shared" si="0"/>
        <v>2</v>
      </c>
      <c r="B3">
        <v>1</v>
      </c>
      <c r="C3" t="str" cm="1">
        <f t="array" ref="C3">GetValue("Tenants",B3,"Name")</f>
        <v>Crudex</v>
      </c>
      <c r="D3">
        <v>15</v>
      </c>
      <c r="E3" t="str">
        <f t="array" ref="E3">GetValue("Types",D3,"Name")</f>
        <v>int</v>
      </c>
      <c r="F3" t="str" cm="1">
        <f t="array" ref="F3">GetValue("Types",D3,"#CategoryName")</f>
        <v>number</v>
      </c>
      <c r="G3" t="str" cm="1">
        <f t="array" ref="G3">GetDataType(A3)</f>
        <v>int</v>
      </c>
      <c r="H3" t="s">
        <v>63</v>
      </c>
    </row>
    <row r="4" spans="1:15" x14ac:dyDescent="0.3">
      <c r="A4">
        <f t="shared" si="0"/>
        <v>3</v>
      </c>
      <c r="B4">
        <v>1</v>
      </c>
      <c r="C4" t="str" cm="1">
        <f t="array" ref="C4">GetValue("Tenants",B4,"Name")</f>
        <v>Crudex</v>
      </c>
      <c r="D4">
        <v>15</v>
      </c>
      <c r="E4" t="str">
        <f t="array" ref="E4">GetValue("Types",D4,"Name")</f>
        <v>int</v>
      </c>
      <c r="F4" t="str" cm="1">
        <f t="array" ref="F4">GetValue("Types",D4,"#CategoryName")</f>
        <v>number</v>
      </c>
      <c r="G4" t="str" cm="1">
        <f t="array" ref="G4">GetDataType(A4)</f>
        <v>int</v>
      </c>
      <c r="H4" t="s">
        <v>64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1</v>
      </c>
      <c r="C5" t="str" cm="1">
        <f t="array" ref="C5">GetValue("Tenants",B5,"Name")</f>
        <v>Crudex</v>
      </c>
      <c r="D5">
        <v>24</v>
      </c>
      <c r="E5" t="str">
        <f t="array" ref="E5">GetValue("Types",D5,"Name")</f>
        <v>smallint</v>
      </c>
      <c r="F5" t="str" cm="1">
        <f t="array" ref="F5">GetValue("Types",D5,"#CategoryName")</f>
        <v>number</v>
      </c>
      <c r="G5" t="str" cm="1">
        <f t="array" ref="G5">GetDataType(A5)</f>
        <v>smallint</v>
      </c>
      <c r="H5" t="s">
        <v>65</v>
      </c>
    </row>
    <row r="6" spans="1:15" x14ac:dyDescent="0.3">
      <c r="A6">
        <f t="shared" si="0"/>
        <v>5</v>
      </c>
      <c r="B6">
        <v>1</v>
      </c>
      <c r="C6" t="str" cm="1">
        <f t="array" ref="C6">GetValue("Tenants",B6,"Name")</f>
        <v>Crudex</v>
      </c>
      <c r="D6">
        <v>31</v>
      </c>
      <c r="E6" t="str">
        <f t="array" ref="E6">GetValue("Types",D6,"Name")</f>
        <v>tinyint</v>
      </c>
      <c r="F6" t="str" cm="1">
        <f t="array" ref="F6">GetValue("Types",D6,"#CategoryName")</f>
        <v>number</v>
      </c>
      <c r="G6" t="str" cm="1">
        <f t="array" ref="G6">GetDataType(A6)</f>
        <v>tinyint</v>
      </c>
      <c r="H6" t="s">
        <v>66</v>
      </c>
    </row>
    <row r="7" spans="1:15" x14ac:dyDescent="0.3">
      <c r="A7">
        <f t="shared" si="0"/>
        <v>6</v>
      </c>
      <c r="B7">
        <v>1</v>
      </c>
      <c r="C7" t="str" cm="1">
        <f t="array" ref="C7">GetValue("Tenants",B7,"Name")</f>
        <v>Crudex</v>
      </c>
      <c r="D7">
        <v>3</v>
      </c>
      <c r="E7" t="str">
        <f t="array" ref="E7">GetValue("Types",D7,"Name")</f>
        <v>bit</v>
      </c>
      <c r="F7" t="str" cm="1">
        <f t="array" ref="F7">GetValue("Types",D7,"#CategoryName")</f>
        <v>boolean</v>
      </c>
      <c r="G7" t="str" cm="1">
        <f t="array" ref="G7">GetDataType(A7)</f>
        <v>bit</v>
      </c>
      <c r="H7" t="s">
        <v>67</v>
      </c>
    </row>
    <row r="8" spans="1:15" x14ac:dyDescent="0.3">
      <c r="A8">
        <f t="shared" ref="A8:A27" si="1">ROW(A8)-1</f>
        <v>7</v>
      </c>
      <c r="B8">
        <v>1</v>
      </c>
      <c r="C8" t="str" cm="1">
        <f t="array" ref="C8">GetValue("Tenants",B8,"Name")</f>
        <v>Crudex</v>
      </c>
      <c r="D8">
        <v>6</v>
      </c>
      <c r="E8" t="str">
        <f t="array" ref="E8">GetValue("Types",D8,"Name")</f>
        <v>datetime</v>
      </c>
      <c r="F8" t="str" cm="1">
        <f t="array" ref="F8">GetValue("Types",D8,"#CategoryName")</f>
        <v>datetime</v>
      </c>
      <c r="G8" t="str" cm="1">
        <f t="array" ref="G8">GetDataType(A8)</f>
        <v>datetime</v>
      </c>
      <c r="H8" t="s">
        <v>69</v>
      </c>
    </row>
    <row r="9" spans="1:15" x14ac:dyDescent="0.3">
      <c r="A9">
        <f>ROW(A9)-1</f>
        <v>8</v>
      </c>
      <c r="B9">
        <v>1</v>
      </c>
      <c r="C9" t="str" cm="1">
        <f t="array" ref="C9">GetValue("Tenants",B9,"Name")</f>
        <v>Crudex</v>
      </c>
      <c r="D9">
        <v>20</v>
      </c>
      <c r="E9" t="str">
        <f t="array" ref="E9">GetValue("Types",D9,"Name")</f>
        <v>nvarchar</v>
      </c>
      <c r="F9" t="str" cm="1">
        <f t="array" ref="F9">GetValue("Types",D9,"#CategoryName")</f>
        <v>string</v>
      </c>
      <c r="G9" t="str" cm="1">
        <f t="array" ref="G9">GetDataType(A9)</f>
        <v>nvarchar(15)</v>
      </c>
      <c r="H9" t="s">
        <v>380</v>
      </c>
      <c r="I9">
        <v>15</v>
      </c>
    </row>
    <row r="10" spans="1:15" x14ac:dyDescent="0.3">
      <c r="A10">
        <f>ROW(A10)-1</f>
        <v>9</v>
      </c>
      <c r="B10">
        <v>1</v>
      </c>
      <c r="C10" t="str" cm="1">
        <f t="array" ref="C10">GetValue("Tenants",B10,"Name")</f>
        <v>Crudex</v>
      </c>
      <c r="D10">
        <v>20</v>
      </c>
      <c r="E10" t="str">
        <f t="array" ref="E10">GetValue("Types",D10,"Name")</f>
        <v>nvarchar</v>
      </c>
      <c r="F10" t="str" cm="1">
        <f t="array" ref="F10">GetValue("Types",D10,"#CategoryName")</f>
        <v>string</v>
      </c>
      <c r="G10" t="str" cm="1">
        <f t="array" ref="G10">GetDataType(A10)</f>
        <v>nvarchar(20)</v>
      </c>
      <c r="H10" t="s">
        <v>381</v>
      </c>
      <c r="I10">
        <v>20</v>
      </c>
    </row>
    <row r="11" spans="1:15" x14ac:dyDescent="0.3">
      <c r="A11">
        <f>ROW(A11)-1</f>
        <v>10</v>
      </c>
      <c r="B11">
        <v>1</v>
      </c>
      <c r="C11" t="str" cm="1">
        <f t="array" ref="C11">GetValue("Tenants",B11,"Name")</f>
        <v>Crudex</v>
      </c>
      <c r="D11">
        <v>20</v>
      </c>
      <c r="E11" t="str">
        <f t="array" ref="E11">GetValue("Types",D11,"Name")</f>
        <v>nvarchar</v>
      </c>
      <c r="F11" t="str" cm="1">
        <f t="array" ref="F11">GetValue("Types",D11,"#CategoryName")</f>
        <v>string</v>
      </c>
      <c r="G11" t="str" cm="1">
        <f t="array" ref="G11">GetDataType(A11)</f>
        <v>nvarchar(25)</v>
      </c>
      <c r="H11" t="s">
        <v>382</v>
      </c>
      <c r="I11">
        <v>25</v>
      </c>
    </row>
    <row r="12" spans="1:15" x14ac:dyDescent="0.3">
      <c r="A12">
        <f>ROW(A12)-1</f>
        <v>11</v>
      </c>
      <c r="B12">
        <v>1</v>
      </c>
      <c r="C12" t="str" cm="1">
        <f t="array" ref="C12">GetValue("Tenants",B12,"Name")</f>
        <v>Crudex</v>
      </c>
      <c r="D12">
        <v>20</v>
      </c>
      <c r="E12" t="str">
        <f t="array" ref="E12">GetValue("Types",D12,"Name")</f>
        <v>nvarchar</v>
      </c>
      <c r="F12" t="str" cm="1">
        <f t="array" ref="F12">GetValue("Types",D12,"#CategoryName")</f>
        <v>string</v>
      </c>
      <c r="G12" t="str" cm="1">
        <f t="array" ref="G12">GetDataType(A12)</f>
        <v>nvarchar(50)</v>
      </c>
      <c r="H12" t="s">
        <v>383</v>
      </c>
      <c r="I12">
        <v>50</v>
      </c>
    </row>
    <row r="13" spans="1:15" x14ac:dyDescent="0.3">
      <c r="A13">
        <f>ROW(A13)-1</f>
        <v>12</v>
      </c>
      <c r="B13">
        <v>1</v>
      </c>
      <c r="C13" t="str" cm="1">
        <f t="array" ref="C13">GetValue("Tenants",B13,"Name")</f>
        <v>Crudex</v>
      </c>
      <c r="D13">
        <v>20</v>
      </c>
      <c r="E13" t="str">
        <f t="array" ref="E13">GetValue("Types",D13,"Name")</f>
        <v>nvarchar</v>
      </c>
      <c r="F13" t="str" cm="1">
        <f t="array" ref="F13">GetValue("Types",D13,"#CategoryName")</f>
        <v>string</v>
      </c>
      <c r="G13" t="str" cm="1">
        <f t="array" ref="G13">GetDataType(A13)</f>
        <v>nvarchar(256)</v>
      </c>
      <c r="H13" t="s">
        <v>384</v>
      </c>
      <c r="I13">
        <v>256</v>
      </c>
    </row>
    <row r="14" spans="1:15" x14ac:dyDescent="0.3">
      <c r="A14">
        <f t="shared" si="1"/>
        <v>13</v>
      </c>
      <c r="B14">
        <v>1</v>
      </c>
      <c r="C14" t="str" cm="1">
        <f t="array" ref="C14">GetValue("Tenants",B14,"Name")</f>
        <v>Crudex</v>
      </c>
      <c r="D14">
        <v>20</v>
      </c>
      <c r="E14" t="str">
        <f t="array" ref="E14">GetValue("Types",D14,"Name")</f>
        <v>nvarchar</v>
      </c>
      <c r="F14" t="str" cm="1">
        <f t="array" ref="F14">GetValue("Types",D14,"#CategoryName")</f>
        <v>string</v>
      </c>
      <c r="G14" t="str" cm="1">
        <f t="array" ref="G14">GetDataType(A14)</f>
        <v>nvarchar</v>
      </c>
      <c r="H14" t="s">
        <v>70</v>
      </c>
    </row>
    <row r="15" spans="1:15" x14ac:dyDescent="0.3">
      <c r="A15">
        <f t="shared" si="1"/>
        <v>14</v>
      </c>
      <c r="B15">
        <v>1</v>
      </c>
      <c r="C15" t="str" cm="1">
        <f t="array" ref="C15">GetValue("Tenants",B15,"Name")</f>
        <v>Crudex</v>
      </c>
      <c r="D15">
        <v>20</v>
      </c>
      <c r="E15" t="str">
        <f t="array" ref="E15">GetValue("Types",D15,"Name")</f>
        <v>nvarchar</v>
      </c>
      <c r="F15" t="str" cm="1">
        <f t="array" ref="F15">GetValue("Types",D15,"#CategoryName")</f>
        <v>string</v>
      </c>
      <c r="G15" t="str" cm="1">
        <f t="array" ref="G15">GetDataType(A15)</f>
        <v>nvarchar(5)</v>
      </c>
      <c r="H15" t="s">
        <v>289</v>
      </c>
      <c r="I15">
        <v>5</v>
      </c>
      <c r="K15" t="s">
        <v>720</v>
      </c>
    </row>
    <row r="16" spans="1:15" x14ac:dyDescent="0.3">
      <c r="A16">
        <f t="shared" si="1"/>
        <v>15</v>
      </c>
      <c r="B16">
        <v>1</v>
      </c>
      <c r="C16" t="str" cm="1">
        <f t="array" ref="C16">GetValue("Tenants",B16,"Name")</f>
        <v>Crudex</v>
      </c>
      <c r="D16">
        <v>20</v>
      </c>
      <c r="E16" t="str">
        <f t="array" ref="E16">GetValue("Types",D16,"Name")</f>
        <v>nvarchar</v>
      </c>
      <c r="F16" t="str" cm="1">
        <f t="array" ref="F16">GetValue("Types",D16,"#CategoryName")</f>
        <v>string</v>
      </c>
      <c r="G16" t="str" cm="1">
        <f t="array" ref="G16">GetDataType(A16)</f>
        <v>nvarchar(15)</v>
      </c>
      <c r="H16" t="s">
        <v>405</v>
      </c>
      <c r="I16">
        <v>15</v>
      </c>
      <c r="K16" t="s">
        <v>721</v>
      </c>
    </row>
    <row r="17" spans="1:15" x14ac:dyDescent="0.3">
      <c r="A17">
        <f>ROW(A17)-1</f>
        <v>16</v>
      </c>
      <c r="B17">
        <v>1</v>
      </c>
      <c r="C17" t="str" cm="1">
        <f t="array" ref="C17">GetValue("Tenants",B17,"Name")</f>
        <v>Crudex</v>
      </c>
      <c r="D17">
        <v>20</v>
      </c>
      <c r="E17" t="str">
        <f t="array" ref="E17">GetValue("Types",D17,"Name")</f>
        <v>nvarchar</v>
      </c>
      <c r="F17" t="str" cm="1">
        <f t="array" ref="F17">GetValue("Types",D17,"#CategoryName")</f>
        <v>string</v>
      </c>
      <c r="G17" t="str" cm="1">
        <f t="array" ref="G17">GetDataType(A17)</f>
        <v>nvarchar(8)</v>
      </c>
      <c r="H17" t="s">
        <v>674</v>
      </c>
      <c r="I17">
        <v>8</v>
      </c>
    </row>
    <row r="18" spans="1:15" x14ac:dyDescent="0.3">
      <c r="A18">
        <f t="shared" si="1"/>
        <v>17</v>
      </c>
      <c r="B18">
        <v>1</v>
      </c>
      <c r="C18" t="str" cm="1">
        <f t="array" ref="C18">GetValue("Tenants",B18,"Name")</f>
        <v>Crudex</v>
      </c>
      <c r="D18">
        <v>20</v>
      </c>
      <c r="E18" t="str">
        <f t="array" ref="E18">GetValue("Types",D18,"Name")</f>
        <v>nvarchar</v>
      </c>
      <c r="F18" t="str" cm="1">
        <f t="array" ref="F18">GetValue("Types",D18,"#CategoryName")</f>
        <v>string</v>
      </c>
      <c r="G18" t="str" cm="1">
        <f t="array" ref="G18">GetDataType(A18)</f>
        <v>nvarchar(11)</v>
      </c>
      <c r="H18" t="s">
        <v>644</v>
      </c>
      <c r="I18">
        <v>11</v>
      </c>
    </row>
    <row r="19" spans="1:15" x14ac:dyDescent="0.3">
      <c r="A19">
        <f t="shared" si="1"/>
        <v>18</v>
      </c>
      <c r="B19">
        <v>1</v>
      </c>
      <c r="C19" t="str" cm="1">
        <f t="array" ref="C19">GetValue("Tenants",B19,"Name")</f>
        <v>Crudex</v>
      </c>
      <c r="D19">
        <v>20</v>
      </c>
      <c r="E19" t="str">
        <f t="array" ref="E19">GetValue("Types",D19,"Name")</f>
        <v>nvarchar</v>
      </c>
      <c r="F19" t="str" cm="1">
        <f t="array" ref="F19">GetValue("Types",D19,"#CategoryName")</f>
        <v>string</v>
      </c>
      <c r="G19" t="str" cm="1">
        <f t="array" ref="G19">GetDataType(A19)</f>
        <v>nvarchar(14)</v>
      </c>
      <c r="H19" t="s">
        <v>645</v>
      </c>
      <c r="I19">
        <v>14</v>
      </c>
    </row>
    <row r="20" spans="1:15" x14ac:dyDescent="0.3">
      <c r="A20">
        <f t="shared" si="1"/>
        <v>19</v>
      </c>
      <c r="B20">
        <v>1</v>
      </c>
      <c r="C20" t="str" cm="1">
        <f t="array" ref="C20">GetValue("Tenants",B20,"Name")</f>
        <v>Crudex</v>
      </c>
      <c r="D20">
        <v>20</v>
      </c>
      <c r="E20" t="str">
        <f t="array" ref="E20">GetValue("Types",D20,"Name")</f>
        <v>nvarchar</v>
      </c>
      <c r="F20" t="str" cm="1">
        <f t="array" ref="F20">GetValue("Types",D20,"#CategoryName")</f>
        <v>string</v>
      </c>
      <c r="G20" t="str" cm="1">
        <f t="array" ref="G20">GetDataType(A20)</f>
        <v>nvarchar(14)</v>
      </c>
      <c r="H20" t="s">
        <v>646</v>
      </c>
      <c r="I20">
        <v>14</v>
      </c>
    </row>
    <row r="21" spans="1:15" x14ac:dyDescent="0.3">
      <c r="A21">
        <f t="shared" si="1"/>
        <v>20</v>
      </c>
      <c r="B21">
        <v>1</v>
      </c>
      <c r="C21" t="str" cm="1">
        <f t="array" ref="C21">GetValue("Tenants",B21,"Name")</f>
        <v>Crudex</v>
      </c>
      <c r="D21">
        <v>20</v>
      </c>
      <c r="E21" t="str">
        <f t="array" ref="E21">GetValue("Types",D21,"Name")</f>
        <v>nvarchar</v>
      </c>
      <c r="F21" t="str" cm="1">
        <f t="array" ref="F21">GetValue("Types",D21,"#CategoryName")</f>
        <v>string</v>
      </c>
      <c r="G21" t="str" cm="1">
        <f t="array" ref="G21">GetDataType(A21)</f>
        <v>nvarchar(16)</v>
      </c>
      <c r="H21" t="s">
        <v>657</v>
      </c>
      <c r="I21">
        <v>16</v>
      </c>
    </row>
    <row r="22" spans="1:15" x14ac:dyDescent="0.3">
      <c r="A22">
        <f t="shared" si="1"/>
        <v>21</v>
      </c>
      <c r="B22">
        <v>1</v>
      </c>
      <c r="C22" t="str" cm="1">
        <f t="array" ref="C22">GetValue("Tenants",B22,"Name")</f>
        <v>Crudex</v>
      </c>
      <c r="D22">
        <v>20</v>
      </c>
      <c r="E22" t="str">
        <f t="array" ref="E22">GetValue("Types",D22,"Name")</f>
        <v>nvarchar</v>
      </c>
      <c r="F22" t="str" cm="1">
        <f t="array" ref="F22">GetValue("Types",D22,"#CategoryName")</f>
        <v>string</v>
      </c>
      <c r="G22" t="str" cm="1">
        <f t="array" ref="G22">GetDataType(A22)</f>
        <v>nvarchar(11)</v>
      </c>
      <c r="H22" t="s">
        <v>660</v>
      </c>
      <c r="I22">
        <v>11</v>
      </c>
    </row>
    <row r="23" spans="1:15" x14ac:dyDescent="0.3">
      <c r="A23">
        <f t="shared" si="1"/>
        <v>22</v>
      </c>
      <c r="B23">
        <v>1</v>
      </c>
      <c r="C23" t="str" cm="1">
        <f t="array" ref="C23">GetValue("Tenants",B23,"Name")</f>
        <v>Crudex</v>
      </c>
      <c r="D23">
        <v>20</v>
      </c>
      <c r="E23" t="str">
        <f t="array" ref="E23">GetValue("Types",D23,"Name")</f>
        <v>nvarchar</v>
      </c>
      <c r="F23" t="str" cm="1">
        <f t="array" ref="F23">GetValue("Types",D23,"#CategoryName")</f>
        <v>string</v>
      </c>
      <c r="G23" t="str" cm="1">
        <f t="array" ref="G23">GetDataType(A23)</f>
        <v>nvarchar(8)</v>
      </c>
      <c r="H23" t="s">
        <v>662</v>
      </c>
      <c r="I23">
        <v>8</v>
      </c>
    </row>
    <row r="24" spans="1:15" x14ac:dyDescent="0.3">
      <c r="A24">
        <f t="shared" si="1"/>
        <v>23</v>
      </c>
      <c r="B24">
        <v>1</v>
      </c>
      <c r="C24" t="str" cm="1">
        <f t="array" ref="C24">GetValue("Tenants",B24,"Name")</f>
        <v>Crudex</v>
      </c>
      <c r="D24">
        <v>20</v>
      </c>
      <c r="E24" t="str">
        <f t="array" ref="E24">GetValue("Types",D24,"Name")</f>
        <v>nvarchar</v>
      </c>
      <c r="F24" t="str" cm="1">
        <f t="array" ref="F24">GetValue("Types",D24,"#CategoryName")</f>
        <v>string</v>
      </c>
      <c r="G24" t="str" cm="1">
        <f t="array" ref="G24">GetDataType(A24)</f>
        <v>nvarchar(13)</v>
      </c>
      <c r="H24" t="s">
        <v>664</v>
      </c>
      <c r="I24">
        <v>13</v>
      </c>
    </row>
    <row r="25" spans="1:15" x14ac:dyDescent="0.3">
      <c r="A25">
        <f t="shared" si="1"/>
        <v>24</v>
      </c>
      <c r="B25">
        <v>1</v>
      </c>
      <c r="C25" t="str" cm="1">
        <f t="array" ref="C25">GetValue("Tenants",B25,"Name")</f>
        <v>Crudex</v>
      </c>
      <c r="D25">
        <v>20</v>
      </c>
      <c r="E25" t="str">
        <f t="array" ref="E25">GetValue("Types",D25,"Name")</f>
        <v>nvarchar</v>
      </c>
      <c r="F25" t="str" cm="1">
        <f t="array" ref="F25">GetValue("Types",D25,"#CategoryName")</f>
        <v>string</v>
      </c>
      <c r="G25" t="str" cm="1">
        <f t="array" ref="G25">GetDataType(A25)</f>
        <v>nvarchar(10)</v>
      </c>
      <c r="H25" t="s">
        <v>666</v>
      </c>
      <c r="I25">
        <v>10</v>
      </c>
    </row>
    <row r="26" spans="1:15" x14ac:dyDescent="0.3">
      <c r="A26">
        <f t="shared" si="1"/>
        <v>25</v>
      </c>
      <c r="B26">
        <v>1</v>
      </c>
      <c r="C26" t="str" cm="1">
        <f t="array" ref="C26">GetValue("Tenants",B26,"Name")</f>
        <v>Crudex</v>
      </c>
      <c r="D26">
        <v>20</v>
      </c>
      <c r="E26" t="str">
        <f t="array" ref="E26">GetValue("Types",D26,"Name")</f>
        <v>nvarchar</v>
      </c>
      <c r="F26" t="str" cm="1">
        <f t="array" ref="F26">GetValue("Types",D26,"#CategoryName")</f>
        <v>string</v>
      </c>
      <c r="G26" t="str" cm="1">
        <f t="array" ref="G26">GetDataType(A26)</f>
        <v>nvarchar(13)</v>
      </c>
      <c r="H26" t="s">
        <v>668</v>
      </c>
      <c r="I26">
        <v>13</v>
      </c>
    </row>
    <row r="27" spans="1:15" x14ac:dyDescent="0.3">
      <c r="A27">
        <f t="shared" si="1"/>
        <v>26</v>
      </c>
      <c r="B27">
        <v>1</v>
      </c>
      <c r="C27" t="str" cm="1">
        <f t="array" ref="C27">GetValue("Tenants",B27,"Name")</f>
        <v>Crudex</v>
      </c>
      <c r="D27">
        <v>20</v>
      </c>
      <c r="E27" t="str">
        <f t="array" ref="E27">GetValue("Types",D27,"Name")</f>
        <v>nvarchar</v>
      </c>
      <c r="F27" t="str" cm="1">
        <f t="array" ref="F27">GetValue("Types",D27,"#CategoryName")</f>
        <v>string</v>
      </c>
      <c r="G27" t="str" cm="1">
        <f t="array" ref="G27">GetDataType(A27)</f>
        <v>nvarchar(8)</v>
      </c>
      <c r="H27" t="s">
        <v>670</v>
      </c>
      <c r="I27">
        <v>8</v>
      </c>
    </row>
    <row r="28" spans="1:15" x14ac:dyDescent="0.3">
      <c r="A28">
        <f>ROW(A28)-1</f>
        <v>27</v>
      </c>
      <c r="B28">
        <v>1</v>
      </c>
      <c r="C28" t="str" cm="1">
        <f t="array" ref="C28">GetValue("Tenants",B28,"Name")</f>
        <v>Crudex</v>
      </c>
      <c r="D28">
        <v>21</v>
      </c>
      <c r="E28" t="str">
        <f t="array" ref="E28">GetValue("Types",D28,"Name")</f>
        <v>nvarchar(max)</v>
      </c>
      <c r="F28" t="str" cm="1">
        <f t="array" ref="F28">GetValue("Types",D28,"#CategoryName")</f>
        <v>text</v>
      </c>
      <c r="G28" t="str" cm="1">
        <f t="array" ref="G28">GetDataType(A28)</f>
        <v>nvarchar(max)</v>
      </c>
      <c r="H28" t="s">
        <v>491</v>
      </c>
      <c r="O28" t="s">
        <v>473</v>
      </c>
    </row>
    <row r="29" spans="1:15" x14ac:dyDescent="0.3">
      <c r="A29">
        <f>ROW(A29)-1</f>
        <v>28</v>
      </c>
      <c r="B29">
        <v>1</v>
      </c>
      <c r="C29" t="str" cm="1">
        <f t="array" ref="C29">GetValue("Tenants",B29,"Name")</f>
        <v>Crudex</v>
      </c>
      <c r="D29">
        <v>21</v>
      </c>
      <c r="E29" t="str">
        <f t="array" ref="E29">GetValue("Types",D29,"Name")</f>
        <v>nvarchar(max)</v>
      </c>
      <c r="F29" t="str" cm="1">
        <f t="array" ref="F29">GetValue("Types",D29,"#CategoryName")</f>
        <v>text</v>
      </c>
      <c r="G29" t="str" cm="1">
        <f t="array" ref="G29">GetDataType(A29)</f>
        <v>nvarchar(max)</v>
      </c>
      <c r="H29" t="s">
        <v>68</v>
      </c>
      <c r="O29" t="s">
        <v>474</v>
      </c>
    </row>
    <row r="30" spans="1:15" x14ac:dyDescent="0.3">
      <c r="A30">
        <f>ROW(A30)-1</f>
        <v>29</v>
      </c>
      <c r="B30">
        <v>1</v>
      </c>
      <c r="C30" t="str" cm="1">
        <f t="array" ref="C30">GetValue("Tenants",B30,"Name")</f>
        <v>Crudex</v>
      </c>
      <c r="D30">
        <v>21</v>
      </c>
      <c r="E30" t="str">
        <f t="array" ref="E30">GetValue("Types",D30,"Name")</f>
        <v>nvarchar(max)</v>
      </c>
      <c r="F30" t="str" cm="1">
        <f t="array" ref="F30">GetValue("Types",D30,"#CategoryName")</f>
        <v>text</v>
      </c>
      <c r="G30" t="str" cm="1">
        <f t="array" ref="G30">GetDataType(A30)</f>
        <v>nvarchar(max)</v>
      </c>
      <c r="H30" t="s">
        <v>385</v>
      </c>
    </row>
    <row r="31" spans="1:15" x14ac:dyDescent="0.3">
      <c r="A31">
        <f>ROW(A31)-1</f>
        <v>30</v>
      </c>
      <c r="B31">
        <v>1</v>
      </c>
      <c r="C31" t="str" cm="1">
        <f t="array" ref="C31">GetValue("Tenants",B31,"Name")</f>
        <v>Crudex</v>
      </c>
      <c r="D31">
        <v>21</v>
      </c>
      <c r="E31" t="str">
        <f t="array" ref="E31">GetValue("Types",D31,"Name")</f>
        <v>nvarchar(max)</v>
      </c>
      <c r="F31" t="str" cm="1">
        <f t="array" ref="F31">GetValue("Types",D31,"#CategoryName")</f>
        <v>text</v>
      </c>
      <c r="G31" t="str" cm="1">
        <f t="array" ref="G31">GetDataType(A31)</f>
        <v>nvarchar(max)</v>
      </c>
      <c r="H31" t="s">
        <v>72</v>
      </c>
      <c r="O31" t="s">
        <v>475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G11"/>
  <sheetViews>
    <sheetView workbookViewId="0">
      <pane ySplit="1" topLeftCell="A2" activePane="bottomLeft" state="frozen"/>
      <selection pane="bottomLeft" activeCell="D15" sqref="D15"/>
    </sheetView>
  </sheetViews>
  <sheetFormatPr defaultRowHeight="14.4" x14ac:dyDescent="0.3"/>
  <cols>
    <col min="1" max="1" width="3" bestFit="1" customWidth="1"/>
    <col min="2" max="2" width="8.5546875" bestFit="1" customWidth="1"/>
    <col min="3" max="3" width="12.88671875" bestFit="1" customWidth="1"/>
    <col min="4" max="4" width="12" bestFit="1" customWidth="1"/>
    <col min="5" max="5" width="18.5546875" bestFit="1" customWidth="1"/>
    <col min="6" max="6" width="14.21875" bestFit="1" customWidth="1"/>
    <col min="7" max="7" width="19.5546875" bestFit="1" customWidth="1"/>
  </cols>
  <sheetData>
    <row r="1" spans="1:7" s="1" customFormat="1" x14ac:dyDescent="0.3">
      <c r="A1" s="1" t="s">
        <v>0</v>
      </c>
      <c r="B1" s="1" t="s">
        <v>682</v>
      </c>
      <c r="C1" s="1" t="s">
        <v>683</v>
      </c>
      <c r="D1" s="1" t="s">
        <v>1</v>
      </c>
      <c r="E1" s="1" t="s">
        <v>71</v>
      </c>
      <c r="F1" s="1" t="s">
        <v>684</v>
      </c>
      <c r="G1" s="1" t="s">
        <v>659</v>
      </c>
    </row>
    <row r="2" spans="1:7" x14ac:dyDescent="0.3">
      <c r="A2">
        <f>ROW(A2)-1</f>
        <v>1</v>
      </c>
      <c r="B2">
        <v>1</v>
      </c>
      <c r="C2" t="str" cm="1">
        <f t="array" ref="C2">GetValue("Tenants",B2,"Name")</f>
        <v>SoftLab</v>
      </c>
      <c r="D2" t="s">
        <v>674</v>
      </c>
      <c r="E2" t="s">
        <v>675</v>
      </c>
      <c r="F2" t="s">
        <v>677</v>
      </c>
      <c r="G2" t="s">
        <v>686</v>
      </c>
    </row>
    <row r="3" spans="1:7" x14ac:dyDescent="0.3">
      <c r="A3">
        <f t="shared" ref="A3:A11" si="0">ROW(A3)-1</f>
        <v>2</v>
      </c>
      <c r="B3">
        <v>1</v>
      </c>
      <c r="C3" t="str" cm="1">
        <f t="array" ref="C3">GetValue("Tenants",B3,"Name")</f>
        <v>SoftLab</v>
      </c>
      <c r="D3" t="s">
        <v>644</v>
      </c>
      <c r="E3" t="s">
        <v>647</v>
      </c>
      <c r="F3" t="s">
        <v>676</v>
      </c>
      <c r="G3" t="s">
        <v>685</v>
      </c>
    </row>
    <row r="4" spans="1:7" x14ac:dyDescent="0.3">
      <c r="A4">
        <f t="shared" si="0"/>
        <v>3</v>
      </c>
      <c r="B4">
        <v>1</v>
      </c>
      <c r="C4" t="str" cm="1">
        <f t="array" ref="C4">GetValue("Tenants",B4,"Name")</f>
        <v>SoftLab</v>
      </c>
      <c r="D4" t="s">
        <v>645</v>
      </c>
      <c r="E4" t="s">
        <v>648</v>
      </c>
      <c r="F4" t="s">
        <v>678</v>
      </c>
      <c r="G4" t="s">
        <v>687</v>
      </c>
    </row>
    <row r="5" spans="1:7" x14ac:dyDescent="0.3">
      <c r="A5">
        <f t="shared" si="0"/>
        <v>4</v>
      </c>
      <c r="B5">
        <v>1</v>
      </c>
      <c r="C5" t="str" cm="1">
        <f t="array" ref="C5">GetValue("Tenants",B5,"Name")</f>
        <v>SoftLab</v>
      </c>
      <c r="D5" t="s">
        <v>657</v>
      </c>
      <c r="E5" t="s">
        <v>658</v>
      </c>
      <c r="F5" t="s">
        <v>679</v>
      </c>
      <c r="G5" t="s">
        <v>688</v>
      </c>
    </row>
    <row r="6" spans="1:7" x14ac:dyDescent="0.3">
      <c r="A6">
        <f t="shared" si="0"/>
        <v>5</v>
      </c>
      <c r="B6">
        <v>1</v>
      </c>
      <c r="C6" t="str" cm="1">
        <f t="array" ref="C6">GetValue("Tenants",B6,"Name")</f>
        <v>SoftLab</v>
      </c>
      <c r="D6" t="s">
        <v>660</v>
      </c>
      <c r="E6" t="s">
        <v>661</v>
      </c>
      <c r="F6" t="s">
        <v>676</v>
      </c>
      <c r="G6" t="s">
        <v>685</v>
      </c>
    </row>
    <row r="7" spans="1:7" x14ac:dyDescent="0.3">
      <c r="A7">
        <f t="shared" si="0"/>
        <v>6</v>
      </c>
      <c r="B7">
        <v>1</v>
      </c>
      <c r="C7" t="str" cm="1">
        <f t="array" ref="C7">GetValue("Tenants",B7,"Name")</f>
        <v>SoftLab</v>
      </c>
      <c r="D7" t="s">
        <v>662</v>
      </c>
      <c r="E7" t="s">
        <v>663</v>
      </c>
      <c r="F7" t="s">
        <v>677</v>
      </c>
      <c r="G7" t="s">
        <v>686</v>
      </c>
    </row>
    <row r="8" spans="1:7" x14ac:dyDescent="0.3">
      <c r="A8">
        <f t="shared" si="0"/>
        <v>7</v>
      </c>
      <c r="B8">
        <v>1</v>
      </c>
      <c r="C8" t="str" cm="1">
        <f t="array" ref="C8">GetValue("Tenants",B8,"Name")</f>
        <v>SoftLab</v>
      </c>
      <c r="D8" t="s">
        <v>664</v>
      </c>
      <c r="E8" t="s">
        <v>665</v>
      </c>
      <c r="F8" t="s">
        <v>680</v>
      </c>
      <c r="G8" t="s">
        <v>689</v>
      </c>
    </row>
    <row r="9" spans="1:7" x14ac:dyDescent="0.3">
      <c r="A9">
        <f t="shared" si="0"/>
        <v>8</v>
      </c>
      <c r="B9">
        <v>1</v>
      </c>
      <c r="C9" t="str" cm="1">
        <f t="array" ref="C9">GetValue("Tenants",B9,"Name")</f>
        <v>SoftLab</v>
      </c>
      <c r="D9" t="s">
        <v>666</v>
      </c>
      <c r="E9" t="s">
        <v>667</v>
      </c>
      <c r="F9" t="s">
        <v>690</v>
      </c>
      <c r="G9" t="s">
        <v>692</v>
      </c>
    </row>
    <row r="10" spans="1:7" x14ac:dyDescent="0.3">
      <c r="A10">
        <f t="shared" si="0"/>
        <v>9</v>
      </c>
      <c r="B10">
        <v>1</v>
      </c>
      <c r="C10" t="str" cm="1">
        <f t="array" ref="C10">GetValue("Tenants",B10,"Name")</f>
        <v>SoftLab</v>
      </c>
      <c r="D10" t="s">
        <v>668</v>
      </c>
      <c r="E10" t="s">
        <v>669</v>
      </c>
      <c r="F10" t="s">
        <v>680</v>
      </c>
      <c r="G10" t="s">
        <v>689</v>
      </c>
    </row>
    <row r="11" spans="1:7" x14ac:dyDescent="0.3">
      <c r="A11">
        <f t="shared" si="0"/>
        <v>10</v>
      </c>
      <c r="B11">
        <v>1</v>
      </c>
      <c r="C11" t="str" cm="1">
        <f t="array" ref="C11">GetValue("Tenants",B11,"Name")</f>
        <v>SoftLab</v>
      </c>
      <c r="D11" t="s">
        <v>670</v>
      </c>
      <c r="E11" t="s">
        <v>671</v>
      </c>
      <c r="F11" t="s">
        <v>691</v>
      </c>
      <c r="G11" t="s">
        <v>693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E14"/>
  <sheetViews>
    <sheetView workbookViewId="0">
      <pane ySplit="1" topLeftCell="A2" activePane="bottomLeft" state="frozen"/>
      <selection pane="bottomLeft" activeCell="I24" sqref="I24"/>
    </sheetView>
  </sheetViews>
  <sheetFormatPr defaultRowHeight="14.4" x14ac:dyDescent="0.3"/>
  <cols>
    <col min="1" max="1" width="3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2" bestFit="1" customWidth="1"/>
  </cols>
  <sheetData>
    <row r="1" spans="1:5" s="1" customFormat="1" x14ac:dyDescent="0.3">
      <c r="A1" s="1" t="s">
        <v>0</v>
      </c>
      <c r="B1" s="1" t="s">
        <v>134</v>
      </c>
      <c r="C1" s="1" t="s">
        <v>316</v>
      </c>
      <c r="D1" s="1" t="s">
        <v>58</v>
      </c>
      <c r="E1" s="1" t="s">
        <v>311</v>
      </c>
    </row>
    <row r="2" spans="1:5" x14ac:dyDescent="0.3">
      <c r="A2">
        <f>ROW(A2)-1</f>
        <v>1</v>
      </c>
      <c r="B2">
        <v>16</v>
      </c>
      <c r="C2" t="str" cm="1">
        <f t="array" ref="C2">GetValue("Domains",B2,"Name")</f>
        <v>RAIZ CNPJ</v>
      </c>
      <c r="D2">
        <v>1</v>
      </c>
      <c r="E2" t="str" cm="1">
        <f t="array" ref="E2">GetValue("Masks",D2,"Name")</f>
        <v>RAIZ CNPJ</v>
      </c>
    </row>
    <row r="3" spans="1:5" x14ac:dyDescent="0.3">
      <c r="A3">
        <f t="shared" ref="A3:A14" si="0">ROW(A3)-1</f>
        <v>2</v>
      </c>
      <c r="B3">
        <v>17</v>
      </c>
      <c r="C3" t="str" cm="1">
        <f t="array" ref="C3">GetValue("Domains",B3,"Name")</f>
        <v>CPF</v>
      </c>
      <c r="D3">
        <v>2</v>
      </c>
      <c r="E3" t="str" cm="1">
        <f t="array" ref="E3">GetValue("Masks",D3,"Name")</f>
        <v>CPF</v>
      </c>
    </row>
    <row r="4" spans="1:5" x14ac:dyDescent="0.3">
      <c r="A4">
        <f t="shared" si="0"/>
        <v>3</v>
      </c>
      <c r="B4">
        <v>18</v>
      </c>
      <c r="C4" t="str" cm="1">
        <f t="array" ref="C4">GetValue("Domains",B4,"Name")</f>
        <v>CNPJ</v>
      </c>
      <c r="D4">
        <v>3</v>
      </c>
      <c r="E4" t="str" cm="1">
        <f t="array" ref="E4">GetValue("Masks",D4,"Name")</f>
        <v>CNPJ</v>
      </c>
    </row>
    <row r="5" spans="1:5" x14ac:dyDescent="0.3">
      <c r="A5">
        <f t="shared" si="0"/>
        <v>4</v>
      </c>
      <c r="B5">
        <v>19</v>
      </c>
      <c r="C5" t="str" cm="1">
        <f t="array" ref="C5">GetValue("Domains",B5,"Name")</f>
        <v>RAIZ/CPF/CNPJ</v>
      </c>
      <c r="D5">
        <v>1</v>
      </c>
      <c r="E5" t="str" cm="1">
        <f t="array" ref="E5">GetValue("Masks",D5,"Name")</f>
        <v>RAIZ CNPJ</v>
      </c>
    </row>
    <row r="6" spans="1:5" x14ac:dyDescent="0.3">
      <c r="A6">
        <f t="shared" si="0"/>
        <v>5</v>
      </c>
      <c r="B6">
        <v>19</v>
      </c>
      <c r="C6" t="str" cm="1">
        <f t="array" ref="C6">GetValue("Domains",B6,"Name")</f>
        <v>RAIZ/CPF/CNPJ</v>
      </c>
      <c r="D6">
        <v>2</v>
      </c>
      <c r="E6" t="str" cm="1">
        <f t="array" ref="E6">GetValue("Masks",D6,"Name")</f>
        <v>CPF</v>
      </c>
    </row>
    <row r="7" spans="1:5" x14ac:dyDescent="0.3">
      <c r="A7">
        <f t="shared" si="0"/>
        <v>6</v>
      </c>
      <c r="B7">
        <v>19</v>
      </c>
      <c r="C7" t="str" cm="1">
        <f t="array" ref="C7">GetValue("Domains",B7,"Name")</f>
        <v>RAIZ/CPF/CNPJ</v>
      </c>
      <c r="D7">
        <v>3</v>
      </c>
      <c r="E7" t="str" cm="1">
        <f t="array" ref="E7">GetValue("Masks",D7,"Name")</f>
        <v>CNPJ</v>
      </c>
    </row>
    <row r="8" spans="1:5" x14ac:dyDescent="0.3">
      <c r="A8">
        <f t="shared" si="0"/>
        <v>7</v>
      </c>
      <c r="B8">
        <v>20</v>
      </c>
      <c r="C8" t="str" cm="1">
        <f t="array" ref="C8">GetValue("Domains",B8,"Name")</f>
        <v>CREDIT CARD</v>
      </c>
      <c r="D8">
        <v>4</v>
      </c>
      <c r="E8" t="str" cm="1">
        <f t="array" ref="E8">GetValue("Masks",D8,"Name")</f>
        <v>CREDIT CARD</v>
      </c>
    </row>
    <row r="9" spans="1:5" x14ac:dyDescent="0.3">
      <c r="A9">
        <f t="shared" si="0"/>
        <v>8</v>
      </c>
      <c r="B9">
        <v>21</v>
      </c>
      <c r="C9" t="str" cm="1">
        <f t="array" ref="C9">GetValue("Domains",B9,"Name")</f>
        <v>RENAVAM</v>
      </c>
      <c r="D9">
        <v>5</v>
      </c>
      <c r="E9" t="str" cm="1">
        <f t="array" ref="E9">GetValue("Masks",D9,"Name")</f>
        <v>RENAVAM</v>
      </c>
    </row>
    <row r="10" spans="1:5" x14ac:dyDescent="0.3">
      <c r="A10">
        <f t="shared" si="0"/>
        <v>9</v>
      </c>
      <c r="B10">
        <v>22</v>
      </c>
      <c r="C10" t="str" cm="1">
        <f t="array" ref="C10">GetValue("Domains",B10,"Name")</f>
        <v>EAN-8</v>
      </c>
      <c r="D10">
        <v>6</v>
      </c>
      <c r="E10" t="str" cm="1">
        <f t="array" ref="E10">GetValue("Masks",D10,"Name")</f>
        <v>EAN-8</v>
      </c>
    </row>
    <row r="11" spans="1:5" x14ac:dyDescent="0.3">
      <c r="A11">
        <f t="shared" si="0"/>
        <v>10</v>
      </c>
      <c r="B11">
        <v>23</v>
      </c>
      <c r="C11" t="str" cm="1">
        <f t="array" ref="C11">GetValue("Domains",B11,"Name")</f>
        <v>EAN-13</v>
      </c>
      <c r="D11">
        <v>7</v>
      </c>
      <c r="E11" t="str" cm="1">
        <f t="array" ref="E11">GetValue("Masks",D11,"Name")</f>
        <v>EAN-13</v>
      </c>
    </row>
    <row r="12" spans="1:5" x14ac:dyDescent="0.3">
      <c r="A12">
        <f t="shared" si="0"/>
        <v>11</v>
      </c>
      <c r="B12">
        <v>24</v>
      </c>
      <c r="C12" t="str" cm="1">
        <f t="array" ref="C12">GetValue("Domains",B12,"Name")</f>
        <v>ISBN-10</v>
      </c>
      <c r="D12">
        <v>8</v>
      </c>
      <c r="E12" t="str" cm="1">
        <f t="array" ref="E12">GetValue("Masks",D12,"Name")</f>
        <v>ISBN-10</v>
      </c>
    </row>
    <row r="13" spans="1:5" x14ac:dyDescent="0.3">
      <c r="A13">
        <f t="shared" si="0"/>
        <v>12</v>
      </c>
      <c r="B13">
        <v>25</v>
      </c>
      <c r="C13" t="str" cm="1">
        <f t="array" ref="C13">GetValue("Domains",B13,"Name")</f>
        <v>ISBN-13</v>
      </c>
      <c r="D13">
        <v>9</v>
      </c>
      <c r="E13" t="str" cm="1">
        <f t="array" ref="E13">GetValue("Masks",D13,"Name")</f>
        <v>ISBN-13</v>
      </c>
    </row>
    <row r="14" spans="1:5" x14ac:dyDescent="0.3">
      <c r="A14">
        <f t="shared" si="0"/>
        <v>13</v>
      </c>
      <c r="B14">
        <v>26</v>
      </c>
      <c r="C14" t="str" cm="1">
        <f t="array" ref="C14">GetValue("Domains",B14,"Name")</f>
        <v>ISSN</v>
      </c>
      <c r="D14">
        <v>10</v>
      </c>
      <c r="E14" t="str" cm="1">
        <f t="array" ref="E14">GetValue("Masks",D14,"Name")</f>
        <v>ISSN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46D2B-3474-4E39-A6F4-3502E3B70816}">
  <sheetPr codeName="Planilha21"/>
  <dimension ref="A1:G12"/>
  <sheetViews>
    <sheetView workbookViewId="0">
      <pane ySplit="1" topLeftCell="A2" activePane="bottomLeft" state="frozen"/>
      <selection pane="bottomLeft" activeCell="G10" sqref="G10"/>
    </sheetView>
  </sheetViews>
  <sheetFormatPr defaultColWidth="23.88671875" defaultRowHeight="14.4" x14ac:dyDescent="0.3"/>
  <cols>
    <col min="1" max="1" width="3" bestFit="1" customWidth="1"/>
    <col min="2" max="2" width="8.5546875" bestFit="1" customWidth="1"/>
    <col min="3" max="3" width="15" customWidth="1"/>
    <col min="4" max="4" width="12" bestFit="1" customWidth="1"/>
    <col min="5" max="5" width="7.5546875" bestFit="1" customWidth="1"/>
    <col min="6" max="6" width="25.77734375" customWidth="1"/>
    <col min="7" max="7" width="19.33203125" style="27" bestFit="1" customWidth="1"/>
  </cols>
  <sheetData>
    <row r="1" spans="1:7" s="24" customFormat="1" x14ac:dyDescent="0.3">
      <c r="A1" s="22" t="s">
        <v>0</v>
      </c>
      <c r="B1" s="22" t="s">
        <v>682</v>
      </c>
      <c r="C1" s="22" t="s">
        <v>683</v>
      </c>
      <c r="D1" s="22" t="s">
        <v>1</v>
      </c>
      <c r="E1" s="22" t="s">
        <v>649</v>
      </c>
      <c r="F1" s="22" t="s">
        <v>650</v>
      </c>
      <c r="G1" s="23" t="s">
        <v>651</v>
      </c>
    </row>
    <row r="2" spans="1:7" x14ac:dyDescent="0.3">
      <c r="A2">
        <f t="shared" ref="A2:A12" si="0">ROW(A2)-1</f>
        <v>1</v>
      </c>
      <c r="B2">
        <v>1</v>
      </c>
      <c r="C2" t="str" cm="1">
        <f t="array" ref="C2">GetValue("Tenants",B2,"Name")</f>
        <v>SoftLab</v>
      </c>
      <c r="D2" s="25" t="s">
        <v>653</v>
      </c>
      <c r="E2" s="25">
        <v>11</v>
      </c>
      <c r="F2" s="25" t="s">
        <v>722</v>
      </c>
      <c r="G2" s="26">
        <v>0</v>
      </c>
    </row>
    <row r="3" spans="1:7" x14ac:dyDescent="0.3">
      <c r="A3">
        <f t="shared" si="0"/>
        <v>2</v>
      </c>
      <c r="B3">
        <v>1</v>
      </c>
      <c r="C3" t="str" cm="1">
        <f t="array" ref="C3">GetValue("Tenants",B3,"Name")</f>
        <v>SoftLab</v>
      </c>
      <c r="D3" s="25" t="s">
        <v>654</v>
      </c>
      <c r="E3" s="25">
        <v>11</v>
      </c>
      <c r="F3" s="25" t="s">
        <v>723</v>
      </c>
      <c r="G3" s="26">
        <v>0</v>
      </c>
    </row>
    <row r="4" spans="1:7" x14ac:dyDescent="0.3">
      <c r="A4">
        <f t="shared" si="0"/>
        <v>3</v>
      </c>
      <c r="B4">
        <v>1</v>
      </c>
      <c r="C4" t="str" cm="1">
        <f t="array" ref="C4">GetValue("Tenants",B4,"Name")</f>
        <v>SoftLab</v>
      </c>
      <c r="D4" s="25" t="s">
        <v>655</v>
      </c>
      <c r="E4" s="25">
        <v>11</v>
      </c>
      <c r="F4" s="25" t="s">
        <v>724</v>
      </c>
      <c r="G4" s="26">
        <v>0</v>
      </c>
    </row>
    <row r="5" spans="1:7" x14ac:dyDescent="0.3">
      <c r="A5">
        <f t="shared" si="0"/>
        <v>4</v>
      </c>
      <c r="B5">
        <v>1</v>
      </c>
      <c r="C5" t="str" cm="1">
        <f t="array" ref="C5">GetValue("Tenants",B5,"Name")</f>
        <v>SoftLab</v>
      </c>
      <c r="D5" s="25" t="s">
        <v>656</v>
      </c>
      <c r="E5" s="25">
        <v>11</v>
      </c>
      <c r="F5" s="25" t="s">
        <v>725</v>
      </c>
      <c r="G5" s="26">
        <v>0</v>
      </c>
    </row>
    <row r="6" spans="1:7" x14ac:dyDescent="0.3">
      <c r="A6">
        <f t="shared" si="0"/>
        <v>5</v>
      </c>
      <c r="B6">
        <v>1</v>
      </c>
      <c r="C6" t="str" cm="1">
        <f t="array" ref="C6">GetValue("Tenants",B6,"Name")</f>
        <v>SoftLab</v>
      </c>
      <c r="D6" s="25" t="s">
        <v>657</v>
      </c>
      <c r="E6" s="25">
        <v>10</v>
      </c>
      <c r="F6" s="25" t="s">
        <v>726</v>
      </c>
      <c r="G6" s="27">
        <v>0</v>
      </c>
    </row>
    <row r="7" spans="1:7" x14ac:dyDescent="0.3">
      <c r="A7">
        <f t="shared" si="0"/>
        <v>6</v>
      </c>
      <c r="B7">
        <v>1</v>
      </c>
      <c r="C7" t="str" cm="1">
        <f t="array" ref="C7">GetValue("Tenants",B7,"Name")</f>
        <v>SoftLab</v>
      </c>
      <c r="D7" s="25" t="s">
        <v>660</v>
      </c>
      <c r="E7" s="25">
        <v>11</v>
      </c>
      <c r="F7" s="25" t="s">
        <v>727</v>
      </c>
      <c r="G7" s="27">
        <v>0</v>
      </c>
    </row>
    <row r="8" spans="1:7" x14ac:dyDescent="0.3">
      <c r="A8">
        <f t="shared" si="0"/>
        <v>7</v>
      </c>
      <c r="B8">
        <v>1</v>
      </c>
      <c r="C8" t="str" cm="1">
        <f t="array" ref="C8">GetValue("Tenants",B8,"Name")</f>
        <v>SoftLab</v>
      </c>
      <c r="D8" t="s">
        <v>662</v>
      </c>
      <c r="E8" s="25">
        <v>10</v>
      </c>
      <c r="F8" t="s">
        <v>728</v>
      </c>
      <c r="G8" s="27">
        <v>0</v>
      </c>
    </row>
    <row r="9" spans="1:7" x14ac:dyDescent="0.3">
      <c r="A9">
        <f t="shared" si="0"/>
        <v>8</v>
      </c>
      <c r="B9">
        <v>1</v>
      </c>
      <c r="C9" t="str" cm="1">
        <f t="array" ref="C9">GetValue("Tenants",B9,"Name")</f>
        <v>SoftLab</v>
      </c>
      <c r="D9" t="s">
        <v>664</v>
      </c>
      <c r="E9" s="25">
        <v>10</v>
      </c>
      <c r="F9" t="s">
        <v>729</v>
      </c>
      <c r="G9" s="27">
        <v>0</v>
      </c>
    </row>
    <row r="10" spans="1:7" x14ac:dyDescent="0.3">
      <c r="A10">
        <f t="shared" si="0"/>
        <v>9</v>
      </c>
      <c r="B10">
        <v>1</v>
      </c>
      <c r="C10" t="str" cm="1">
        <f t="array" ref="C10">GetValue("Tenants",B10,"Name")</f>
        <v>SoftLab</v>
      </c>
      <c r="D10" t="s">
        <v>666</v>
      </c>
      <c r="E10" s="25">
        <v>11</v>
      </c>
      <c r="F10" s="25" t="s">
        <v>730</v>
      </c>
      <c r="G10" s="27" t="s">
        <v>652</v>
      </c>
    </row>
    <row r="11" spans="1:7" x14ac:dyDescent="0.3">
      <c r="A11">
        <f t="shared" si="0"/>
        <v>10</v>
      </c>
      <c r="B11">
        <v>1</v>
      </c>
      <c r="C11" t="str" cm="1">
        <f t="array" ref="C11">GetValue("Tenants",B11,"Name")</f>
        <v>SoftLab</v>
      </c>
      <c r="D11" t="s">
        <v>668</v>
      </c>
      <c r="E11" s="25">
        <v>10</v>
      </c>
      <c r="F11" t="s">
        <v>729</v>
      </c>
      <c r="G11" s="27">
        <v>0</v>
      </c>
    </row>
    <row r="12" spans="1:7" x14ac:dyDescent="0.3">
      <c r="A12">
        <f t="shared" si="0"/>
        <v>11</v>
      </c>
      <c r="B12">
        <v>1</v>
      </c>
      <c r="C12" t="str" cm="1">
        <f t="array" ref="C12">GetValue("Tenants",B12,"Name")</f>
        <v>SoftLab</v>
      </c>
      <c r="D12" t="s">
        <v>670</v>
      </c>
      <c r="E12" s="25">
        <v>11</v>
      </c>
      <c r="F12" t="s">
        <v>731</v>
      </c>
      <c r="G12" s="27" t="s">
        <v>652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809C-BA82-4E60-9EFC-C8C4058FD93C}">
  <sheetPr codeName="Planilha22"/>
  <dimension ref="A1:E12"/>
  <sheetViews>
    <sheetView workbookViewId="0">
      <pane ySplit="1" topLeftCell="A2" activePane="bottomLeft" state="frozen"/>
      <selection pane="bottomLeft" activeCell="I13" sqref="I13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2" bestFit="1" customWidth="1"/>
    <col min="5" max="5" width="12" bestFit="1" customWidth="1"/>
  </cols>
  <sheetData>
    <row r="1" spans="1:5" s="1" customFormat="1" x14ac:dyDescent="0.3">
      <c r="A1" s="1" t="s">
        <v>0</v>
      </c>
      <c r="B1" s="1" t="s">
        <v>58</v>
      </c>
      <c r="C1" s="1" t="s">
        <v>311</v>
      </c>
      <c r="D1" s="1" t="s">
        <v>672</v>
      </c>
      <c r="E1" s="1" t="s">
        <v>673</v>
      </c>
    </row>
    <row r="2" spans="1:5" x14ac:dyDescent="0.3">
      <c r="A2">
        <f t="shared" ref="A2:A12" si="0">ROW(A2)-1</f>
        <v>1</v>
      </c>
      <c r="B2">
        <v>1</v>
      </c>
      <c r="C2" t="str" cm="1">
        <f t="array" ref="C2">GetValue("Masks",B2,"Name")</f>
        <v>CPF</v>
      </c>
      <c r="D2">
        <v>1</v>
      </c>
      <c r="E2" t="str" cm="1">
        <f t="array" ref="E2">GetValue("Digits",D2,"Name")</f>
        <v>CPF 1</v>
      </c>
    </row>
    <row r="3" spans="1:5" x14ac:dyDescent="0.3">
      <c r="A3">
        <f t="shared" si="0"/>
        <v>2</v>
      </c>
      <c r="B3">
        <v>1</v>
      </c>
      <c r="C3" t="str" cm="1">
        <f t="array" ref="C3">GetValue("Masks",B3,"Name")</f>
        <v>CPF</v>
      </c>
      <c r="D3">
        <v>2</v>
      </c>
      <c r="E3" t="str" cm="1">
        <f t="array" ref="E3">GetValue("Digits",D3,"Name")</f>
        <v>CPF 2</v>
      </c>
    </row>
    <row r="4" spans="1:5" x14ac:dyDescent="0.3">
      <c r="A4">
        <f t="shared" si="0"/>
        <v>3</v>
      </c>
      <c r="B4">
        <v>3</v>
      </c>
      <c r="C4" t="str" cm="1">
        <f t="array" ref="C4">GetValue("Masks",B4,"Name")</f>
        <v>CNPJ</v>
      </c>
      <c r="D4">
        <v>3</v>
      </c>
      <c r="E4" t="str" cm="1">
        <f t="array" ref="E4">GetValue("Digits",D4,"Name")</f>
        <v>CNPJ 1</v>
      </c>
    </row>
    <row r="5" spans="1:5" x14ac:dyDescent="0.3">
      <c r="A5">
        <f t="shared" si="0"/>
        <v>4</v>
      </c>
      <c r="B5">
        <v>3</v>
      </c>
      <c r="C5" t="str" cm="1">
        <f t="array" ref="C5">GetValue("Masks",B5,"Name")</f>
        <v>CNPJ</v>
      </c>
      <c r="D5">
        <v>4</v>
      </c>
      <c r="E5" t="str" cm="1">
        <f t="array" ref="E5">GetValue("Digits",D5,"Name")</f>
        <v>CNPJ 2</v>
      </c>
    </row>
    <row r="6" spans="1:5" x14ac:dyDescent="0.3">
      <c r="A6">
        <f t="shared" si="0"/>
        <v>5</v>
      </c>
      <c r="B6">
        <v>4</v>
      </c>
      <c r="C6" t="str" cm="1">
        <f t="array" ref="C6">GetValue("Masks",B6,"Name")</f>
        <v>CREDIT CARD</v>
      </c>
      <c r="D6">
        <v>5</v>
      </c>
      <c r="E6" t="str" cm="1">
        <f t="array" ref="E6">GetValue("Digits",D6,"Name")</f>
        <v>CREDIT CARD</v>
      </c>
    </row>
    <row r="7" spans="1:5" x14ac:dyDescent="0.3">
      <c r="A7">
        <f t="shared" si="0"/>
        <v>6</v>
      </c>
      <c r="B7">
        <v>5</v>
      </c>
      <c r="C7" t="str" cm="1">
        <f t="array" ref="C7">GetValue("Masks",B7,"Name")</f>
        <v>RENAVAM</v>
      </c>
      <c r="D7">
        <v>6</v>
      </c>
      <c r="E7" t="str" cm="1">
        <f t="array" ref="E7">GetValue("Digits",D7,"Name")</f>
        <v>RENAVAM</v>
      </c>
    </row>
    <row r="8" spans="1:5" x14ac:dyDescent="0.3">
      <c r="A8">
        <f t="shared" si="0"/>
        <v>7</v>
      </c>
      <c r="B8">
        <v>6</v>
      </c>
      <c r="C8" t="str" cm="1">
        <f t="array" ref="C8">GetValue("Masks",B8,"Name")</f>
        <v>EAN-8</v>
      </c>
      <c r="D8">
        <v>7</v>
      </c>
      <c r="E8" t="str" cm="1">
        <f t="array" ref="E8">GetValue("Digits",D8,"Name")</f>
        <v>EAN-8</v>
      </c>
    </row>
    <row r="9" spans="1:5" x14ac:dyDescent="0.3">
      <c r="A9">
        <f t="shared" si="0"/>
        <v>8</v>
      </c>
      <c r="B9">
        <v>7</v>
      </c>
      <c r="C9" t="str" cm="1">
        <f t="array" ref="C9">GetValue("Masks",B9,"Name")</f>
        <v>EAN-13</v>
      </c>
      <c r="D9">
        <v>8</v>
      </c>
      <c r="E9" t="str" cm="1">
        <f t="array" ref="E9">GetValue("Digits",D9,"Name")</f>
        <v>EAN-13</v>
      </c>
    </row>
    <row r="10" spans="1:5" x14ac:dyDescent="0.3">
      <c r="A10">
        <f t="shared" si="0"/>
        <v>9</v>
      </c>
      <c r="B10">
        <v>8</v>
      </c>
      <c r="C10" t="str" cm="1">
        <f t="array" ref="C10">GetValue("Masks",B10,"Name")</f>
        <v>ISBN-10</v>
      </c>
      <c r="D10">
        <v>9</v>
      </c>
      <c r="E10" t="str" cm="1">
        <f t="array" ref="E10">GetValue("Digits",D10,"Name")</f>
        <v>ISBN-10</v>
      </c>
    </row>
    <row r="11" spans="1:5" x14ac:dyDescent="0.3">
      <c r="A11">
        <f t="shared" si="0"/>
        <v>10</v>
      </c>
      <c r="B11">
        <v>9</v>
      </c>
      <c r="C11" t="str" cm="1">
        <f t="array" ref="C11">GetValue("Masks",B11,"Name")</f>
        <v>ISBN-13</v>
      </c>
      <c r="D11">
        <v>10</v>
      </c>
      <c r="E11" t="str" cm="1">
        <f t="array" ref="E11">GetValue("Digits",D11,"Name")</f>
        <v>ISBN-13</v>
      </c>
    </row>
    <row r="12" spans="1:5" x14ac:dyDescent="0.3">
      <c r="A12">
        <f t="shared" si="0"/>
        <v>11</v>
      </c>
      <c r="B12">
        <v>10</v>
      </c>
      <c r="C12" t="str" cm="1">
        <f t="array" ref="C12">GetValue("Masks",B12,"Name")</f>
        <v>ISSN</v>
      </c>
      <c r="D12">
        <v>11</v>
      </c>
      <c r="E12" t="str" cm="1">
        <f t="array" ref="E12">GetValue("Digits",D12,"Name")</f>
        <v>ISSN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8215-86FF-4196-AE37-20A662CD4CFE}">
  <sheetPr codeName="Planilha20"/>
  <dimension ref="A1:E4"/>
  <sheetViews>
    <sheetView workbookViewId="0">
      <pane ySplit="1" topLeftCell="A2" activePane="bottomLeft" state="frozen"/>
      <selection pane="bottomLeft" activeCell="D8" sqref="D8"/>
    </sheetView>
  </sheetViews>
  <sheetFormatPr defaultRowHeight="14.4" x14ac:dyDescent="0.3"/>
  <cols>
    <col min="1" max="1" width="3" bestFit="1" customWidth="1"/>
    <col min="2" max="2" width="8.5546875" bestFit="1" customWidth="1"/>
    <col min="3" max="3" width="12.88671875" bestFit="1" customWidth="1"/>
    <col min="4" max="4" width="6" bestFit="1" customWidth="1"/>
    <col min="5" max="5" width="15.21875" bestFit="1" customWidth="1"/>
  </cols>
  <sheetData>
    <row r="1" spans="1:5" s="1" customFormat="1" x14ac:dyDescent="0.3">
      <c r="A1" s="1" t="s">
        <v>0</v>
      </c>
      <c r="B1" s="1" t="s">
        <v>682</v>
      </c>
      <c r="C1" s="1" t="s">
        <v>683</v>
      </c>
      <c r="D1" s="1" t="s">
        <v>1</v>
      </c>
      <c r="E1" s="1" t="s">
        <v>73</v>
      </c>
    </row>
    <row r="2" spans="1:5" x14ac:dyDescent="0.3">
      <c r="A2">
        <f t="shared" ref="A2:A4" si="0">ROW(A2)-1</f>
        <v>1</v>
      </c>
      <c r="B2">
        <v>1</v>
      </c>
      <c r="C2" t="str" cm="1">
        <f t="array" ref="C2">GetValue("Tenants",B2,"Name")</f>
        <v>SoftLab</v>
      </c>
      <c r="D2" t="s">
        <v>477</v>
      </c>
      <c r="E2" t="s">
        <v>587</v>
      </c>
    </row>
    <row r="3" spans="1:5" x14ac:dyDescent="0.3">
      <c r="A3">
        <f t="shared" si="0"/>
        <v>2</v>
      </c>
      <c r="B3">
        <v>1</v>
      </c>
      <c r="C3" t="str" cm="1">
        <f t="array" ref="C3">GetValue("Tenants",B3,"Name")</f>
        <v>SoftLab</v>
      </c>
      <c r="D3" t="s">
        <v>588</v>
      </c>
      <c r="E3" t="s">
        <v>589</v>
      </c>
    </row>
    <row r="4" spans="1:5" x14ac:dyDescent="0.3">
      <c r="A4">
        <f t="shared" si="0"/>
        <v>3</v>
      </c>
      <c r="B4">
        <v>1</v>
      </c>
      <c r="C4" t="str" cm="1">
        <f t="array" ref="C4">GetValue("Tenants",B4,"Name")</f>
        <v>SoftLab</v>
      </c>
      <c r="D4" t="s">
        <v>590</v>
      </c>
      <c r="E4" t="s">
        <v>591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F7" sqref="F7"/>
    </sheetView>
  </sheetViews>
  <sheetFormatPr defaultRowHeight="14.4" x14ac:dyDescent="0.3"/>
  <cols>
    <col min="1" max="1" width="2.6640625" bestFit="1" customWidth="1"/>
    <col min="2" max="2" width="7.44140625" bestFit="1" customWidth="1"/>
    <col min="3" max="3" width="12.88671875" bestFit="1" customWidth="1"/>
    <col min="4" max="5" width="6.44140625" bestFit="1" customWidth="1"/>
    <col min="6" max="6" width="12.33203125" bestFit="1" customWidth="1"/>
    <col min="7" max="7" width="37" bestFit="1" customWidth="1"/>
  </cols>
  <sheetData>
    <row r="1" spans="1:7" s="1" customFormat="1" x14ac:dyDescent="0.3">
      <c r="A1" s="1" t="s">
        <v>0</v>
      </c>
      <c r="B1" s="1" t="s">
        <v>682</v>
      </c>
      <c r="C1" s="1" t="s">
        <v>683</v>
      </c>
      <c r="D1" s="1" t="s">
        <v>1</v>
      </c>
      <c r="E1" s="1" t="s">
        <v>111</v>
      </c>
      <c r="F1" s="1" t="s">
        <v>73</v>
      </c>
      <c r="G1" s="1" t="s">
        <v>681</v>
      </c>
    </row>
    <row r="2" spans="1:7" x14ac:dyDescent="0.3">
      <c r="A2">
        <f>ROW(A2)-1</f>
        <v>1</v>
      </c>
      <c r="B2">
        <v>1</v>
      </c>
      <c r="C2" t="str" cm="1">
        <f t="array" ref="C2">GetValue("Clients",B2,"Name")</f>
        <v>SoftLab</v>
      </c>
      <c r="D2" t="s">
        <v>353</v>
      </c>
      <c r="E2" t="s">
        <v>353</v>
      </c>
      <c r="F2" t="s">
        <v>354</v>
      </c>
      <c r="G2" t="s">
        <v>463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C18" sqref="C18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3.6640625" bestFit="1" customWidth="1"/>
    <col min="5" max="5" width="18.109375" bestFit="1" customWidth="1"/>
    <col min="6" max="6" width="10.109375" bestFit="1" customWidth="1"/>
    <col min="7" max="7" width="137.77734375" bestFit="1" customWidth="1"/>
  </cols>
  <sheetData>
    <row r="1" spans="1:7" s="1" customFormat="1" x14ac:dyDescent="0.3">
      <c r="A1" s="1" t="s">
        <v>0</v>
      </c>
      <c r="B1" s="1" t="s">
        <v>113</v>
      </c>
      <c r="C1" s="1" t="s">
        <v>314</v>
      </c>
      <c r="D1" s="1" t="s">
        <v>642</v>
      </c>
      <c r="E1" s="1" t="s">
        <v>643</v>
      </c>
      <c r="F1" s="1" t="s">
        <v>1</v>
      </c>
      <c r="G1" s="1" t="s">
        <v>476</v>
      </c>
    </row>
    <row r="2" spans="1:7" x14ac:dyDescent="0.3">
      <c r="A2">
        <f>ROW(A2)-1</f>
        <v>1</v>
      </c>
      <c r="B2">
        <v>1</v>
      </c>
      <c r="C2" t="str" cm="1">
        <f t="array" ref="C2">GetValue("Databases",B2,"Name")</f>
        <v>crudex</v>
      </c>
      <c r="D2">
        <v>1</v>
      </c>
      <c r="E2" t="str" cm="1">
        <f t="array" ref="E2">GetValue("Environments",D2,"Name")</f>
        <v>dev</v>
      </c>
      <c r="F2" t="str">
        <f>_xlfn.CONCAT(C2,"/",E2)</f>
        <v>crudex/dev</v>
      </c>
      <c r="G2" t="s">
        <v>492</v>
      </c>
    </row>
    <row r="3" spans="1:7" x14ac:dyDescent="0.3">
      <c r="A3">
        <f t="shared" ref="A3:A4" si="0">ROW(A3)-1</f>
        <v>2</v>
      </c>
      <c r="B3">
        <v>1</v>
      </c>
      <c r="C3" t="str" cm="1">
        <f t="array" ref="C3">GetValue("Databases",B3,"Name")</f>
        <v>crudex</v>
      </c>
      <c r="D3">
        <v>2</v>
      </c>
      <c r="E3" t="str" cm="1">
        <f t="array" ref="E3">GetValue("Environments",D3,"Name")</f>
        <v>hml</v>
      </c>
      <c r="F3" t="str">
        <f t="shared" ref="F3:F4" si="1">_xlfn.CONCAT(C3,"/",E3)</f>
        <v>crudex/hml</v>
      </c>
      <c r="G3" t="s">
        <v>492</v>
      </c>
    </row>
    <row r="4" spans="1:7" x14ac:dyDescent="0.3">
      <c r="A4">
        <f t="shared" si="0"/>
        <v>3</v>
      </c>
      <c r="B4">
        <v>1</v>
      </c>
      <c r="C4" t="str" cm="1">
        <f t="array" ref="C4">GetValue("Databases",B4,"Name")</f>
        <v>crudex</v>
      </c>
      <c r="D4">
        <v>3</v>
      </c>
      <c r="E4" t="str" cm="1">
        <f t="array" ref="E4">GetValue("Environments",D4,"Name")</f>
        <v>prd</v>
      </c>
      <c r="F4" t="str">
        <f t="shared" si="1"/>
        <v>crudex/prd</v>
      </c>
      <c r="G4" t="s">
        <v>492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7E828-0B76-40AA-AEF3-24014F0A93D7}">
  <dimension ref="A1:D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12.88671875" bestFit="1" customWidth="1"/>
    <col min="4" max="4" width="6" bestFit="1" customWidth="1"/>
  </cols>
  <sheetData>
    <row r="1" spans="1:4" s="1" customFormat="1" x14ac:dyDescent="0.3">
      <c r="A1" s="1" t="s">
        <v>0</v>
      </c>
      <c r="B1" s="1" t="s">
        <v>682</v>
      </c>
      <c r="C1" s="1" t="s">
        <v>683</v>
      </c>
      <c r="D1" s="1" t="s">
        <v>1</v>
      </c>
    </row>
    <row r="2" spans="1:4" x14ac:dyDescent="0.3">
      <c r="A2">
        <f>ROW(A2)-1</f>
        <v>1</v>
      </c>
      <c r="B2">
        <v>1</v>
      </c>
      <c r="C2" t="str" cm="1">
        <f t="array" ref="C2">GetValue("Tenants",B2,"Name")</f>
        <v>Crudex</v>
      </c>
      <c r="D2" t="s">
        <v>733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J2"/>
  <sheetViews>
    <sheetView tabSelected="1" workbookViewId="0">
      <pane ySplit="1" topLeftCell="A2" activePane="bottomLeft" state="frozen"/>
      <selection pane="bottomLeft" activeCell="C1" sqref="C1"/>
    </sheetView>
  </sheetViews>
  <sheetFormatPr defaultRowHeight="14.4" x14ac:dyDescent="0.3"/>
  <cols>
    <col min="1" max="1" width="2.6640625" bestFit="1" customWidth="1"/>
    <col min="2" max="2" width="12.6640625" bestFit="1" customWidth="1"/>
    <col min="3" max="3" width="16.88671875" bestFit="1" customWidth="1"/>
    <col min="4" max="4" width="16.88671875" customWidth="1"/>
    <col min="5" max="5" width="10.44140625" bestFit="1" customWidth="1"/>
    <col min="6" max="6" width="14.88671875" bestFit="1" customWidth="1"/>
    <col min="7" max="7" width="6.44140625" bestFit="1" customWidth="1"/>
    <col min="8" max="8" width="12.33203125" bestFit="1" customWidth="1"/>
    <col min="9" max="9" width="14.5546875" bestFit="1" customWidth="1"/>
    <col min="10" max="10" width="7.33203125" bestFit="1" customWidth="1"/>
  </cols>
  <sheetData>
    <row r="1" spans="1:10" s="1" customFormat="1" x14ac:dyDescent="0.3">
      <c r="A1" s="1" t="s">
        <v>0</v>
      </c>
      <c r="B1" s="1" t="s">
        <v>754</v>
      </c>
      <c r="C1" s="1" t="s">
        <v>734</v>
      </c>
      <c r="D1" s="1" t="s">
        <v>683</v>
      </c>
      <c r="E1" s="1" t="s">
        <v>113</v>
      </c>
      <c r="F1" s="1" t="s">
        <v>314</v>
      </c>
      <c r="G1" s="1" t="s">
        <v>1</v>
      </c>
      <c r="H1" s="1" t="s">
        <v>73</v>
      </c>
      <c r="I1" s="1" t="s">
        <v>75</v>
      </c>
      <c r="J1" s="1" t="s">
        <v>328</v>
      </c>
    </row>
    <row r="2" spans="1:10" x14ac:dyDescent="0.3">
      <c r="A2">
        <f>ROW(A2)-1</f>
        <v>1</v>
      </c>
      <c r="B2">
        <v>1</v>
      </c>
      <c r="C2" t="str" cm="1">
        <f t="array" ref="C2">GetValue("Namespaces",B2,"Name")</f>
        <v>SGSI</v>
      </c>
      <c r="D2" t="e" cm="1">
        <f t="array" ref="D2">GetValue("Namespaces",B2,"#NamespaceName")</f>
        <v>#VALUE!</v>
      </c>
      <c r="E2">
        <v>1</v>
      </c>
      <c r="F2" t="str" cm="1">
        <f t="array" ref="F2">GetValue("Databases",E2,"Name")</f>
        <v>crudex</v>
      </c>
      <c r="G2" t="s">
        <v>353</v>
      </c>
      <c r="H2" t="s">
        <v>354</v>
      </c>
      <c r="I2">
        <v>5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1"/>
  <sheetViews>
    <sheetView workbookViewId="0">
      <pane ySplit="1" topLeftCell="A2" activePane="bottomLeft" state="frozen"/>
      <selection pane="bottomLeft" activeCell="M25" sqref="M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6.109375" bestFit="1" customWidth="1"/>
    <col min="5" max="5" width="6.33203125" bestFit="1" customWidth="1"/>
    <col min="6" max="6" width="27.5546875" bestFit="1" customWidth="1"/>
    <col min="7" max="7" width="9" bestFit="1" customWidth="1"/>
  </cols>
  <sheetData>
    <row r="1" spans="1:7" s="1" customFormat="1" x14ac:dyDescent="0.3">
      <c r="A1" s="1" t="s">
        <v>0</v>
      </c>
      <c r="B1" s="1" t="s">
        <v>113</v>
      </c>
      <c r="C1" s="1" t="s">
        <v>314</v>
      </c>
      <c r="D1" s="1" t="s">
        <v>1</v>
      </c>
      <c r="E1" s="1" t="s">
        <v>111</v>
      </c>
      <c r="F1" s="1" t="s">
        <v>73</v>
      </c>
      <c r="G1" s="1" t="s">
        <v>326</v>
      </c>
    </row>
    <row r="2" spans="1:7" x14ac:dyDescent="0.3">
      <c r="A2">
        <f t="shared" ref="A2:A9" si="0">ROW(A2)-1</f>
        <v>1</v>
      </c>
      <c r="B2">
        <v>1</v>
      </c>
      <c r="C2" t="str" cm="1">
        <f t="array" ref="C2">GetValue("Databases",B2,"Name")</f>
        <v>crudex</v>
      </c>
      <c r="D2" t="s">
        <v>131</v>
      </c>
      <c r="E2" t="s">
        <v>735</v>
      </c>
      <c r="F2" t="s">
        <v>132</v>
      </c>
      <c r="G2" cm="1">
        <f t="array" ref="G2">GetLastId(A2)</f>
        <v>11</v>
      </c>
    </row>
    <row r="3" spans="1:7" x14ac:dyDescent="0.3">
      <c r="A3">
        <f t="shared" si="0"/>
        <v>2</v>
      </c>
      <c r="B3">
        <v>1</v>
      </c>
      <c r="C3" t="str" cm="1">
        <f t="array" ref="C3">GetValue("Databases",B3,"Name")</f>
        <v>crudex</v>
      </c>
      <c r="D3" t="s">
        <v>115</v>
      </c>
      <c r="E3" t="s">
        <v>736</v>
      </c>
      <c r="F3" t="s">
        <v>396</v>
      </c>
      <c r="G3" cm="1">
        <f t="array" ref="G3">GetLastId(A3)</f>
        <v>37</v>
      </c>
    </row>
    <row r="4" spans="1:7" x14ac:dyDescent="0.3">
      <c r="A4">
        <f t="shared" si="0"/>
        <v>3</v>
      </c>
      <c r="B4">
        <v>1</v>
      </c>
      <c r="C4" t="str" cm="1">
        <f t="array" ref="C4">GetValue("Databases",B4,"Name")</f>
        <v>crudex</v>
      </c>
      <c r="D4" t="s">
        <v>117</v>
      </c>
      <c r="E4" t="s">
        <v>737</v>
      </c>
      <c r="F4" t="s">
        <v>118</v>
      </c>
      <c r="G4" cm="1">
        <f t="array" ref="G4">GetLastId(A4)</f>
        <v>10</v>
      </c>
    </row>
    <row r="5" spans="1:7" x14ac:dyDescent="0.3">
      <c r="A5">
        <f t="shared" si="0"/>
        <v>4</v>
      </c>
      <c r="B5">
        <v>1</v>
      </c>
      <c r="C5" t="str" cm="1">
        <f t="array" ref="C5">GetValue("Databases",B5,"Name")</f>
        <v>crudex</v>
      </c>
      <c r="D5" t="s">
        <v>116</v>
      </c>
      <c r="E5" t="s">
        <v>738</v>
      </c>
      <c r="F5" t="s">
        <v>397</v>
      </c>
      <c r="G5" cm="1">
        <f t="array" ref="G5">GetLastId(A5)</f>
        <v>30</v>
      </c>
    </row>
    <row r="6" spans="1:7" x14ac:dyDescent="0.3">
      <c r="A6">
        <f t="shared" si="0"/>
        <v>5</v>
      </c>
      <c r="B6">
        <v>1</v>
      </c>
      <c r="C6" t="str" cm="1">
        <f t="array" ref="C6">GetValue("Databases",B6,"Name")</f>
        <v>crudex</v>
      </c>
      <c r="D6" t="s">
        <v>119</v>
      </c>
      <c r="E6" t="s">
        <v>739</v>
      </c>
      <c r="F6" t="s">
        <v>91</v>
      </c>
      <c r="G6" cm="1">
        <f t="array" ref="G6">GetLastId(A6)</f>
        <v>1</v>
      </c>
    </row>
    <row r="7" spans="1:7" x14ac:dyDescent="0.3">
      <c r="A7">
        <f t="shared" si="0"/>
        <v>6</v>
      </c>
      <c r="B7">
        <v>1</v>
      </c>
      <c r="C7" t="str" cm="1">
        <f t="array" ref="C7">GetValue("Databases",B7,"Name")</f>
        <v>crudex</v>
      </c>
      <c r="D7" t="s">
        <v>89</v>
      </c>
      <c r="E7" t="s">
        <v>740</v>
      </c>
      <c r="F7" t="s">
        <v>395</v>
      </c>
      <c r="G7" cm="1">
        <f t="array" ref="G7">GetLastId(A7)</f>
        <v>12</v>
      </c>
    </row>
    <row r="8" spans="1:7" x14ac:dyDescent="0.3">
      <c r="A8">
        <f t="shared" si="0"/>
        <v>7</v>
      </c>
      <c r="B8">
        <v>1</v>
      </c>
      <c r="C8" t="str" cm="1">
        <f t="array" ref="C8">GetValue("Databases",B8,"Name")</f>
        <v>crudex</v>
      </c>
      <c r="D8" t="s">
        <v>120</v>
      </c>
      <c r="E8" t="s">
        <v>741</v>
      </c>
      <c r="F8" t="s">
        <v>394</v>
      </c>
      <c r="G8" cm="1">
        <f t="array" ref="G8">GetLastId(A8)</f>
        <v>2</v>
      </c>
    </row>
    <row r="9" spans="1:7" x14ac:dyDescent="0.3">
      <c r="A9">
        <f t="shared" si="0"/>
        <v>8</v>
      </c>
      <c r="B9">
        <v>1</v>
      </c>
      <c r="C9" t="str" cm="1">
        <f t="array" ref="C9">GetValue("Databases",B9,"Name")</f>
        <v>crudex</v>
      </c>
      <c r="D9" t="s">
        <v>121</v>
      </c>
      <c r="E9" t="s">
        <v>742</v>
      </c>
      <c r="F9" t="s">
        <v>122</v>
      </c>
      <c r="G9" cm="1">
        <f t="array" ref="G9">GetLastId(A9)</f>
        <v>2</v>
      </c>
    </row>
    <row r="10" spans="1:7" x14ac:dyDescent="0.3">
      <c r="A10">
        <f t="shared" ref="A10:A21" si="1">ROW(A10)-1</f>
        <v>9</v>
      </c>
      <c r="B10">
        <v>1</v>
      </c>
      <c r="C10" t="str" cm="1">
        <f t="array" ref="C10">GetValue("Databases",B10,"Name")</f>
        <v>crudex</v>
      </c>
      <c r="D10" t="s">
        <v>123</v>
      </c>
      <c r="E10" t="s">
        <v>743</v>
      </c>
      <c r="F10" t="s">
        <v>124</v>
      </c>
      <c r="G10" cm="1">
        <f t="array" ref="G10">GetLastId(A10)</f>
        <v>1</v>
      </c>
    </row>
    <row r="11" spans="1:7" x14ac:dyDescent="0.3">
      <c r="A11">
        <f t="shared" si="1"/>
        <v>10</v>
      </c>
      <c r="B11">
        <v>1</v>
      </c>
      <c r="C11" t="str" cm="1">
        <f t="array" ref="C11">GetValue("Databases",B11,"Name")</f>
        <v>crudex</v>
      </c>
      <c r="D11" t="s">
        <v>125</v>
      </c>
      <c r="E11" t="s">
        <v>744</v>
      </c>
      <c r="F11" t="s">
        <v>126</v>
      </c>
      <c r="G11" cm="1">
        <f t="array" ref="G11">GetLastId(A11)</f>
        <v>1</v>
      </c>
    </row>
    <row r="12" spans="1:7" x14ac:dyDescent="0.3">
      <c r="A12">
        <f t="shared" si="1"/>
        <v>11</v>
      </c>
      <c r="B12">
        <v>1</v>
      </c>
      <c r="C12" t="str" cm="1">
        <f t="array" ref="C12">GetValue("Databases",B12,"Name")</f>
        <v>crudex</v>
      </c>
      <c r="D12" t="s">
        <v>127</v>
      </c>
      <c r="E12" t="s">
        <v>745</v>
      </c>
      <c r="F12" t="s">
        <v>398</v>
      </c>
      <c r="G12" cm="1">
        <f t="array" ref="G12">GetLastId(A12)</f>
        <v>20</v>
      </c>
    </row>
    <row r="13" spans="1:7" x14ac:dyDescent="0.3">
      <c r="A13">
        <f t="shared" si="1"/>
        <v>12</v>
      </c>
      <c r="B13">
        <v>1</v>
      </c>
      <c r="C13" t="str" cm="1">
        <f t="array" ref="C13">GetValue("Databases",B13,"Name")</f>
        <v>crudex</v>
      </c>
      <c r="D13" t="s">
        <v>298</v>
      </c>
      <c r="E13" t="s">
        <v>746</v>
      </c>
      <c r="F13" t="s">
        <v>299</v>
      </c>
      <c r="G13" cm="1">
        <f t="array" ref="G13">GetLastId(A13)</f>
        <v>21</v>
      </c>
    </row>
    <row r="14" spans="1:7" x14ac:dyDescent="0.3">
      <c r="A14">
        <f t="shared" si="1"/>
        <v>13</v>
      </c>
      <c r="B14">
        <v>1</v>
      </c>
      <c r="C14" t="str" cm="1">
        <f t="array" ref="C14">GetValue("Databases",B14,"Name")</f>
        <v>crudex</v>
      </c>
      <c r="D14" t="s">
        <v>128</v>
      </c>
      <c r="E14" t="s">
        <v>747</v>
      </c>
      <c r="F14" t="s">
        <v>392</v>
      </c>
      <c r="G14" cm="1">
        <f t="array" ref="G14">GetLastId(A14)</f>
        <v>140</v>
      </c>
    </row>
    <row r="15" spans="1:7" x14ac:dyDescent="0.3">
      <c r="A15">
        <f t="shared" si="1"/>
        <v>14</v>
      </c>
      <c r="B15">
        <v>1</v>
      </c>
      <c r="C15" t="str" cm="1">
        <f t="array" ref="C15">GetValue("Databases",B15,"Name")</f>
        <v>crudex</v>
      </c>
      <c r="D15" t="s">
        <v>129</v>
      </c>
      <c r="E15" t="s">
        <v>748</v>
      </c>
      <c r="F15" t="s">
        <v>393</v>
      </c>
      <c r="G15" cm="1">
        <f t="array" ref="G15">GetLastId(A15)</f>
        <v>28</v>
      </c>
    </row>
    <row r="16" spans="1:7" x14ac:dyDescent="0.3">
      <c r="A16">
        <f t="shared" si="1"/>
        <v>15</v>
      </c>
      <c r="B16">
        <v>1</v>
      </c>
      <c r="C16" t="str" cm="1">
        <f t="array" ref="C16">GetValue("Databases",B16,"Name")</f>
        <v>crudex</v>
      </c>
      <c r="D16" t="s">
        <v>290</v>
      </c>
      <c r="E16" t="s">
        <v>749</v>
      </c>
      <c r="F16" t="s">
        <v>130</v>
      </c>
      <c r="G16" cm="1">
        <f t="array" ref="G16">GetLastId(A16)</f>
        <v>44</v>
      </c>
    </row>
    <row r="17" spans="1:7" x14ac:dyDescent="0.3">
      <c r="A17">
        <f t="shared" si="1"/>
        <v>16</v>
      </c>
      <c r="B17">
        <v>1</v>
      </c>
      <c r="C17" t="str" cm="1">
        <f t="array" ref="C17">GetValue("Databases",B17,"Name")</f>
        <v>crudex</v>
      </c>
      <c r="D17" t="s">
        <v>466</v>
      </c>
      <c r="E17" t="s">
        <v>750</v>
      </c>
      <c r="F17" t="s">
        <v>467</v>
      </c>
      <c r="G17" cm="1">
        <f t="array" ref="G17">GetLastId(A17)</f>
        <v>0</v>
      </c>
    </row>
    <row r="18" spans="1:7" x14ac:dyDescent="0.3">
      <c r="A18">
        <f t="shared" si="1"/>
        <v>17</v>
      </c>
      <c r="B18">
        <v>1</v>
      </c>
      <c r="C18" t="str" cm="1">
        <f t="array" ref="C18">GetValue("Databases",B18,"Name")</f>
        <v>crudex</v>
      </c>
      <c r="D18" t="s">
        <v>399</v>
      </c>
      <c r="E18" t="s">
        <v>751</v>
      </c>
      <c r="F18" t="s">
        <v>400</v>
      </c>
      <c r="G18" cm="1">
        <f t="array" ref="G18">GetLastId(A18)</f>
        <v>0</v>
      </c>
    </row>
    <row r="19" spans="1:7" x14ac:dyDescent="0.3">
      <c r="A19">
        <f t="shared" si="1"/>
        <v>18</v>
      </c>
      <c r="B19">
        <v>1</v>
      </c>
      <c r="C19" t="str" cm="1">
        <f t="array" ref="C19">GetValue("Databases",B19,"Name")</f>
        <v>crudex</v>
      </c>
      <c r="D19" t="s">
        <v>404</v>
      </c>
      <c r="E19" t="s">
        <v>752</v>
      </c>
      <c r="F19" t="s">
        <v>406</v>
      </c>
      <c r="G19" cm="1">
        <f t="array" ref="G19">GetLastId(A19)</f>
        <v>0</v>
      </c>
    </row>
    <row r="20" spans="1:7" x14ac:dyDescent="0.3">
      <c r="A20">
        <f t="shared" si="1"/>
        <v>19</v>
      </c>
      <c r="B20">
        <v>1</v>
      </c>
      <c r="C20" t="str" cm="1">
        <f t="array" ref="C20">GetValue("Databases",B20,"Name")</f>
        <v>crudex</v>
      </c>
      <c r="D20" t="s">
        <v>462</v>
      </c>
      <c r="E20" t="s">
        <v>753</v>
      </c>
      <c r="F20" t="s">
        <v>430</v>
      </c>
      <c r="G20" cm="1">
        <f t="array" ref="G20">GetLastId(A20)</f>
        <v>1</v>
      </c>
    </row>
    <row r="21" spans="1:7" x14ac:dyDescent="0.3">
      <c r="A21">
        <f t="shared" si="1"/>
        <v>20</v>
      </c>
      <c r="B21">
        <v>1</v>
      </c>
      <c r="C21" t="str" cm="1">
        <f t="array" ref="C21">GetValue("Databases",B21,"Name")</f>
        <v>crudex</v>
      </c>
      <c r="D21" t="s">
        <v>485</v>
      </c>
      <c r="E21" t="s">
        <v>752</v>
      </c>
      <c r="F21" t="s">
        <v>486</v>
      </c>
      <c r="G21" cm="1">
        <f t="array" ref="G21">GetLastId(A21)</f>
        <v>16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Z141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0.4414062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21" bestFit="1" customWidth="1"/>
    <col min="12" max="12" width="33.88671875" bestFit="1" customWidth="1"/>
    <col min="13" max="14" width="21.44140625" bestFit="1" customWidth="1"/>
    <col min="15" max="15" width="7.109375" style="2" bestFit="1" customWidth="1"/>
    <col min="16" max="16" width="9.21875" style="3" bestFit="1" customWidth="1"/>
    <col min="17" max="17" width="9.5546875" style="2" bestFit="1" customWidth="1"/>
    <col min="18" max="18" width="11.88671875" bestFit="1" customWidth="1"/>
    <col min="19" max="19" width="15.21875" bestFit="1" customWidth="1"/>
    <col min="20" max="25" width="11.77734375" bestFit="1" customWidth="1"/>
    <col min="26" max="26" width="9.44140625" bestFit="1" customWidth="1"/>
  </cols>
  <sheetData>
    <row r="1" spans="1:26" s="1" customFormat="1" x14ac:dyDescent="0.3">
      <c r="A1" s="9" t="s">
        <v>0</v>
      </c>
      <c r="B1" s="9" t="s">
        <v>133</v>
      </c>
      <c r="C1" s="9" t="s">
        <v>315</v>
      </c>
      <c r="D1" s="9" t="s">
        <v>376</v>
      </c>
      <c r="E1" s="9" t="s">
        <v>77</v>
      </c>
      <c r="F1" s="9" t="s">
        <v>134</v>
      </c>
      <c r="G1" s="9" t="s">
        <v>316</v>
      </c>
      <c r="H1" s="9" t="s">
        <v>309</v>
      </c>
      <c r="I1" s="9" t="s">
        <v>310</v>
      </c>
      <c r="J1" s="9" t="s">
        <v>332</v>
      </c>
      <c r="K1" s="9" t="s">
        <v>1</v>
      </c>
      <c r="L1" s="9" t="s">
        <v>73</v>
      </c>
      <c r="M1" s="9" t="s">
        <v>136</v>
      </c>
      <c r="N1" s="9" t="s">
        <v>78</v>
      </c>
      <c r="O1" s="16" t="s">
        <v>61</v>
      </c>
      <c r="P1" s="11" t="s">
        <v>21</v>
      </c>
      <c r="Q1" s="16" t="s">
        <v>22</v>
      </c>
      <c r="R1" s="9" t="s">
        <v>137</v>
      </c>
      <c r="S1" s="9" t="s">
        <v>138</v>
      </c>
      <c r="T1" s="9" t="s">
        <v>139</v>
      </c>
      <c r="U1" s="9" t="s">
        <v>140</v>
      </c>
      <c r="V1" s="9" t="s">
        <v>141</v>
      </c>
      <c r="W1" s="9" t="s">
        <v>142</v>
      </c>
      <c r="X1" s="9" t="s">
        <v>339</v>
      </c>
      <c r="Y1" s="9" t="s">
        <v>143</v>
      </c>
      <c r="Z1" s="9" t="s">
        <v>374</v>
      </c>
    </row>
    <row r="2" spans="1:26" x14ac:dyDescent="0.3">
      <c r="A2" s="6">
        <f t="shared" ref="A2:A13" si="0">ROW(A2)-1</f>
        <v>1</v>
      </c>
      <c r="B2" s="7">
        <v>1</v>
      </c>
      <c r="C2" s="7" t="str" cm="1">
        <f t="array" ref="C2">GetValue("Tables",B2,"Name")</f>
        <v>Categories</v>
      </c>
      <c r="D2" s="7" t="str" cm="1">
        <f t="array" ref="D2">GetValue("Tables",B2,"Alias")</f>
        <v>Cat</v>
      </c>
      <c r="E2" s="6">
        <v>5</v>
      </c>
      <c r="F2" s="6">
        <v>5</v>
      </c>
      <c r="G2" s="6" t="str">
        <f t="array" ref="G2">GetValue("Domains",F2,"Name")</f>
        <v>TinyInteger</v>
      </c>
      <c r="H2" s="6" t="str" cm="1">
        <f t="array" ref="H2">GetValue("Domains",F2,"#CategoryName")</f>
        <v>number</v>
      </c>
      <c r="I2" s="6" t="str" cm="1">
        <f t="array" ref="I2">GetValue("Domains",F2,"#TypeName")</f>
        <v>tinyint</v>
      </c>
      <c r="J2" s="6" t="str" cm="1">
        <f t="array" ref="J2">GetValue("Domains",F2,"#DataType")</f>
        <v>tinyint</v>
      </c>
      <c r="K2" s="6" t="s">
        <v>0</v>
      </c>
      <c r="L2" s="6" t="s">
        <v>265</v>
      </c>
      <c r="M2" s="6" t="s">
        <v>149</v>
      </c>
      <c r="N2" s="6" t="s">
        <v>149</v>
      </c>
      <c r="O2" s="13"/>
      <c r="P2" s="12">
        <v>1</v>
      </c>
      <c r="Q2" s="13"/>
      <c r="R2" s="6" t="b">
        <v>1</v>
      </c>
      <c r="S2" s="6" t="b">
        <v>1</v>
      </c>
      <c r="T2" s="6" t="b">
        <v>1</v>
      </c>
      <c r="U2" s="6"/>
      <c r="V2" s="6" t="b">
        <v>1</v>
      </c>
      <c r="W2" s="6" t="b">
        <v>0</v>
      </c>
      <c r="X2" s="6" t="b">
        <v>0</v>
      </c>
      <c r="Y2" s="6"/>
      <c r="Z2" s="6" t="b">
        <v>0</v>
      </c>
    </row>
    <row r="3" spans="1:26" x14ac:dyDescent="0.3">
      <c r="A3" s="6">
        <f t="shared" si="0"/>
        <v>2</v>
      </c>
      <c r="B3" s="7">
        <v>1</v>
      </c>
      <c r="C3" s="7" t="str">
        <f t="array" ref="C3">GetValue("Tables",B3,"Name")</f>
        <v>Categories</v>
      </c>
      <c r="D3" s="7" t="str" cm="1">
        <f t="array" ref="D3">GetValue("Tables",B3,"Alias")</f>
        <v>Cat</v>
      </c>
      <c r="E3" s="6">
        <f>E2+5</f>
        <v>10</v>
      </c>
      <c r="F3" s="6">
        <v>9</v>
      </c>
      <c r="G3" s="6" t="str">
        <f t="array" ref="G3">GetValue("Domains",F3,"Name")</f>
        <v>Nvarchar(20)</v>
      </c>
      <c r="H3" s="6" t="str" cm="1">
        <f t="array" ref="H3">GetValue("Domains",F3,"#CategoryName")</f>
        <v>string</v>
      </c>
      <c r="I3" s="6" t="str" cm="1">
        <f t="array" ref="I3">GetValue("Domains",F3,"#TypeName")</f>
        <v>nvarchar</v>
      </c>
      <c r="J3" s="6" t="str" cm="1">
        <f t="array" ref="J3">GetValue("Domains",F3,"#DataType")</f>
        <v>nvarchar(20)</v>
      </c>
      <c r="K3" s="6" t="s">
        <v>1</v>
      </c>
      <c r="L3" s="6" t="s">
        <v>266</v>
      </c>
      <c r="M3" s="6" t="s">
        <v>147</v>
      </c>
      <c r="N3" s="6" t="s">
        <v>147</v>
      </c>
      <c r="O3" s="13"/>
      <c r="P3" s="12" t="s">
        <v>30</v>
      </c>
      <c r="Q3" s="13"/>
      <c r="R3" s="6" t="b">
        <v>0</v>
      </c>
      <c r="S3" s="6"/>
      <c r="T3" s="6" t="b">
        <v>1</v>
      </c>
      <c r="U3" s="6" t="b">
        <v>1</v>
      </c>
      <c r="V3" s="6" t="b">
        <v>1</v>
      </c>
      <c r="W3" s="6" t="b">
        <v>1</v>
      </c>
      <c r="X3" s="6" t="b">
        <v>1</v>
      </c>
      <c r="Y3" s="6" t="b">
        <v>0</v>
      </c>
      <c r="Z3" s="6"/>
    </row>
    <row r="4" spans="1:26" x14ac:dyDescent="0.3">
      <c r="A4" s="6">
        <f t="shared" si="0"/>
        <v>3</v>
      </c>
      <c r="B4" s="7">
        <v>1</v>
      </c>
      <c r="C4" s="6" t="str">
        <f t="array" ref="C4">GetValue("Tables",B4,"Name")</f>
        <v>Categories</v>
      </c>
      <c r="D4" s="7" t="str" cm="1">
        <f t="array" ref="D4">GetValue("Tables",B4,"Alias")</f>
        <v>Cat</v>
      </c>
      <c r="E4" s="6">
        <f t="shared" ref="E4:E12" si="1">E3+5</f>
        <v>15</v>
      </c>
      <c r="F4" s="6">
        <v>19</v>
      </c>
      <c r="G4" s="6" t="str">
        <f t="array" ref="G4">GetValue("Domains",F4,"Name")</f>
        <v>RAIZ/CPF/CNPJ</v>
      </c>
      <c r="H4" s="6" t="str" cm="1">
        <f t="array" ref="H4">GetValue("Domains",F4,"#CategoryName")</f>
        <v>string</v>
      </c>
      <c r="I4" s="6" t="str" cm="1">
        <f t="array" ref="I4">GetValue("Domains",F4,"#TypeName")</f>
        <v>nvarchar</v>
      </c>
      <c r="J4" s="6" t="str" cm="1">
        <f t="array" ref="J4">GetValue("Domains",F4,"#DataType")</f>
        <v>nvarchar(14)</v>
      </c>
      <c r="K4" s="6" t="s">
        <v>2</v>
      </c>
      <c r="L4" s="6" t="s">
        <v>267</v>
      </c>
      <c r="M4" s="6" t="s">
        <v>268</v>
      </c>
      <c r="N4" s="6" t="s">
        <v>268</v>
      </c>
      <c r="O4" s="13"/>
      <c r="P4" s="13" t="s">
        <v>30</v>
      </c>
      <c r="Q4" s="13"/>
      <c r="R4" s="6" t="b">
        <v>0</v>
      </c>
      <c r="S4" s="6"/>
      <c r="T4" s="6" t="b">
        <v>0</v>
      </c>
      <c r="U4" s="6" t="b">
        <v>0</v>
      </c>
      <c r="V4" s="6" t="b">
        <v>0</v>
      </c>
      <c r="W4" s="6" t="b">
        <v>1</v>
      </c>
      <c r="X4" s="6" t="b">
        <v>1</v>
      </c>
      <c r="Y4" s="6" t="b">
        <v>0</v>
      </c>
      <c r="Z4" s="6"/>
    </row>
    <row r="5" spans="1:26" x14ac:dyDescent="0.3">
      <c r="A5" s="6">
        <f t="shared" si="0"/>
        <v>4</v>
      </c>
      <c r="B5" s="7">
        <v>1</v>
      </c>
      <c r="C5" s="6" t="str">
        <f t="array" ref="C5">GetValue("Tables",B5,"Name")</f>
        <v>Categories</v>
      </c>
      <c r="D5" s="7" t="str" cm="1">
        <f t="array" ref="D5">GetValue("Tables",B5,"Alias")</f>
        <v>Cat</v>
      </c>
      <c r="E5" s="6">
        <f t="shared" si="1"/>
        <v>20</v>
      </c>
      <c r="F5" s="6">
        <v>20</v>
      </c>
      <c r="G5" s="6" t="str">
        <f t="array" ref="G5">GetValue("Domains",F5,"Name")</f>
        <v>CREDIT CARD</v>
      </c>
      <c r="H5" s="6" t="str" cm="1">
        <f t="array" ref="H5">GetValue("Domains",F5,"#CategoryName")</f>
        <v>string</v>
      </c>
      <c r="I5" s="6" t="str" cm="1">
        <f t="array" ref="I5">GetValue("Domains",F5,"#TypeName")</f>
        <v>nvarchar</v>
      </c>
      <c r="J5" s="6" t="str" cm="1">
        <f t="array" ref="J5">GetValue("Domains",F5,"#DataType")</f>
        <v>nvarchar(16)</v>
      </c>
      <c r="K5" s="6" t="s">
        <v>3</v>
      </c>
      <c r="L5" s="6" t="s">
        <v>269</v>
      </c>
      <c r="M5" s="6" t="s">
        <v>270</v>
      </c>
      <c r="N5" s="6" t="s">
        <v>270</v>
      </c>
      <c r="O5" s="13"/>
      <c r="P5" s="13" t="s">
        <v>30</v>
      </c>
      <c r="Q5" s="13"/>
      <c r="R5" s="6" t="b">
        <v>0</v>
      </c>
      <c r="S5" s="6"/>
      <c r="T5" s="6" t="b">
        <v>0</v>
      </c>
      <c r="U5" s="6" t="b">
        <v>0</v>
      </c>
      <c r="V5" s="6" t="b">
        <v>0</v>
      </c>
      <c r="W5" s="6" t="b">
        <v>1</v>
      </c>
      <c r="X5" s="6" t="b">
        <v>1</v>
      </c>
      <c r="Y5" s="6" t="b">
        <v>0</v>
      </c>
      <c r="Z5" s="6"/>
    </row>
    <row r="6" spans="1:26" x14ac:dyDescent="0.3">
      <c r="A6" s="6">
        <f t="shared" si="0"/>
        <v>5</v>
      </c>
      <c r="B6" s="7">
        <v>1</v>
      </c>
      <c r="C6" s="6" t="str">
        <f t="array" ref="C6">GetValue("Tables",B6,"Name")</f>
        <v>Categories</v>
      </c>
      <c r="D6" s="7" t="str" cm="1">
        <f t="array" ref="D6">GetValue("Tables",B6,"Alias")</f>
        <v>Cat</v>
      </c>
      <c r="E6" s="6">
        <f t="shared" si="1"/>
        <v>25</v>
      </c>
      <c r="F6" s="6">
        <v>6</v>
      </c>
      <c r="G6" s="6" t="str">
        <f t="array" ref="G6">GetValue("Domains",F6,"Name")</f>
        <v>Boolean</v>
      </c>
      <c r="H6" s="6" t="str" cm="1">
        <f t="array" ref="H6">GetValue("Domains",F6,"#CategoryName")</f>
        <v>boolean</v>
      </c>
      <c r="I6" s="6" t="str" cm="1">
        <f t="array" ref="I6">GetValue("Domains",F6,"#TypeName")</f>
        <v>bit</v>
      </c>
      <c r="J6" s="6" t="str" cm="1">
        <f t="array" ref="J6">GetValue("Domains",F6,"#DataType")</f>
        <v>bit</v>
      </c>
      <c r="K6" s="6" t="s">
        <v>4</v>
      </c>
      <c r="L6" s="6" t="s">
        <v>372</v>
      </c>
      <c r="M6" s="6" t="s">
        <v>271</v>
      </c>
      <c r="N6" s="6" t="s">
        <v>271</v>
      </c>
      <c r="O6" s="13"/>
      <c r="P6" s="13" t="s">
        <v>30</v>
      </c>
      <c r="Q6" s="13"/>
      <c r="R6" s="6"/>
      <c r="S6" s="6"/>
      <c r="T6" s="6" t="b">
        <v>1</v>
      </c>
      <c r="U6" s="6"/>
      <c r="V6" s="6" t="b">
        <v>1</v>
      </c>
      <c r="W6" s="6" t="b">
        <v>1</v>
      </c>
      <c r="X6" s="6" t="b">
        <v>1</v>
      </c>
      <c r="Y6" s="6"/>
      <c r="Z6" s="6"/>
    </row>
    <row r="7" spans="1:26" x14ac:dyDescent="0.3">
      <c r="A7" s="6">
        <f t="shared" si="0"/>
        <v>6</v>
      </c>
      <c r="B7" s="7">
        <v>1</v>
      </c>
      <c r="C7" s="6" t="str">
        <f t="array" ref="C7">GetValue("Tables",B7,"Name")</f>
        <v>Categories</v>
      </c>
      <c r="D7" s="7" t="str" cm="1">
        <f t="array" ref="D7">GetValue("Tables",B7,"Alias")</f>
        <v>Cat</v>
      </c>
      <c r="E7" s="6">
        <f t="shared" si="1"/>
        <v>30</v>
      </c>
      <c r="F7" s="6">
        <v>6</v>
      </c>
      <c r="G7" s="6" t="str">
        <f t="array" ref="G7">GetValue("Domains",F7,"Name")</f>
        <v>Boolean</v>
      </c>
      <c r="H7" s="6" t="str" cm="1">
        <f t="array" ref="H7">GetValue("Domains",F7,"#CategoryName")</f>
        <v>boolean</v>
      </c>
      <c r="I7" s="6" t="str" cm="1">
        <f t="array" ref="I7">GetValue("Domains",F7,"#TypeName")</f>
        <v>bit</v>
      </c>
      <c r="J7" s="6" t="str" cm="1">
        <f t="array" ref="J7">GetValue("Domains",F7,"#DataType")</f>
        <v>bit</v>
      </c>
      <c r="K7" s="6" t="s">
        <v>5</v>
      </c>
      <c r="L7" s="6" t="s">
        <v>371</v>
      </c>
      <c r="M7" s="6" t="s">
        <v>272</v>
      </c>
      <c r="N7" s="6" t="s">
        <v>272</v>
      </c>
      <c r="O7" s="13"/>
      <c r="P7" s="13" t="s">
        <v>30</v>
      </c>
      <c r="Q7" s="13"/>
      <c r="R7" s="6"/>
      <c r="S7" s="6"/>
      <c r="T7" s="6" t="b">
        <v>1</v>
      </c>
      <c r="U7" s="6"/>
      <c r="V7" s="6" t="b">
        <v>1</v>
      </c>
      <c r="W7" s="6" t="b">
        <v>1</v>
      </c>
      <c r="X7" s="6" t="b">
        <v>1</v>
      </c>
      <c r="Y7" s="6"/>
      <c r="Z7" s="6"/>
    </row>
    <row r="8" spans="1:26" x14ac:dyDescent="0.3">
      <c r="A8" s="6">
        <f t="shared" si="0"/>
        <v>7</v>
      </c>
      <c r="B8" s="7">
        <v>1</v>
      </c>
      <c r="C8" s="6" t="str">
        <f t="array" ref="C8">GetValue("Tables",B8,"Name")</f>
        <v>Categories</v>
      </c>
      <c r="D8" s="7" t="str" cm="1">
        <f t="array" ref="D8">GetValue("Tables",B8,"Alias")</f>
        <v>Cat</v>
      </c>
      <c r="E8" s="6">
        <f t="shared" si="1"/>
        <v>35</v>
      </c>
      <c r="F8" s="6">
        <v>6</v>
      </c>
      <c r="G8" s="6" t="str">
        <f t="array" ref="G8">GetValue("Domains",F8,"Name")</f>
        <v>Boolean</v>
      </c>
      <c r="H8" s="6" t="str" cm="1">
        <f t="array" ref="H8">GetValue("Domains",F8,"#CategoryName")</f>
        <v>boolean</v>
      </c>
      <c r="I8" s="6" t="str" cm="1">
        <f t="array" ref="I8">GetValue("Domains",F8,"#TypeName")</f>
        <v>bit</v>
      </c>
      <c r="J8" s="6" t="str" cm="1">
        <f t="array" ref="J8">GetValue("Domains",F8,"#DataType")</f>
        <v>bit</v>
      </c>
      <c r="K8" s="6" t="s">
        <v>6</v>
      </c>
      <c r="L8" s="6" t="s">
        <v>370</v>
      </c>
      <c r="M8" s="6" t="s">
        <v>273</v>
      </c>
      <c r="N8" s="6" t="s">
        <v>273</v>
      </c>
      <c r="O8" s="13"/>
      <c r="P8" s="13" t="s">
        <v>30</v>
      </c>
      <c r="Q8" s="13"/>
      <c r="R8" s="6"/>
      <c r="S8" s="6"/>
      <c r="T8" s="6" t="b">
        <v>1</v>
      </c>
      <c r="U8" s="6"/>
      <c r="V8" s="6" t="b">
        <v>1</v>
      </c>
      <c r="W8" s="6" t="b">
        <v>1</v>
      </c>
      <c r="X8" s="6" t="b">
        <v>1</v>
      </c>
      <c r="Y8" s="6"/>
      <c r="Z8" s="6"/>
    </row>
    <row r="9" spans="1:26" x14ac:dyDescent="0.3">
      <c r="A9" s="6">
        <f t="shared" si="0"/>
        <v>8</v>
      </c>
      <c r="B9" s="7">
        <v>1</v>
      </c>
      <c r="C9" s="6" t="str">
        <f t="array" ref="C9">GetValue("Tables",B9,"Name")</f>
        <v>Categories</v>
      </c>
      <c r="D9" s="7" t="str" cm="1">
        <f t="array" ref="D9">GetValue("Tables",B9,"Alias")</f>
        <v>Cat</v>
      </c>
      <c r="E9" s="6">
        <f t="shared" si="1"/>
        <v>40</v>
      </c>
      <c r="F9" s="6">
        <v>6</v>
      </c>
      <c r="G9" s="6" t="str">
        <f t="array" ref="G9">GetValue("Domains",F9,"Name")</f>
        <v>Boolean</v>
      </c>
      <c r="H9" s="6" t="str" cm="1">
        <f t="array" ref="H9">GetValue("Domains",F9,"#CategoryName")</f>
        <v>boolean</v>
      </c>
      <c r="I9" s="6" t="str" cm="1">
        <f t="array" ref="I9">GetValue("Domains",F9,"#TypeName")</f>
        <v>bit</v>
      </c>
      <c r="J9" s="6" t="str" cm="1">
        <f t="array" ref="J9">GetValue("Domains",F9,"#DataType")</f>
        <v>bit</v>
      </c>
      <c r="K9" s="6" t="s">
        <v>7</v>
      </c>
      <c r="L9" s="6" t="s">
        <v>369</v>
      </c>
      <c r="M9" s="6" t="s">
        <v>274</v>
      </c>
      <c r="N9" s="6" t="s">
        <v>274</v>
      </c>
      <c r="O9" s="13"/>
      <c r="P9" s="13" t="s">
        <v>30</v>
      </c>
      <c r="Q9" s="13"/>
      <c r="R9" s="6"/>
      <c r="S9" s="6"/>
      <c r="T9" s="6" t="b">
        <v>1</v>
      </c>
      <c r="U9" s="6"/>
      <c r="V9" s="6" t="b">
        <v>1</v>
      </c>
      <c r="W9" s="6" t="b">
        <v>1</v>
      </c>
      <c r="X9" s="6" t="b">
        <v>1</v>
      </c>
      <c r="Y9" s="6"/>
      <c r="Z9" s="6"/>
    </row>
    <row r="10" spans="1:26" x14ac:dyDescent="0.3">
      <c r="A10" s="6">
        <f t="shared" si="0"/>
        <v>9</v>
      </c>
      <c r="B10" s="7">
        <v>1</v>
      </c>
      <c r="C10" s="6" t="str">
        <f t="array" ref="C10">GetValue("Tables",B10,"Name")</f>
        <v>Categories</v>
      </c>
      <c r="D10" s="7" t="str" cm="1">
        <f t="array" ref="D10">GetValue("Tables",B10,"Alias")</f>
        <v>Cat</v>
      </c>
      <c r="E10" s="6">
        <f t="shared" si="1"/>
        <v>45</v>
      </c>
      <c r="F10" s="6">
        <v>6</v>
      </c>
      <c r="G10" s="6" t="str">
        <f t="array" ref="G10">GetValue("Domains",F10,"Name")</f>
        <v>Boolean</v>
      </c>
      <c r="H10" s="6" t="str" cm="1">
        <f t="array" ref="H10">GetValue("Domains",F10,"#CategoryName")</f>
        <v>boolean</v>
      </c>
      <c r="I10" s="6" t="str" cm="1">
        <f t="array" ref="I10">GetValue("Domains",F10,"#TypeName")</f>
        <v>bit</v>
      </c>
      <c r="J10" s="6" t="str" cm="1">
        <f t="array" ref="J10">GetValue("Domains",F10,"#DataType")</f>
        <v>bit</v>
      </c>
      <c r="K10" s="6" t="s">
        <v>8</v>
      </c>
      <c r="L10" s="6" t="s">
        <v>368</v>
      </c>
      <c r="M10" s="6" t="s">
        <v>275</v>
      </c>
      <c r="N10" s="6" t="s">
        <v>275</v>
      </c>
      <c r="O10" s="13"/>
      <c r="P10" s="13" t="s">
        <v>30</v>
      </c>
      <c r="Q10" s="13"/>
      <c r="R10" s="6"/>
      <c r="S10" s="6"/>
      <c r="T10" s="6" t="b">
        <v>1</v>
      </c>
      <c r="U10" s="6"/>
      <c r="V10" s="6" t="b">
        <v>1</v>
      </c>
      <c r="W10" s="6" t="b">
        <v>1</v>
      </c>
      <c r="X10" s="6" t="b">
        <v>1</v>
      </c>
      <c r="Y10" s="6"/>
      <c r="Z10" s="6"/>
    </row>
    <row r="11" spans="1:26" x14ac:dyDescent="0.3">
      <c r="A11" s="6">
        <f t="shared" si="0"/>
        <v>10</v>
      </c>
      <c r="B11" s="7">
        <v>1</v>
      </c>
      <c r="C11" s="6" t="str">
        <f t="array" ref="C11">GetValue("Tables",B11,"Name")</f>
        <v>Categories</v>
      </c>
      <c r="D11" s="7" t="str" cm="1">
        <f t="array" ref="D11">GetValue("Tables",B11,"Alias")</f>
        <v>Cat</v>
      </c>
      <c r="E11" s="6">
        <f t="shared" si="1"/>
        <v>50</v>
      </c>
      <c r="F11" s="6">
        <v>6</v>
      </c>
      <c r="G11" s="6" t="str">
        <f t="array" ref="G11">GetValue("Domains",F11,"Name")</f>
        <v>Boolean</v>
      </c>
      <c r="H11" s="6" t="str" cm="1">
        <f t="array" ref="H11">GetValue("Domains",F11,"#CategoryName")</f>
        <v>boolean</v>
      </c>
      <c r="I11" s="6" t="str" cm="1">
        <f t="array" ref="I11">GetValue("Domains",F11,"#TypeName")</f>
        <v>bit</v>
      </c>
      <c r="J11" s="6" t="str" cm="1">
        <f t="array" ref="J11">GetValue("Domains",F11,"#DataType")</f>
        <v>bit</v>
      </c>
      <c r="K11" s="6" t="s">
        <v>9</v>
      </c>
      <c r="L11" s="6" t="s">
        <v>367</v>
      </c>
      <c r="M11" s="6" t="s">
        <v>276</v>
      </c>
      <c r="N11" s="6" t="s">
        <v>276</v>
      </c>
      <c r="O11" s="13"/>
      <c r="P11" s="13" t="s">
        <v>30</v>
      </c>
      <c r="Q11" s="13"/>
      <c r="R11" s="6"/>
      <c r="S11" s="6"/>
      <c r="T11" s="6" t="b">
        <v>1</v>
      </c>
      <c r="U11" s="6"/>
      <c r="V11" s="6" t="b">
        <v>1</v>
      </c>
      <c r="W11" s="6" t="b">
        <v>1</v>
      </c>
      <c r="X11" s="6" t="b">
        <v>1</v>
      </c>
      <c r="Y11" s="6"/>
      <c r="Z11" s="6"/>
    </row>
    <row r="12" spans="1:26" x14ac:dyDescent="0.3">
      <c r="A12" s="6">
        <f t="shared" si="0"/>
        <v>11</v>
      </c>
      <c r="B12" s="7">
        <v>1</v>
      </c>
      <c r="C12" s="6" t="str">
        <f t="array" ref="C12">GetValue("Tables",B12,"Name")</f>
        <v>Categories</v>
      </c>
      <c r="D12" s="7" t="str" cm="1">
        <f t="array" ref="D12">GetValue("Tables",B12,"Alias")</f>
        <v>Cat</v>
      </c>
      <c r="E12" s="6">
        <f t="shared" si="1"/>
        <v>55</v>
      </c>
      <c r="F12" s="6">
        <v>6</v>
      </c>
      <c r="G12" s="6" t="str">
        <f t="array" ref="G12">GetValue("Domains",F12,"Name")</f>
        <v>Boolean</v>
      </c>
      <c r="H12" s="6" t="str" cm="1">
        <f t="array" ref="H12">GetValue("Domains",F12,"#CategoryName")</f>
        <v>boolean</v>
      </c>
      <c r="I12" s="6" t="str" cm="1">
        <f t="array" ref="I12">GetValue("Domains",F12,"#TypeName")</f>
        <v>bit</v>
      </c>
      <c r="J12" s="6" t="str" cm="1">
        <f t="array" ref="J12">GetValue("Domains",F12,"#DataType")</f>
        <v>bit</v>
      </c>
      <c r="K12" s="6" t="s">
        <v>364</v>
      </c>
      <c r="L12" s="6" t="s">
        <v>366</v>
      </c>
      <c r="M12" s="6" t="s">
        <v>365</v>
      </c>
      <c r="N12" s="6" t="s">
        <v>365</v>
      </c>
      <c r="O12" s="13"/>
      <c r="P12" s="13" t="s">
        <v>30</v>
      </c>
      <c r="Q12" s="13"/>
      <c r="R12" s="6"/>
      <c r="S12" s="6"/>
      <c r="T12" s="6" t="b">
        <v>1</v>
      </c>
      <c r="U12" s="6"/>
      <c r="V12" s="6" t="b">
        <v>1</v>
      </c>
      <c r="W12" s="6" t="b">
        <v>1</v>
      </c>
      <c r="X12" s="6" t="b">
        <v>1</v>
      </c>
      <c r="Y12" s="6"/>
      <c r="Z12" s="6"/>
    </row>
    <row r="13" spans="1:26" x14ac:dyDescent="0.3">
      <c r="A13" s="8">
        <f t="shared" si="0"/>
        <v>12</v>
      </c>
      <c r="B13" s="8">
        <v>2</v>
      </c>
      <c r="C13" s="8" t="str">
        <f t="array" ref="C13">GetValue("Tables",B13,"Name")</f>
        <v>Types</v>
      </c>
      <c r="D13" s="8" t="str" cm="1">
        <f t="array" ref="D13">GetValue("Tables",B13,"Alias")</f>
        <v>Typ</v>
      </c>
      <c r="E13" s="8">
        <v>5</v>
      </c>
      <c r="F13" s="8">
        <v>5</v>
      </c>
      <c r="G13" s="8" t="str">
        <f t="array" ref="G13">GetValue("Domains",F13,"Name")</f>
        <v>TinyInteger</v>
      </c>
      <c r="H13" s="8" t="str" cm="1">
        <f t="array" ref="H13">GetValue("Domains",F13,"#CategoryName")</f>
        <v>number</v>
      </c>
      <c r="I13" s="8" t="str" cm="1">
        <f t="array" ref="I13">GetValue("Domains",F13,"#TypeName")</f>
        <v>tinyint</v>
      </c>
      <c r="J13" s="8" t="str" cm="1">
        <f t="array" ref="J13">GetValue("Domains",F13,"#DataType")</f>
        <v>tinyint</v>
      </c>
      <c r="K13" s="8" t="s">
        <v>0</v>
      </c>
      <c r="L13" s="8" t="s">
        <v>144</v>
      </c>
      <c r="M13" s="8" t="s">
        <v>145</v>
      </c>
      <c r="N13" s="8" t="s">
        <v>145</v>
      </c>
      <c r="O13" s="14"/>
      <c r="P13" s="14">
        <v>1</v>
      </c>
      <c r="Q13" s="14"/>
      <c r="R13" s="8" t="b">
        <v>1</v>
      </c>
      <c r="S13" s="8" t="b">
        <v>1</v>
      </c>
      <c r="T13" s="8" t="b">
        <v>1</v>
      </c>
      <c r="U13" s="8"/>
      <c r="V13" s="8" t="b">
        <v>1</v>
      </c>
      <c r="W13" s="8" t="b">
        <v>0</v>
      </c>
      <c r="X13" s="8" t="b">
        <v>0</v>
      </c>
      <c r="Y13" s="8"/>
      <c r="Z13" s="8" t="b">
        <v>0</v>
      </c>
    </row>
    <row r="14" spans="1:26" x14ac:dyDescent="0.3">
      <c r="A14" s="8">
        <f>ROW(A14)-1</f>
        <v>13</v>
      </c>
      <c r="B14" s="8">
        <v>2</v>
      </c>
      <c r="C14" s="8" t="str">
        <f t="array" ref="C14">GetValue("Tables",B14,"Name")</f>
        <v>Types</v>
      </c>
      <c r="D14" s="8" t="str" cm="1">
        <f t="array" ref="D14">GetValue("Tables",B14,"Alias")</f>
        <v>Typ</v>
      </c>
      <c r="E14" s="8">
        <f>E13+5</f>
        <v>10</v>
      </c>
      <c r="F14" s="8">
        <v>5</v>
      </c>
      <c r="G14" s="8" t="str">
        <f t="array" ref="G14">GetValue("Domains",F14,"Name")</f>
        <v>TinyInteger</v>
      </c>
      <c r="H14" s="8" t="str" cm="1">
        <f t="array" ref="H14">GetValue("Domains",F14,"#CategoryName")</f>
        <v>number</v>
      </c>
      <c r="I14" s="8" t="str" cm="1">
        <f t="array" ref="I14">GetValue("Domains",F14,"#TypeName")</f>
        <v>tinyint</v>
      </c>
      <c r="J14" s="8" t="str" cm="1">
        <f t="array" ref="J14">GetValue("Domains",F14,"#DataType")</f>
        <v>tinyint</v>
      </c>
      <c r="K14" s="8" t="s">
        <v>20</v>
      </c>
      <c r="L14" s="8" t="s">
        <v>148</v>
      </c>
      <c r="M14" s="8" t="s">
        <v>149</v>
      </c>
      <c r="N14" s="8" t="s">
        <v>149</v>
      </c>
      <c r="O14" s="14"/>
      <c r="P14" s="14" t="s">
        <v>30</v>
      </c>
      <c r="Q14" s="14"/>
      <c r="R14" s="8" t="b">
        <v>0</v>
      </c>
      <c r="S14" s="8"/>
      <c r="T14" s="8" t="b">
        <v>1</v>
      </c>
      <c r="U14" s="8" t="b">
        <v>0</v>
      </c>
      <c r="V14" s="8" t="b">
        <v>0</v>
      </c>
      <c r="W14" s="8" t="b">
        <v>1</v>
      </c>
      <c r="X14" s="8" t="b">
        <v>1</v>
      </c>
      <c r="Y14" s="8" t="b">
        <v>0</v>
      </c>
      <c r="Z14" s="8"/>
    </row>
    <row r="15" spans="1:26" x14ac:dyDescent="0.3">
      <c r="A15" s="8">
        <f t="shared" ref="A15:A79" si="2">ROW(A15)-1</f>
        <v>14</v>
      </c>
      <c r="B15" s="8">
        <v>2</v>
      </c>
      <c r="C15" s="8" t="str">
        <f t="array" ref="C15">GetValue("Tables",B15,"Name")</f>
        <v>Types</v>
      </c>
      <c r="D15" s="8" t="str" cm="1">
        <f t="array" ref="D15">GetValue("Tables",B15,"Alias")</f>
        <v>Typ</v>
      </c>
      <c r="E15" s="8">
        <f t="shared" ref="E15:E27" si="3">E14+5</f>
        <v>15</v>
      </c>
      <c r="F15" s="8">
        <v>9</v>
      </c>
      <c r="G15" s="8" t="str">
        <f t="array" ref="G15">GetValue("Domains",F15,"Name")</f>
        <v>Nvarchar(20)</v>
      </c>
      <c r="H15" s="8" t="str" cm="1">
        <f t="array" ref="H15">GetValue("Domains",F15,"#CategoryName")</f>
        <v>string</v>
      </c>
      <c r="I15" s="8" t="str" cm="1">
        <f t="array" ref="I15">GetValue("Domains",F15,"#TypeName")</f>
        <v>nvarchar</v>
      </c>
      <c r="J15" s="8" t="str" cm="1">
        <f t="array" ref="J15">GetValue("Domains",F15,"#DataType")</f>
        <v>nvarchar(20)</v>
      </c>
      <c r="K15" s="8" t="s">
        <v>1</v>
      </c>
      <c r="L15" s="8" t="s">
        <v>146</v>
      </c>
      <c r="M15" s="8" t="s">
        <v>147</v>
      </c>
      <c r="N15" s="8" t="s">
        <v>147</v>
      </c>
      <c r="O15" s="14"/>
      <c r="P15" s="14" t="s">
        <v>30</v>
      </c>
      <c r="Q15" s="14"/>
      <c r="R15" s="8" t="b">
        <v>0</v>
      </c>
      <c r="S15" s="8"/>
      <c r="T15" s="8" t="b">
        <v>1</v>
      </c>
      <c r="U15" s="8" t="b">
        <v>1</v>
      </c>
      <c r="V15" s="8" t="b">
        <v>1</v>
      </c>
      <c r="W15" s="8" t="b">
        <v>1</v>
      </c>
      <c r="X15" s="8" t="b">
        <v>1</v>
      </c>
      <c r="Y15" s="8" t="b">
        <v>0</v>
      </c>
      <c r="Z15" s="8"/>
    </row>
    <row r="16" spans="1:26" x14ac:dyDescent="0.3">
      <c r="A16" s="8">
        <f t="shared" si="2"/>
        <v>15</v>
      </c>
      <c r="B16" s="8">
        <v>2</v>
      </c>
      <c r="C16" s="8" t="str">
        <f t="array" ref="C16">GetValue("Tables",B16,"Name")</f>
        <v>Types</v>
      </c>
      <c r="D16" s="8" t="str" cm="1">
        <f t="array" ref="D16">GetValue("Tables",B16,"Alias")</f>
        <v>Typ</v>
      </c>
      <c r="E16" s="8">
        <f t="shared" si="3"/>
        <v>20</v>
      </c>
      <c r="F16" s="8">
        <v>2</v>
      </c>
      <c r="G16" s="8" t="str">
        <f t="array" ref="G16">GetValue("Domains",F16,"Name")</f>
        <v>Integer</v>
      </c>
      <c r="H16" s="8" t="str" cm="1">
        <f t="array" ref="H16">GetValue("Domains",F16,"#CategoryName")</f>
        <v>number</v>
      </c>
      <c r="I16" s="8" t="str" cm="1">
        <f t="array" ref="I16">GetValue("Domains",F16,"#TypeName")</f>
        <v>int</v>
      </c>
      <c r="J16" s="8" t="str" cm="1">
        <f t="array" ref="J16">GetValue("Domains",F16,"#DataType")</f>
        <v>int</v>
      </c>
      <c r="K16" s="8" t="s">
        <v>351</v>
      </c>
      <c r="L16" s="8" t="s">
        <v>352</v>
      </c>
      <c r="M16" s="8" t="s">
        <v>352</v>
      </c>
      <c r="N16" s="8" t="s">
        <v>352</v>
      </c>
      <c r="O16" s="14"/>
      <c r="P16" s="14">
        <v>1</v>
      </c>
      <c r="Q16" s="14"/>
      <c r="R16" s="8" t="b">
        <v>0</v>
      </c>
      <c r="S16" s="8" t="b">
        <v>0</v>
      </c>
      <c r="T16" s="8" t="b">
        <v>0</v>
      </c>
      <c r="U16" s="8"/>
      <c r="V16" s="8" t="b">
        <v>0</v>
      </c>
      <c r="W16" s="8" t="b">
        <v>1</v>
      </c>
      <c r="X16" s="8" t="b">
        <v>0</v>
      </c>
      <c r="Y16" s="8"/>
      <c r="Z16" s="8" t="b">
        <v>0</v>
      </c>
    </row>
    <row r="17" spans="1:26" x14ac:dyDescent="0.3">
      <c r="A17" s="8">
        <f t="shared" si="2"/>
        <v>16</v>
      </c>
      <c r="B17" s="8">
        <v>2</v>
      </c>
      <c r="C17" s="8" t="str">
        <f t="array" ref="C17">GetValue("Tables",B17,"Name")</f>
        <v>Types</v>
      </c>
      <c r="D17" s="8" t="str" cm="1">
        <f t="array" ref="D17">GetValue("Tables",B17,"Alias")</f>
        <v>Typ</v>
      </c>
      <c r="E17" s="8">
        <f t="shared" si="3"/>
        <v>25</v>
      </c>
      <c r="F17" s="8">
        <v>17</v>
      </c>
      <c r="G17" s="8" t="str">
        <f t="array" ref="G17">GetValue("Domains",F17,"Name")</f>
        <v>CPF</v>
      </c>
      <c r="H17" s="8" t="str" cm="1">
        <f t="array" ref="H17">GetValue("Domains",F17,"#CategoryName")</f>
        <v>string</v>
      </c>
      <c r="I17" s="8" t="str" cm="1">
        <f t="array" ref="I17">GetValue("Domains",F17,"#TypeName")</f>
        <v>nvarchar</v>
      </c>
      <c r="J17" s="8" t="str" cm="1">
        <f t="array" ref="J17">GetValue("Domains",F17,"#DataType")</f>
        <v>nvarchar(11)</v>
      </c>
      <c r="K17" s="8" t="s">
        <v>21</v>
      </c>
      <c r="L17" s="8" t="s">
        <v>150</v>
      </c>
      <c r="M17" s="8" t="s">
        <v>151</v>
      </c>
      <c r="N17" s="8" t="s">
        <v>151</v>
      </c>
      <c r="O17" s="14"/>
      <c r="P17" s="14" t="s">
        <v>30</v>
      </c>
      <c r="Q17" s="14"/>
      <c r="R17" s="8"/>
      <c r="S17" s="8"/>
      <c r="T17" s="8" t="b">
        <v>0</v>
      </c>
      <c r="U17" s="8"/>
      <c r="V17" s="8" t="b">
        <v>0</v>
      </c>
      <c r="W17" s="8" t="b">
        <v>1</v>
      </c>
      <c r="X17" s="8" t="b">
        <v>1</v>
      </c>
      <c r="Y17" s="8"/>
      <c r="Z17" s="8"/>
    </row>
    <row r="18" spans="1:26" x14ac:dyDescent="0.3">
      <c r="A18" s="8">
        <f t="shared" si="2"/>
        <v>17</v>
      </c>
      <c r="B18" s="8">
        <v>2</v>
      </c>
      <c r="C18" s="8" t="str">
        <f t="array" ref="C18">GetValue("Tables",B18,"Name")</f>
        <v>Types</v>
      </c>
      <c r="D18" s="8" t="str" cm="1">
        <f t="array" ref="D18">GetValue("Tables",B18,"Alias")</f>
        <v>Typ</v>
      </c>
      <c r="E18" s="8">
        <f t="shared" si="3"/>
        <v>30</v>
      </c>
      <c r="F18" s="8">
        <v>17</v>
      </c>
      <c r="G18" s="8" t="str">
        <f t="array" ref="G18">GetValue("Domains",F18,"Name")</f>
        <v>CPF</v>
      </c>
      <c r="H18" s="8" t="str" cm="1">
        <f t="array" ref="H18">GetValue("Domains",F18,"#CategoryName")</f>
        <v>string</v>
      </c>
      <c r="I18" s="8" t="str" cm="1">
        <f t="array" ref="I18">GetValue("Domains",F18,"#TypeName")</f>
        <v>nvarchar</v>
      </c>
      <c r="J18" s="8" t="str" cm="1">
        <f t="array" ref="J18">GetValue("Domains",F18,"#DataType")</f>
        <v>nvarchar(11)</v>
      </c>
      <c r="K18" s="8" t="s">
        <v>22</v>
      </c>
      <c r="L18" s="8" t="s">
        <v>152</v>
      </c>
      <c r="M18" s="8" t="s">
        <v>153</v>
      </c>
      <c r="N18" s="8" t="s">
        <v>153</v>
      </c>
      <c r="O18" s="14"/>
      <c r="P18" s="14" t="s">
        <v>30</v>
      </c>
      <c r="Q18" s="14"/>
      <c r="R18" s="8"/>
      <c r="S18" s="8"/>
      <c r="T18" s="8" t="b">
        <v>0</v>
      </c>
      <c r="U18" s="8"/>
      <c r="V18" s="8" t="b">
        <v>0</v>
      </c>
      <c r="W18" s="8" t="b">
        <v>1</v>
      </c>
      <c r="X18" s="8" t="b">
        <v>1</v>
      </c>
      <c r="Y18" s="8"/>
      <c r="Z18" s="8"/>
    </row>
    <row r="19" spans="1:26" x14ac:dyDescent="0.3">
      <c r="A19" s="8">
        <f t="shared" si="2"/>
        <v>18</v>
      </c>
      <c r="B19" s="8">
        <v>2</v>
      </c>
      <c r="C19" s="8" t="str">
        <f t="array" ref="C19">GetValue("Tables",B19,"Name")</f>
        <v>Types</v>
      </c>
      <c r="D19" s="8" t="str" cm="1">
        <f t="array" ref="D19">GetValue("Tables",B19,"Alias")</f>
        <v>Typ</v>
      </c>
      <c r="E19" s="8">
        <f t="shared" si="3"/>
        <v>35</v>
      </c>
      <c r="F19" s="8">
        <v>6</v>
      </c>
      <c r="G19" s="8" t="str">
        <f t="array" ref="G19">GetValue("Domains",F19,"Name")</f>
        <v>Boolean</v>
      </c>
      <c r="H19" s="8" t="str" cm="1">
        <f t="array" ref="H19">GetValue("Domains",F19,"#CategoryName")</f>
        <v>boolean</v>
      </c>
      <c r="I19" s="8" t="str" cm="1">
        <f t="array" ref="I19">GetValue("Domains",F19,"#TypeName")</f>
        <v>bit</v>
      </c>
      <c r="J19" s="8" t="str" cm="1">
        <f t="array" ref="J19">GetValue("Domains",F19,"#DataType")</f>
        <v>bit</v>
      </c>
      <c r="K19" s="8" t="s">
        <v>23</v>
      </c>
      <c r="L19" s="8" t="s">
        <v>154</v>
      </c>
      <c r="M19" s="8" t="s">
        <v>155</v>
      </c>
      <c r="N19" s="8" t="s">
        <v>155</v>
      </c>
      <c r="O19" s="14"/>
      <c r="P19" s="14" t="s">
        <v>30</v>
      </c>
      <c r="Q19" s="14"/>
      <c r="R19" s="8"/>
      <c r="S19" s="8"/>
      <c r="T19" s="8" t="b">
        <v>1</v>
      </c>
      <c r="U19" s="8"/>
      <c r="V19" s="8" t="b">
        <v>1</v>
      </c>
      <c r="W19" s="8" t="b">
        <v>1</v>
      </c>
      <c r="X19" s="8" t="b">
        <v>1</v>
      </c>
      <c r="Y19" s="8"/>
      <c r="Z19" s="8"/>
    </row>
    <row r="20" spans="1:26" x14ac:dyDescent="0.3">
      <c r="A20" s="8">
        <f t="shared" si="2"/>
        <v>19</v>
      </c>
      <c r="B20" s="8">
        <v>2</v>
      </c>
      <c r="C20" s="8" t="str">
        <f t="array" ref="C20">GetValue("Tables",B20,"Name")</f>
        <v>Types</v>
      </c>
      <c r="D20" s="8" t="str" cm="1">
        <f t="array" ref="D20">GetValue("Tables",B20,"Alias")</f>
        <v>Typ</v>
      </c>
      <c r="E20" s="8">
        <f t="shared" si="3"/>
        <v>40</v>
      </c>
      <c r="F20" s="8">
        <v>6</v>
      </c>
      <c r="G20" s="8" t="str">
        <f t="array" ref="G20">GetValue("Domains",F20,"Name")</f>
        <v>Boolean</v>
      </c>
      <c r="H20" s="8" t="str" cm="1">
        <f t="array" ref="H20">GetValue("Domains",F20,"#CategoryName")</f>
        <v>boolean</v>
      </c>
      <c r="I20" s="8" t="str" cm="1">
        <f t="array" ref="I20">GetValue("Domains",F20,"#TypeName")</f>
        <v>bit</v>
      </c>
      <c r="J20" s="8" t="str" cm="1">
        <f t="array" ref="J20">GetValue("Domains",F20,"#DataType")</f>
        <v>bit</v>
      </c>
      <c r="K20" s="8" t="s">
        <v>24</v>
      </c>
      <c r="L20" s="8" t="s">
        <v>156</v>
      </c>
      <c r="M20" s="8" t="s">
        <v>157</v>
      </c>
      <c r="N20" s="8" t="s">
        <v>157</v>
      </c>
      <c r="O20" s="14"/>
      <c r="P20" s="14" t="s">
        <v>30</v>
      </c>
      <c r="Q20" s="14"/>
      <c r="R20" s="8"/>
      <c r="S20" s="8"/>
      <c r="T20" s="8" t="b">
        <v>1</v>
      </c>
      <c r="U20" s="8"/>
      <c r="V20" s="8" t="b">
        <v>1</v>
      </c>
      <c r="W20" s="8" t="b">
        <v>1</v>
      </c>
      <c r="X20" s="8" t="b">
        <v>1</v>
      </c>
      <c r="Y20" s="8"/>
      <c r="Z20" s="8"/>
    </row>
    <row r="21" spans="1:26" x14ac:dyDescent="0.3">
      <c r="A21" s="8">
        <f t="shared" si="2"/>
        <v>20</v>
      </c>
      <c r="B21" s="8">
        <v>2</v>
      </c>
      <c r="C21" s="8" t="str">
        <f t="array" ref="C21">GetValue("Tables",B21,"Name")</f>
        <v>Types</v>
      </c>
      <c r="D21" s="8" t="str" cm="1">
        <f t="array" ref="D21">GetValue("Tables",B21,"Alias")</f>
        <v>Typ</v>
      </c>
      <c r="E21" s="8">
        <f t="shared" si="3"/>
        <v>45</v>
      </c>
      <c r="F21" s="8">
        <v>6</v>
      </c>
      <c r="G21" s="8" t="str">
        <f t="array" ref="G21">GetValue("Domains",F21,"Name")</f>
        <v>Boolean</v>
      </c>
      <c r="H21" s="8" t="str" cm="1">
        <f t="array" ref="H21">GetValue("Domains",F21,"#CategoryName")</f>
        <v>boolean</v>
      </c>
      <c r="I21" s="8" t="str" cm="1">
        <f t="array" ref="I21">GetValue("Domains",F21,"#TypeName")</f>
        <v>bit</v>
      </c>
      <c r="J21" s="8" t="str" cm="1">
        <f t="array" ref="J21">GetValue("Domains",F21,"#DataType")</f>
        <v>bit</v>
      </c>
      <c r="K21" s="8" t="s">
        <v>25</v>
      </c>
      <c r="L21" s="8" t="s">
        <v>158</v>
      </c>
      <c r="M21" s="8" t="s">
        <v>159</v>
      </c>
      <c r="N21" s="8" t="s">
        <v>159</v>
      </c>
      <c r="O21" s="14"/>
      <c r="P21" s="14" t="s">
        <v>30</v>
      </c>
      <c r="Q21" s="14"/>
      <c r="R21" s="8"/>
      <c r="S21" s="8"/>
      <c r="T21" s="8" t="b">
        <v>1</v>
      </c>
      <c r="U21" s="8"/>
      <c r="V21" s="8" t="b">
        <v>1</v>
      </c>
      <c r="W21" s="8" t="b">
        <v>1</v>
      </c>
      <c r="X21" s="8" t="b">
        <v>1</v>
      </c>
      <c r="Y21" s="8"/>
      <c r="Z21" s="8"/>
    </row>
    <row r="22" spans="1:26" x14ac:dyDescent="0.3">
      <c r="A22" s="8">
        <f t="shared" si="2"/>
        <v>21</v>
      </c>
      <c r="B22" s="8">
        <v>2</v>
      </c>
      <c r="C22" s="8" t="str">
        <f t="array" ref="C22">GetValue("Tables",B22,"Name")</f>
        <v>Types</v>
      </c>
      <c r="D22" s="8" t="str" cm="1">
        <f t="array" ref="D22">GetValue("Tables",B22,"Alias")</f>
        <v>Typ</v>
      </c>
      <c r="E22" s="8">
        <f t="shared" si="3"/>
        <v>50</v>
      </c>
      <c r="F22" s="8">
        <v>6</v>
      </c>
      <c r="G22" s="8" t="str">
        <f t="array" ref="G22">GetValue("Domains",F22,"Name")</f>
        <v>Boolean</v>
      </c>
      <c r="H22" s="8" t="str" cm="1">
        <f t="array" ref="H22">GetValue("Domains",F22,"#CategoryName")</f>
        <v>boolean</v>
      </c>
      <c r="I22" s="8" t="str" cm="1">
        <f t="array" ref="I22">GetValue("Domains",F22,"#TypeName")</f>
        <v>bit</v>
      </c>
      <c r="J22" s="8" t="str" cm="1">
        <f t="array" ref="J22">GetValue("Domains",F22,"#DataType")</f>
        <v>bit</v>
      </c>
      <c r="K22" s="8" t="s">
        <v>26</v>
      </c>
      <c r="L22" s="8" t="s">
        <v>160</v>
      </c>
      <c r="M22" s="8" t="s">
        <v>161</v>
      </c>
      <c r="N22" s="8" t="s">
        <v>161</v>
      </c>
      <c r="O22" s="14"/>
      <c r="P22" s="14" t="s">
        <v>30</v>
      </c>
      <c r="Q22" s="14"/>
      <c r="R22" s="8"/>
      <c r="S22" s="8"/>
      <c r="T22" s="8" t="b">
        <v>1</v>
      </c>
      <c r="U22" s="8"/>
      <c r="V22" s="8" t="b">
        <v>1</v>
      </c>
      <c r="W22" s="8" t="b">
        <v>1</v>
      </c>
      <c r="X22" s="8" t="b">
        <v>1</v>
      </c>
      <c r="Y22" s="8"/>
      <c r="Z22" s="8"/>
    </row>
    <row r="23" spans="1:26" x14ac:dyDescent="0.3">
      <c r="A23" s="8">
        <f t="shared" si="2"/>
        <v>22</v>
      </c>
      <c r="B23" s="8">
        <v>2</v>
      </c>
      <c r="C23" s="8" t="str">
        <f t="array" ref="C23">GetValue("Tables",B23,"Name")</f>
        <v>Types</v>
      </c>
      <c r="D23" s="8" t="str" cm="1">
        <f t="array" ref="D23">GetValue("Tables",B23,"Alias")</f>
        <v>Typ</v>
      </c>
      <c r="E23" s="8">
        <f t="shared" si="3"/>
        <v>55</v>
      </c>
      <c r="F23" s="8">
        <v>6</v>
      </c>
      <c r="G23" s="8" t="str">
        <f t="array" ref="G23">GetValue("Domains",F23,"Name")</f>
        <v>Boolean</v>
      </c>
      <c r="H23" s="8" t="str" cm="1">
        <f t="array" ref="H23">GetValue("Domains",F23,"#CategoryName")</f>
        <v>boolean</v>
      </c>
      <c r="I23" s="8" t="str" cm="1">
        <f t="array" ref="I23">GetValue("Domains",F23,"#TypeName")</f>
        <v>bit</v>
      </c>
      <c r="J23" s="8" t="str" cm="1">
        <f t="array" ref="J23">GetValue("Domains",F23,"#DataType")</f>
        <v>bit</v>
      </c>
      <c r="K23" s="8" t="s">
        <v>27</v>
      </c>
      <c r="L23" s="8" t="s">
        <v>162</v>
      </c>
      <c r="M23" s="8" t="s">
        <v>163</v>
      </c>
      <c r="N23" s="8" t="s">
        <v>163</v>
      </c>
      <c r="O23" s="14"/>
      <c r="P23" s="14" t="s">
        <v>30</v>
      </c>
      <c r="Q23" s="14"/>
      <c r="R23" s="8"/>
      <c r="S23" s="8"/>
      <c r="T23" s="8" t="b">
        <v>1</v>
      </c>
      <c r="U23" s="8"/>
      <c r="V23" s="8" t="b">
        <v>1</v>
      </c>
      <c r="W23" s="8" t="b">
        <v>1</v>
      </c>
      <c r="X23" s="8" t="b">
        <v>1</v>
      </c>
      <c r="Y23" s="8"/>
      <c r="Z23" s="8"/>
    </row>
    <row r="24" spans="1:26" x14ac:dyDescent="0.3">
      <c r="A24" s="8">
        <f t="shared" si="2"/>
        <v>23</v>
      </c>
      <c r="B24" s="8">
        <v>2</v>
      </c>
      <c r="C24" s="8" t="str">
        <f t="array" ref="C24">GetValue("Tables",B24,"Name")</f>
        <v>Types</v>
      </c>
      <c r="D24" s="8" t="str" cm="1">
        <f t="array" ref="D24">GetValue("Tables",B24,"Alias")</f>
        <v>Typ</v>
      </c>
      <c r="E24" s="8">
        <f t="shared" si="3"/>
        <v>60</v>
      </c>
      <c r="F24" s="8">
        <v>6</v>
      </c>
      <c r="G24" s="8" t="str">
        <f t="array" ref="G24">GetValue("Domains",F24,"Name")</f>
        <v>Boolean</v>
      </c>
      <c r="H24" s="8" t="str" cm="1">
        <f t="array" ref="H24">GetValue("Domains",F24,"#CategoryName")</f>
        <v>boolean</v>
      </c>
      <c r="I24" s="8" t="str" cm="1">
        <f t="array" ref="I24">GetValue("Domains",F24,"#TypeName")</f>
        <v>bit</v>
      </c>
      <c r="J24" s="8" t="str" cm="1">
        <f t="array" ref="J24">GetValue("Domains",F24,"#DataType")</f>
        <v>bit</v>
      </c>
      <c r="K24" s="8" t="s">
        <v>338</v>
      </c>
      <c r="L24" s="8" t="s">
        <v>340</v>
      </c>
      <c r="M24" s="8" t="s">
        <v>341</v>
      </c>
      <c r="N24" s="8" t="s">
        <v>341</v>
      </c>
      <c r="O24" s="14"/>
      <c r="P24" s="14" t="s">
        <v>30</v>
      </c>
      <c r="Q24" s="14"/>
      <c r="R24" s="8"/>
      <c r="S24" s="8"/>
      <c r="T24" s="8" t="b">
        <v>1</v>
      </c>
      <c r="U24" s="8"/>
      <c r="V24" s="8" t="b">
        <v>1</v>
      </c>
      <c r="W24" s="8" t="b">
        <v>1</v>
      </c>
      <c r="X24" s="8" t="b">
        <v>1</v>
      </c>
      <c r="Y24" s="8"/>
      <c r="Z24" s="8"/>
    </row>
    <row r="25" spans="1:26" x14ac:dyDescent="0.3">
      <c r="A25" s="8">
        <f t="shared" si="2"/>
        <v>24</v>
      </c>
      <c r="B25" s="8">
        <v>2</v>
      </c>
      <c r="C25" s="8" t="str">
        <f t="array" ref="C25">GetValue("Tables",B25,"Name")</f>
        <v>Types</v>
      </c>
      <c r="D25" s="8" t="str" cm="1">
        <f t="array" ref="D25">GetValue("Tables",B25,"Alias")</f>
        <v>Typ</v>
      </c>
      <c r="E25" s="8">
        <f t="shared" si="3"/>
        <v>65</v>
      </c>
      <c r="F25" s="8">
        <v>6</v>
      </c>
      <c r="G25" s="8" t="str">
        <f t="array" ref="G25">GetValue("Domains",F25,"Name")</f>
        <v>Boolean</v>
      </c>
      <c r="H25" s="8" t="str" cm="1">
        <f t="array" ref="H25">GetValue("Domains",F25,"#CategoryName")</f>
        <v>boolean</v>
      </c>
      <c r="I25" s="8" t="str" cm="1">
        <f t="array" ref="I25">GetValue("Domains",F25,"#TypeName")</f>
        <v>bit</v>
      </c>
      <c r="J25" s="8" t="str" cm="1">
        <f t="array" ref="J25">GetValue("Domains",F25,"#DataType")</f>
        <v>bit</v>
      </c>
      <c r="K25" s="8" t="s">
        <v>288</v>
      </c>
      <c r="L25" s="8" t="s">
        <v>291</v>
      </c>
      <c r="M25" s="8" t="s">
        <v>292</v>
      </c>
      <c r="N25" s="8" t="s">
        <v>292</v>
      </c>
      <c r="O25" s="14"/>
      <c r="P25" s="14" t="s">
        <v>30</v>
      </c>
      <c r="Q25" s="14"/>
      <c r="R25" s="8"/>
      <c r="S25" s="8"/>
      <c r="T25" s="8" t="b">
        <v>1</v>
      </c>
      <c r="U25" s="8"/>
      <c r="V25" s="8" t="b">
        <v>1</v>
      </c>
      <c r="W25" s="8" t="b">
        <v>1</v>
      </c>
      <c r="X25" s="8" t="b">
        <v>0</v>
      </c>
      <c r="Y25" s="8"/>
      <c r="Z25" s="8"/>
    </row>
    <row r="26" spans="1:26" x14ac:dyDescent="0.3">
      <c r="A26" s="8">
        <f t="shared" si="2"/>
        <v>25</v>
      </c>
      <c r="B26" s="8">
        <v>2</v>
      </c>
      <c r="C26" s="8" t="str">
        <f t="array" ref="C26">GetValue("Tables",B26,"Name")</f>
        <v>Types</v>
      </c>
      <c r="D26" s="8" t="str" cm="1">
        <f t="array" ref="D26">GetValue("Tables",B26,"Alias")</f>
        <v>Typ</v>
      </c>
      <c r="E26" s="8">
        <f t="shared" si="3"/>
        <v>70</v>
      </c>
      <c r="F26" s="8">
        <v>6</v>
      </c>
      <c r="G26" s="8" t="str">
        <f t="array" ref="G26">GetValue("Domains",F26,"Name")</f>
        <v>Boolean</v>
      </c>
      <c r="H26" s="8" t="str" cm="1">
        <f t="array" ref="H26">GetValue("Domains",F26,"#CategoryName")</f>
        <v>boolean</v>
      </c>
      <c r="I26" s="8" t="str" cm="1">
        <f t="array" ref="I26">GetValue("Domains",F26,"#TypeName")</f>
        <v>bit</v>
      </c>
      <c r="J26" s="8" t="str" cm="1">
        <f t="array" ref="J26">GetValue("Domains",F26,"#DataType")</f>
        <v>bit</v>
      </c>
      <c r="K26" s="8" t="s">
        <v>464</v>
      </c>
      <c r="L26" s="8" t="s">
        <v>465</v>
      </c>
      <c r="M26" s="8" t="s">
        <v>465</v>
      </c>
      <c r="N26" s="8" t="s">
        <v>465</v>
      </c>
      <c r="O26" s="14"/>
      <c r="P26" s="14" t="s">
        <v>30</v>
      </c>
      <c r="Q26" s="14"/>
      <c r="R26" s="8"/>
      <c r="S26" s="8"/>
      <c r="T26" s="8" t="b">
        <v>1</v>
      </c>
      <c r="U26" s="8"/>
      <c r="V26" s="8" t="b">
        <v>1</v>
      </c>
      <c r="W26" s="8" t="b">
        <v>1</v>
      </c>
      <c r="X26" s="8" t="b">
        <v>0</v>
      </c>
      <c r="Y26" s="8"/>
      <c r="Z26" s="8"/>
    </row>
    <row r="27" spans="1:26" x14ac:dyDescent="0.3">
      <c r="A27" s="8">
        <f t="shared" si="2"/>
        <v>26</v>
      </c>
      <c r="B27" s="8">
        <v>2</v>
      </c>
      <c r="C27" s="8" t="str">
        <f t="array" ref="C27">GetValue("Tables",B27,"Name")</f>
        <v>Types</v>
      </c>
      <c r="D27" s="8" t="str" cm="1">
        <f t="array" ref="D27">GetValue("Tables",B27,"Alias")</f>
        <v>Typ</v>
      </c>
      <c r="E27" s="8">
        <f t="shared" si="3"/>
        <v>75</v>
      </c>
      <c r="F27" s="8">
        <v>6</v>
      </c>
      <c r="G27" s="8" t="str">
        <f t="array" ref="G27">GetValue("Domains",F27,"Name")</f>
        <v>Boolean</v>
      </c>
      <c r="H27" s="8" t="str" cm="1">
        <f t="array" ref="H27">GetValue("Domains",F27,"#CategoryName")</f>
        <v>boolean</v>
      </c>
      <c r="I27" s="8" t="str" cm="1">
        <f t="array" ref="I27">GetValue("Domains",F27,"#TypeName")</f>
        <v>bit</v>
      </c>
      <c r="J27" s="8" t="str" cm="1">
        <f t="array" ref="J27">GetValue("Domains",F27,"#DataType")</f>
        <v>bit</v>
      </c>
      <c r="K27" s="8" t="s">
        <v>28</v>
      </c>
      <c r="L27" s="8" t="s">
        <v>164</v>
      </c>
      <c r="M27" s="8" t="s">
        <v>165</v>
      </c>
      <c r="N27" s="8" t="s">
        <v>165</v>
      </c>
      <c r="O27" s="14"/>
      <c r="P27" s="14" t="s">
        <v>30</v>
      </c>
      <c r="Q27" s="14"/>
      <c r="R27" s="8"/>
      <c r="S27" s="8"/>
      <c r="T27" s="8" t="b">
        <v>1</v>
      </c>
      <c r="U27" s="8"/>
      <c r="V27" s="8" t="b">
        <v>1</v>
      </c>
      <c r="W27" s="8" t="b">
        <v>1</v>
      </c>
      <c r="X27" s="8" t="b">
        <v>0</v>
      </c>
      <c r="Y27" s="8"/>
      <c r="Z27" s="8"/>
    </row>
    <row r="28" spans="1:26" x14ac:dyDescent="0.3">
      <c r="A28" s="6">
        <f>ROW(A28)-1</f>
        <v>27</v>
      </c>
      <c r="B28" s="6">
        <v>3</v>
      </c>
      <c r="C28" s="6" t="str">
        <f t="array" ref="C28">GetValue("Tables",B28,"Name")</f>
        <v>Masks</v>
      </c>
      <c r="D28" s="7" t="str" cm="1">
        <f t="array" ref="D28">GetValue("Tables",B28,"Alias")</f>
        <v>Msk</v>
      </c>
      <c r="E28" s="6">
        <v>5</v>
      </c>
      <c r="F28" s="6">
        <v>1</v>
      </c>
      <c r="G28" s="6" t="str">
        <f t="array" ref="G28">GetValue("Domains",F28,"Name")</f>
        <v>BigInteger</v>
      </c>
      <c r="H28" s="6" t="str" cm="1">
        <f t="array" ref="H28">GetValue("Domains",F28,"#CategoryName")</f>
        <v>number</v>
      </c>
      <c r="I28" s="6" t="str" cm="1">
        <f t="array" ref="I28">GetValue("Domains",F28,"#TypeName")</f>
        <v>bigint</v>
      </c>
      <c r="J28" s="6" t="str" cm="1">
        <f t="array" ref="J28">GetValue("Domains",F28,"#DataType")</f>
        <v>bigint</v>
      </c>
      <c r="K28" s="6" t="s">
        <v>0</v>
      </c>
      <c r="L28" s="6" t="s">
        <v>179</v>
      </c>
      <c r="M28" s="6" t="s">
        <v>145</v>
      </c>
      <c r="N28" s="6" t="s">
        <v>145</v>
      </c>
      <c r="O28" s="13"/>
      <c r="P28" s="13" t="s">
        <v>30</v>
      </c>
      <c r="Q28" s="13"/>
      <c r="R28" s="6" t="b">
        <v>1</v>
      </c>
      <c r="S28" s="6" t="b">
        <v>1</v>
      </c>
      <c r="T28" s="6" t="b">
        <v>1</v>
      </c>
      <c r="U28" s="6"/>
      <c r="V28" s="6" t="b">
        <v>1</v>
      </c>
      <c r="W28" s="6" t="b">
        <v>0</v>
      </c>
      <c r="X28" s="6" t="b">
        <v>0</v>
      </c>
      <c r="Y28" s="6"/>
      <c r="Z28" s="6" t="b">
        <v>0</v>
      </c>
    </row>
    <row r="29" spans="1:26" x14ac:dyDescent="0.3">
      <c r="A29" s="6">
        <f>ROW(A29)-1</f>
        <v>28</v>
      </c>
      <c r="B29" s="6">
        <v>3</v>
      </c>
      <c r="C29" s="6" t="str">
        <f t="array" ref="C29">GetValue("Tables",B29,"Name")</f>
        <v>Masks</v>
      </c>
      <c r="D29" s="7" t="str" cm="1">
        <f t="array" ref="D29">GetValue("Tables",B29,"Alias")</f>
        <v>Msk</v>
      </c>
      <c r="E29" s="6">
        <f>E28+5</f>
        <v>10</v>
      </c>
      <c r="F29" s="6">
        <v>9</v>
      </c>
      <c r="G29" s="6" t="str">
        <f t="array" ref="G29">GetValue("Domains",F29,"Name")</f>
        <v>Nvarchar(20)</v>
      </c>
      <c r="H29" s="6" t="str" cm="1">
        <f t="array" ref="H29">GetValue("Domains",F29,"#CategoryName")</f>
        <v>string</v>
      </c>
      <c r="I29" s="6" t="str" cm="1">
        <f t="array" ref="I29">GetValue("Domains",F29,"#TypeName")</f>
        <v>nvarchar</v>
      </c>
      <c r="J29" s="6" t="str" cm="1">
        <f t="array" ref="J29">GetValue("Domains",F29,"#DataType")</f>
        <v>nvarchar(20)</v>
      </c>
      <c r="K29" s="6" t="s">
        <v>1</v>
      </c>
      <c r="L29" s="6" t="s">
        <v>180</v>
      </c>
      <c r="M29" s="6" t="s">
        <v>147</v>
      </c>
      <c r="N29" s="6" t="s">
        <v>147</v>
      </c>
      <c r="O29" s="13"/>
      <c r="P29" s="13" t="s">
        <v>30</v>
      </c>
      <c r="Q29" s="13"/>
      <c r="R29" s="6" t="b">
        <v>0</v>
      </c>
      <c r="S29" s="6"/>
      <c r="T29" s="6" t="b">
        <v>1</v>
      </c>
      <c r="U29" s="6"/>
      <c r="V29" s="6" t="b">
        <v>1</v>
      </c>
      <c r="W29" s="6" t="b">
        <v>1</v>
      </c>
      <c r="X29" s="6" t="b">
        <v>1</v>
      </c>
      <c r="Y29" s="6"/>
      <c r="Z29" s="6"/>
    </row>
    <row r="30" spans="1:26" x14ac:dyDescent="0.3">
      <c r="A30" s="6">
        <f>ROW(A30)-1</f>
        <v>29</v>
      </c>
      <c r="B30" s="6">
        <v>3</v>
      </c>
      <c r="C30" s="6" t="str">
        <f t="array" ref="C30">GetValue("Tables",B30,"Name")</f>
        <v>Masks</v>
      </c>
      <c r="D30" s="7" t="str" cm="1">
        <f t="array" ref="D30">GetValue("Tables",B30,"Alias")</f>
        <v>Msk</v>
      </c>
      <c r="E30" s="6">
        <f>E29+5</f>
        <v>15</v>
      </c>
      <c r="F30" s="6">
        <v>12</v>
      </c>
      <c r="G30" s="6" t="str">
        <f t="array" ref="G30">GetValue("Domains",F30,"Name")</f>
        <v>Nvarchar(256)</v>
      </c>
      <c r="H30" s="6" t="str" cm="1">
        <f t="array" ref="H30">GetValue("Domains",F30,"#CategoryName")</f>
        <v>string</v>
      </c>
      <c r="I30" s="6" t="str" cm="1">
        <f t="array" ref="I30">GetValue("Domains",F30,"#TypeName")</f>
        <v>nvarchar</v>
      </c>
      <c r="J30" s="6" t="str" cm="1">
        <f t="array" ref="J30">GetValue("Domains",F30,"#DataType")</f>
        <v>nvarchar(256)</v>
      </c>
      <c r="K30" s="6" t="s">
        <v>71</v>
      </c>
      <c r="L30" s="6" t="s">
        <v>181</v>
      </c>
      <c r="M30" s="6" t="s">
        <v>170</v>
      </c>
      <c r="N30" s="6" t="s">
        <v>170</v>
      </c>
      <c r="O30" s="13"/>
      <c r="P30" s="13" t="s">
        <v>30</v>
      </c>
      <c r="Q30" s="13"/>
      <c r="R30" s="6" t="b">
        <v>0</v>
      </c>
      <c r="S30" s="6"/>
      <c r="T30" s="6" t="b">
        <v>1</v>
      </c>
      <c r="U30" s="6"/>
      <c r="V30" s="6"/>
      <c r="W30" s="6" t="b">
        <v>1</v>
      </c>
      <c r="X30" s="6" t="b">
        <v>0</v>
      </c>
      <c r="Y30" s="6"/>
      <c r="Z30" s="6"/>
    </row>
    <row r="31" spans="1:26" x14ac:dyDescent="0.3">
      <c r="A31" s="8">
        <f t="shared" si="2"/>
        <v>30</v>
      </c>
      <c r="B31" s="8">
        <v>4</v>
      </c>
      <c r="C31" s="8" t="str">
        <f t="array" ref="C31">GetValue("Tables",B31,"Name")</f>
        <v>Domains</v>
      </c>
      <c r="D31" s="8" t="str" cm="1">
        <f t="array" ref="D31">GetValue("Tables",B31,"Alias")</f>
        <v>Dmn</v>
      </c>
      <c r="E31" s="8">
        <v>5</v>
      </c>
      <c r="F31" s="8">
        <v>1</v>
      </c>
      <c r="G31" s="8" t="str">
        <f t="array" ref="G31">GetValue("Domains",F31,"Name")</f>
        <v>BigInteger</v>
      </c>
      <c r="H31" s="8" t="str" cm="1">
        <f t="array" ref="H31">GetValue("Domains",F31,"#CategoryName")</f>
        <v>number</v>
      </c>
      <c r="I31" s="8" t="str" cm="1">
        <f t="array" ref="I31">GetValue("Domains",F31,"#TypeName")</f>
        <v>bigint</v>
      </c>
      <c r="J31" s="8" t="str" cm="1">
        <f t="array" ref="J31">GetValue("Domains",F31,"#DataType")</f>
        <v>bigint</v>
      </c>
      <c r="K31" s="8" t="s">
        <v>0</v>
      </c>
      <c r="L31" s="8" t="s">
        <v>166</v>
      </c>
      <c r="M31" s="8" t="s">
        <v>145</v>
      </c>
      <c r="N31" s="8" t="s">
        <v>145</v>
      </c>
      <c r="O31" s="14"/>
      <c r="P31" s="15">
        <v>1</v>
      </c>
      <c r="Q31" s="15"/>
      <c r="R31" s="8" t="b">
        <v>1</v>
      </c>
      <c r="S31" s="8" t="b">
        <v>1</v>
      </c>
      <c r="T31" s="8" t="b">
        <v>1</v>
      </c>
      <c r="U31" s="8"/>
      <c r="V31" s="8" t="b">
        <v>1</v>
      </c>
      <c r="W31" s="8" t="b">
        <v>0</v>
      </c>
      <c r="X31" s="8" t="b">
        <v>0</v>
      </c>
      <c r="Y31" s="8"/>
      <c r="Z31" s="8" t="b">
        <v>0</v>
      </c>
    </row>
    <row r="32" spans="1:26" x14ac:dyDescent="0.3">
      <c r="A32" s="8">
        <f t="shared" si="2"/>
        <v>31</v>
      </c>
      <c r="B32" s="8">
        <v>4</v>
      </c>
      <c r="C32" s="8" t="str">
        <f t="array" ref="C32">GetValue("Tables",B32,"Name")</f>
        <v>Domains</v>
      </c>
      <c r="D32" s="8" t="str" cm="1">
        <f t="array" ref="D32">GetValue("Tables",B32,"Alias")</f>
        <v>Dmn</v>
      </c>
      <c r="E32" s="8">
        <f t="shared" ref="E32:E41" si="4">E31+5</f>
        <v>10</v>
      </c>
      <c r="F32" s="8">
        <v>5</v>
      </c>
      <c r="G32" s="8" t="str">
        <f t="array" ref="G32">GetValue("Domains",F32,"Name")</f>
        <v>TinyInteger</v>
      </c>
      <c r="H32" s="8" t="str" cm="1">
        <f t="array" ref="H32">GetValue("Domains",F32,"#CategoryName")</f>
        <v>number</v>
      </c>
      <c r="I32" s="8" t="str" cm="1">
        <f t="array" ref="I32">GetValue("Domains",F32,"#TypeName")</f>
        <v>tinyint</v>
      </c>
      <c r="J32" s="8" t="str" cm="1">
        <f t="array" ref="J32">GetValue("Domains",F32,"#DataType")</f>
        <v>tinyint</v>
      </c>
      <c r="K32" s="8" t="s">
        <v>57</v>
      </c>
      <c r="L32" s="8" t="s">
        <v>167</v>
      </c>
      <c r="M32" s="8" t="s">
        <v>168</v>
      </c>
      <c r="N32" s="8" t="s">
        <v>168</v>
      </c>
      <c r="O32" s="14"/>
      <c r="P32" s="15">
        <v>1</v>
      </c>
      <c r="Q32" s="14"/>
      <c r="R32" s="8" t="b">
        <v>0</v>
      </c>
      <c r="S32" s="8" t="b">
        <v>0</v>
      </c>
      <c r="T32" s="8" t="b">
        <v>1</v>
      </c>
      <c r="U32" s="8"/>
      <c r="V32" s="8" t="b">
        <v>1</v>
      </c>
      <c r="W32" s="8" t="b">
        <v>1</v>
      </c>
      <c r="X32" s="8" t="b">
        <v>1</v>
      </c>
      <c r="Y32" s="8"/>
      <c r="Z32" s="8" t="b">
        <v>0</v>
      </c>
    </row>
    <row r="33" spans="1:26" x14ac:dyDescent="0.3">
      <c r="A33" s="8">
        <f t="shared" si="2"/>
        <v>32</v>
      </c>
      <c r="B33" s="8">
        <v>4</v>
      </c>
      <c r="C33" s="8" t="str">
        <f t="array" ref="C33">GetValue("Tables",B33,"Name")</f>
        <v>Domains</v>
      </c>
      <c r="D33" s="8" t="str" cm="1">
        <f t="array" ref="D33">GetValue("Tables",B33,"Alias")</f>
        <v>Dmn</v>
      </c>
      <c r="E33" s="8">
        <f t="shared" si="4"/>
        <v>15</v>
      </c>
      <c r="F33" s="8">
        <v>1</v>
      </c>
      <c r="G33" s="8" t="str">
        <f t="array" ref="G33">GetValue("Domains",F33,"Name")</f>
        <v>BigInteger</v>
      </c>
      <c r="H33" s="8" t="str" cm="1">
        <f t="array" ref="H33">GetValue("Domains",F33,"#CategoryName")</f>
        <v>number</v>
      </c>
      <c r="I33" s="8" t="str" cm="1">
        <f t="array" ref="I33">GetValue("Domains",F33,"#TypeName")</f>
        <v>bigint</v>
      </c>
      <c r="J33" s="8" t="str" cm="1">
        <f t="array" ref="J33">GetValue("Domains",F33,"#DataType")</f>
        <v>bigint</v>
      </c>
      <c r="K33" s="8" t="s">
        <v>58</v>
      </c>
      <c r="L33" s="8" t="s">
        <v>169</v>
      </c>
      <c r="M33" s="8" t="s">
        <v>170</v>
      </c>
      <c r="N33" s="8" t="s">
        <v>170</v>
      </c>
      <c r="O33" s="14"/>
      <c r="P33" s="15" t="s">
        <v>30</v>
      </c>
      <c r="Q33" s="14"/>
      <c r="R33" s="8" t="b">
        <v>0</v>
      </c>
      <c r="S33" s="8"/>
      <c r="T33" s="8" t="b">
        <v>0</v>
      </c>
      <c r="U33" s="8"/>
      <c r="V33" s="8" t="b">
        <v>1</v>
      </c>
      <c r="W33" s="8" t="b">
        <v>1</v>
      </c>
      <c r="X33" s="8" t="b">
        <v>1</v>
      </c>
      <c r="Y33" s="8"/>
      <c r="Z33" s="8"/>
    </row>
    <row r="34" spans="1:26" x14ac:dyDescent="0.3">
      <c r="A34" s="8">
        <f t="shared" si="2"/>
        <v>33</v>
      </c>
      <c r="B34" s="8">
        <v>4</v>
      </c>
      <c r="C34" s="8" t="str">
        <f t="array" ref="C34">GetValue("Tables",B34,"Name")</f>
        <v>Domains</v>
      </c>
      <c r="D34" s="8" t="str" cm="1">
        <f t="array" ref="D34">GetValue("Tables",B34,"Alias")</f>
        <v>Dmn</v>
      </c>
      <c r="E34" s="8">
        <f t="shared" si="4"/>
        <v>20</v>
      </c>
      <c r="F34" s="8">
        <v>9</v>
      </c>
      <c r="G34" s="8" t="str">
        <f t="array" ref="G34">GetValue("Domains",F34,"Name")</f>
        <v>Nvarchar(20)</v>
      </c>
      <c r="H34" s="8" t="str" cm="1">
        <f t="array" ref="H34">GetValue("Domains",F34,"#CategoryName")</f>
        <v>string</v>
      </c>
      <c r="I34" s="8" t="str" cm="1">
        <f t="array" ref="I34">GetValue("Domains",F34,"#TypeName")</f>
        <v>nvarchar</v>
      </c>
      <c r="J34" s="8" t="str" cm="1">
        <f t="array" ref="J34">GetValue("Domains",F34,"#DataType")</f>
        <v>nvarchar(20)</v>
      </c>
      <c r="K34" s="8" t="s">
        <v>1</v>
      </c>
      <c r="L34" s="8" t="s">
        <v>171</v>
      </c>
      <c r="M34" s="8" t="s">
        <v>147</v>
      </c>
      <c r="N34" s="8" t="s">
        <v>147</v>
      </c>
      <c r="O34" s="14"/>
      <c r="P34" s="15" t="s">
        <v>30</v>
      </c>
      <c r="Q34" s="14"/>
      <c r="R34" s="8" t="b">
        <v>0</v>
      </c>
      <c r="S34" s="8"/>
      <c r="T34" s="8" t="b">
        <v>1</v>
      </c>
      <c r="U34" s="8" t="b">
        <v>1</v>
      </c>
      <c r="V34" s="8" t="b">
        <v>1</v>
      </c>
      <c r="W34" s="8" t="b">
        <v>1</v>
      </c>
      <c r="X34" s="8" t="b">
        <v>1</v>
      </c>
      <c r="Y34" s="8"/>
      <c r="Z34" s="8"/>
    </row>
    <row r="35" spans="1:26" x14ac:dyDescent="0.3">
      <c r="A35" s="8">
        <f t="shared" si="2"/>
        <v>34</v>
      </c>
      <c r="B35" s="8">
        <v>4</v>
      </c>
      <c r="C35" s="8" t="str">
        <f t="array" ref="C35">GetValue("Tables",B35,"Name")</f>
        <v>Domains</v>
      </c>
      <c r="D35" s="8" t="str" cm="1">
        <f t="array" ref="D35">GetValue("Tables",B35,"Alias")</f>
        <v>Dmn</v>
      </c>
      <c r="E35" s="8">
        <f t="shared" si="4"/>
        <v>25</v>
      </c>
      <c r="F35" s="8">
        <v>4</v>
      </c>
      <c r="G35" s="8" t="str">
        <f t="array" ref="G35">GetValue("Domains",F35,"Name")</f>
        <v>SmallInteger</v>
      </c>
      <c r="H35" s="8" t="str" cm="1">
        <f t="array" ref="H35">GetValue("Domains",F35,"#CategoryName")</f>
        <v>number</v>
      </c>
      <c r="I35" s="8" t="str" cm="1">
        <f t="array" ref="I35">GetValue("Domains",F35,"#TypeName")</f>
        <v>smallint</v>
      </c>
      <c r="J35" s="8" t="str" cm="1">
        <f t="array" ref="J35">GetValue("Domains",F35,"#DataType")</f>
        <v>smallint</v>
      </c>
      <c r="K35" s="8" t="s">
        <v>59</v>
      </c>
      <c r="L35" s="8" t="s">
        <v>172</v>
      </c>
      <c r="M35" s="8" t="s">
        <v>173</v>
      </c>
      <c r="N35" s="8" t="s">
        <v>173</v>
      </c>
      <c r="O35" s="14"/>
      <c r="P35" s="15">
        <v>0</v>
      </c>
      <c r="Q35" s="14"/>
      <c r="R35" s="8" t="b">
        <v>0</v>
      </c>
      <c r="S35" s="8" t="b">
        <v>0</v>
      </c>
      <c r="T35" s="8" t="b">
        <v>0</v>
      </c>
      <c r="U35" s="8"/>
      <c r="V35" s="8" t="b">
        <v>0</v>
      </c>
      <c r="W35" s="8" t="b">
        <v>1</v>
      </c>
      <c r="X35" s="8" t="b">
        <v>1</v>
      </c>
      <c r="Y35" s="8"/>
      <c r="Z35" s="8" t="b">
        <v>0</v>
      </c>
    </row>
    <row r="36" spans="1:26" x14ac:dyDescent="0.3">
      <c r="A36" s="8">
        <f t="shared" si="2"/>
        <v>35</v>
      </c>
      <c r="B36" s="8">
        <v>4</v>
      </c>
      <c r="C36" s="8" t="str">
        <f t="array" ref="C36">GetValue("Tables",B36,"Name")</f>
        <v>Domains</v>
      </c>
      <c r="D36" s="8" t="str" cm="1">
        <f t="array" ref="D36">GetValue("Tables",B36,"Alias")</f>
        <v>Dmn</v>
      </c>
      <c r="E36" s="8">
        <f t="shared" si="4"/>
        <v>30</v>
      </c>
      <c r="F36" s="8">
        <v>5</v>
      </c>
      <c r="G36" s="8" t="str">
        <f t="array" ref="G36">GetValue("Domains",F36,"Name")</f>
        <v>TinyInteger</v>
      </c>
      <c r="H36" s="8" t="str" cm="1">
        <f t="array" ref="H36">GetValue("Domains",F36,"#CategoryName")</f>
        <v>number</v>
      </c>
      <c r="I36" s="8" t="str" cm="1">
        <f t="array" ref="I36">GetValue("Domains",F36,"#TypeName")</f>
        <v>tinyint</v>
      </c>
      <c r="J36" s="8" t="str" cm="1">
        <f t="array" ref="J36">GetValue("Domains",F36,"#DataType")</f>
        <v>tinyint</v>
      </c>
      <c r="K36" s="8" t="s">
        <v>60</v>
      </c>
      <c r="L36" s="8" t="s">
        <v>174</v>
      </c>
      <c r="M36" s="8" t="s">
        <v>175</v>
      </c>
      <c r="N36" s="8" t="s">
        <v>175</v>
      </c>
      <c r="O36" s="14"/>
      <c r="P36" s="15">
        <v>0</v>
      </c>
      <c r="Q36" s="14"/>
      <c r="R36" s="8" t="b">
        <v>0</v>
      </c>
      <c r="S36" s="8" t="b">
        <v>0</v>
      </c>
      <c r="T36" s="8" t="b">
        <v>0</v>
      </c>
      <c r="U36" s="8"/>
      <c r="V36" s="8" t="b">
        <v>0</v>
      </c>
      <c r="W36" s="8" t="b">
        <v>1</v>
      </c>
      <c r="X36" s="8" t="b">
        <v>1</v>
      </c>
      <c r="Y36" s="8"/>
      <c r="Z36" s="8" t="b">
        <v>0</v>
      </c>
    </row>
    <row r="37" spans="1:26" x14ac:dyDescent="0.3">
      <c r="A37" s="8">
        <f>ROW(A37)-1</f>
        <v>36</v>
      </c>
      <c r="B37" s="8">
        <v>4</v>
      </c>
      <c r="C37" s="8" t="str">
        <f t="array" ref="C37">GetValue("Tables",B37,"Name")</f>
        <v>Domains</v>
      </c>
      <c r="D37" s="8" t="str" cm="1">
        <f t="array" ref="D37">GetValue("Tables",B37,"Alias")</f>
        <v>Dmn</v>
      </c>
      <c r="E37" s="8">
        <f t="shared" si="4"/>
        <v>35</v>
      </c>
      <c r="F37" s="8">
        <v>12</v>
      </c>
      <c r="G37" s="8" t="str">
        <f t="array" ref="G37">GetValue("Domains",F37,"Name")</f>
        <v>Nvarchar(256)</v>
      </c>
      <c r="H37" s="8" t="str" cm="1">
        <f t="array" ref="H37">GetValue("Domains",F37,"#CategoryName")</f>
        <v>string</v>
      </c>
      <c r="I37" s="8" t="str" cm="1">
        <f t="array" ref="I37">GetValue("Domains",F37,"#TypeName")</f>
        <v>nvarchar</v>
      </c>
      <c r="J37" s="8" t="str" cm="1">
        <f t="array" ref="J37">GetValue("Domains",F37,"#DataType")</f>
        <v>nvarchar(256)</v>
      </c>
      <c r="K37" s="8" t="s">
        <v>295</v>
      </c>
      <c r="L37" s="8" t="s">
        <v>294</v>
      </c>
      <c r="M37" s="8" t="s">
        <v>294</v>
      </c>
      <c r="N37" s="8" t="s">
        <v>294</v>
      </c>
      <c r="O37" s="14"/>
      <c r="P37" s="15" t="s">
        <v>30</v>
      </c>
      <c r="Q37" s="14"/>
      <c r="R37" s="8"/>
      <c r="S37" s="8"/>
      <c r="T37" s="8" t="b">
        <v>0</v>
      </c>
      <c r="U37" s="8"/>
      <c r="V37" s="8" t="b">
        <v>1</v>
      </c>
      <c r="W37" s="8" t="b">
        <v>1</v>
      </c>
      <c r="X37" s="8" t="b">
        <v>1</v>
      </c>
      <c r="Y37" s="8"/>
      <c r="Z37" s="8"/>
    </row>
    <row r="38" spans="1:26" x14ac:dyDescent="0.3">
      <c r="A38" s="8">
        <f t="shared" si="2"/>
        <v>37</v>
      </c>
      <c r="B38" s="8">
        <v>4</v>
      </c>
      <c r="C38" s="8" t="str">
        <f t="array" ref="C38">GetValue("Tables",B38,"Name")</f>
        <v>Domains</v>
      </c>
      <c r="D38" s="8" t="str" cm="1">
        <f t="array" ref="D38">GetValue("Tables",B38,"Alias")</f>
        <v>Dmn</v>
      </c>
      <c r="E38" s="8">
        <f t="shared" si="4"/>
        <v>40</v>
      </c>
      <c r="F38" s="8">
        <v>17</v>
      </c>
      <c r="G38" s="8" t="str">
        <f t="array" ref="G38">GetValue("Domains",F38,"Name")</f>
        <v>CPF</v>
      </c>
      <c r="H38" s="8" t="str" cm="1">
        <f t="array" ref="H38">GetValue("Domains",F38,"#CategoryName")</f>
        <v>string</v>
      </c>
      <c r="I38" s="8" t="str" cm="1">
        <f t="array" ref="I38">GetValue("Domains",F38,"#TypeName")</f>
        <v>nvarchar</v>
      </c>
      <c r="J38" s="8" t="str" cm="1">
        <f t="array" ref="J38">GetValue("Domains",F38,"#DataType")</f>
        <v>nvarchar(11)</v>
      </c>
      <c r="K38" s="8" t="s">
        <v>61</v>
      </c>
      <c r="L38" s="8" t="s">
        <v>178</v>
      </c>
      <c r="M38" s="8" t="s">
        <v>238</v>
      </c>
      <c r="N38" s="8" t="s">
        <v>238</v>
      </c>
      <c r="O38" s="14"/>
      <c r="P38" s="15" t="s">
        <v>30</v>
      </c>
      <c r="Q38" s="14"/>
      <c r="R38" s="8"/>
      <c r="S38" s="8"/>
      <c r="T38" s="8" t="b">
        <v>0</v>
      </c>
      <c r="U38" s="8"/>
      <c r="V38" s="8"/>
      <c r="W38" s="8" t="b">
        <v>1</v>
      </c>
      <c r="X38" s="8" t="b">
        <v>0</v>
      </c>
      <c r="Y38" s="8"/>
      <c r="Z38" s="8"/>
    </row>
    <row r="39" spans="1:26" x14ac:dyDescent="0.3">
      <c r="A39" s="8">
        <f t="shared" si="2"/>
        <v>38</v>
      </c>
      <c r="B39" s="8">
        <v>4</v>
      </c>
      <c r="C39" s="8" t="str">
        <f t="array" ref="C39">GetValue("Tables",B39,"Name")</f>
        <v>Domains</v>
      </c>
      <c r="D39" s="8" t="str" cm="1">
        <f t="array" ref="D39">GetValue("Tables",B39,"Alias")</f>
        <v>Dmn</v>
      </c>
      <c r="E39" s="8">
        <f t="shared" si="4"/>
        <v>45</v>
      </c>
      <c r="F39" s="8">
        <v>17</v>
      </c>
      <c r="G39" s="8" t="str">
        <f t="array" ref="G39">GetValue("Domains",F39,"Name")</f>
        <v>CPF</v>
      </c>
      <c r="H39" s="8" t="str" cm="1">
        <f t="array" ref="H39">GetValue("Domains",F39,"#CategoryName")</f>
        <v>string</v>
      </c>
      <c r="I39" s="8" t="str" cm="1">
        <f t="array" ref="I39">GetValue("Domains",F39,"#TypeName")</f>
        <v>nvarchar</v>
      </c>
      <c r="J39" s="8" t="str" cm="1">
        <f t="array" ref="J39">GetValue("Domains",F39,"#DataType")</f>
        <v>nvarchar(11)</v>
      </c>
      <c r="K39" s="8" t="s">
        <v>21</v>
      </c>
      <c r="L39" s="8" t="s">
        <v>176</v>
      </c>
      <c r="M39" s="8" t="s">
        <v>151</v>
      </c>
      <c r="N39" s="8" t="s">
        <v>151</v>
      </c>
      <c r="O39" s="14"/>
      <c r="P39" s="15" t="s">
        <v>30</v>
      </c>
      <c r="Q39" s="14"/>
      <c r="R39" s="8"/>
      <c r="S39" s="8"/>
      <c r="T39" s="8" t="b">
        <v>0</v>
      </c>
      <c r="U39" s="8"/>
      <c r="V39" s="8"/>
      <c r="W39" s="8" t="b">
        <v>1</v>
      </c>
      <c r="X39" s="8" t="b">
        <v>0</v>
      </c>
      <c r="Y39" s="8"/>
      <c r="Z39" s="8"/>
    </row>
    <row r="40" spans="1:26" x14ac:dyDescent="0.3">
      <c r="A40" s="8">
        <f t="shared" si="2"/>
        <v>39</v>
      </c>
      <c r="B40" s="8">
        <v>4</v>
      </c>
      <c r="C40" s="8" t="str">
        <f t="array" ref="C40">GetValue("Tables",B40,"Name")</f>
        <v>Domains</v>
      </c>
      <c r="D40" s="8" t="str" cm="1">
        <f t="array" ref="D40">GetValue("Tables",B40,"Alias")</f>
        <v>Dmn</v>
      </c>
      <c r="E40" s="8">
        <f t="shared" si="4"/>
        <v>50</v>
      </c>
      <c r="F40" s="8">
        <v>17</v>
      </c>
      <c r="G40" s="8" t="str">
        <f t="array" ref="G40">GetValue("Domains",F40,"Name")</f>
        <v>CPF</v>
      </c>
      <c r="H40" s="8" t="str" cm="1">
        <f t="array" ref="H40">GetValue("Domains",F40,"#CategoryName")</f>
        <v>string</v>
      </c>
      <c r="I40" s="8" t="str" cm="1">
        <f t="array" ref="I40">GetValue("Domains",F40,"#TypeName")</f>
        <v>nvarchar</v>
      </c>
      <c r="J40" s="8" t="str" cm="1">
        <f t="array" ref="J40">GetValue("Domains",F40,"#DataType")</f>
        <v>nvarchar(11)</v>
      </c>
      <c r="K40" s="8" t="s">
        <v>22</v>
      </c>
      <c r="L40" s="8" t="s">
        <v>177</v>
      </c>
      <c r="M40" s="8" t="s">
        <v>153</v>
      </c>
      <c r="N40" s="8" t="s">
        <v>153</v>
      </c>
      <c r="O40" s="14"/>
      <c r="P40" s="15" t="s">
        <v>30</v>
      </c>
      <c r="Q40" s="14"/>
      <c r="R40" s="8"/>
      <c r="S40" s="8"/>
      <c r="T40" s="8" t="b">
        <v>0</v>
      </c>
      <c r="U40" s="8"/>
      <c r="V40" s="8"/>
      <c r="W40" s="8" t="b">
        <v>1</v>
      </c>
      <c r="X40" s="8" t="b">
        <v>0</v>
      </c>
      <c r="Y40" s="8"/>
      <c r="Z40" s="8"/>
    </row>
    <row r="41" spans="1:26" x14ac:dyDescent="0.3">
      <c r="A41" s="8">
        <f t="shared" si="2"/>
        <v>40</v>
      </c>
      <c r="B41" s="8">
        <v>4</v>
      </c>
      <c r="C41" s="8" t="str">
        <f t="array" ref="C41">GetValue("Tables",B41,"Name")</f>
        <v>Domains</v>
      </c>
      <c r="D41" s="8" t="str" cm="1">
        <f t="array" ref="D41">GetValue("Tables",B41,"Alias")</f>
        <v>Dmn</v>
      </c>
      <c r="E41" s="8">
        <f t="shared" si="4"/>
        <v>55</v>
      </c>
      <c r="F41" s="8">
        <v>18</v>
      </c>
      <c r="G41" s="8" t="str">
        <f t="array" ref="G41">GetValue("Domains",F41,"Name")</f>
        <v>CNPJ</v>
      </c>
      <c r="H41" s="8" t="str" cm="1">
        <f t="array" ref="H41">GetValue("Domains",F41,"#CategoryName")</f>
        <v>string</v>
      </c>
      <c r="I41" s="8" t="str" cm="1">
        <f t="array" ref="I41">GetValue("Domains",F41,"#TypeName")</f>
        <v>nvarchar</v>
      </c>
      <c r="J41" s="8" t="str" cm="1">
        <f t="array" ref="J41">GetValue("Domains",F41,"#DataType")</f>
        <v>nvarchar(14)</v>
      </c>
      <c r="K41" s="8" t="s">
        <v>289</v>
      </c>
      <c r="L41" s="8" t="s">
        <v>333</v>
      </c>
      <c r="M41" s="8" t="s">
        <v>293</v>
      </c>
      <c r="N41" s="8" t="s">
        <v>293</v>
      </c>
      <c r="O41" s="14"/>
      <c r="P41" s="15" t="s">
        <v>30</v>
      </c>
      <c r="Q41" s="14"/>
      <c r="R41" s="8"/>
      <c r="S41" s="8"/>
      <c r="T41" s="8" t="b">
        <v>0</v>
      </c>
      <c r="U41" s="8"/>
      <c r="V41" s="8" t="b">
        <v>1</v>
      </c>
      <c r="W41" s="8" t="b">
        <v>1</v>
      </c>
      <c r="X41" s="8" t="b">
        <v>1</v>
      </c>
      <c r="Y41" s="8"/>
      <c r="Z41" s="8"/>
    </row>
    <row r="42" spans="1:26" x14ac:dyDescent="0.3">
      <c r="A42" s="6">
        <f t="shared" si="2"/>
        <v>41</v>
      </c>
      <c r="B42" s="6">
        <v>5</v>
      </c>
      <c r="C42" s="6" t="str">
        <f t="array" ref="C42">GetValue("Tables",B42,"Name")</f>
        <v>Systems</v>
      </c>
      <c r="D42" s="7" t="str" cm="1">
        <f t="array" ref="D42">GetValue("Tables",B42,"Alias")</f>
        <v>Sys</v>
      </c>
      <c r="E42" s="6">
        <v>5</v>
      </c>
      <c r="F42" s="6">
        <v>1</v>
      </c>
      <c r="G42" s="6" t="str">
        <f t="array" ref="G42">GetValue("Domains",F42,"Name")</f>
        <v>BigInteger</v>
      </c>
      <c r="H42" s="6" t="str" cm="1">
        <f t="array" ref="H42">GetValue("Domains",F42,"#CategoryName")</f>
        <v>number</v>
      </c>
      <c r="I42" s="6" t="str" cm="1">
        <f t="array" ref="I42">GetValue("Domains",F42,"#TypeName")</f>
        <v>bigint</v>
      </c>
      <c r="J42" s="6" t="str" cm="1">
        <f t="array" ref="J42">GetValue("Domains",F42,"#DataType")</f>
        <v>bigint</v>
      </c>
      <c r="K42" s="6" t="s">
        <v>0</v>
      </c>
      <c r="L42" s="6" t="s">
        <v>182</v>
      </c>
      <c r="M42" s="6" t="s">
        <v>145</v>
      </c>
      <c r="N42" s="6" t="s">
        <v>145</v>
      </c>
      <c r="O42" s="13"/>
      <c r="P42" s="13">
        <v>1</v>
      </c>
      <c r="Q42" s="13"/>
      <c r="R42" s="6" t="b">
        <v>1</v>
      </c>
      <c r="S42" s="6" t="b">
        <v>1</v>
      </c>
      <c r="T42" s="6" t="b">
        <v>1</v>
      </c>
      <c r="U42" s="6"/>
      <c r="V42" s="6" t="b">
        <v>1</v>
      </c>
      <c r="W42" s="6" t="b">
        <v>0</v>
      </c>
      <c r="X42" s="6" t="b">
        <v>0</v>
      </c>
      <c r="Y42" s="6"/>
      <c r="Z42" s="6" t="b">
        <v>0</v>
      </c>
    </row>
    <row r="43" spans="1:26" x14ac:dyDescent="0.3">
      <c r="A43" s="6">
        <f t="shared" si="2"/>
        <v>42</v>
      </c>
      <c r="B43" s="6">
        <v>5</v>
      </c>
      <c r="C43" s="6" t="str">
        <f t="array" ref="C43">GetValue("Tables",B43,"Name")</f>
        <v>Systems</v>
      </c>
      <c r="D43" s="7" t="str" cm="1">
        <f t="array" ref="D43">GetValue("Tables",B43,"Alias")</f>
        <v>Sys</v>
      </c>
      <c r="E43" s="6">
        <f>E42+5</f>
        <v>10</v>
      </c>
      <c r="F43" s="6">
        <v>9</v>
      </c>
      <c r="G43" s="6" t="str">
        <f t="array" ref="G43">GetValue("Domains",F43,"Name")</f>
        <v>Nvarchar(20)</v>
      </c>
      <c r="H43" s="6" t="str" cm="1">
        <f t="array" ref="H43">GetValue("Domains",F43,"#CategoryName")</f>
        <v>string</v>
      </c>
      <c r="I43" s="6" t="str" cm="1">
        <f t="array" ref="I43">GetValue("Domains",F43,"#TypeName")</f>
        <v>nvarchar</v>
      </c>
      <c r="J43" s="6" t="str" cm="1">
        <f t="array" ref="J43">GetValue("Domains",F43,"#DataType")</f>
        <v>nvarchar(20)</v>
      </c>
      <c r="K43" s="6" t="s">
        <v>1</v>
      </c>
      <c r="L43" s="6" t="s">
        <v>183</v>
      </c>
      <c r="M43" s="6" t="s">
        <v>147</v>
      </c>
      <c r="N43" s="6" t="s">
        <v>147</v>
      </c>
      <c r="O43" s="13"/>
      <c r="P43" s="13" t="s">
        <v>30</v>
      </c>
      <c r="Q43" s="13"/>
      <c r="R43" s="6" t="b">
        <v>0</v>
      </c>
      <c r="S43" s="6"/>
      <c r="T43" s="6" t="b">
        <v>1</v>
      </c>
      <c r="U43" s="6" t="b">
        <v>1</v>
      </c>
      <c r="V43" s="6" t="b">
        <v>1</v>
      </c>
      <c r="W43" s="6" t="b">
        <v>1</v>
      </c>
      <c r="X43" s="6" t="b">
        <v>1</v>
      </c>
      <c r="Y43" s="6" t="b">
        <v>0</v>
      </c>
      <c r="Z43" s="6"/>
    </row>
    <row r="44" spans="1:26" x14ac:dyDescent="0.3">
      <c r="A44" s="6">
        <f t="shared" si="2"/>
        <v>43</v>
      </c>
      <c r="B44" s="6">
        <v>5</v>
      </c>
      <c r="C44" s="6" t="str">
        <f t="array" ref="C44">GetValue("Tables",B44,"Name")</f>
        <v>Systems</v>
      </c>
      <c r="D44" s="7" t="str" cm="1">
        <f t="array" ref="D44">GetValue("Tables",B44,"Alias")</f>
        <v>Sys</v>
      </c>
      <c r="E44" s="6">
        <f>E43+5</f>
        <v>15</v>
      </c>
      <c r="F44" s="6">
        <v>10</v>
      </c>
      <c r="G44" s="6" t="str">
        <f t="array" ref="G44">GetValue("Domains",F44,"Name")</f>
        <v>Nvarchar(25)</v>
      </c>
      <c r="H44" s="6" t="str" cm="1">
        <f t="array" ref="H44">GetValue("Domains",F44,"#CategoryName")</f>
        <v>string</v>
      </c>
      <c r="I44" s="6" t="str" cm="1">
        <f t="array" ref="I44">GetValue("Domains",F44,"#TypeName")</f>
        <v>nvarchar</v>
      </c>
      <c r="J44" s="6" t="str" cm="1">
        <f t="array" ref="J44">GetValue("Domains",F44,"#DataType")</f>
        <v>nvarchar(25)</v>
      </c>
      <c r="K44" s="6" t="s">
        <v>73</v>
      </c>
      <c r="L44" s="6" t="s">
        <v>184</v>
      </c>
      <c r="M44" s="6" t="s">
        <v>185</v>
      </c>
      <c r="N44" s="6" t="s">
        <v>185</v>
      </c>
      <c r="O44" s="13"/>
      <c r="P44" s="13" t="s">
        <v>30</v>
      </c>
      <c r="Q44" s="13"/>
      <c r="R44" s="6" t="b">
        <v>0</v>
      </c>
      <c r="S44" s="6"/>
      <c r="T44" s="6" t="b">
        <v>1</v>
      </c>
      <c r="U44" s="6" t="b">
        <v>0</v>
      </c>
      <c r="V44" s="6" t="b">
        <v>0</v>
      </c>
      <c r="W44" s="6" t="b">
        <v>1</v>
      </c>
      <c r="X44" s="6" t="b">
        <v>1</v>
      </c>
      <c r="Y44" s="6" t="b">
        <v>0</v>
      </c>
      <c r="Z44" s="6"/>
    </row>
    <row r="45" spans="1:26" x14ac:dyDescent="0.3">
      <c r="A45" s="6">
        <f t="shared" si="2"/>
        <v>44</v>
      </c>
      <c r="B45" s="6">
        <v>5</v>
      </c>
      <c r="C45" s="6" t="str">
        <f t="array" ref="C45">GetValue("Tables",B45,"Name")</f>
        <v>Systems</v>
      </c>
      <c r="D45" s="7" t="str" cm="1">
        <f t="array" ref="D45">GetValue("Tables",B45,"Alias")</f>
        <v>Sys</v>
      </c>
      <c r="E45" s="6">
        <f>E44+5</f>
        <v>20</v>
      </c>
      <c r="F45" s="6">
        <v>7</v>
      </c>
      <c r="G45" s="6" t="str">
        <f t="array" ref="G45">GetValue("Domains",F45,"Name")</f>
        <v>DateTime</v>
      </c>
      <c r="H45" s="6" t="str" cm="1">
        <f t="array" ref="H45">GetValue("Domains",F45,"#CategoryName")</f>
        <v>datetime</v>
      </c>
      <c r="I45" s="6" t="str" cm="1">
        <f t="array" ref="I45">GetValue("Domains",F45,"#TypeName")</f>
        <v>datetime</v>
      </c>
      <c r="J45" s="6" t="str" cm="1">
        <f t="array" ref="J45">GetValue("Domains",F45,"#DataType")</f>
        <v>datetime</v>
      </c>
      <c r="K45" s="6" t="s">
        <v>74</v>
      </c>
      <c r="L45" s="6" t="s">
        <v>186</v>
      </c>
      <c r="M45" s="6" t="s">
        <v>187</v>
      </c>
      <c r="N45" s="6" t="s">
        <v>187</v>
      </c>
      <c r="O45" s="13"/>
      <c r="P45" s="13" t="s">
        <v>30</v>
      </c>
      <c r="Q45" s="13"/>
      <c r="R45" s="6" t="b">
        <v>0</v>
      </c>
      <c r="S45" s="6"/>
      <c r="T45" s="6" t="b">
        <v>1</v>
      </c>
      <c r="U45" s="6" t="b">
        <v>0</v>
      </c>
      <c r="V45" s="6" t="b">
        <v>1</v>
      </c>
      <c r="W45" s="6" t="b">
        <v>1</v>
      </c>
      <c r="X45" s="6" t="b">
        <v>1</v>
      </c>
      <c r="Y45" s="6" t="b">
        <v>0</v>
      </c>
      <c r="Z45" s="6"/>
    </row>
    <row r="46" spans="1:26" x14ac:dyDescent="0.3">
      <c r="A46" s="6">
        <f t="shared" si="2"/>
        <v>45</v>
      </c>
      <c r="B46" s="6">
        <v>5</v>
      </c>
      <c r="C46" s="6" t="str">
        <f t="array" ref="C46">GetValue("Tables",B46,"Name")</f>
        <v>Systems</v>
      </c>
      <c r="D46" s="7" t="str" cm="1">
        <f t="array" ref="D46">GetValue("Tables",B46,"Alias")</f>
        <v>Sys</v>
      </c>
      <c r="E46" s="6">
        <f>E45+5</f>
        <v>25</v>
      </c>
      <c r="F46" s="6">
        <v>5</v>
      </c>
      <c r="G46" s="6" t="str">
        <f t="array" ref="G46">GetValue("Domains",F46,"Name")</f>
        <v>TinyInteger</v>
      </c>
      <c r="H46" s="6" t="str" cm="1">
        <f t="array" ref="H46">GetValue("Domains",F46,"#CategoryName")</f>
        <v>number</v>
      </c>
      <c r="I46" s="6" t="str" cm="1">
        <f t="array" ref="I46">GetValue("Domains",F46,"#TypeName")</f>
        <v>tinyint</v>
      </c>
      <c r="J46" s="6" t="str" cm="1">
        <f t="array" ref="J46">GetValue("Domains",F46,"#DataType")</f>
        <v>tinyint</v>
      </c>
      <c r="K46" s="6" t="s">
        <v>75</v>
      </c>
      <c r="L46" s="6" t="s">
        <v>188</v>
      </c>
      <c r="M46" s="6" t="s">
        <v>189</v>
      </c>
      <c r="N46" s="6" t="s">
        <v>189</v>
      </c>
      <c r="O46" s="13">
        <v>5</v>
      </c>
      <c r="P46" s="13">
        <v>1</v>
      </c>
      <c r="Q46" s="13"/>
      <c r="R46" s="6" t="b">
        <v>0</v>
      </c>
      <c r="S46" s="6" t="b">
        <v>0</v>
      </c>
      <c r="T46" s="6" t="b">
        <v>1</v>
      </c>
      <c r="U46" s="6"/>
      <c r="V46" s="6" t="b">
        <v>0</v>
      </c>
      <c r="W46" s="6" t="b">
        <v>1</v>
      </c>
      <c r="X46" s="6" t="b">
        <v>1</v>
      </c>
      <c r="Y46" s="6"/>
      <c r="Z46" s="6" t="b">
        <v>0</v>
      </c>
    </row>
    <row r="47" spans="1:26" x14ac:dyDescent="0.3">
      <c r="A47" s="6">
        <f t="shared" si="2"/>
        <v>46</v>
      </c>
      <c r="B47" s="6">
        <v>5</v>
      </c>
      <c r="C47" s="6" t="str">
        <f t="array" ref="C47">GetValue("Tables",B47,"Name")</f>
        <v>Systems</v>
      </c>
      <c r="D47" s="7" t="str" cm="1">
        <f t="array" ref="D47">GetValue("Tables",B47,"Alias")</f>
        <v>Sys</v>
      </c>
      <c r="E47" s="6">
        <f>E46+5</f>
        <v>30</v>
      </c>
      <c r="F47" s="6">
        <v>6</v>
      </c>
      <c r="G47" s="6" t="str">
        <f t="array" ref="G47">GetValue("Domains",F47,"Name")</f>
        <v>Boolean</v>
      </c>
      <c r="H47" s="6" t="str" cm="1">
        <f t="array" ref="H47">GetValue("Domains",F47,"#CategoryName")</f>
        <v>boolean</v>
      </c>
      <c r="I47" s="6" t="str" cm="1">
        <f t="array" ref="I47">GetValue("Domains",F47,"#TypeName")</f>
        <v>bit</v>
      </c>
      <c r="J47" s="6" t="str" cm="1">
        <f t="array" ref="J47">GetValue("Domains",F47,"#DataType")</f>
        <v>bit</v>
      </c>
      <c r="K47" s="6" t="s">
        <v>328</v>
      </c>
      <c r="L47" s="6" t="s">
        <v>329</v>
      </c>
      <c r="M47" s="6" t="s">
        <v>330</v>
      </c>
      <c r="N47" s="6" t="s">
        <v>330</v>
      </c>
      <c r="O47" s="13"/>
      <c r="P47" s="13"/>
      <c r="Q47" s="13"/>
      <c r="R47" s="6"/>
      <c r="S47" s="6"/>
      <c r="T47" s="6" t="b">
        <v>1</v>
      </c>
      <c r="U47" s="6"/>
      <c r="V47" s="6" t="b">
        <v>0</v>
      </c>
      <c r="W47" s="6" t="b">
        <v>1</v>
      </c>
      <c r="X47" s="6" t="b">
        <v>0</v>
      </c>
      <c r="Y47" s="6"/>
      <c r="Z47" s="6"/>
    </row>
    <row r="48" spans="1:26" x14ac:dyDescent="0.3">
      <c r="A48" s="8">
        <f t="shared" si="2"/>
        <v>47</v>
      </c>
      <c r="B48" s="8">
        <v>6</v>
      </c>
      <c r="C48" s="8" t="str">
        <f t="array" ref="C48">GetValue("Tables",B48,"Name")</f>
        <v>Menus</v>
      </c>
      <c r="D48" s="8" t="str" cm="1">
        <f t="array" ref="D48">GetValue("Tables",B48,"Alias")</f>
        <v>Mnu</v>
      </c>
      <c r="E48" s="8">
        <v>5</v>
      </c>
      <c r="F48" s="8">
        <v>1</v>
      </c>
      <c r="G48" s="8" t="str">
        <f t="array" ref="G48">GetValue("Domains",F48,"Name")</f>
        <v>BigInteger</v>
      </c>
      <c r="H48" s="8" t="str" cm="1">
        <f t="array" ref="H48">GetValue("Domains",F48,"#CategoryName")</f>
        <v>number</v>
      </c>
      <c r="I48" s="8" t="str" cm="1">
        <f t="array" ref="I48">GetValue("Domains",F48,"#TypeName")</f>
        <v>bigint</v>
      </c>
      <c r="J48" s="8" t="str" cm="1">
        <f t="array" ref="J48">GetValue("Domains",F48,"#DataType")</f>
        <v>bigint</v>
      </c>
      <c r="K48" s="8" t="s">
        <v>0</v>
      </c>
      <c r="L48" s="8" t="s">
        <v>190</v>
      </c>
      <c r="M48" s="8" t="s">
        <v>145</v>
      </c>
      <c r="N48" s="8" t="s">
        <v>145</v>
      </c>
      <c r="O48" s="14"/>
      <c r="P48" s="15">
        <v>1</v>
      </c>
      <c r="Q48" s="15"/>
      <c r="R48" s="8" t="b">
        <v>1</v>
      </c>
      <c r="S48" s="8" t="b">
        <v>1</v>
      </c>
      <c r="T48" s="8" t="b">
        <v>1</v>
      </c>
      <c r="U48" s="8"/>
      <c r="V48" s="8" t="b">
        <v>1</v>
      </c>
      <c r="W48" s="8" t="b">
        <v>0</v>
      </c>
      <c r="X48" s="8" t="b">
        <v>0</v>
      </c>
      <c r="Y48" s="8"/>
      <c r="Z48" s="8" t="b">
        <v>0</v>
      </c>
    </row>
    <row r="49" spans="1:26" x14ac:dyDescent="0.3">
      <c r="A49" s="8">
        <f t="shared" si="2"/>
        <v>48</v>
      </c>
      <c r="B49" s="8">
        <v>6</v>
      </c>
      <c r="C49" s="8" t="str">
        <f t="array" ref="C49">GetValue("Tables",B49,"Name")</f>
        <v>Menus</v>
      </c>
      <c r="D49" s="8" t="str" cm="1">
        <f t="array" ref="D49">GetValue("Tables",B49,"Alias")</f>
        <v>Mnu</v>
      </c>
      <c r="E49" s="8">
        <f t="shared" ref="E49:E54" si="5">E48+5</f>
        <v>10</v>
      </c>
      <c r="F49" s="8">
        <v>1</v>
      </c>
      <c r="G49" s="8" t="str">
        <f t="array" ref="G49">GetValue("Domains",F49,"Name")</f>
        <v>BigInteger</v>
      </c>
      <c r="H49" s="8" t="str" cm="1">
        <f t="array" ref="H49">GetValue("Domains",F49,"#CategoryName")</f>
        <v>number</v>
      </c>
      <c r="I49" s="8" t="str" cm="1">
        <f t="array" ref="I49">GetValue("Domains",F49,"#TypeName")</f>
        <v>bigint</v>
      </c>
      <c r="J49" s="8" t="str" cm="1">
        <f t="array" ref="J49">GetValue("Domains",F49,"#DataType")</f>
        <v>bigint</v>
      </c>
      <c r="K49" s="8" t="s">
        <v>76</v>
      </c>
      <c r="L49" s="8" t="s">
        <v>191</v>
      </c>
      <c r="M49" s="8" t="s">
        <v>192</v>
      </c>
      <c r="N49" s="8" t="s">
        <v>192</v>
      </c>
      <c r="O49" s="14"/>
      <c r="P49" s="15">
        <v>1</v>
      </c>
      <c r="Q49" s="14"/>
      <c r="R49" s="8" t="b">
        <v>0</v>
      </c>
      <c r="S49" s="8" t="b">
        <v>0</v>
      </c>
      <c r="T49" s="8" t="b">
        <v>1</v>
      </c>
      <c r="U49" s="8"/>
      <c r="V49" s="8" t="b">
        <v>1</v>
      </c>
      <c r="W49" s="8" t="b">
        <v>1</v>
      </c>
      <c r="X49" s="8" t="b">
        <v>1</v>
      </c>
      <c r="Y49" s="8"/>
      <c r="Z49" s="8" t="b">
        <v>0</v>
      </c>
    </row>
    <row r="50" spans="1:26" x14ac:dyDescent="0.3">
      <c r="A50" s="8">
        <f t="shared" si="2"/>
        <v>49</v>
      </c>
      <c r="B50" s="8">
        <v>6</v>
      </c>
      <c r="C50" s="8" t="str">
        <f t="array" ref="C50">GetValue("Tables",B50,"Name")</f>
        <v>Menus</v>
      </c>
      <c r="D50" s="8" t="str" cm="1">
        <f t="array" ref="D50">GetValue("Tables",B50,"Alias")</f>
        <v>Mnu</v>
      </c>
      <c r="E50" s="8">
        <f t="shared" si="5"/>
        <v>15</v>
      </c>
      <c r="F50" s="8">
        <v>4</v>
      </c>
      <c r="G50" s="8" t="str">
        <f t="array" ref="G50">GetValue("Domains",F50,"Name")</f>
        <v>SmallInteger</v>
      </c>
      <c r="H50" s="8" t="str" cm="1">
        <f t="array" ref="H50">GetValue("Domains",F50,"#CategoryName")</f>
        <v>number</v>
      </c>
      <c r="I50" s="8" t="str" cm="1">
        <f t="array" ref="I50">GetValue("Domains",F50,"#TypeName")</f>
        <v>smallint</v>
      </c>
      <c r="J50" s="8" t="str" cm="1">
        <f t="array" ref="J50">GetValue("Domains",F50,"#DataType")</f>
        <v>smallint</v>
      </c>
      <c r="K50" s="8" t="s">
        <v>77</v>
      </c>
      <c r="L50" s="8" t="s">
        <v>193</v>
      </c>
      <c r="M50" s="8" t="s">
        <v>194</v>
      </c>
      <c r="N50" s="8" t="s">
        <v>194</v>
      </c>
      <c r="O50" s="14"/>
      <c r="P50" s="15">
        <v>1</v>
      </c>
      <c r="Q50" s="14"/>
      <c r="R50" s="8" t="b">
        <v>0</v>
      </c>
      <c r="S50" s="8" t="b">
        <v>0</v>
      </c>
      <c r="T50" s="8" t="b">
        <v>1</v>
      </c>
      <c r="U50" s="8"/>
      <c r="V50" s="8" t="b">
        <v>0</v>
      </c>
      <c r="W50" s="8" t="b">
        <v>1</v>
      </c>
      <c r="X50" s="8" t="b">
        <v>1</v>
      </c>
      <c r="Y50" s="8"/>
      <c r="Z50" s="8" t="b">
        <v>0</v>
      </c>
    </row>
    <row r="51" spans="1:26" x14ac:dyDescent="0.3">
      <c r="A51" s="8">
        <f t="shared" si="2"/>
        <v>50</v>
      </c>
      <c r="B51" s="8">
        <v>6</v>
      </c>
      <c r="C51" s="8" t="str">
        <f t="array" ref="C51">GetValue("Tables",B51,"Name")</f>
        <v>Menus</v>
      </c>
      <c r="D51" s="8" t="str" cm="1">
        <f t="array" ref="D51">GetValue("Tables",B51,"Alias")</f>
        <v>Mnu</v>
      </c>
      <c r="E51" s="8">
        <f t="shared" si="5"/>
        <v>20</v>
      </c>
      <c r="F51" s="8">
        <v>8</v>
      </c>
      <c r="G51" s="8" t="str">
        <f t="array" ref="G51">GetValue("Domains",F51,"Name")</f>
        <v>Nvarchar(15)</v>
      </c>
      <c r="H51" s="8" t="str" cm="1">
        <f t="array" ref="H51">GetValue("Domains",F51,"#CategoryName")</f>
        <v>string</v>
      </c>
      <c r="I51" s="8" t="str" cm="1">
        <f t="array" ref="I51">GetValue("Domains",F51,"#TypeName")</f>
        <v>nvarchar</v>
      </c>
      <c r="J51" s="8" t="str" cm="1">
        <f t="array" ref="J51">GetValue("Domains",F51,"#DataType")</f>
        <v>nvarchar(15)</v>
      </c>
      <c r="K51" s="8" t="s">
        <v>78</v>
      </c>
      <c r="L51" s="8" t="s">
        <v>195</v>
      </c>
      <c r="M51" s="8" t="s">
        <v>196</v>
      </c>
      <c r="N51" s="8" t="s">
        <v>196</v>
      </c>
      <c r="O51" s="14"/>
      <c r="P51" s="15" t="s">
        <v>30</v>
      </c>
      <c r="Q51" s="14"/>
      <c r="R51" s="8" t="b">
        <v>0</v>
      </c>
      <c r="S51" s="8"/>
      <c r="T51" s="8" t="b">
        <v>1</v>
      </c>
      <c r="U51" s="8"/>
      <c r="V51" s="8" t="b">
        <v>1</v>
      </c>
      <c r="W51" s="8" t="b">
        <v>1</v>
      </c>
      <c r="X51" s="8" t="b">
        <v>1</v>
      </c>
      <c r="Y51" s="8" t="b">
        <v>0</v>
      </c>
      <c r="Z51" s="8"/>
    </row>
    <row r="52" spans="1:26" x14ac:dyDescent="0.3">
      <c r="A52" s="8">
        <f t="shared" si="2"/>
        <v>51</v>
      </c>
      <c r="B52" s="8">
        <v>6</v>
      </c>
      <c r="C52" s="8" t="str">
        <f t="array" ref="C52">GetValue("Tables",B52,"Name")</f>
        <v>Menus</v>
      </c>
      <c r="D52" s="8" t="str" cm="1">
        <f t="array" ref="D52">GetValue("Tables",B52,"Alias")</f>
        <v>Mnu</v>
      </c>
      <c r="E52" s="8">
        <f t="shared" si="5"/>
        <v>25</v>
      </c>
      <c r="F52" s="8">
        <v>10</v>
      </c>
      <c r="G52" s="8" t="str">
        <f t="array" ref="G52">GetValue("Domains",F52,"Name")</f>
        <v>Nvarchar(25)</v>
      </c>
      <c r="H52" s="8" t="str" cm="1">
        <f t="array" ref="H52">GetValue("Domains",F52,"#CategoryName")</f>
        <v>string</v>
      </c>
      <c r="I52" s="8" t="str" cm="1">
        <f t="array" ref="I52">GetValue("Domains",F52,"#TypeName")</f>
        <v>nvarchar</v>
      </c>
      <c r="J52" s="8" t="str" cm="1">
        <f t="array" ref="J52">GetValue("Domains",F52,"#DataType")</f>
        <v>nvarchar(25)</v>
      </c>
      <c r="K52" s="8" t="s">
        <v>79</v>
      </c>
      <c r="L52" s="8" t="s">
        <v>197</v>
      </c>
      <c r="M52" s="8" t="s">
        <v>198</v>
      </c>
      <c r="N52" s="8" t="s">
        <v>198</v>
      </c>
      <c r="O52" s="14"/>
      <c r="P52" s="15" t="s">
        <v>30</v>
      </c>
      <c r="Q52" s="14"/>
      <c r="R52" s="8" t="b">
        <v>0</v>
      </c>
      <c r="S52" s="8"/>
      <c r="T52" s="8" t="b">
        <v>1</v>
      </c>
      <c r="U52" s="8"/>
      <c r="V52" s="8" t="b">
        <v>0</v>
      </c>
      <c r="W52" s="8" t="b">
        <v>1</v>
      </c>
      <c r="X52" s="8" t="b">
        <v>1</v>
      </c>
      <c r="Y52" s="8" t="b">
        <v>0</v>
      </c>
      <c r="Z52" s="8"/>
    </row>
    <row r="53" spans="1:26" x14ac:dyDescent="0.3">
      <c r="A53" s="8">
        <f t="shared" si="2"/>
        <v>52</v>
      </c>
      <c r="B53" s="8">
        <v>6</v>
      </c>
      <c r="C53" s="8" t="str">
        <f t="array" ref="C53">GetValue("Tables",B53,"Name")</f>
        <v>Menus</v>
      </c>
      <c r="D53" s="8" t="str" cm="1">
        <f t="array" ref="D53">GetValue("Tables",B53,"Alias")</f>
        <v>Mnu</v>
      </c>
      <c r="E53" s="8">
        <f t="shared" si="5"/>
        <v>30</v>
      </c>
      <c r="F53" s="8">
        <v>10</v>
      </c>
      <c r="G53" s="8" t="str">
        <f t="array" ref="G53">GetValue("Domains",F53,"Name")</f>
        <v>Nvarchar(25)</v>
      </c>
      <c r="H53" s="8" t="str" cm="1">
        <f t="array" ref="H53">GetValue("Domains",F53,"#CategoryName")</f>
        <v>string</v>
      </c>
      <c r="I53" s="8" t="str" cm="1">
        <f t="array" ref="I53">GetValue("Domains",F53,"#TypeName")</f>
        <v>nvarchar</v>
      </c>
      <c r="J53" s="8" t="str" cm="1">
        <f t="array" ref="J53">GetValue("Domains",F53,"#DataType")</f>
        <v>nvarchar(25)</v>
      </c>
      <c r="K53" s="8" t="s">
        <v>80</v>
      </c>
      <c r="L53" s="8" t="s">
        <v>199</v>
      </c>
      <c r="M53" s="8" t="s">
        <v>200</v>
      </c>
      <c r="N53" s="8" t="s">
        <v>200</v>
      </c>
      <c r="O53" s="14"/>
      <c r="P53" s="15" t="s">
        <v>30</v>
      </c>
      <c r="Q53" s="14"/>
      <c r="R53" s="8" t="b">
        <v>0</v>
      </c>
      <c r="S53" s="8"/>
      <c r="T53" s="8" t="b">
        <v>0</v>
      </c>
      <c r="U53" s="8"/>
      <c r="V53" s="8" t="b">
        <v>0</v>
      </c>
      <c r="W53" s="8" t="b">
        <v>1</v>
      </c>
      <c r="X53" s="8" t="b">
        <v>1</v>
      </c>
      <c r="Y53" s="8" t="b">
        <v>0</v>
      </c>
      <c r="Z53" s="8"/>
    </row>
    <row r="54" spans="1:26" x14ac:dyDescent="0.3">
      <c r="A54" s="8">
        <f t="shared" si="2"/>
        <v>53</v>
      </c>
      <c r="B54" s="8">
        <v>6</v>
      </c>
      <c r="C54" s="8" t="str">
        <f t="array" ref="C54">GetValue("Tables",B54,"Name")</f>
        <v>Menus</v>
      </c>
      <c r="D54" s="8" t="str" cm="1">
        <f t="array" ref="D54">GetValue("Tables",B54,"Alias")</f>
        <v>Mnu</v>
      </c>
      <c r="E54" s="8">
        <f t="shared" si="5"/>
        <v>35</v>
      </c>
      <c r="F54" s="8">
        <v>1</v>
      </c>
      <c r="G54" s="8" t="str">
        <f t="array" ref="G54">GetValue("Domains",F54,"Name")</f>
        <v>BigInteger</v>
      </c>
      <c r="H54" s="8" t="str" cm="1">
        <f t="array" ref="H54">GetValue("Domains",F54,"#CategoryName")</f>
        <v>number</v>
      </c>
      <c r="I54" s="8" t="str" cm="1">
        <f t="array" ref="I54">GetValue("Domains",F54,"#TypeName")</f>
        <v>bigint</v>
      </c>
      <c r="J54" s="8" t="str" cm="1">
        <f t="array" ref="J54">GetValue("Domains",F54,"#DataType")</f>
        <v>bigint</v>
      </c>
      <c r="K54" s="8" t="s">
        <v>81</v>
      </c>
      <c r="L54" s="8" t="s">
        <v>201</v>
      </c>
      <c r="M54" s="8" t="s">
        <v>202</v>
      </c>
      <c r="N54" s="8" t="s">
        <v>202</v>
      </c>
      <c r="O54" s="14"/>
      <c r="P54" s="15">
        <v>1</v>
      </c>
      <c r="Q54" s="14"/>
      <c r="R54" s="8" t="b">
        <v>0</v>
      </c>
      <c r="S54" s="8" t="b">
        <v>0</v>
      </c>
      <c r="T54" s="8" t="b">
        <v>0</v>
      </c>
      <c r="U54" s="8"/>
      <c r="V54" s="8" t="b">
        <v>0</v>
      </c>
      <c r="W54" s="8" t="b">
        <v>1</v>
      </c>
      <c r="X54" s="8" t="b">
        <v>0</v>
      </c>
      <c r="Y54" s="8"/>
      <c r="Z54" s="8" t="b">
        <v>0</v>
      </c>
    </row>
    <row r="55" spans="1:26" x14ac:dyDescent="0.3">
      <c r="A55" s="6">
        <f t="shared" si="2"/>
        <v>54</v>
      </c>
      <c r="B55" s="6">
        <v>7</v>
      </c>
      <c r="C55" s="6" t="str">
        <f t="array" ref="C55">GetValue("Tables",B55,"Name")</f>
        <v>Users</v>
      </c>
      <c r="D55" s="7" t="str" cm="1">
        <f t="array" ref="D55">GetValue("Tables",B55,"Alias")</f>
        <v>Usr</v>
      </c>
      <c r="E55" s="6">
        <v>5</v>
      </c>
      <c r="F55" s="6">
        <v>1</v>
      </c>
      <c r="G55" s="6" t="str">
        <f t="array" ref="G55">GetValue("Domains",F55,"Name")</f>
        <v>BigInteger</v>
      </c>
      <c r="H55" s="6" t="str" cm="1">
        <f t="array" ref="H55">GetValue("Domains",F55,"#CategoryName")</f>
        <v>number</v>
      </c>
      <c r="I55" s="6" t="str" cm="1">
        <f t="array" ref="I55">GetValue("Domains",F55,"#TypeName")</f>
        <v>bigint</v>
      </c>
      <c r="J55" s="6" t="str" cm="1">
        <f t="array" ref="J55">GetValue("Domains",F55,"#DataType")</f>
        <v>bigint</v>
      </c>
      <c r="K55" s="6" t="s">
        <v>0</v>
      </c>
      <c r="L55" s="6" t="s">
        <v>203</v>
      </c>
      <c r="M55" s="6" t="s">
        <v>145</v>
      </c>
      <c r="N55" s="6" t="s">
        <v>145</v>
      </c>
      <c r="O55" s="13"/>
      <c r="P55" s="13">
        <v>1</v>
      </c>
      <c r="Q55" s="13"/>
      <c r="R55" s="6" t="b">
        <v>1</v>
      </c>
      <c r="S55" s="6" t="b">
        <v>1</v>
      </c>
      <c r="T55" s="6" t="b">
        <v>1</v>
      </c>
      <c r="U55" s="6"/>
      <c r="V55" s="6" t="b">
        <v>1</v>
      </c>
      <c r="W55" s="6" t="b">
        <v>0</v>
      </c>
      <c r="X55" s="6" t="b">
        <v>0</v>
      </c>
      <c r="Y55" s="6"/>
      <c r="Z55" s="6" t="b">
        <v>0</v>
      </c>
    </row>
    <row r="56" spans="1:26" x14ac:dyDescent="0.3">
      <c r="A56" s="6">
        <f t="shared" si="2"/>
        <v>55</v>
      </c>
      <c r="B56" s="6">
        <v>7</v>
      </c>
      <c r="C56" s="6" t="str">
        <f t="array" ref="C56">GetValue("Tables",B56,"Name")</f>
        <v>Users</v>
      </c>
      <c r="D56" s="7" t="str" cm="1">
        <f t="array" ref="D56">GetValue("Tables",B56,"Alias")</f>
        <v>Usr</v>
      </c>
      <c r="E56" s="6">
        <f>E55+5</f>
        <v>10</v>
      </c>
      <c r="F56" s="6">
        <v>9</v>
      </c>
      <c r="G56" s="6" t="str">
        <f t="array" ref="G56">GetValue("Domains",F56,"Name")</f>
        <v>Nvarchar(20)</v>
      </c>
      <c r="H56" s="6" t="str" cm="1">
        <f t="array" ref="H56">GetValue("Domains",F56,"#CategoryName")</f>
        <v>string</v>
      </c>
      <c r="I56" s="6" t="str" cm="1">
        <f t="array" ref="I56">GetValue("Domains",F56,"#TypeName")</f>
        <v>nvarchar</v>
      </c>
      <c r="J56" s="6" t="str" cm="1">
        <f t="array" ref="J56">GetValue("Domains",F56,"#DataType")</f>
        <v>nvarchar(20)</v>
      </c>
      <c r="K56" s="6" t="s">
        <v>1</v>
      </c>
      <c r="L56" s="6" t="s">
        <v>204</v>
      </c>
      <c r="M56" s="6" t="s">
        <v>147</v>
      </c>
      <c r="N56" s="6" t="s">
        <v>147</v>
      </c>
      <c r="O56" s="13"/>
      <c r="P56" s="13" t="s">
        <v>30</v>
      </c>
      <c r="Q56" s="13"/>
      <c r="R56" s="6" t="b">
        <v>0</v>
      </c>
      <c r="S56" s="6"/>
      <c r="T56" s="6" t="b">
        <v>1</v>
      </c>
      <c r="U56" s="6" t="b">
        <v>1</v>
      </c>
      <c r="V56" s="6" t="b">
        <v>1</v>
      </c>
      <c r="W56" s="6" t="b">
        <v>1</v>
      </c>
      <c r="X56" s="6" t="b">
        <v>1</v>
      </c>
      <c r="Y56" s="6" t="b">
        <v>0</v>
      </c>
      <c r="Z56" s="6"/>
    </row>
    <row r="57" spans="1:26" x14ac:dyDescent="0.3">
      <c r="A57" s="6">
        <f t="shared" si="2"/>
        <v>56</v>
      </c>
      <c r="B57" s="6">
        <v>7</v>
      </c>
      <c r="C57" s="6" t="str">
        <f t="array" ref="C57">GetValue("Tables",B57,"Name")</f>
        <v>Users</v>
      </c>
      <c r="D57" s="7" t="str" cm="1">
        <f t="array" ref="D57">GetValue("Tables",B57,"Alias")</f>
        <v>Usr</v>
      </c>
      <c r="E57" s="6">
        <f>E56+5</f>
        <v>15</v>
      </c>
      <c r="F57" s="6">
        <v>11</v>
      </c>
      <c r="G57" s="6" t="str">
        <f t="array" ref="G57">GetValue("Domains",F57,"Name")</f>
        <v>Nvarchar(50)</v>
      </c>
      <c r="H57" s="6" t="str" cm="1">
        <f t="array" ref="H57">GetValue("Domains",F57,"#CategoryName")</f>
        <v>string</v>
      </c>
      <c r="I57" s="6" t="str" cm="1">
        <f t="array" ref="I57">GetValue("Domains",F57,"#TypeName")</f>
        <v>nvarchar</v>
      </c>
      <c r="J57" s="6" t="str" cm="1">
        <f t="array" ref="J57">GetValue("Domains",F57,"#DataType")</f>
        <v>nvarchar(50)</v>
      </c>
      <c r="K57" s="6" t="s">
        <v>106</v>
      </c>
      <c r="L57" s="6" t="s">
        <v>205</v>
      </c>
      <c r="M57" s="6" t="s">
        <v>206</v>
      </c>
      <c r="N57" s="6" t="s">
        <v>206</v>
      </c>
      <c r="O57" s="13"/>
      <c r="P57" s="13" t="s">
        <v>30</v>
      </c>
      <c r="Q57" s="13"/>
      <c r="R57" s="6" t="b">
        <v>0</v>
      </c>
      <c r="S57" s="6"/>
      <c r="T57" s="6" t="b">
        <v>1</v>
      </c>
      <c r="U57" s="6" t="b">
        <v>0</v>
      </c>
      <c r="V57" s="6" t="b">
        <v>0</v>
      </c>
      <c r="W57" s="6" t="b">
        <v>1</v>
      </c>
      <c r="X57" s="6" t="b">
        <v>0</v>
      </c>
      <c r="Y57" s="6" t="b">
        <v>1</v>
      </c>
      <c r="Z57" s="6"/>
    </row>
    <row r="58" spans="1:26" x14ac:dyDescent="0.3">
      <c r="A58" s="6">
        <f t="shared" si="2"/>
        <v>57</v>
      </c>
      <c r="B58" s="6">
        <v>7</v>
      </c>
      <c r="C58" s="6" t="str">
        <f t="array" ref="C58">GetValue("Tables",B58,"Name")</f>
        <v>Users</v>
      </c>
      <c r="D58" s="7" t="str" cm="1">
        <f t="array" ref="D58">GetValue("Tables",B58,"Alias")</f>
        <v>Usr</v>
      </c>
      <c r="E58" s="6">
        <f>E57+5</f>
        <v>20</v>
      </c>
      <c r="F58" s="6">
        <v>10</v>
      </c>
      <c r="G58" s="6" t="str">
        <f t="array" ref="G58">GetValue("Domains",F58,"Name")</f>
        <v>Nvarchar(25)</v>
      </c>
      <c r="H58" s="6" t="str" cm="1">
        <f t="array" ref="H58">GetValue("Domains",F58,"#CategoryName")</f>
        <v>string</v>
      </c>
      <c r="I58" s="6" t="str" cm="1">
        <f t="array" ref="I58">GetValue("Domains",F58,"#TypeName")</f>
        <v>nvarchar</v>
      </c>
      <c r="J58" s="6" t="str" cm="1">
        <f t="array" ref="J58">GetValue("Domains",F58,"#DataType")</f>
        <v>nvarchar(25)</v>
      </c>
      <c r="K58" s="6" t="s">
        <v>107</v>
      </c>
      <c r="L58" s="6" t="s">
        <v>207</v>
      </c>
      <c r="M58" s="6" t="s">
        <v>208</v>
      </c>
      <c r="N58" s="6" t="s">
        <v>208</v>
      </c>
      <c r="O58" s="13"/>
      <c r="P58" s="13" t="s">
        <v>30</v>
      </c>
      <c r="Q58" s="13"/>
      <c r="R58" s="6" t="b">
        <v>0</v>
      </c>
      <c r="S58" s="6"/>
      <c r="T58" s="6" t="b">
        <v>1</v>
      </c>
      <c r="U58" s="6" t="b">
        <v>0</v>
      </c>
      <c r="V58" s="6" t="b">
        <v>1</v>
      </c>
      <c r="W58" s="6" t="b">
        <v>1</v>
      </c>
      <c r="X58" s="6" t="b">
        <v>1</v>
      </c>
      <c r="Y58" s="6" t="b">
        <v>0</v>
      </c>
      <c r="Z58" s="6"/>
    </row>
    <row r="59" spans="1:26" x14ac:dyDescent="0.3">
      <c r="A59" s="6">
        <f t="shared" si="2"/>
        <v>58</v>
      </c>
      <c r="B59" s="6">
        <v>7</v>
      </c>
      <c r="C59" s="6" t="str">
        <f t="array" ref="C59">GetValue("Tables",B59,"Name")</f>
        <v>Users</v>
      </c>
      <c r="D59" s="7" t="str" cm="1">
        <f t="array" ref="D59">GetValue("Tables",B59,"Alias")</f>
        <v>Usr</v>
      </c>
      <c r="E59" s="6">
        <f>E58+5</f>
        <v>25</v>
      </c>
      <c r="F59" s="6">
        <v>5</v>
      </c>
      <c r="G59" s="6" t="str">
        <f t="array" ref="G59">GetValue("Domains",F59,"Name")</f>
        <v>TinyInteger</v>
      </c>
      <c r="H59" s="6" t="str" cm="1">
        <f t="array" ref="H59">GetValue("Domains",F59,"#CategoryName")</f>
        <v>number</v>
      </c>
      <c r="I59" s="6" t="str" cm="1">
        <f t="array" ref="I59">GetValue("Domains",F59,"#TypeName")</f>
        <v>tinyint</v>
      </c>
      <c r="J59" s="6" t="str" cm="1">
        <f t="array" ref="J59">GetValue("Domains",F59,"#DataType")</f>
        <v>tinyint</v>
      </c>
      <c r="K59" s="6" t="s">
        <v>108</v>
      </c>
      <c r="L59" s="6" t="s">
        <v>209</v>
      </c>
      <c r="M59" s="6" t="s">
        <v>209</v>
      </c>
      <c r="N59" s="6" t="s">
        <v>209</v>
      </c>
      <c r="O59" s="13">
        <v>0</v>
      </c>
      <c r="P59" s="13">
        <v>0</v>
      </c>
      <c r="Q59" s="13"/>
      <c r="R59" s="6" t="b">
        <v>0</v>
      </c>
      <c r="S59" s="6" t="b">
        <v>0</v>
      </c>
      <c r="T59" s="6" t="b">
        <v>1</v>
      </c>
      <c r="U59" s="6"/>
      <c r="V59" s="6" t="b">
        <v>0</v>
      </c>
      <c r="W59" s="6" t="b">
        <v>1</v>
      </c>
      <c r="X59" s="6" t="b">
        <v>1</v>
      </c>
      <c r="Y59" s="6"/>
      <c r="Z59" s="6" t="b">
        <v>0</v>
      </c>
    </row>
    <row r="60" spans="1:26" x14ac:dyDescent="0.3">
      <c r="A60" s="6">
        <f t="shared" si="2"/>
        <v>59</v>
      </c>
      <c r="B60" s="6">
        <v>7</v>
      </c>
      <c r="C60" s="6" t="str">
        <f t="array" ref="C60">GetValue("Tables",B60,"Name")</f>
        <v>Users</v>
      </c>
      <c r="D60" s="7" t="str" cm="1">
        <f t="array" ref="D60">GetValue("Tables",B60,"Alias")</f>
        <v>Usr</v>
      </c>
      <c r="E60" s="6">
        <f>E59+5</f>
        <v>30</v>
      </c>
      <c r="F60" s="6">
        <v>6</v>
      </c>
      <c r="G60" s="6" t="str">
        <f t="array" ref="G60">GetValue("Domains",F60,"Name")</f>
        <v>Boolean</v>
      </c>
      <c r="H60" s="6" t="str" cm="1">
        <f t="array" ref="H60">GetValue("Domains",F60,"#CategoryName")</f>
        <v>boolean</v>
      </c>
      <c r="I60" s="6" t="str" cm="1">
        <f t="array" ref="I60">GetValue("Domains",F60,"#TypeName")</f>
        <v>bit</v>
      </c>
      <c r="J60" s="6" t="str" cm="1">
        <f t="array" ref="J60">GetValue("Domains",F60,"#DataType")</f>
        <v>bit</v>
      </c>
      <c r="K60" s="6" t="s">
        <v>28</v>
      </c>
      <c r="L60" s="6" t="s">
        <v>210</v>
      </c>
      <c r="M60" s="6" t="s">
        <v>210</v>
      </c>
      <c r="N60" s="6" t="s">
        <v>210</v>
      </c>
      <c r="O60" s="13"/>
      <c r="P60" s="13" t="s">
        <v>30</v>
      </c>
      <c r="Q60" s="13"/>
      <c r="R60" s="6" t="b">
        <v>0</v>
      </c>
      <c r="S60" s="6"/>
      <c r="T60" s="6" t="b">
        <v>1</v>
      </c>
      <c r="U60" s="6"/>
      <c r="V60" s="6" t="b">
        <v>1</v>
      </c>
      <c r="W60" s="6" t="b">
        <v>1</v>
      </c>
      <c r="X60" s="6" t="b">
        <v>1</v>
      </c>
      <c r="Y60" s="6"/>
      <c r="Z60" s="6"/>
    </row>
    <row r="61" spans="1:26" x14ac:dyDescent="0.3">
      <c r="A61" s="8">
        <f t="shared" si="2"/>
        <v>60</v>
      </c>
      <c r="B61" s="8">
        <v>8</v>
      </c>
      <c r="C61" s="8" t="str">
        <f t="array" ref="C61">GetValue("Tables",B61,"Name")</f>
        <v>SystemsUsers</v>
      </c>
      <c r="D61" s="8" t="str" cm="1">
        <f t="array" ref="D61">GetValue("Tables",B61,"Alias")</f>
        <v>SysUsr</v>
      </c>
      <c r="E61" s="8">
        <v>5</v>
      </c>
      <c r="F61" s="8">
        <v>1</v>
      </c>
      <c r="G61" s="8" t="str">
        <f t="array" ref="G61">GetValue("Domains",F61,"Name")</f>
        <v>BigInteger</v>
      </c>
      <c r="H61" s="8" t="str" cm="1">
        <f t="array" ref="H61">GetValue("Domains",F61,"#CategoryName")</f>
        <v>number</v>
      </c>
      <c r="I61" s="8" t="str" cm="1">
        <f t="array" ref="I61">GetValue("Domains",F61,"#TypeName")</f>
        <v>bigint</v>
      </c>
      <c r="J61" s="8" t="str" cm="1">
        <f t="array" ref="J61">GetValue("Domains",F61,"#DataType")</f>
        <v>bigint</v>
      </c>
      <c r="K61" s="8" t="s">
        <v>0</v>
      </c>
      <c r="L61" s="8" t="s">
        <v>211</v>
      </c>
      <c r="M61" s="8" t="s">
        <v>192</v>
      </c>
      <c r="N61" s="8" t="s">
        <v>192</v>
      </c>
      <c r="O61" s="14"/>
      <c r="P61" s="15">
        <v>1</v>
      </c>
      <c r="Q61" s="15"/>
      <c r="R61" s="8" t="b">
        <v>1</v>
      </c>
      <c r="S61" s="8" t="b">
        <v>1</v>
      </c>
      <c r="T61" s="8" t="b">
        <v>1</v>
      </c>
      <c r="U61" s="8"/>
      <c r="V61" s="8" t="b">
        <v>1</v>
      </c>
      <c r="W61" s="8" t="b">
        <v>0</v>
      </c>
      <c r="X61" s="8" t="b">
        <v>0</v>
      </c>
      <c r="Y61" s="8"/>
      <c r="Z61" s="8" t="b">
        <v>0</v>
      </c>
    </row>
    <row r="62" spans="1:26" x14ac:dyDescent="0.3">
      <c r="A62" s="8">
        <f t="shared" si="2"/>
        <v>61</v>
      </c>
      <c r="B62" s="8">
        <v>8</v>
      </c>
      <c r="C62" s="8" t="str">
        <f t="array" ref="C62">GetValue("Tables",B62,"Name")</f>
        <v>SystemsUsers</v>
      </c>
      <c r="D62" s="8" t="str" cm="1">
        <f t="array" ref="D62">GetValue("Tables",B62,"Alias")</f>
        <v>SysUsr</v>
      </c>
      <c r="E62" s="8">
        <f>E61+5</f>
        <v>10</v>
      </c>
      <c r="F62" s="8">
        <v>1</v>
      </c>
      <c r="G62" s="8" t="str">
        <f t="array" ref="G62">GetValue("Domains",F62,"Name")</f>
        <v>BigInteger</v>
      </c>
      <c r="H62" s="8" t="str" cm="1">
        <f t="array" ref="H62">GetValue("Domains",F62,"#CategoryName")</f>
        <v>number</v>
      </c>
      <c r="I62" s="8" t="str" cm="1">
        <f t="array" ref="I62">GetValue("Domains",F62,"#TypeName")</f>
        <v>bigint</v>
      </c>
      <c r="J62" s="8" t="str" cm="1">
        <f t="array" ref="J62">GetValue("Domains",F62,"#DataType")</f>
        <v>bigint</v>
      </c>
      <c r="K62" s="8" t="s">
        <v>76</v>
      </c>
      <c r="L62" s="8" t="s">
        <v>182</v>
      </c>
      <c r="M62" s="8" t="s">
        <v>145</v>
      </c>
      <c r="N62" s="8" t="s">
        <v>145</v>
      </c>
      <c r="O62" s="14"/>
      <c r="P62" s="15">
        <v>1</v>
      </c>
      <c r="Q62" s="15"/>
      <c r="R62" s="8" t="b">
        <v>0</v>
      </c>
      <c r="S62" s="8" t="b">
        <v>0</v>
      </c>
      <c r="T62" s="8" t="b">
        <v>1</v>
      </c>
      <c r="U62" s="8"/>
      <c r="V62" s="8" t="b">
        <v>1</v>
      </c>
      <c r="W62" s="8" t="b">
        <v>1</v>
      </c>
      <c r="X62" s="8" t="b">
        <v>1</v>
      </c>
      <c r="Y62" s="8"/>
      <c r="Z62" s="8" t="b">
        <v>0</v>
      </c>
    </row>
    <row r="63" spans="1:26" x14ac:dyDescent="0.3">
      <c r="A63" s="8">
        <f t="shared" si="2"/>
        <v>62</v>
      </c>
      <c r="B63" s="8">
        <v>8</v>
      </c>
      <c r="C63" s="8" t="str">
        <f t="array" ref="C63">GetValue("Tables",B63,"Name")</f>
        <v>SystemsUsers</v>
      </c>
      <c r="D63" s="8" t="str" cm="1">
        <f t="array" ref="D63">GetValue("Tables",B63,"Alias")</f>
        <v>SysUsr</v>
      </c>
      <c r="E63" s="8">
        <f>E62+5</f>
        <v>15</v>
      </c>
      <c r="F63" s="8">
        <v>1</v>
      </c>
      <c r="G63" s="8" t="str">
        <f t="array" ref="G63">GetValue("Domains",F63,"Name")</f>
        <v>BigInteger</v>
      </c>
      <c r="H63" s="8" t="str" cm="1">
        <f t="array" ref="H63">GetValue("Domains",F63,"#CategoryName")</f>
        <v>number</v>
      </c>
      <c r="I63" s="8" t="str" cm="1">
        <f t="array" ref="I63">GetValue("Domains",F63,"#TypeName")</f>
        <v>bigint</v>
      </c>
      <c r="J63" s="8" t="str" cm="1">
        <f t="array" ref="J63">GetValue("Domains",F63,"#DataType")</f>
        <v>bigint</v>
      </c>
      <c r="K63" s="8" t="s">
        <v>110</v>
      </c>
      <c r="L63" s="8" t="s">
        <v>203</v>
      </c>
      <c r="M63" s="8" t="s">
        <v>212</v>
      </c>
      <c r="N63" s="8" t="s">
        <v>212</v>
      </c>
      <c r="O63" s="14"/>
      <c r="P63" s="15">
        <v>1</v>
      </c>
      <c r="Q63" s="15"/>
      <c r="R63" s="8" t="b">
        <v>0</v>
      </c>
      <c r="S63" s="8" t="b">
        <v>0</v>
      </c>
      <c r="T63" s="8" t="b">
        <v>1</v>
      </c>
      <c r="U63" s="8"/>
      <c r="V63" s="8" t="b">
        <v>1</v>
      </c>
      <c r="W63" s="8" t="b">
        <v>1</v>
      </c>
      <c r="X63" s="8" t="b">
        <v>1</v>
      </c>
      <c r="Y63" s="8"/>
      <c r="Z63" s="8" t="b">
        <v>0</v>
      </c>
    </row>
    <row r="64" spans="1:26" x14ac:dyDescent="0.3">
      <c r="A64" s="8">
        <f t="shared" si="2"/>
        <v>63</v>
      </c>
      <c r="B64" s="8">
        <v>8</v>
      </c>
      <c r="C64" s="8" t="str">
        <f t="array" ref="C64">GetValue("Tables",B64,"Name")</f>
        <v>SystemsUsers</v>
      </c>
      <c r="D64" s="8" t="str" cm="1">
        <f t="array" ref="D64">GetValue("Tables",B64,"Alias")</f>
        <v>SysUsr</v>
      </c>
      <c r="E64" s="8">
        <f>E63+5</f>
        <v>20</v>
      </c>
      <c r="F64" s="8">
        <v>10</v>
      </c>
      <c r="G64" s="8" t="str">
        <f t="array" ref="G64">GetValue("Domains",F64,"Name")</f>
        <v>Nvarchar(25)</v>
      </c>
      <c r="H64" s="8" t="str" cm="1">
        <f t="array" ref="H64">GetValue("Domains",F64,"#CategoryName")</f>
        <v>string</v>
      </c>
      <c r="I64" s="8" t="str" cm="1">
        <f t="array" ref="I64">GetValue("Domains",F64,"#TypeName")</f>
        <v>nvarchar</v>
      </c>
      <c r="J64" s="8" t="str" cm="1">
        <f t="array" ref="J64">GetValue("Domains",F64,"#DataType")</f>
        <v>nvarchar(25)</v>
      </c>
      <c r="K64" s="8" t="s">
        <v>1</v>
      </c>
      <c r="L64" s="8" t="s">
        <v>386</v>
      </c>
      <c r="M64" s="8" t="s">
        <v>147</v>
      </c>
      <c r="N64" s="8" t="s">
        <v>147</v>
      </c>
      <c r="O64" s="14"/>
      <c r="P64" s="15"/>
      <c r="Q64" s="15"/>
      <c r="R64" s="8" t="b">
        <v>0</v>
      </c>
      <c r="S64" s="8"/>
      <c r="T64" s="8" t="b">
        <v>1</v>
      </c>
      <c r="U64" s="8" t="b">
        <v>1</v>
      </c>
      <c r="V64" s="8" t="b">
        <v>1</v>
      </c>
      <c r="W64" s="8" t="b">
        <v>1</v>
      </c>
      <c r="X64" s="8" t="b">
        <v>1</v>
      </c>
      <c r="Y64" s="8" t="b">
        <v>0</v>
      </c>
      <c r="Z64" s="8"/>
    </row>
    <row r="65" spans="1:26" x14ac:dyDescent="0.3">
      <c r="A65" s="8">
        <f t="shared" si="2"/>
        <v>64</v>
      </c>
      <c r="B65" s="8">
        <v>10</v>
      </c>
      <c r="C65" s="8" t="str">
        <f t="array" ref="C65">GetValue("Tables",B65,"Name")</f>
        <v>SystemsDatabases</v>
      </c>
      <c r="D65" s="8" t="str" cm="1">
        <f t="array" ref="D65">GetValue("Tables",B65,"Alias")</f>
        <v>SysDb</v>
      </c>
      <c r="E65" s="8">
        <v>5</v>
      </c>
      <c r="F65" s="8">
        <v>1</v>
      </c>
      <c r="G65" s="8" t="str">
        <f t="array" ref="G65">GetValue("Domains",F65,"Name")</f>
        <v>BigInteger</v>
      </c>
      <c r="H65" s="8" t="str" cm="1">
        <f t="array" ref="H65">GetValue("Domains",F65,"#CategoryName")</f>
        <v>number</v>
      </c>
      <c r="I65" s="8" t="str" cm="1">
        <f t="array" ref="I65">GetValue("Domains",F65,"#TypeName")</f>
        <v>bigint</v>
      </c>
      <c r="J65" s="8" t="str" cm="1">
        <f t="array" ref="J65">GetValue("Domains",F65,"#DataType")</f>
        <v>bigint</v>
      </c>
      <c r="K65" s="8" t="s">
        <v>0</v>
      </c>
      <c r="L65" s="8" t="s">
        <v>213</v>
      </c>
      <c r="M65" s="8" t="s">
        <v>145</v>
      </c>
      <c r="N65" s="8" t="s">
        <v>145</v>
      </c>
      <c r="O65" s="14"/>
      <c r="P65" s="15">
        <v>1</v>
      </c>
      <c r="Q65" s="15"/>
      <c r="R65" s="8" t="b">
        <v>1</v>
      </c>
      <c r="S65" s="8" t="b">
        <v>1</v>
      </c>
      <c r="T65" s="8" t="b">
        <v>1</v>
      </c>
      <c r="U65" s="8"/>
      <c r="V65" s="8" t="b">
        <v>1</v>
      </c>
      <c r="W65" s="8" t="b">
        <v>0</v>
      </c>
      <c r="X65" s="8" t="b">
        <v>0</v>
      </c>
      <c r="Y65" s="8"/>
      <c r="Z65" s="8" t="b">
        <v>0</v>
      </c>
    </row>
    <row r="66" spans="1:26" x14ac:dyDescent="0.3">
      <c r="A66" s="8">
        <f t="shared" si="2"/>
        <v>65</v>
      </c>
      <c r="B66" s="8">
        <v>10</v>
      </c>
      <c r="C66" s="8" t="str">
        <f t="array" ref="C66">GetValue("Tables",B66,"Name")</f>
        <v>SystemsDatabases</v>
      </c>
      <c r="D66" s="8" t="str" cm="1">
        <f t="array" ref="D66">GetValue("Tables",B66,"Alias")</f>
        <v>SysDb</v>
      </c>
      <c r="E66" s="8">
        <f>E65+5</f>
        <v>10</v>
      </c>
      <c r="F66" s="8">
        <v>1</v>
      </c>
      <c r="G66" s="8" t="str">
        <f t="array" ref="G66">GetValue("Domains",F66,"Name")</f>
        <v>BigInteger</v>
      </c>
      <c r="H66" s="8" t="str" cm="1">
        <f t="array" ref="H66">GetValue("Domains",F66,"#CategoryName")</f>
        <v>number</v>
      </c>
      <c r="I66" s="8" t="str" cm="1">
        <f t="array" ref="I66">GetValue("Domains",F66,"#TypeName")</f>
        <v>bigint</v>
      </c>
      <c r="J66" s="8" t="str" cm="1">
        <f t="array" ref="J66">GetValue("Domains",F66,"#DataType")</f>
        <v>bigint</v>
      </c>
      <c r="K66" s="8" t="s">
        <v>420</v>
      </c>
      <c r="L66" s="8" t="s">
        <v>421</v>
      </c>
      <c r="M66" s="8" t="s">
        <v>422</v>
      </c>
      <c r="N66" s="8" t="s">
        <v>422</v>
      </c>
      <c r="O66" s="14"/>
      <c r="P66" s="15">
        <v>1</v>
      </c>
      <c r="Q66" s="15"/>
      <c r="R66" s="8" t="b">
        <v>0</v>
      </c>
      <c r="S66" s="8" t="b">
        <v>0</v>
      </c>
      <c r="T66" s="8" t="b">
        <v>1</v>
      </c>
      <c r="U66" s="8"/>
      <c r="V66" s="8" t="b">
        <v>1</v>
      </c>
      <c r="W66" s="8" t="b">
        <v>1</v>
      </c>
      <c r="X66" s="8" t="b">
        <v>1</v>
      </c>
      <c r="Y66" s="8"/>
      <c r="Z66" s="8" t="b">
        <v>0</v>
      </c>
    </row>
    <row r="67" spans="1:26" x14ac:dyDescent="0.3">
      <c r="A67" s="8">
        <f t="shared" si="2"/>
        <v>66</v>
      </c>
      <c r="B67" s="8">
        <v>10</v>
      </c>
      <c r="C67" s="8" t="str">
        <f t="array" ref="C67">GetValue("Tables",B67,"Name")</f>
        <v>SystemsDatabases</v>
      </c>
      <c r="D67" s="8" t="str" cm="1">
        <f t="array" ref="D67">GetValue("Tables",B67,"Alias")</f>
        <v>SysDb</v>
      </c>
      <c r="E67" s="8">
        <f t="shared" ref="E67:E72" si="6">E66+5</f>
        <v>15</v>
      </c>
      <c r="F67" s="8">
        <v>9</v>
      </c>
      <c r="G67" s="8" t="str">
        <f t="array" ref="G67">GetValue("Domains",F67,"Name")</f>
        <v>Nvarchar(20)</v>
      </c>
      <c r="H67" s="8" t="str" cm="1">
        <f t="array" ref="H67">GetValue("Domains",F67,"#CategoryName")</f>
        <v>string</v>
      </c>
      <c r="I67" s="8" t="str" cm="1">
        <f t="array" ref="I67">GetValue("Domains",F67,"#TypeName")</f>
        <v>nvarchar</v>
      </c>
      <c r="J67" s="8" t="str" cm="1">
        <f t="array" ref="J67">GetValue("Domains",F67,"#DataType")</f>
        <v>nvarchar(20)</v>
      </c>
      <c r="K67" s="8" t="s">
        <v>1</v>
      </c>
      <c r="L67" s="8" t="s">
        <v>214</v>
      </c>
      <c r="M67" s="8" t="s">
        <v>147</v>
      </c>
      <c r="N67" s="8" t="s">
        <v>147</v>
      </c>
      <c r="O67" s="14"/>
      <c r="P67" s="15" t="s">
        <v>30</v>
      </c>
      <c r="Q67" s="15"/>
      <c r="R67" s="8" t="b">
        <v>0</v>
      </c>
      <c r="S67" s="8"/>
      <c r="T67" s="8" t="b">
        <v>1</v>
      </c>
      <c r="U67" s="8" t="b">
        <v>1</v>
      </c>
      <c r="V67" s="8" t="b">
        <v>1</v>
      </c>
      <c r="W67" s="8" t="b">
        <v>1</v>
      </c>
      <c r="X67" s="8" t="b">
        <v>1</v>
      </c>
      <c r="Y67" s="8" t="b">
        <v>0</v>
      </c>
      <c r="Z67" s="8"/>
    </row>
    <row r="68" spans="1:26" x14ac:dyDescent="0.3">
      <c r="A68" s="8">
        <f>ROW(A68)-1</f>
        <v>67</v>
      </c>
      <c r="B68" s="8">
        <v>10</v>
      </c>
      <c r="C68" s="8" t="str">
        <f t="array" ref="C68">GetValue("Tables",B68,"Name")</f>
        <v>SystemsDatabases</v>
      </c>
      <c r="D68" s="8" t="str" cm="1">
        <f t="array" ref="D68">GetValue("Tables",B68,"Alias")</f>
        <v>SysDb</v>
      </c>
      <c r="E68" s="8">
        <f t="shared" si="6"/>
        <v>20</v>
      </c>
      <c r="F68" s="8">
        <v>9</v>
      </c>
      <c r="G68" s="8" t="str">
        <f t="array" ref="G68">GetValue("Domains",F68,"Name")</f>
        <v>Nvarchar(20)</v>
      </c>
      <c r="H68" s="8" t="str" cm="1">
        <f t="array" ref="H68">GetValue("Domains",F68,"#CategoryName")</f>
        <v>string</v>
      </c>
      <c r="I68" s="8" t="str" cm="1">
        <f t="array" ref="I68">GetValue("Domains",F68,"#TypeName")</f>
        <v>nvarchar</v>
      </c>
      <c r="J68" s="8" t="str" cm="1">
        <f t="array" ref="J68">GetValue("Domains",F68,"#DataType")</f>
        <v>nvarchar(20)</v>
      </c>
      <c r="K68" s="8" t="s">
        <v>111</v>
      </c>
      <c r="L68" s="8" t="s">
        <v>216</v>
      </c>
      <c r="M68" s="8" t="s">
        <v>111</v>
      </c>
      <c r="N68" s="8" t="s">
        <v>111</v>
      </c>
      <c r="O68" s="14"/>
      <c r="P68" s="15" t="s">
        <v>30</v>
      </c>
      <c r="Q68" s="15"/>
      <c r="R68" s="8" t="b">
        <v>0</v>
      </c>
      <c r="S68" s="8"/>
      <c r="T68" s="8" t="b">
        <v>1</v>
      </c>
      <c r="U68" s="8" t="b">
        <v>0</v>
      </c>
      <c r="V68" s="8" t="b">
        <v>1</v>
      </c>
      <c r="W68" s="8" t="b">
        <v>1</v>
      </c>
      <c r="X68" s="8" t="b">
        <v>1</v>
      </c>
      <c r="Y68" s="8" t="b">
        <v>0</v>
      </c>
      <c r="Z68" s="8"/>
    </row>
    <row r="69" spans="1:26" x14ac:dyDescent="0.3">
      <c r="A69" s="8">
        <f t="shared" si="2"/>
        <v>68</v>
      </c>
      <c r="B69" s="8">
        <v>10</v>
      </c>
      <c r="C69" s="8" t="str">
        <f t="array" ref="C69">GetValue("Tables",B69,"Name")</f>
        <v>SystemsDatabases</v>
      </c>
      <c r="D69" s="8" t="str" cm="1">
        <f t="array" ref="D69">GetValue("Tables",B69,"Alias")</f>
        <v>SysDb</v>
      </c>
      <c r="E69" s="8">
        <f t="shared" si="6"/>
        <v>25</v>
      </c>
      <c r="F69" s="8">
        <v>10</v>
      </c>
      <c r="G69" s="8" t="str">
        <f t="array" ref="G69">GetValue("Domains",F69,"Name")</f>
        <v>Nvarchar(25)</v>
      </c>
      <c r="H69" s="8" t="str" cm="1">
        <f t="array" ref="H69">GetValue("Domains",F69,"#CategoryName")</f>
        <v>string</v>
      </c>
      <c r="I69" s="8" t="str" cm="1">
        <f t="array" ref="I69">GetValue("Domains",F69,"#TypeName")</f>
        <v>nvarchar</v>
      </c>
      <c r="J69" s="8" t="str" cm="1">
        <f t="array" ref="J69">GetValue("Domains",F69,"#DataType")</f>
        <v>nvarchar(25)</v>
      </c>
      <c r="K69" s="8" t="s">
        <v>73</v>
      </c>
      <c r="L69" s="8" t="s">
        <v>215</v>
      </c>
      <c r="M69" s="8" t="s">
        <v>185</v>
      </c>
      <c r="N69" s="8" t="s">
        <v>185</v>
      </c>
      <c r="O69" s="14"/>
      <c r="P69" s="15" t="s">
        <v>30</v>
      </c>
      <c r="Q69" s="15"/>
      <c r="R69" s="8" t="b">
        <v>0</v>
      </c>
      <c r="S69" s="8"/>
      <c r="T69" s="8" t="b">
        <v>1</v>
      </c>
      <c r="U69" s="8" t="b">
        <v>0</v>
      </c>
      <c r="V69" s="8" t="b">
        <v>0</v>
      </c>
      <c r="W69" s="8" t="b">
        <v>1</v>
      </c>
      <c r="X69" s="8" t="b">
        <v>1</v>
      </c>
      <c r="Y69" s="8" t="b">
        <v>0</v>
      </c>
      <c r="Z69" s="8"/>
    </row>
    <row r="70" spans="1:26" x14ac:dyDescent="0.3">
      <c r="A70" s="8">
        <f t="shared" si="2"/>
        <v>69</v>
      </c>
      <c r="B70" s="8">
        <v>10</v>
      </c>
      <c r="C70" s="8" t="str">
        <f t="array" ref="C70">GetValue("Tables",B70,"Name")</f>
        <v>SystemsDatabases</v>
      </c>
      <c r="D70" s="8" t="str" cm="1">
        <f t="array" ref="D70">GetValue("Tables",B70,"Alias")</f>
        <v>SysDb</v>
      </c>
      <c r="E70" s="8">
        <f t="shared" si="6"/>
        <v>30</v>
      </c>
      <c r="F70" s="8">
        <v>11</v>
      </c>
      <c r="G70" s="8" t="str">
        <f t="array" ref="G70">GetValue("Domains",F70,"Name")</f>
        <v>Nvarchar(50)</v>
      </c>
      <c r="H70" s="8" t="str" cm="1">
        <f t="array" ref="H70">GetValue("Domains",F70,"#CategoryName")</f>
        <v>string</v>
      </c>
      <c r="I70" s="8" t="str" cm="1">
        <f t="array" ref="I70">GetValue("Domains",F70,"#TypeName")</f>
        <v>nvarchar</v>
      </c>
      <c r="J70" s="8" t="str" cm="1">
        <f t="array" ref="J70">GetValue("Domains",F70,"#DataType")</f>
        <v>nvarchar(50)</v>
      </c>
      <c r="K70" s="8" t="s">
        <v>112</v>
      </c>
      <c r="L70" s="8" t="s">
        <v>217</v>
      </c>
      <c r="M70" s="8" t="s">
        <v>218</v>
      </c>
      <c r="N70" s="8" t="s">
        <v>218</v>
      </c>
      <c r="O70" s="14"/>
      <c r="P70" s="15" t="s">
        <v>30</v>
      </c>
      <c r="Q70" s="15"/>
      <c r="R70" s="8" t="b">
        <v>0</v>
      </c>
      <c r="S70" s="8"/>
      <c r="T70" s="8" t="b">
        <v>0</v>
      </c>
      <c r="U70" s="8" t="b">
        <v>0</v>
      </c>
      <c r="V70" s="8" t="b">
        <v>0</v>
      </c>
      <c r="W70" s="8" t="b">
        <v>1</v>
      </c>
      <c r="X70" s="8" t="b">
        <v>0</v>
      </c>
      <c r="Y70" s="8" t="b">
        <v>1</v>
      </c>
      <c r="Z70" s="8"/>
    </row>
    <row r="71" spans="1:26" x14ac:dyDescent="0.3">
      <c r="A71" s="8">
        <f>ROW(A71)-1</f>
        <v>70</v>
      </c>
      <c r="B71" s="8">
        <v>10</v>
      </c>
      <c r="C71" s="8" t="str">
        <f t="array" ref="C71">GetValue("Tables",B71,"Name")</f>
        <v>SystemsDatabases</v>
      </c>
      <c r="D71" s="8" t="str" cm="1">
        <f t="array" ref="D71">GetValue("Tables",B71,"Alias")</f>
        <v>SysDb</v>
      </c>
      <c r="E71" s="8">
        <f t="shared" si="6"/>
        <v>35</v>
      </c>
      <c r="F71" s="8">
        <v>6</v>
      </c>
      <c r="G71" s="8" t="str">
        <f t="array" ref="G71">GetValue("Domains",F71,"Name")</f>
        <v>Boolean</v>
      </c>
      <c r="H71" s="8" t="str" cm="1">
        <f t="array" ref="H71">GetValue("Domains",F71,"#CategoryName")</f>
        <v>boolean</v>
      </c>
      <c r="I71" s="8" t="str" cm="1">
        <f t="array" ref="I71">GetValue("Domains",F71,"#TypeName")</f>
        <v>bit</v>
      </c>
      <c r="J71" s="8" t="str" cm="1">
        <f t="array" ref="J71">GetValue("Domains",F71,"#DataType")</f>
        <v>bit</v>
      </c>
      <c r="K71" s="8" t="s">
        <v>401</v>
      </c>
      <c r="L71" s="8" t="s">
        <v>425</v>
      </c>
      <c r="M71" s="8" t="s">
        <v>426</v>
      </c>
      <c r="N71" s="8" t="s">
        <v>426</v>
      </c>
      <c r="O71" s="14"/>
      <c r="P71" s="15"/>
      <c r="Q71" s="15"/>
      <c r="R71" s="8"/>
      <c r="S71" s="8"/>
      <c r="T71" s="8" t="b">
        <v>1</v>
      </c>
      <c r="U71" s="8"/>
      <c r="V71" s="8" t="b">
        <v>0</v>
      </c>
      <c r="W71" s="8" t="b">
        <v>1</v>
      </c>
      <c r="X71" s="8" t="b">
        <v>1</v>
      </c>
      <c r="Y71" s="8"/>
      <c r="Z71" s="8"/>
    </row>
    <row r="72" spans="1:26" x14ac:dyDescent="0.3">
      <c r="A72" s="8">
        <f t="shared" si="2"/>
        <v>71</v>
      </c>
      <c r="B72" s="8">
        <v>10</v>
      </c>
      <c r="C72" s="8" t="str">
        <f t="array" ref="C72">GetValue("Tables",B72,"Name")</f>
        <v>SystemsDatabases</v>
      </c>
      <c r="D72" s="8" t="str" cm="1">
        <f t="array" ref="D72">GetValue("Tables",B72,"Alias")</f>
        <v>SysDb</v>
      </c>
      <c r="E72" s="8">
        <f t="shared" si="6"/>
        <v>40</v>
      </c>
      <c r="F72" s="8">
        <v>1</v>
      </c>
      <c r="G72" s="8" t="str">
        <f t="array" ref="G72">GetValue("Domains",F72,"Name")</f>
        <v>BigInteger</v>
      </c>
      <c r="H72" s="8" t="str" cm="1">
        <f t="array" ref="H72">GetValue("Domains",F72,"#CategoryName")</f>
        <v>number</v>
      </c>
      <c r="I72" s="8" t="str" cm="1">
        <f t="array" ref="I72">GetValue("Domains",F72,"#TypeName")</f>
        <v>bigint</v>
      </c>
      <c r="J72" s="8" t="str" cm="1">
        <f t="array" ref="J72">GetValue("Domains",F72,"#DataType")</f>
        <v>bigint</v>
      </c>
      <c r="K72" s="8" t="s">
        <v>419</v>
      </c>
      <c r="L72" s="8" t="s">
        <v>424</v>
      </c>
      <c r="M72" s="8" t="s">
        <v>423</v>
      </c>
      <c r="N72" s="8" t="s">
        <v>423</v>
      </c>
      <c r="O72" s="14">
        <v>0</v>
      </c>
      <c r="P72" s="15">
        <v>0</v>
      </c>
      <c r="Q72" s="15"/>
      <c r="R72" s="8" t="b">
        <v>0</v>
      </c>
      <c r="S72" s="8" t="b">
        <v>0</v>
      </c>
      <c r="T72" s="8" t="b">
        <v>1</v>
      </c>
      <c r="U72" s="8"/>
      <c r="V72" s="8" t="b">
        <v>0</v>
      </c>
      <c r="W72" s="8" t="b">
        <v>0</v>
      </c>
      <c r="X72" s="8" t="b">
        <v>0</v>
      </c>
      <c r="Y72" s="8"/>
      <c r="Z72" s="8" t="b">
        <v>0</v>
      </c>
    </row>
    <row r="73" spans="1:26" x14ac:dyDescent="0.3">
      <c r="A73" s="6">
        <f t="shared" si="2"/>
        <v>72</v>
      </c>
      <c r="B73" s="6">
        <v>11</v>
      </c>
      <c r="C73" s="6" t="str">
        <f t="array" ref="C73">GetValue("Tables",B73,"Name")</f>
        <v>Tables</v>
      </c>
      <c r="D73" s="7" t="str" cm="1">
        <f t="array" ref="D73">GetValue("Tables",B73,"Alias")</f>
        <v>Tbl</v>
      </c>
      <c r="E73" s="6">
        <v>5</v>
      </c>
      <c r="F73" s="6">
        <v>1</v>
      </c>
      <c r="G73" s="6" t="str">
        <f t="array" ref="G73">GetValue("Domains",F73,"Name")</f>
        <v>BigInteger</v>
      </c>
      <c r="H73" s="6" t="str" cm="1">
        <f t="array" ref="H73">GetValue("Domains",F73,"#CategoryName")</f>
        <v>number</v>
      </c>
      <c r="I73" s="6" t="str" cm="1">
        <f t="array" ref="I73">GetValue("Domains",F73,"#TypeName")</f>
        <v>bigint</v>
      </c>
      <c r="J73" s="6" t="str" cm="1">
        <f t="array" ref="J73">GetValue("Domains",F73,"#DataType")</f>
        <v>bigint</v>
      </c>
      <c r="K73" s="6" t="s">
        <v>0</v>
      </c>
      <c r="L73" s="6" t="s">
        <v>219</v>
      </c>
      <c r="M73" s="6" t="s">
        <v>145</v>
      </c>
      <c r="N73" s="6" t="s">
        <v>145</v>
      </c>
      <c r="O73" s="13"/>
      <c r="P73" s="13">
        <v>1</v>
      </c>
      <c r="Q73" s="13"/>
      <c r="R73" s="6" t="b">
        <v>1</v>
      </c>
      <c r="S73" s="6" t="b">
        <v>1</v>
      </c>
      <c r="T73" s="6" t="b">
        <v>1</v>
      </c>
      <c r="U73" s="6"/>
      <c r="V73" s="6" t="b">
        <v>1</v>
      </c>
      <c r="W73" s="6" t="b">
        <v>0</v>
      </c>
      <c r="X73" s="6" t="b">
        <v>0</v>
      </c>
      <c r="Y73" s="6"/>
      <c r="Z73" s="6" t="b">
        <v>0</v>
      </c>
    </row>
    <row r="74" spans="1:26" x14ac:dyDescent="0.3">
      <c r="A74" s="6">
        <f t="shared" si="2"/>
        <v>73</v>
      </c>
      <c r="B74" s="6">
        <v>11</v>
      </c>
      <c r="C74" s="6" t="str">
        <f t="array" ref="C74">GetValue("Tables",B74,"Name")</f>
        <v>Tables</v>
      </c>
      <c r="D74" s="7" t="str" cm="1">
        <f t="array" ref="D74">GetValue("Tables",B74,"Alias")</f>
        <v>Tbl</v>
      </c>
      <c r="E74" s="6">
        <f>E73+5</f>
        <v>10</v>
      </c>
      <c r="F74" s="6">
        <v>1</v>
      </c>
      <c r="G74" s="6" t="str">
        <f t="array" ref="G74">GetValue("Domains",F74,"Name")</f>
        <v>BigInteger</v>
      </c>
      <c r="H74" s="6" t="str" cm="1">
        <f t="array" ref="H74">GetValue("Domains",F74,"#CategoryName")</f>
        <v>number</v>
      </c>
      <c r="I74" s="6" t="str" cm="1">
        <f t="array" ref="I74">GetValue("Domains",F74,"#TypeName")</f>
        <v>bigint</v>
      </c>
      <c r="J74" s="6" t="str" cm="1">
        <f t="array" ref="J74">GetValue("Domains",F74,"#DataType")</f>
        <v>bigint</v>
      </c>
      <c r="K74" s="6" t="s">
        <v>76</v>
      </c>
      <c r="L74" s="6" t="s">
        <v>182</v>
      </c>
      <c r="M74" s="6" t="s">
        <v>192</v>
      </c>
      <c r="N74" s="6" t="s">
        <v>192</v>
      </c>
      <c r="O74" s="13"/>
      <c r="P74" s="13">
        <v>1</v>
      </c>
      <c r="Q74" s="13"/>
      <c r="R74" s="6" t="b">
        <v>0</v>
      </c>
      <c r="S74" s="6" t="b">
        <v>0</v>
      </c>
      <c r="T74" s="6" t="b">
        <v>1</v>
      </c>
      <c r="U74" s="6"/>
      <c r="V74" s="6" t="b">
        <v>1</v>
      </c>
      <c r="W74" s="6" t="b">
        <v>1</v>
      </c>
      <c r="X74" s="6" t="b">
        <v>1</v>
      </c>
      <c r="Y74" s="6"/>
      <c r="Z74" s="6" t="b">
        <v>0</v>
      </c>
    </row>
    <row r="75" spans="1:26" x14ac:dyDescent="0.3">
      <c r="A75" s="6">
        <f t="shared" si="2"/>
        <v>74</v>
      </c>
      <c r="B75" s="6">
        <v>11</v>
      </c>
      <c r="C75" s="6" t="str">
        <f t="array" ref="C75">GetValue("Tables",B75,"Name")</f>
        <v>Tables</v>
      </c>
      <c r="D75" s="7" t="str" cm="1">
        <f t="array" ref="D75">GetValue("Tables",B75,"Alias")</f>
        <v>Tbl</v>
      </c>
      <c r="E75" s="6">
        <f>E74+5</f>
        <v>15</v>
      </c>
      <c r="F75" s="6">
        <v>1</v>
      </c>
      <c r="G75" s="6" t="str">
        <f t="array" ref="G75">GetValue("Domains",F75,"Name")</f>
        <v>BigInteger</v>
      </c>
      <c r="H75" s="6" t="str" cm="1">
        <f t="array" ref="H75">GetValue("Domains",F75,"#CategoryName")</f>
        <v>number</v>
      </c>
      <c r="I75" s="6" t="str" cm="1">
        <f t="array" ref="I75">GetValue("Domains",F75,"#TypeName")</f>
        <v>bigint</v>
      </c>
      <c r="J75" s="6" t="str" cm="1">
        <f t="array" ref="J75">GetValue("Domains",F75,"#DataType")</f>
        <v>bigint</v>
      </c>
      <c r="K75" s="6" t="s">
        <v>113</v>
      </c>
      <c r="L75" s="6" t="s">
        <v>213</v>
      </c>
      <c r="M75" s="6" t="s">
        <v>220</v>
      </c>
      <c r="N75" s="6" t="s">
        <v>220</v>
      </c>
      <c r="O75" s="13"/>
      <c r="P75" s="13">
        <v>1</v>
      </c>
      <c r="Q75" s="13"/>
      <c r="R75" s="6" t="b">
        <v>0</v>
      </c>
      <c r="S75" s="6" t="b">
        <v>0</v>
      </c>
      <c r="T75" s="6" t="b">
        <v>1</v>
      </c>
      <c r="U75" s="6"/>
      <c r="V75" s="6" t="b">
        <v>1</v>
      </c>
      <c r="W75" s="6" t="b">
        <v>1</v>
      </c>
      <c r="X75" s="6" t="b">
        <v>1</v>
      </c>
      <c r="Y75" s="6"/>
      <c r="Z75" s="6" t="b">
        <v>0</v>
      </c>
    </row>
    <row r="76" spans="1:26" x14ac:dyDescent="0.3">
      <c r="A76" s="6">
        <f t="shared" si="2"/>
        <v>75</v>
      </c>
      <c r="B76" s="6">
        <v>11</v>
      </c>
      <c r="C76" s="6" t="str">
        <f t="array" ref="C76">GetValue("Tables",B76,"Name")</f>
        <v>Tables</v>
      </c>
      <c r="D76" s="7" t="str" cm="1">
        <f t="array" ref="D76">GetValue("Tables",B76,"Alias")</f>
        <v>Tbl</v>
      </c>
      <c r="E76" s="6">
        <f>E75+5</f>
        <v>20</v>
      </c>
      <c r="F76" s="6">
        <v>10</v>
      </c>
      <c r="G76" s="6" t="str">
        <f t="array" ref="G76">GetValue("Domains",F76,"Name")</f>
        <v>Nvarchar(25)</v>
      </c>
      <c r="H76" s="6" t="str" cm="1">
        <f t="array" ref="H76">GetValue("Domains",F76,"#CategoryName")</f>
        <v>string</v>
      </c>
      <c r="I76" s="6" t="str" cm="1">
        <f t="array" ref="I76">GetValue("Domains",F76,"#TypeName")</f>
        <v>nvarchar</v>
      </c>
      <c r="J76" s="6" t="str" cm="1">
        <f t="array" ref="J76">GetValue("Domains",F76,"#DataType")</f>
        <v>nvarchar(25)</v>
      </c>
      <c r="K76" s="6" t="s">
        <v>1</v>
      </c>
      <c r="L76" s="6" t="s">
        <v>389</v>
      </c>
      <c r="M76" s="6" t="s">
        <v>147</v>
      </c>
      <c r="N76" s="6" t="s">
        <v>147</v>
      </c>
      <c r="O76" s="13"/>
      <c r="P76" s="13"/>
      <c r="Q76" s="13"/>
      <c r="R76" s="6" t="b">
        <v>0</v>
      </c>
      <c r="S76" s="6"/>
      <c r="T76" s="6" t="b">
        <v>1</v>
      </c>
      <c r="U76" s="6" t="b">
        <v>1</v>
      </c>
      <c r="V76" s="6" t="b">
        <v>1</v>
      </c>
      <c r="W76" s="6" t="b">
        <v>1</v>
      </c>
      <c r="X76" s="6" t="b">
        <v>1</v>
      </c>
      <c r="Y76" s="6" t="b">
        <v>0</v>
      </c>
      <c r="Z76" s="6"/>
    </row>
    <row r="77" spans="1:26" x14ac:dyDescent="0.3">
      <c r="A77" s="8">
        <f t="shared" si="2"/>
        <v>76</v>
      </c>
      <c r="B77" s="8">
        <v>12</v>
      </c>
      <c r="C77" s="8" t="str">
        <f t="array" ref="C77">GetValue("Tables",B77,"Name")</f>
        <v>DatabasesTables</v>
      </c>
      <c r="D77" s="8" t="str" cm="1">
        <f t="array" ref="D77">GetValue("Tables",B77,"Alias")</f>
        <v>DbTbl</v>
      </c>
      <c r="E77" s="8">
        <v>5</v>
      </c>
      <c r="F77" s="8">
        <v>1</v>
      </c>
      <c r="G77" s="8" t="str">
        <f t="array" ref="G77">GetValue("Domains",F77,"Name")</f>
        <v>BigInteger</v>
      </c>
      <c r="H77" s="8" t="str" cm="1">
        <f t="array" ref="H77">GetValue("Domains",F77,"#CategoryName")</f>
        <v>number</v>
      </c>
      <c r="I77" s="8" t="str" cm="1">
        <f t="array" ref="I77">GetValue("Domains",F77,"#TypeName")</f>
        <v>bigint</v>
      </c>
      <c r="J77" s="8" t="str" cm="1">
        <f t="array" ref="J77">GetValue("Domains",F77,"#DataType")</f>
        <v>bigint</v>
      </c>
      <c r="K77" s="8" t="s">
        <v>0</v>
      </c>
      <c r="L77" s="8" t="s">
        <v>221</v>
      </c>
      <c r="M77" s="8" t="s">
        <v>145</v>
      </c>
      <c r="N77" s="8" t="s">
        <v>145</v>
      </c>
      <c r="O77" s="14"/>
      <c r="P77" s="15">
        <v>1</v>
      </c>
      <c r="Q77" s="15"/>
      <c r="R77" s="8" t="b">
        <v>1</v>
      </c>
      <c r="S77" s="8" t="b">
        <v>1</v>
      </c>
      <c r="T77" s="8" t="b">
        <v>1</v>
      </c>
      <c r="U77" s="8"/>
      <c r="V77" s="8" t="b">
        <v>1</v>
      </c>
      <c r="W77" s="8" t="b">
        <v>0</v>
      </c>
      <c r="X77" s="8" t="b">
        <v>0</v>
      </c>
      <c r="Y77" s="8"/>
      <c r="Z77" s="8" t="b">
        <v>0</v>
      </c>
    </row>
    <row r="78" spans="1:26" x14ac:dyDescent="0.3">
      <c r="A78" s="8">
        <f t="shared" si="2"/>
        <v>77</v>
      </c>
      <c r="B78" s="8">
        <v>12</v>
      </c>
      <c r="C78" s="8" t="str">
        <f t="array" ref="C78">GetValue("Tables",B78,"Name")</f>
        <v>DatabasesTables</v>
      </c>
      <c r="D78" s="8" t="str" cm="1">
        <f t="array" ref="D78">GetValue("Tables",B78,"Alias")</f>
        <v>DbTbl</v>
      </c>
      <c r="E78" s="8">
        <f t="shared" ref="E78" si="7">E77+5</f>
        <v>10</v>
      </c>
      <c r="F78" s="8">
        <v>9</v>
      </c>
      <c r="G78" s="8" t="str">
        <f t="array" ref="G78">GetValue("Domains",F78,"Name")</f>
        <v>Nvarchar(20)</v>
      </c>
      <c r="H78" s="8" t="str" cm="1">
        <f t="array" ref="H78">GetValue("Domains",F78,"#CategoryName")</f>
        <v>string</v>
      </c>
      <c r="I78" s="8" t="str" cm="1">
        <f t="array" ref="I78">GetValue("Domains",F78,"#TypeName")</f>
        <v>nvarchar</v>
      </c>
      <c r="J78" s="8" t="str" cm="1">
        <f t="array" ref="J78">GetValue("Domains",F78,"#DataType")</f>
        <v>nvarchar(20)</v>
      </c>
      <c r="K78" s="8" t="s">
        <v>1</v>
      </c>
      <c r="L78" s="8" t="s">
        <v>222</v>
      </c>
      <c r="M78" s="8" t="s">
        <v>147</v>
      </c>
      <c r="N78" s="8" t="s">
        <v>147</v>
      </c>
      <c r="O78" s="14"/>
      <c r="P78" s="15" t="s">
        <v>30</v>
      </c>
      <c r="Q78" s="15"/>
      <c r="R78" s="8" t="b">
        <v>0</v>
      </c>
      <c r="S78" s="8"/>
      <c r="T78" s="8" t="b">
        <v>1</v>
      </c>
      <c r="U78" s="8" t="b">
        <v>1</v>
      </c>
      <c r="V78" s="8" t="b">
        <v>1</v>
      </c>
      <c r="W78" s="8" t="b">
        <v>1</v>
      </c>
      <c r="X78" s="8" t="b">
        <v>1</v>
      </c>
      <c r="Y78" s="8" t="b">
        <v>0</v>
      </c>
      <c r="Z78" s="8"/>
    </row>
    <row r="79" spans="1:26" x14ac:dyDescent="0.3">
      <c r="A79" s="8">
        <f t="shared" si="2"/>
        <v>78</v>
      </c>
      <c r="B79" s="8">
        <v>12</v>
      </c>
      <c r="C79" s="8" t="str">
        <f t="array" ref="C79">GetValue("Tables",B79,"Name")</f>
        <v>DatabasesTables</v>
      </c>
      <c r="D79" s="8" t="str" cm="1">
        <f t="array" ref="D79">GetValue("Tables",B79,"Alias")</f>
        <v>DbTbl</v>
      </c>
      <c r="E79" s="8">
        <f t="shared" ref="E79:E83" si="8">E78+5</f>
        <v>15</v>
      </c>
      <c r="F79" s="8">
        <v>9</v>
      </c>
      <c r="G79" s="8" t="str">
        <f t="array" ref="G79">GetValue("Domains",F79,"Name")</f>
        <v>Nvarchar(20)</v>
      </c>
      <c r="H79" s="8" t="str" cm="1">
        <f t="array" ref="H79">GetValue("Domains",F79,"#CategoryName")</f>
        <v>string</v>
      </c>
      <c r="I79" s="8" t="str" cm="1">
        <f t="array" ref="I79">GetValue("Domains",F79,"#TypeName")</f>
        <v>nvarchar</v>
      </c>
      <c r="J79" s="8" t="str" cm="1">
        <f t="array" ref="J79">GetValue("Domains",F79,"#DataType")</f>
        <v>nvarchar(20)</v>
      </c>
      <c r="K79" s="8" t="s">
        <v>111</v>
      </c>
      <c r="L79" s="8" t="s">
        <v>223</v>
      </c>
      <c r="M79" s="8" t="s">
        <v>111</v>
      </c>
      <c r="N79" s="8" t="s">
        <v>111</v>
      </c>
      <c r="O79" s="14"/>
      <c r="P79" s="15" t="s">
        <v>30</v>
      </c>
      <c r="Q79" s="15"/>
      <c r="R79" s="8" t="b">
        <v>0</v>
      </c>
      <c r="S79" s="8"/>
      <c r="T79" s="8" t="b">
        <v>1</v>
      </c>
      <c r="U79" s="8" t="b">
        <v>0</v>
      </c>
      <c r="V79" s="8" t="b">
        <v>1</v>
      </c>
      <c r="W79" s="8" t="b">
        <v>1</v>
      </c>
      <c r="X79" s="8" t="b">
        <v>1</v>
      </c>
      <c r="Y79" s="8" t="b">
        <v>0</v>
      </c>
      <c r="Z79" s="8"/>
    </row>
    <row r="80" spans="1:26" x14ac:dyDescent="0.3">
      <c r="A80" s="8">
        <f t="shared" ref="A80:A141" si="9">ROW(A80)-1</f>
        <v>79</v>
      </c>
      <c r="B80" s="8">
        <v>12</v>
      </c>
      <c r="C80" s="8" t="str">
        <f t="array" ref="C80">GetValue("Tables",B80,"Name")</f>
        <v>DatabasesTables</v>
      </c>
      <c r="D80" s="8" t="str" cm="1">
        <f t="array" ref="D80">GetValue("Tables",B80,"Alias")</f>
        <v>DbTbl</v>
      </c>
      <c r="E80" s="8">
        <f t="shared" si="8"/>
        <v>20</v>
      </c>
      <c r="F80" s="8">
        <v>10</v>
      </c>
      <c r="G80" s="8" t="str">
        <f t="array" ref="G80">GetValue("Domains",F80,"Name")</f>
        <v>Nvarchar(25)</v>
      </c>
      <c r="H80" s="8" t="str" cm="1">
        <f t="array" ref="H80">GetValue("Domains",F80,"#CategoryName")</f>
        <v>string</v>
      </c>
      <c r="I80" s="8" t="str" cm="1">
        <f t="array" ref="I80">GetValue("Domains",F80,"#TypeName")</f>
        <v>nvarchar</v>
      </c>
      <c r="J80" s="8" t="str" cm="1">
        <f t="array" ref="J80">GetValue("Domains",F80,"#DataType")</f>
        <v>nvarchar(25)</v>
      </c>
      <c r="K80" s="8" t="s">
        <v>73</v>
      </c>
      <c r="L80" s="8" t="s">
        <v>224</v>
      </c>
      <c r="M80" s="8" t="s">
        <v>185</v>
      </c>
      <c r="N80" s="8" t="s">
        <v>185</v>
      </c>
      <c r="O80" s="14"/>
      <c r="P80" s="15" t="s">
        <v>30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0</v>
      </c>
      <c r="W80" s="8" t="b">
        <v>1</v>
      </c>
      <c r="X80" s="8" t="b">
        <v>1</v>
      </c>
      <c r="Y80" s="8" t="b">
        <v>0</v>
      </c>
      <c r="Z80" s="8"/>
    </row>
    <row r="81" spans="1:26" x14ac:dyDescent="0.3">
      <c r="A81" s="8">
        <f t="shared" si="9"/>
        <v>80</v>
      </c>
      <c r="B81" s="8">
        <v>12</v>
      </c>
      <c r="C81" s="8" t="str">
        <f t="array" ref="C81">GetValue("Tables",B81,"Name")</f>
        <v>DatabasesTables</v>
      </c>
      <c r="D81" s="8" t="str" cm="1">
        <f t="array" ref="D81">GetValue("Tables",B81,"Alias")</f>
        <v>DbTbl</v>
      </c>
      <c r="E81" s="8">
        <f t="shared" si="8"/>
        <v>25</v>
      </c>
      <c r="F81" s="8">
        <v>1</v>
      </c>
      <c r="G81" s="8" t="str">
        <f t="array" ref="G81">GetValue("Domains",F81,"Name")</f>
        <v>BigInteger</v>
      </c>
      <c r="H81" s="8" t="str" cm="1">
        <f t="array" ref="H81">GetValue("Domains",F81,"#CategoryName")</f>
        <v>number</v>
      </c>
      <c r="I81" s="8" t="str" cm="1">
        <f t="array" ref="I81">GetValue("Domains",F81,"#TypeName")</f>
        <v>bigint</v>
      </c>
      <c r="J81" s="8" t="str" cm="1">
        <f t="array" ref="J81">GetValue("Domains",F81,"#DataType")</f>
        <v>bigint</v>
      </c>
      <c r="K81" s="8" t="s">
        <v>114</v>
      </c>
      <c r="L81" s="8" t="s">
        <v>335</v>
      </c>
      <c r="M81" s="8" t="s">
        <v>334</v>
      </c>
      <c r="N81" s="8" t="s">
        <v>334</v>
      </c>
      <c r="O81" s="14"/>
      <c r="P81" s="15">
        <v>0</v>
      </c>
      <c r="Q81" s="15"/>
      <c r="R81" s="8" t="b">
        <v>0</v>
      </c>
      <c r="S81" s="8" t="b">
        <v>0</v>
      </c>
      <c r="T81" s="8" t="b">
        <v>0</v>
      </c>
      <c r="U81" s="8" t="b">
        <v>0</v>
      </c>
      <c r="V81" s="8" t="b">
        <v>0</v>
      </c>
      <c r="W81" s="8" t="b">
        <v>0</v>
      </c>
      <c r="X81" s="8" t="b">
        <v>0</v>
      </c>
      <c r="Y81" s="8"/>
      <c r="Z81" s="8" t="b">
        <v>0</v>
      </c>
    </row>
    <row r="82" spans="1:26" x14ac:dyDescent="0.3">
      <c r="A82" s="8">
        <f t="shared" si="9"/>
        <v>81</v>
      </c>
      <c r="B82" s="8">
        <v>12</v>
      </c>
      <c r="C82" s="8" t="str">
        <f t="array" ref="C82">GetValue("Tables",B82,"Name")</f>
        <v>DatabasesTables</v>
      </c>
      <c r="D82" s="8" t="str" cm="1">
        <f t="array" ref="D82">GetValue("Tables",B82,"Alias")</f>
        <v>DbTbl</v>
      </c>
      <c r="E82" s="8">
        <f t="shared" si="8"/>
        <v>30</v>
      </c>
      <c r="F82" s="8">
        <v>6</v>
      </c>
      <c r="G82" s="8" t="str">
        <f t="array" ref="G82">GetValue("Domains",F82,"Name")</f>
        <v>Boolean</v>
      </c>
      <c r="H82" s="8" t="str" cm="1">
        <f t="array" ref="H82">GetValue("Domains",F82,"#CategoryName")</f>
        <v>boolean</v>
      </c>
      <c r="I82" s="8" t="str" cm="1">
        <f t="array" ref="I82">GetValue("Domains",F82,"#TypeName")</f>
        <v>bit</v>
      </c>
      <c r="J82" s="8" t="str" cm="1">
        <f t="array" ref="J82">GetValue("Domains",F82,"#DataType")</f>
        <v>bit</v>
      </c>
      <c r="K82" s="8" t="s">
        <v>401</v>
      </c>
      <c r="L82" s="8" t="s">
        <v>403</v>
      </c>
      <c r="M82" s="8" t="s">
        <v>402</v>
      </c>
      <c r="N82" s="8" t="s">
        <v>402</v>
      </c>
      <c r="O82" s="14"/>
      <c r="P82" s="15" t="s">
        <v>30</v>
      </c>
      <c r="Q82" s="15"/>
      <c r="R82" s="8" t="b">
        <v>0</v>
      </c>
      <c r="S82" s="8"/>
      <c r="T82" s="8" t="b">
        <v>1</v>
      </c>
      <c r="U82" s="8"/>
      <c r="V82" s="8" t="b">
        <v>1</v>
      </c>
      <c r="W82" s="8" t="b">
        <v>1</v>
      </c>
      <c r="X82" s="8" t="b">
        <v>1</v>
      </c>
      <c r="Y82" s="8"/>
      <c r="Z82" s="8"/>
    </row>
    <row r="83" spans="1:26" x14ac:dyDescent="0.3">
      <c r="A83" s="8">
        <f t="shared" si="9"/>
        <v>82</v>
      </c>
      <c r="B83" s="8">
        <v>12</v>
      </c>
      <c r="C83" s="8" t="str">
        <f t="array" ref="C83">GetValue("Tables",B83,"Name")</f>
        <v>DatabasesTables</v>
      </c>
      <c r="D83" s="8" t="str" cm="1">
        <f t="array" ref="D83">GetValue("Tables",B83,"Alias")</f>
        <v>DbTbl</v>
      </c>
      <c r="E83" s="8">
        <f t="shared" si="8"/>
        <v>35</v>
      </c>
      <c r="F83" s="8">
        <v>1</v>
      </c>
      <c r="G83" s="8" t="str">
        <f t="array" ref="G83">GetValue("Domains",F83,"Name")</f>
        <v>BigInteger</v>
      </c>
      <c r="H83" s="8" t="str" cm="1">
        <f t="array" ref="H83">GetValue("Domains",F83,"#CategoryName")</f>
        <v>number</v>
      </c>
      <c r="I83" s="8" t="str" cm="1">
        <f t="array" ref="I83">GetValue("Domains",F83,"#TypeName")</f>
        <v>bigint</v>
      </c>
      <c r="J83" s="8" t="str" cm="1">
        <f t="array" ref="J83">GetValue("Domains",F83,"#DataType")</f>
        <v>bigint</v>
      </c>
      <c r="K83" s="8" t="s">
        <v>326</v>
      </c>
      <c r="L83" s="8" t="s">
        <v>327</v>
      </c>
      <c r="M83" s="8" t="s">
        <v>327</v>
      </c>
      <c r="N83" s="8" t="s">
        <v>327</v>
      </c>
      <c r="O83" s="14">
        <v>0</v>
      </c>
      <c r="P83" s="15">
        <v>0</v>
      </c>
      <c r="Q83" s="15"/>
      <c r="R83" s="8" t="b">
        <v>0</v>
      </c>
      <c r="S83" s="8" t="b">
        <v>0</v>
      </c>
      <c r="T83" s="8" t="b">
        <v>1</v>
      </c>
      <c r="U83" s="8" t="b">
        <v>0</v>
      </c>
      <c r="V83" s="8" t="b">
        <v>0</v>
      </c>
      <c r="W83" s="8" t="b">
        <v>0</v>
      </c>
      <c r="X83" s="8" t="b">
        <v>0</v>
      </c>
      <c r="Y83" s="8"/>
      <c r="Z83" s="8" t="b">
        <v>0</v>
      </c>
    </row>
    <row r="84" spans="1:26" x14ac:dyDescent="0.3">
      <c r="A84" s="6">
        <f t="shared" si="9"/>
        <v>83</v>
      </c>
      <c r="B84" s="6">
        <v>13</v>
      </c>
      <c r="C84" s="6" t="str">
        <f t="array" ref="C84">GetValue("Tables",B84,"Name")</f>
        <v>Columns</v>
      </c>
      <c r="D84" s="7" t="str" cm="1">
        <f t="array" ref="D84">GetValue("Tables",B84,"Alias")</f>
        <v>Col</v>
      </c>
      <c r="E84" s="6">
        <v>5</v>
      </c>
      <c r="F84" s="6">
        <v>1</v>
      </c>
      <c r="G84" s="6" t="str">
        <f t="array" ref="G84">GetValue("Domains",F84,"Name")</f>
        <v>BigInteger</v>
      </c>
      <c r="H84" s="6" t="str" cm="1">
        <f t="array" ref="H84">GetValue("Domains",F84,"#CategoryName")</f>
        <v>number</v>
      </c>
      <c r="I84" s="6" t="str" cm="1">
        <f t="array" ref="I84">GetValue("Domains",F84,"#TypeName")</f>
        <v>bigint</v>
      </c>
      <c r="J84" s="6" t="str" cm="1">
        <f t="array" ref="J84">GetValue("Domains",F84,"#DataType")</f>
        <v>bigint</v>
      </c>
      <c r="K84" s="6" t="s">
        <v>0</v>
      </c>
      <c r="L84" s="6" t="s">
        <v>301</v>
      </c>
      <c r="M84" s="6" t="s">
        <v>145</v>
      </c>
      <c r="N84" s="6" t="s">
        <v>145</v>
      </c>
      <c r="O84" s="13"/>
      <c r="P84" s="13">
        <v>1</v>
      </c>
      <c r="Q84" s="13"/>
      <c r="R84" s="6" t="b">
        <v>1</v>
      </c>
      <c r="S84" s="6" t="b">
        <v>1</v>
      </c>
      <c r="T84" s="6" t="b">
        <v>1</v>
      </c>
      <c r="U84" s="6"/>
      <c r="V84" s="6" t="b">
        <v>1</v>
      </c>
      <c r="W84" s="6" t="b">
        <v>0</v>
      </c>
      <c r="X84" s="6" t="b">
        <v>0</v>
      </c>
      <c r="Y84" s="6"/>
      <c r="Z84" s="6" t="b">
        <v>0</v>
      </c>
    </row>
    <row r="85" spans="1:26" x14ac:dyDescent="0.3">
      <c r="A85" s="6">
        <f t="shared" si="9"/>
        <v>84</v>
      </c>
      <c r="B85" s="6">
        <v>13</v>
      </c>
      <c r="C85" s="6" t="str">
        <f t="array" ref="C85">GetValue("Tables",B85,"Name")</f>
        <v>Columns</v>
      </c>
      <c r="D85" s="7" t="str" cm="1">
        <f t="array" ref="D85">GetValue("Tables",B85,"Alias")</f>
        <v>Col</v>
      </c>
      <c r="E85" s="6">
        <f>E84+5</f>
        <v>10</v>
      </c>
      <c r="F85" s="6">
        <v>1</v>
      </c>
      <c r="G85" s="6" t="str">
        <f t="array" ref="G85">GetValue("Domains",F85,"Name")</f>
        <v>BigInteger</v>
      </c>
      <c r="H85" s="6" t="str" cm="1">
        <f t="array" ref="H85">GetValue("Domains",F85,"#CategoryName")</f>
        <v>number</v>
      </c>
      <c r="I85" s="6" t="str" cm="1">
        <f t="array" ref="I85">GetValue("Domains",F85,"#TypeName")</f>
        <v>bigint</v>
      </c>
      <c r="J85" s="6" t="str" cm="1">
        <f t="array" ref="J85">GetValue("Domains",F85,"#DataType")</f>
        <v>bigint</v>
      </c>
      <c r="K85" s="6" t="s">
        <v>113</v>
      </c>
      <c r="L85" s="6" t="s">
        <v>213</v>
      </c>
      <c r="M85" s="6" t="s">
        <v>192</v>
      </c>
      <c r="N85" s="6" t="s">
        <v>192</v>
      </c>
      <c r="O85" s="13"/>
      <c r="P85" s="13">
        <v>1</v>
      </c>
      <c r="Q85" s="13"/>
      <c r="R85" s="6" t="b">
        <v>0</v>
      </c>
      <c r="S85" s="6" t="b">
        <v>0</v>
      </c>
      <c r="T85" s="6" t="b">
        <v>1</v>
      </c>
      <c r="U85" s="6"/>
      <c r="V85" s="6" t="b">
        <v>1</v>
      </c>
      <c r="W85" s="6" t="b">
        <v>1</v>
      </c>
      <c r="X85" s="6" t="b">
        <v>1</v>
      </c>
      <c r="Y85" s="6"/>
      <c r="Z85" s="6" t="b">
        <v>0</v>
      </c>
    </row>
    <row r="86" spans="1:26" x14ac:dyDescent="0.3">
      <c r="A86" s="6">
        <f t="shared" si="9"/>
        <v>85</v>
      </c>
      <c r="B86" s="6">
        <v>13</v>
      </c>
      <c r="C86" s="6" t="str">
        <f t="array" ref="C86">GetValue("Tables",B86,"Name")</f>
        <v>Columns</v>
      </c>
      <c r="D86" s="7" t="str" cm="1">
        <f t="array" ref="D86">GetValue("Tables",B86,"Alias")</f>
        <v>Col</v>
      </c>
      <c r="E86" s="6">
        <f>E85+5</f>
        <v>15</v>
      </c>
      <c r="F86" s="6">
        <v>1</v>
      </c>
      <c r="G86" s="6" t="str">
        <f t="array" ref="G86">GetValue("Domains",F86,"Name")</f>
        <v>BigInteger</v>
      </c>
      <c r="H86" s="6" t="str" cm="1">
        <f t="array" ref="H86">GetValue("Domains",F86,"#CategoryName")</f>
        <v>number</v>
      </c>
      <c r="I86" s="6" t="str" cm="1">
        <f t="array" ref="I86">GetValue("Domains",F86,"#TypeName")</f>
        <v>bigint</v>
      </c>
      <c r="J86" s="6" t="str" cm="1">
        <f t="array" ref="J86">GetValue("Domains",F86,"#DataType")</f>
        <v>bigint</v>
      </c>
      <c r="K86" s="6" t="s">
        <v>133</v>
      </c>
      <c r="L86" s="6" t="s">
        <v>221</v>
      </c>
      <c r="M86" s="6" t="s">
        <v>220</v>
      </c>
      <c r="N86" s="6" t="s">
        <v>220</v>
      </c>
      <c r="O86" s="13"/>
      <c r="P86" s="13">
        <v>1</v>
      </c>
      <c r="Q86" s="13"/>
      <c r="R86" s="6" t="b">
        <v>0</v>
      </c>
      <c r="S86" s="6" t="b">
        <v>0</v>
      </c>
      <c r="T86" s="6" t="b">
        <v>1</v>
      </c>
      <c r="U86" s="6"/>
      <c r="V86" s="6" t="b">
        <v>1</v>
      </c>
      <c r="W86" s="6" t="b">
        <v>1</v>
      </c>
      <c r="X86" s="6" t="b">
        <v>1</v>
      </c>
      <c r="Y86" s="6"/>
      <c r="Z86" s="6" t="b">
        <v>0</v>
      </c>
    </row>
    <row r="87" spans="1:26" x14ac:dyDescent="0.3">
      <c r="A87" s="6">
        <f t="shared" si="9"/>
        <v>86</v>
      </c>
      <c r="B87" s="6">
        <v>13</v>
      </c>
      <c r="C87" s="6" t="str">
        <f t="array" ref="C87">GetValue("Tables",B87,"Name")</f>
        <v>Columns</v>
      </c>
      <c r="D87" s="7" t="str" cm="1">
        <f t="array" ref="D87">GetValue("Tables",B87,"Alias")</f>
        <v>Col</v>
      </c>
      <c r="E87" s="6">
        <f>E86+5</f>
        <v>20</v>
      </c>
      <c r="F87" s="6">
        <v>10</v>
      </c>
      <c r="G87" s="6" t="str">
        <f t="array" ref="G87">GetValue("Domains",F87,"Name")</f>
        <v>Nvarchar(25)</v>
      </c>
      <c r="H87" s="6" t="str" cm="1">
        <f t="array" ref="H87">GetValue("Domains",F87,"#CategoryName")</f>
        <v>string</v>
      </c>
      <c r="I87" s="6" t="str" cm="1">
        <f t="array" ref="I87">GetValue("Domains",F87,"#TypeName")</f>
        <v>nvarchar</v>
      </c>
      <c r="J87" s="6" t="str" cm="1">
        <f t="array" ref="J87">GetValue("Domains",F87,"#DataType")</f>
        <v>nvarchar(25)</v>
      </c>
      <c r="K87" s="6" t="s">
        <v>1</v>
      </c>
      <c r="L87" s="6" t="s">
        <v>390</v>
      </c>
      <c r="M87" s="6" t="s">
        <v>147</v>
      </c>
      <c r="N87" s="6" t="s">
        <v>147</v>
      </c>
      <c r="O87" s="13"/>
      <c r="P87" s="13"/>
      <c r="Q87" s="13"/>
      <c r="R87" s="6" t="b">
        <v>0</v>
      </c>
      <c r="S87" s="6"/>
      <c r="T87" s="6" t="b">
        <v>1</v>
      </c>
      <c r="U87" s="6" t="b">
        <v>1</v>
      </c>
      <c r="V87" s="6" t="b">
        <v>1</v>
      </c>
      <c r="W87" s="6" t="b">
        <v>1</v>
      </c>
      <c r="X87" s="6" t="b">
        <v>1</v>
      </c>
      <c r="Y87" s="6" t="b">
        <v>0</v>
      </c>
      <c r="Z87" s="6"/>
    </row>
    <row r="88" spans="1:26" x14ac:dyDescent="0.3">
      <c r="A88" s="8">
        <f t="shared" si="9"/>
        <v>87</v>
      </c>
      <c r="B88" s="8">
        <v>14</v>
      </c>
      <c r="C88" s="8" t="str">
        <f t="array" ref="C88">GetValue("Tables",B88,"Name")</f>
        <v>Indexes</v>
      </c>
      <c r="D88" s="8" t="str" cm="1">
        <f t="array" ref="D88">GetValue("Tables",B88,"Alias")</f>
        <v>Idx</v>
      </c>
      <c r="E88" s="8">
        <v>5</v>
      </c>
      <c r="F88" s="8">
        <v>1</v>
      </c>
      <c r="G88" s="8" t="str">
        <f t="array" ref="G88">GetValue("Domains",F88,"Name")</f>
        <v>BigInteger</v>
      </c>
      <c r="H88" s="8" t="str" cm="1">
        <f t="array" ref="H88">GetValue("Domains",F88,"#CategoryName")</f>
        <v>number</v>
      </c>
      <c r="I88" s="8" t="str" cm="1">
        <f t="array" ref="I88">GetValue("Domains",F88,"#TypeName")</f>
        <v>bigint</v>
      </c>
      <c r="J88" s="8" t="str" cm="1">
        <f t="array" ref="J88">GetValue("Domains",F88,"#DataType")</f>
        <v>bigint</v>
      </c>
      <c r="K88" s="8" t="s">
        <v>0</v>
      </c>
      <c r="L88" s="8" t="s">
        <v>225</v>
      </c>
      <c r="M88" s="8" t="s">
        <v>145</v>
      </c>
      <c r="N88" s="8" t="s">
        <v>145</v>
      </c>
      <c r="O88" s="14"/>
      <c r="P88" s="15">
        <v>1</v>
      </c>
      <c r="Q88" s="15"/>
      <c r="R88" s="8" t="b">
        <v>1</v>
      </c>
      <c r="S88" s="8" t="b">
        <v>1</v>
      </c>
      <c r="T88" s="8" t="b">
        <v>1</v>
      </c>
      <c r="U88" s="8"/>
      <c r="V88" s="8" t="b">
        <v>1</v>
      </c>
      <c r="W88" s="8" t="b">
        <v>0</v>
      </c>
      <c r="X88" s="8" t="b">
        <v>0</v>
      </c>
      <c r="Y88" s="8"/>
      <c r="Z88" s="8" t="b">
        <v>0</v>
      </c>
    </row>
    <row r="89" spans="1:26" x14ac:dyDescent="0.3">
      <c r="A89" s="8">
        <f t="shared" si="9"/>
        <v>88</v>
      </c>
      <c r="B89" s="8">
        <v>14</v>
      </c>
      <c r="C89" s="8" t="str">
        <f t="array" ref="C89">GetValue("Tables",B89,"Name")</f>
        <v>Indexes</v>
      </c>
      <c r="D89" s="8" t="str" cm="1">
        <f t="array" ref="D89">GetValue("Tables",B89,"Alias")</f>
        <v>Idx</v>
      </c>
      <c r="E89" s="8">
        <f t="shared" ref="E89:E109" si="10">E88+5</f>
        <v>10</v>
      </c>
      <c r="F89" s="8">
        <v>1</v>
      </c>
      <c r="G89" s="8" t="str">
        <f t="array" ref="G89">GetValue("Domains",F89,"Name")</f>
        <v>BigInteger</v>
      </c>
      <c r="H89" s="8" t="str" cm="1">
        <f t="array" ref="H89">GetValue("Domains",F89,"#CategoryName")</f>
        <v>number</v>
      </c>
      <c r="I89" s="8" t="str" cm="1">
        <f t="array" ref="I89">GetValue("Domains",F89,"#TypeName")</f>
        <v>bigint</v>
      </c>
      <c r="J89" s="8" t="str" cm="1">
        <f t="array" ref="J89">GetValue("Domains",F89,"#DataType")</f>
        <v>bigint</v>
      </c>
      <c r="K89" s="8" t="s">
        <v>133</v>
      </c>
      <c r="L89" s="8" t="s">
        <v>226</v>
      </c>
      <c r="M89" s="8" t="s">
        <v>226</v>
      </c>
      <c r="N89" s="8" t="s">
        <v>226</v>
      </c>
      <c r="O89" s="14"/>
      <c r="P89" s="15">
        <v>1</v>
      </c>
      <c r="Q89" s="15"/>
      <c r="R89" s="8" t="b">
        <v>0</v>
      </c>
      <c r="S89" s="8" t="b">
        <v>0</v>
      </c>
      <c r="T89" s="8" t="b">
        <v>1</v>
      </c>
      <c r="U89" s="8"/>
      <c r="V89" s="8" t="b">
        <v>1</v>
      </c>
      <c r="W89" s="8" t="b">
        <v>1</v>
      </c>
      <c r="X89" s="8" t="b">
        <v>1</v>
      </c>
      <c r="Y89" s="8"/>
      <c r="Z89" s="8" t="b">
        <v>0</v>
      </c>
    </row>
    <row r="90" spans="1:26" x14ac:dyDescent="0.3">
      <c r="A90" s="8">
        <f t="shared" si="9"/>
        <v>89</v>
      </c>
      <c r="B90" s="8">
        <v>14</v>
      </c>
      <c r="C90" s="8" t="str">
        <f t="array" ref="C90">GetValue("Tables",B90,"Name")</f>
        <v>Indexes</v>
      </c>
      <c r="D90" s="8" t="str" cm="1">
        <f t="array" ref="D90">GetValue("Tables",B90,"Alias")</f>
        <v>Idx</v>
      </c>
      <c r="E90" s="8">
        <f t="shared" si="10"/>
        <v>15</v>
      </c>
      <c r="F90" s="8">
        <v>4</v>
      </c>
      <c r="G90" s="8" t="str">
        <f t="array" ref="G90">GetValue("Domains",F90,"Name")</f>
        <v>SmallInteger</v>
      </c>
      <c r="H90" s="8" t="str" cm="1">
        <f t="array" ref="H90">GetValue("Domains",F90,"#CategoryName")</f>
        <v>number</v>
      </c>
      <c r="I90" s="8" t="str" cm="1">
        <f t="array" ref="I90">GetValue("Domains",F90,"#TypeName")</f>
        <v>smallint</v>
      </c>
      <c r="J90" s="8" t="str" cm="1">
        <f t="array" ref="J90">GetValue("Domains",F90,"#DataType")</f>
        <v>smallint</v>
      </c>
      <c r="K90" s="8" t="s">
        <v>77</v>
      </c>
      <c r="L90" s="8" t="s">
        <v>194</v>
      </c>
      <c r="M90" s="8" t="s">
        <v>194</v>
      </c>
      <c r="N90" s="8" t="s">
        <v>194</v>
      </c>
      <c r="O90" s="14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0</v>
      </c>
      <c r="W90" s="8" t="b">
        <v>1</v>
      </c>
      <c r="X90" s="8" t="b">
        <v>1</v>
      </c>
      <c r="Y90" s="8"/>
      <c r="Z90" s="8" t="b">
        <v>0</v>
      </c>
    </row>
    <row r="91" spans="1:26" x14ac:dyDescent="0.3">
      <c r="A91" s="8">
        <f t="shared" si="9"/>
        <v>90</v>
      </c>
      <c r="B91" s="8">
        <v>14</v>
      </c>
      <c r="C91" s="8" t="str">
        <f t="array" ref="C91">GetValue("Tables",B91,"Name")</f>
        <v>Indexes</v>
      </c>
      <c r="D91" s="8" t="str" cm="1">
        <f t="array" ref="D91">GetValue("Tables",B91,"Alias")</f>
        <v>Idx</v>
      </c>
      <c r="E91" s="8">
        <f t="shared" si="10"/>
        <v>20</v>
      </c>
      <c r="F91" s="8">
        <v>1</v>
      </c>
      <c r="G91" s="8" t="str">
        <f t="array" ref="G91">GetValue("Domains",F91,"Name")</f>
        <v>BigInteger</v>
      </c>
      <c r="H91" s="8" t="str" cm="1">
        <f t="array" ref="H91">GetValue("Domains",F91,"#CategoryName")</f>
        <v>number</v>
      </c>
      <c r="I91" s="8" t="str" cm="1">
        <f t="array" ref="I91">GetValue("Domains",F91,"#TypeName")</f>
        <v>bigint</v>
      </c>
      <c r="J91" s="8" t="str" cm="1">
        <f t="array" ref="J91">GetValue("Domains",F91,"#DataType")</f>
        <v>bigint</v>
      </c>
      <c r="K91" s="8" t="s">
        <v>134</v>
      </c>
      <c r="L91" s="8" t="s">
        <v>227</v>
      </c>
      <c r="M91" s="8" t="s">
        <v>228</v>
      </c>
      <c r="N91" s="8" t="s">
        <v>228</v>
      </c>
      <c r="O91" s="14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1</v>
      </c>
      <c r="W91" s="8" t="b">
        <v>1</v>
      </c>
      <c r="X91" s="8" t="b">
        <v>1</v>
      </c>
      <c r="Y91" s="8"/>
      <c r="Z91" s="8" t="b">
        <v>0</v>
      </c>
    </row>
    <row r="92" spans="1:26" x14ac:dyDescent="0.3">
      <c r="A92" s="8">
        <f t="shared" si="9"/>
        <v>91</v>
      </c>
      <c r="B92" s="8">
        <v>14</v>
      </c>
      <c r="C92" s="8" t="str">
        <f t="array" ref="C92">GetValue("Tables",B92,"Name")</f>
        <v>Indexes</v>
      </c>
      <c r="D92" s="8" t="str" cm="1">
        <f t="array" ref="D92">GetValue("Tables",B92,"Alias")</f>
        <v>Idx</v>
      </c>
      <c r="E92" s="8">
        <f t="shared" si="10"/>
        <v>25</v>
      </c>
      <c r="F92" s="8">
        <v>1</v>
      </c>
      <c r="G92" s="8" t="str">
        <f t="array" ref="G92">GetValue("Domains",F92,"Name")</f>
        <v>BigInteger</v>
      </c>
      <c r="H92" s="8" t="str" cm="1">
        <f t="array" ref="H92">GetValue("Domains",F92,"#CategoryName")</f>
        <v>number</v>
      </c>
      <c r="I92" s="8" t="str" cm="1">
        <f t="array" ref="I92">GetValue("Domains",F92,"#TypeName")</f>
        <v>bigint</v>
      </c>
      <c r="J92" s="8" t="str" cm="1">
        <f t="array" ref="J92">GetValue("Domains",F92,"#DataType")</f>
        <v>bigint</v>
      </c>
      <c r="K92" s="8" t="s">
        <v>135</v>
      </c>
      <c r="L92" s="8" t="s">
        <v>229</v>
      </c>
      <c r="M92" s="8" t="s">
        <v>230</v>
      </c>
      <c r="N92" s="8" t="s">
        <v>230</v>
      </c>
      <c r="O92" s="14"/>
      <c r="P92" s="15">
        <v>1</v>
      </c>
      <c r="Q92" s="15"/>
      <c r="R92" s="8" t="b">
        <v>0</v>
      </c>
      <c r="S92" s="8" t="b">
        <v>0</v>
      </c>
      <c r="T92" s="8" t="b">
        <v>0</v>
      </c>
      <c r="U92" s="8"/>
      <c r="V92" s="8" t="b">
        <v>1</v>
      </c>
      <c r="W92" s="8" t="b">
        <v>1</v>
      </c>
      <c r="X92" s="8" t="b">
        <v>1</v>
      </c>
      <c r="Y92" s="8"/>
      <c r="Z92" s="8" t="b">
        <v>0</v>
      </c>
    </row>
    <row r="93" spans="1:26" x14ac:dyDescent="0.3">
      <c r="A93" s="8">
        <f t="shared" si="9"/>
        <v>92</v>
      </c>
      <c r="B93" s="8">
        <v>14</v>
      </c>
      <c r="C93" s="8" t="str">
        <f t="array" ref="C93">GetValue("Tables",B93,"Name")</f>
        <v>Indexes</v>
      </c>
      <c r="D93" s="8" t="str" cm="1">
        <f t="array" ref="D93">GetValue("Tables",B93,"Alias")</f>
        <v>Idx</v>
      </c>
      <c r="E93" s="8">
        <f t="shared" si="10"/>
        <v>30</v>
      </c>
      <c r="F93" s="8">
        <v>9</v>
      </c>
      <c r="G93" s="8" t="str">
        <f t="array" ref="G93">GetValue("Domains",F93,"Name")</f>
        <v>Nvarchar(20)</v>
      </c>
      <c r="H93" s="8" t="str" cm="1">
        <f t="array" ref="H93">GetValue("Domains",F93,"#CategoryName")</f>
        <v>string</v>
      </c>
      <c r="I93" s="8" t="str" cm="1">
        <f t="array" ref="I93">GetValue("Domains",F93,"#TypeName")</f>
        <v>nvarchar</v>
      </c>
      <c r="J93" s="8" t="str" cm="1">
        <f t="array" ref="J93">GetValue("Domains",F93,"#DataType")</f>
        <v>nvarchar(20)</v>
      </c>
      <c r="K93" s="8" t="s">
        <v>1</v>
      </c>
      <c r="L93" s="8" t="s">
        <v>231</v>
      </c>
      <c r="M93" s="8" t="s">
        <v>147</v>
      </c>
      <c r="N93" s="8" t="s">
        <v>147</v>
      </c>
      <c r="O93" s="14"/>
      <c r="P93" s="15" t="s">
        <v>30</v>
      </c>
      <c r="Q93" s="15"/>
      <c r="R93" s="8" t="b">
        <v>0</v>
      </c>
      <c r="S93" s="8"/>
      <c r="T93" s="8" t="b">
        <v>1</v>
      </c>
      <c r="U93" s="8"/>
      <c r="V93" s="8" t="b">
        <v>1</v>
      </c>
      <c r="W93" s="8" t="b">
        <v>1</v>
      </c>
      <c r="X93" s="8" t="b">
        <v>1</v>
      </c>
      <c r="Y93" s="8" t="b">
        <v>0</v>
      </c>
      <c r="Z93" s="8"/>
    </row>
    <row r="94" spans="1:26" x14ac:dyDescent="0.3">
      <c r="A94" s="8">
        <f t="shared" si="9"/>
        <v>93</v>
      </c>
      <c r="B94" s="8">
        <v>14</v>
      </c>
      <c r="C94" s="8" t="str">
        <f t="array" ref="C94">GetValue("Tables",B94,"Name")</f>
        <v>Indexes</v>
      </c>
      <c r="D94" s="8" t="str" cm="1">
        <f t="array" ref="D94">GetValue("Tables",B94,"Alias")</f>
        <v>Idx</v>
      </c>
      <c r="E94" s="8">
        <f t="shared" si="10"/>
        <v>35</v>
      </c>
      <c r="F94" s="8">
        <v>9</v>
      </c>
      <c r="G94" s="8" t="str">
        <f t="array" ref="G94">GetValue("Domains",F94,"Name")</f>
        <v>Nvarchar(20)</v>
      </c>
      <c r="H94" s="8" t="str" cm="1">
        <f t="array" ref="H94">GetValue("Domains",F94,"#CategoryName")</f>
        <v>string</v>
      </c>
      <c r="I94" s="8" t="str" cm="1">
        <f t="array" ref="I94">GetValue("Domains",F94,"#TypeName")</f>
        <v>nvarchar</v>
      </c>
      <c r="J94" s="8" t="str" cm="1">
        <f t="array" ref="J94">GetValue("Domains",F94,"#DataType")</f>
        <v>nvarchar(20)</v>
      </c>
      <c r="K94" s="8" t="s">
        <v>111</v>
      </c>
      <c r="L94" s="8" t="s">
        <v>413</v>
      </c>
      <c r="M94" s="8" t="s">
        <v>111</v>
      </c>
      <c r="N94" s="8" t="s">
        <v>111</v>
      </c>
      <c r="O94" s="14"/>
      <c r="P94" s="15" t="s">
        <v>30</v>
      </c>
      <c r="Q94" s="15"/>
      <c r="R94" s="8" t="b">
        <v>0</v>
      </c>
      <c r="S94" s="8"/>
      <c r="T94" s="8" t="b">
        <v>0</v>
      </c>
      <c r="U94" s="8"/>
      <c r="V94" s="8" t="b">
        <v>1</v>
      </c>
      <c r="W94" s="8" t="b">
        <v>1</v>
      </c>
      <c r="X94" s="8" t="b">
        <v>0</v>
      </c>
      <c r="Y94" s="8" t="b">
        <v>0</v>
      </c>
      <c r="Z94" s="8"/>
    </row>
    <row r="95" spans="1:26" x14ac:dyDescent="0.3">
      <c r="A95" s="8">
        <f t="shared" si="9"/>
        <v>94</v>
      </c>
      <c r="B95" s="8">
        <v>14</v>
      </c>
      <c r="C95" s="8" t="str">
        <f t="array" ref="C95">GetValue("Tables",B95,"Name")</f>
        <v>Indexes</v>
      </c>
      <c r="D95" s="8" t="str" cm="1">
        <f t="array" ref="D95">GetValue("Tables",B95,"Alias")</f>
        <v>Idx</v>
      </c>
      <c r="E95" s="8">
        <f t="shared" si="10"/>
        <v>40</v>
      </c>
      <c r="F95" s="8">
        <v>10</v>
      </c>
      <c r="G95" s="8" t="str">
        <f t="array" ref="G95">GetValue("Domains",F95,"Name")</f>
        <v>Nvarchar(25)</v>
      </c>
      <c r="H95" s="8" t="str" cm="1">
        <f t="array" ref="H95">GetValue("Domains",F95,"#CategoryName")</f>
        <v>string</v>
      </c>
      <c r="I95" s="8" t="str" cm="1">
        <f t="array" ref="I95">GetValue("Domains",F95,"#TypeName")</f>
        <v>nvarchar</v>
      </c>
      <c r="J95" s="8" t="str" cm="1">
        <f t="array" ref="J95">GetValue("Domains",F95,"#DataType")</f>
        <v>nvarchar(25)</v>
      </c>
      <c r="K95" s="8" t="s">
        <v>73</v>
      </c>
      <c r="L95" s="8" t="s">
        <v>232</v>
      </c>
      <c r="M95" s="8" t="s">
        <v>185</v>
      </c>
      <c r="N95" s="8" t="s">
        <v>185</v>
      </c>
      <c r="O95" s="14"/>
      <c r="P95" s="15" t="s">
        <v>30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  <c r="Z95" s="8"/>
    </row>
    <row r="96" spans="1:26" x14ac:dyDescent="0.3">
      <c r="A96" s="8">
        <f t="shared" si="9"/>
        <v>95</v>
      </c>
      <c r="B96" s="8">
        <v>14</v>
      </c>
      <c r="C96" s="8" t="str">
        <f t="array" ref="C96">GetValue("Tables",B96,"Name")</f>
        <v>Indexes</v>
      </c>
      <c r="D96" s="8" t="str" cm="1">
        <f t="array" ref="D96">GetValue("Tables",B96,"Alias")</f>
        <v>Idx</v>
      </c>
      <c r="E96" s="8">
        <f t="shared" si="10"/>
        <v>45</v>
      </c>
      <c r="F96" s="8">
        <v>9</v>
      </c>
      <c r="G96" s="8" t="str">
        <f t="array" ref="G96">GetValue("Domains",F96,"Name")</f>
        <v>Nvarchar(20)</v>
      </c>
      <c r="H96" s="8" t="str" cm="1">
        <f t="array" ref="H96">GetValue("Domains",F96,"#CategoryName")</f>
        <v>string</v>
      </c>
      <c r="I96" s="8" t="str" cm="1">
        <f t="array" ref="I96">GetValue("Domains",F96,"#TypeName")</f>
        <v>nvarchar</v>
      </c>
      <c r="J96" s="8" t="str" cm="1">
        <f t="array" ref="J96">GetValue("Domains",F96,"#DataType")</f>
        <v>nvarchar(20)</v>
      </c>
      <c r="K96" s="8" t="s">
        <v>136</v>
      </c>
      <c r="L96" s="8" t="s">
        <v>233</v>
      </c>
      <c r="M96" s="8" t="s">
        <v>234</v>
      </c>
      <c r="N96" s="8" t="s">
        <v>234</v>
      </c>
      <c r="O96" s="14"/>
      <c r="P96" s="15" t="s">
        <v>30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  <c r="Z96" s="8"/>
    </row>
    <row r="97" spans="1:26" x14ac:dyDescent="0.3">
      <c r="A97" s="8">
        <f t="shared" si="9"/>
        <v>96</v>
      </c>
      <c r="B97" s="8">
        <v>14</v>
      </c>
      <c r="C97" s="8" t="str">
        <f t="array" ref="C97">GetValue("Tables",B97,"Name")</f>
        <v>Indexes</v>
      </c>
      <c r="D97" s="8" t="str" cm="1">
        <f t="array" ref="D97">GetValue("Tables",B97,"Alias")</f>
        <v>Idx</v>
      </c>
      <c r="E97" s="8">
        <f t="shared" si="10"/>
        <v>50</v>
      </c>
      <c r="F97" s="8">
        <v>9</v>
      </c>
      <c r="G97" s="8" t="str">
        <f t="array" ref="G97">GetValue("Domains",F97,"Name")</f>
        <v>Nvarchar(20)</v>
      </c>
      <c r="H97" s="8" t="str" cm="1">
        <f t="array" ref="H97">GetValue("Domains",F97,"#CategoryName")</f>
        <v>string</v>
      </c>
      <c r="I97" s="8" t="str" cm="1">
        <f t="array" ref="I97">GetValue("Domains",F97,"#TypeName")</f>
        <v>nvarchar</v>
      </c>
      <c r="J97" s="8" t="str" cm="1">
        <f t="array" ref="J97">GetValue("Domains",F97,"#DataType")</f>
        <v>nvarchar(20)</v>
      </c>
      <c r="K97" s="8" t="s">
        <v>78</v>
      </c>
      <c r="L97" s="8" t="s">
        <v>235</v>
      </c>
      <c r="M97" s="8" t="s">
        <v>236</v>
      </c>
      <c r="N97" s="8" t="s">
        <v>236</v>
      </c>
      <c r="O97" s="14"/>
      <c r="P97" s="15" t="s">
        <v>30</v>
      </c>
      <c r="Q97" s="15"/>
      <c r="R97" s="8" t="b">
        <v>0</v>
      </c>
      <c r="S97" s="8"/>
      <c r="T97" s="8" t="b">
        <v>1</v>
      </c>
      <c r="U97" s="8"/>
      <c r="V97" s="8" t="b">
        <v>0</v>
      </c>
      <c r="W97" s="8" t="b">
        <v>1</v>
      </c>
      <c r="X97" s="8" t="b">
        <v>1</v>
      </c>
      <c r="Y97" s="8" t="b">
        <v>0</v>
      </c>
      <c r="Z97" s="8"/>
    </row>
    <row r="98" spans="1:26" x14ac:dyDescent="0.3">
      <c r="A98" s="8">
        <f t="shared" si="9"/>
        <v>97</v>
      </c>
      <c r="B98" s="8">
        <v>14</v>
      </c>
      <c r="C98" s="8" t="str">
        <f t="array" ref="C98">GetValue("Tables",B98,"Name")</f>
        <v>Indexes</v>
      </c>
      <c r="D98" s="8" t="str" cm="1">
        <f t="array" ref="D98">GetValue("Tables",B98,"Alias")</f>
        <v>Idx</v>
      </c>
      <c r="E98" s="8">
        <f t="shared" si="10"/>
        <v>55</v>
      </c>
      <c r="F98" s="8">
        <v>17</v>
      </c>
      <c r="G98" s="8" t="str">
        <f t="array" ref="G98">GetValue("Domains",F98,"Name")</f>
        <v>CPF</v>
      </c>
      <c r="H98" s="8" t="str" cm="1">
        <f t="array" ref="H98">GetValue("Domains",F98,"#CategoryName")</f>
        <v>string</v>
      </c>
      <c r="I98" s="8" t="str" cm="1">
        <f t="array" ref="I98">GetValue("Domains",F98,"#TypeName")</f>
        <v>nvarchar</v>
      </c>
      <c r="J98" s="8" t="str" cm="1">
        <f t="array" ref="J98">GetValue("Domains",F98,"#DataType")</f>
        <v>nvarchar(11)</v>
      </c>
      <c r="K98" s="8" t="s">
        <v>61</v>
      </c>
      <c r="L98" s="8" t="s">
        <v>237</v>
      </c>
      <c r="M98" s="8" t="s">
        <v>238</v>
      </c>
      <c r="N98" s="8" t="s">
        <v>238</v>
      </c>
      <c r="O98" s="14"/>
      <c r="P98" s="15" t="s">
        <v>30</v>
      </c>
      <c r="Q98" s="15"/>
      <c r="R98" s="8"/>
      <c r="S98" s="8"/>
      <c r="T98" s="8" t="b">
        <v>0</v>
      </c>
      <c r="U98" s="8"/>
      <c r="V98" s="8"/>
      <c r="W98" s="8" t="b">
        <v>1</v>
      </c>
      <c r="X98" s="8" t="b">
        <v>0</v>
      </c>
      <c r="Y98" s="8"/>
      <c r="Z98" s="8"/>
    </row>
    <row r="99" spans="1:26" x14ac:dyDescent="0.3">
      <c r="A99" s="8">
        <f t="shared" si="9"/>
        <v>98</v>
      </c>
      <c r="B99" s="8">
        <v>14</v>
      </c>
      <c r="C99" s="8" t="str">
        <f t="array" ref="C99">GetValue("Tables",B99,"Name")</f>
        <v>Indexes</v>
      </c>
      <c r="D99" s="8" t="str" cm="1">
        <f t="array" ref="D99">GetValue("Tables",B99,"Alias")</f>
        <v>Idx</v>
      </c>
      <c r="E99" s="8">
        <f t="shared" si="10"/>
        <v>60</v>
      </c>
      <c r="F99" s="8">
        <v>17</v>
      </c>
      <c r="G99" s="8" t="str">
        <f t="array" ref="G99">GetValue("Domains",F99,"Name")</f>
        <v>CPF</v>
      </c>
      <c r="H99" s="8" t="str" cm="1">
        <f t="array" ref="H99">GetValue("Domains",F99,"#CategoryName")</f>
        <v>string</v>
      </c>
      <c r="I99" s="8" t="str" cm="1">
        <f t="array" ref="I99">GetValue("Domains",F99,"#TypeName")</f>
        <v>nvarchar</v>
      </c>
      <c r="J99" s="8" t="str" cm="1">
        <f t="array" ref="J99">GetValue("Domains",F99,"#DataType")</f>
        <v>nvarchar(11)</v>
      </c>
      <c r="K99" s="8" t="s">
        <v>21</v>
      </c>
      <c r="L99" s="8" t="s">
        <v>239</v>
      </c>
      <c r="M99" s="8" t="s">
        <v>151</v>
      </c>
      <c r="N99" s="8" t="s">
        <v>151</v>
      </c>
      <c r="O99" s="14"/>
      <c r="P99" s="15" t="s">
        <v>30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0</v>
      </c>
      <c r="Y99" s="8"/>
      <c r="Z99" s="8"/>
    </row>
    <row r="100" spans="1:26" x14ac:dyDescent="0.3">
      <c r="A100" s="8">
        <f t="shared" si="9"/>
        <v>99</v>
      </c>
      <c r="B100" s="8">
        <v>14</v>
      </c>
      <c r="C100" s="8" t="str">
        <f t="array" ref="C100">GetValue("Tables",B100,"Name")</f>
        <v>Indexes</v>
      </c>
      <c r="D100" s="8" t="str" cm="1">
        <f t="array" ref="D100">GetValue("Tables",B100,"Alias")</f>
        <v>Idx</v>
      </c>
      <c r="E100" s="8">
        <f t="shared" si="10"/>
        <v>65</v>
      </c>
      <c r="F100" s="8">
        <v>17</v>
      </c>
      <c r="G100" s="8" t="str">
        <f t="array" ref="G100">GetValue("Domains",F100,"Name")</f>
        <v>CPF</v>
      </c>
      <c r="H100" s="8" t="str" cm="1">
        <f t="array" ref="H100">GetValue("Domains",F100,"#CategoryName")</f>
        <v>string</v>
      </c>
      <c r="I100" s="8" t="str" cm="1">
        <f t="array" ref="I100">GetValue("Domains",F100,"#TypeName")</f>
        <v>nvarchar</v>
      </c>
      <c r="J100" s="8" t="str" cm="1">
        <f t="array" ref="J100">GetValue("Domains",F100,"#DataType")</f>
        <v>nvarchar(11)</v>
      </c>
      <c r="K100" s="8" t="s">
        <v>22</v>
      </c>
      <c r="L100" s="8" t="s">
        <v>240</v>
      </c>
      <c r="M100" s="8" t="s">
        <v>153</v>
      </c>
      <c r="N100" s="8" t="s">
        <v>153</v>
      </c>
      <c r="O100" s="14"/>
      <c r="P100" s="15" t="s">
        <v>30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0</v>
      </c>
      <c r="Y100" s="8"/>
      <c r="Z100" s="8"/>
    </row>
    <row r="101" spans="1:26" x14ac:dyDescent="0.3">
      <c r="A101" s="8">
        <f t="shared" si="9"/>
        <v>100</v>
      </c>
      <c r="B101" s="8">
        <v>14</v>
      </c>
      <c r="C101" s="8" t="str">
        <f t="array" ref="C101">GetValue("Tables",B101,"Name")</f>
        <v>Indexes</v>
      </c>
      <c r="D101" s="8" t="str" cm="1">
        <f t="array" ref="D101">GetValue("Tables",B101,"Alias")</f>
        <v>Idx</v>
      </c>
      <c r="E101" s="8">
        <f t="shared" si="10"/>
        <v>70</v>
      </c>
      <c r="F101" s="8">
        <v>6</v>
      </c>
      <c r="G101" s="8" t="str">
        <f t="array" ref="G101">GetValue("Domains",F101,"Name")</f>
        <v>Boolean</v>
      </c>
      <c r="H101" s="8" t="str" cm="1">
        <f t="array" ref="H101">GetValue("Domains",F101,"#CategoryName")</f>
        <v>boolean</v>
      </c>
      <c r="I101" s="8" t="str" cm="1">
        <f t="array" ref="I101">GetValue("Domains",F101,"#TypeName")</f>
        <v>bit</v>
      </c>
      <c r="J101" s="8" t="str" cm="1">
        <f t="array" ref="J101">GetValue("Domains",F101,"#DataType")</f>
        <v>bit</v>
      </c>
      <c r="K101" s="8" t="s">
        <v>137</v>
      </c>
      <c r="L101" s="8" t="s">
        <v>241</v>
      </c>
      <c r="M101" s="8" t="s">
        <v>343</v>
      </c>
      <c r="N101" s="8" t="s">
        <v>343</v>
      </c>
      <c r="O101" s="14"/>
      <c r="P101" s="15" t="s">
        <v>30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0</v>
      </c>
      <c r="Y101" s="8"/>
      <c r="Z101" s="8"/>
    </row>
    <row r="102" spans="1:26" x14ac:dyDescent="0.3">
      <c r="A102" s="8">
        <f t="shared" si="9"/>
        <v>101</v>
      </c>
      <c r="B102" s="8">
        <v>14</v>
      </c>
      <c r="C102" s="8" t="str">
        <f t="array" ref="C102">GetValue("Tables",B102,"Name")</f>
        <v>Indexes</v>
      </c>
      <c r="D102" s="8" t="str" cm="1">
        <f t="array" ref="D102">GetValue("Tables",B102,"Alias")</f>
        <v>Idx</v>
      </c>
      <c r="E102" s="8">
        <f t="shared" si="10"/>
        <v>75</v>
      </c>
      <c r="F102" s="8">
        <v>6</v>
      </c>
      <c r="G102" s="8" t="str">
        <f t="array" ref="G102">GetValue("Domains",F102,"Name")</f>
        <v>Boolean</v>
      </c>
      <c r="H102" s="8" t="str" cm="1">
        <f t="array" ref="H102">GetValue("Domains",F102,"#CategoryName")</f>
        <v>boolean</v>
      </c>
      <c r="I102" s="8" t="str" cm="1">
        <f t="array" ref="I102">GetValue("Domains",F102,"#TypeName")</f>
        <v>bit</v>
      </c>
      <c r="J102" s="8" t="str" cm="1">
        <f t="array" ref="J102">GetValue("Domains",F102,"#DataType")</f>
        <v>bit</v>
      </c>
      <c r="K102" s="8" t="s">
        <v>138</v>
      </c>
      <c r="L102" s="8" t="s">
        <v>242</v>
      </c>
      <c r="M102" s="8" t="s">
        <v>344</v>
      </c>
      <c r="N102" s="8" t="s">
        <v>344</v>
      </c>
      <c r="O102" s="14"/>
      <c r="P102" s="15" t="s">
        <v>30</v>
      </c>
      <c r="Q102" s="15"/>
      <c r="R102" s="8"/>
      <c r="S102" s="8"/>
      <c r="T102" s="8" t="b">
        <v>0</v>
      </c>
      <c r="U102" s="8"/>
      <c r="V102" s="8" t="b">
        <v>1</v>
      </c>
      <c r="W102" s="8" t="b">
        <v>1</v>
      </c>
      <c r="X102" s="8" t="b">
        <v>0</v>
      </c>
      <c r="Y102" s="8"/>
      <c r="Z102" s="8"/>
    </row>
    <row r="103" spans="1:26" x14ac:dyDescent="0.3">
      <c r="A103" s="8">
        <f t="shared" si="9"/>
        <v>102</v>
      </c>
      <c r="B103" s="8">
        <v>14</v>
      </c>
      <c r="C103" s="8" t="str">
        <f t="array" ref="C103">GetValue("Tables",B103,"Name")</f>
        <v>Indexes</v>
      </c>
      <c r="D103" s="8" t="str" cm="1">
        <f t="array" ref="D103">GetValue("Tables",B103,"Alias")</f>
        <v>Idx</v>
      </c>
      <c r="E103" s="8">
        <f t="shared" si="10"/>
        <v>80</v>
      </c>
      <c r="F103" s="8">
        <v>6</v>
      </c>
      <c r="G103" s="8" t="str">
        <f t="array" ref="G103">GetValue("Domains",F103,"Name")</f>
        <v>Boolean</v>
      </c>
      <c r="H103" s="8" t="str" cm="1">
        <f t="array" ref="H103">GetValue("Domains",F103,"#CategoryName")</f>
        <v>boolean</v>
      </c>
      <c r="I103" s="8" t="str" cm="1">
        <f t="array" ref="I103">GetValue("Domains",F103,"#TypeName")</f>
        <v>bit</v>
      </c>
      <c r="J103" s="8" t="str" cm="1">
        <f t="array" ref="J103">GetValue("Domains",F103,"#DataType")</f>
        <v>bit</v>
      </c>
      <c r="K103" s="8" t="s">
        <v>139</v>
      </c>
      <c r="L103" s="8" t="s">
        <v>243</v>
      </c>
      <c r="M103" s="8" t="s">
        <v>345</v>
      </c>
      <c r="N103" s="8" t="s">
        <v>345</v>
      </c>
      <c r="O103" s="14"/>
      <c r="P103" s="15" t="s">
        <v>30</v>
      </c>
      <c r="Q103" s="15"/>
      <c r="R103" s="8"/>
      <c r="S103" s="8"/>
      <c r="T103" s="8" t="b">
        <v>1</v>
      </c>
      <c r="U103" s="8"/>
      <c r="V103" s="8" t="b">
        <v>1</v>
      </c>
      <c r="W103" s="8" t="b">
        <v>1</v>
      </c>
      <c r="X103" s="8" t="b">
        <v>0</v>
      </c>
      <c r="Y103" s="8"/>
      <c r="Z103" s="8"/>
    </row>
    <row r="104" spans="1:26" x14ac:dyDescent="0.3">
      <c r="A104" s="8">
        <f t="shared" si="9"/>
        <v>103</v>
      </c>
      <c r="B104" s="8">
        <v>14</v>
      </c>
      <c r="C104" s="8" t="str">
        <f t="array" ref="C104">GetValue("Tables",B104,"Name")</f>
        <v>Indexes</v>
      </c>
      <c r="D104" s="8" t="str" cm="1">
        <f t="array" ref="D104">GetValue("Tables",B104,"Alias")</f>
        <v>Idx</v>
      </c>
      <c r="E104" s="8">
        <f t="shared" si="10"/>
        <v>85</v>
      </c>
      <c r="F104" s="8">
        <v>6</v>
      </c>
      <c r="G104" s="8" t="str">
        <f t="array" ref="G104">GetValue("Domains",F104,"Name")</f>
        <v>Boolean</v>
      </c>
      <c r="H104" s="8" t="str" cm="1">
        <f t="array" ref="H104">GetValue("Domains",F104,"#CategoryName")</f>
        <v>boolean</v>
      </c>
      <c r="I104" s="8" t="str" cm="1">
        <f t="array" ref="I104">GetValue("Domains",F104,"#TypeName")</f>
        <v>bit</v>
      </c>
      <c r="J104" s="8" t="str" cm="1">
        <f t="array" ref="J104">GetValue("Domains",F104,"#DataType")</f>
        <v>bit</v>
      </c>
      <c r="K104" s="8" t="s">
        <v>140</v>
      </c>
      <c r="L104" s="8" t="s">
        <v>244</v>
      </c>
      <c r="M104" s="8" t="s">
        <v>346</v>
      </c>
      <c r="N104" s="8" t="s">
        <v>346</v>
      </c>
      <c r="O104" s="14"/>
      <c r="P104" s="15" t="s">
        <v>30</v>
      </c>
      <c r="Q104" s="15"/>
      <c r="R104" s="8"/>
      <c r="S104" s="8"/>
      <c r="T104" s="8" t="b">
        <v>0</v>
      </c>
      <c r="U104" s="8"/>
      <c r="V104" s="8" t="b">
        <v>1</v>
      </c>
      <c r="W104" s="8" t="b">
        <v>1</v>
      </c>
      <c r="X104" s="8" t="b">
        <v>1</v>
      </c>
      <c r="Y104" s="8"/>
      <c r="Z104" s="8"/>
    </row>
    <row r="105" spans="1:26" x14ac:dyDescent="0.3">
      <c r="A105" s="8">
        <f t="shared" si="9"/>
        <v>104</v>
      </c>
      <c r="B105" s="8">
        <v>14</v>
      </c>
      <c r="C105" s="8" t="str">
        <f t="array" ref="C105">GetValue("Tables",B105,"Name")</f>
        <v>Indexes</v>
      </c>
      <c r="D105" s="8" t="str" cm="1">
        <f t="array" ref="D105">GetValue("Tables",B105,"Alias")</f>
        <v>Idx</v>
      </c>
      <c r="E105" s="8">
        <f t="shared" si="10"/>
        <v>90</v>
      </c>
      <c r="F105" s="8">
        <v>6</v>
      </c>
      <c r="G105" s="8" t="str">
        <f t="array" ref="G105">GetValue("Domains",F105,"Name")</f>
        <v>Boolean</v>
      </c>
      <c r="H105" s="8" t="str" cm="1">
        <f t="array" ref="H105">GetValue("Domains",F105,"#CategoryName")</f>
        <v>boolean</v>
      </c>
      <c r="I105" s="8" t="str" cm="1">
        <f t="array" ref="I105">GetValue("Domains",F105,"#TypeName")</f>
        <v>bit</v>
      </c>
      <c r="J105" s="8" t="str" cm="1">
        <f t="array" ref="J105">GetValue("Domains",F105,"#DataType")</f>
        <v>bit</v>
      </c>
      <c r="K105" s="8" t="s">
        <v>141</v>
      </c>
      <c r="L105" s="8" t="s">
        <v>245</v>
      </c>
      <c r="M105" s="8" t="s">
        <v>347</v>
      </c>
      <c r="N105" s="8" t="s">
        <v>347</v>
      </c>
      <c r="O105" s="14"/>
      <c r="P105" s="15" t="s">
        <v>30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  <c r="Z105" s="8"/>
    </row>
    <row r="106" spans="1:26" x14ac:dyDescent="0.3">
      <c r="A106" s="8">
        <f t="shared" si="9"/>
        <v>105</v>
      </c>
      <c r="B106" s="8">
        <v>14</v>
      </c>
      <c r="C106" s="8" t="str">
        <f t="array" ref="C106">GetValue("Tables",B106,"Name")</f>
        <v>Indexes</v>
      </c>
      <c r="D106" s="8" t="str" cm="1">
        <f t="array" ref="D106">GetValue("Tables",B106,"Alias")</f>
        <v>Idx</v>
      </c>
      <c r="E106" s="8">
        <f t="shared" si="10"/>
        <v>95</v>
      </c>
      <c r="F106" s="8">
        <v>6</v>
      </c>
      <c r="G106" s="8" t="str">
        <f t="array" ref="G106">GetValue("Domains",F106,"Name")</f>
        <v>Boolean</v>
      </c>
      <c r="H106" s="8" t="str" cm="1">
        <f t="array" ref="H106">GetValue("Domains",F106,"#CategoryName")</f>
        <v>boolean</v>
      </c>
      <c r="I106" s="8" t="str" cm="1">
        <f t="array" ref="I106">GetValue("Domains",F106,"#TypeName")</f>
        <v>bit</v>
      </c>
      <c r="J106" s="8" t="str" cm="1">
        <f t="array" ref="J106">GetValue("Domains",F106,"#DataType")</f>
        <v>bit</v>
      </c>
      <c r="K106" s="8" t="s">
        <v>142</v>
      </c>
      <c r="L106" s="8" t="s">
        <v>246</v>
      </c>
      <c r="M106" s="8" t="s">
        <v>348</v>
      </c>
      <c r="N106" s="8" t="s">
        <v>348</v>
      </c>
      <c r="O106" s="14"/>
      <c r="P106" s="15" t="s">
        <v>30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  <c r="Z106" s="8"/>
    </row>
    <row r="107" spans="1:26" x14ac:dyDescent="0.3">
      <c r="A107" s="8">
        <f t="shared" si="9"/>
        <v>106</v>
      </c>
      <c r="B107" s="8">
        <v>14</v>
      </c>
      <c r="C107" s="8" t="str">
        <f t="array" ref="C107">GetValue("Tables",B107,"Name")</f>
        <v>Indexes</v>
      </c>
      <c r="D107" s="8" t="str" cm="1">
        <f t="array" ref="D107">GetValue("Tables",B107,"Alias")</f>
        <v>Idx</v>
      </c>
      <c r="E107" s="8">
        <f t="shared" si="10"/>
        <v>100</v>
      </c>
      <c r="F107" s="8">
        <v>6</v>
      </c>
      <c r="G107" s="8" t="str">
        <f t="array" ref="G107">GetValue("Domains",F107,"Name")</f>
        <v>Boolean</v>
      </c>
      <c r="H107" s="8" t="str" cm="1">
        <f t="array" ref="H107">GetValue("Domains",F107,"#CategoryName")</f>
        <v>boolean</v>
      </c>
      <c r="I107" s="8" t="str" cm="1">
        <f t="array" ref="I107">GetValue("Domains",F107,"#TypeName")</f>
        <v>bit</v>
      </c>
      <c r="J107" s="8" t="str" cm="1">
        <f t="array" ref="J107">GetValue("Domains",F107,"#DataType")</f>
        <v>bit</v>
      </c>
      <c r="K107" s="8" t="s">
        <v>339</v>
      </c>
      <c r="L107" s="8" t="s">
        <v>342</v>
      </c>
      <c r="M107" s="8" t="s">
        <v>349</v>
      </c>
      <c r="N107" s="8" t="s">
        <v>349</v>
      </c>
      <c r="O107" s="14"/>
      <c r="P107" s="15" t="s">
        <v>30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  <c r="Z107" s="8"/>
    </row>
    <row r="108" spans="1:26" x14ac:dyDescent="0.3">
      <c r="A108" s="8">
        <f t="shared" si="9"/>
        <v>107</v>
      </c>
      <c r="B108" s="8">
        <v>14</v>
      </c>
      <c r="C108" s="8" t="str">
        <f t="array" ref="C108">GetValue("Tables",B108,"Name")</f>
        <v>Indexes</v>
      </c>
      <c r="D108" s="8" t="str" cm="1">
        <f t="array" ref="D108">GetValue("Tables",B108,"Alias")</f>
        <v>Idx</v>
      </c>
      <c r="E108" s="8">
        <f t="shared" si="10"/>
        <v>105</v>
      </c>
      <c r="F108" s="8">
        <v>6</v>
      </c>
      <c r="G108" s="8" t="str">
        <f t="array" ref="G108">GetValue("Domains",F108,"Name")</f>
        <v>Boolean</v>
      </c>
      <c r="H108" s="8" t="str" cm="1">
        <f t="array" ref="H108">GetValue("Domains",F108,"#CategoryName")</f>
        <v>boolean</v>
      </c>
      <c r="I108" s="8" t="str" cm="1">
        <f t="array" ref="I108">GetValue("Domains",F108,"#TypeName")</f>
        <v>bit</v>
      </c>
      <c r="J108" s="8" t="str" cm="1">
        <f t="array" ref="J108">GetValue("Domains",F108,"#DataType")</f>
        <v>bit</v>
      </c>
      <c r="K108" s="8" t="s">
        <v>143</v>
      </c>
      <c r="L108" s="8" t="s">
        <v>247</v>
      </c>
      <c r="M108" s="8" t="s">
        <v>350</v>
      </c>
      <c r="N108" s="8" t="s">
        <v>350</v>
      </c>
      <c r="O108" s="14"/>
      <c r="P108" s="15" t="s">
        <v>30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  <c r="Z108" s="8"/>
    </row>
    <row r="109" spans="1:26" x14ac:dyDescent="0.3">
      <c r="A109" s="8">
        <f t="shared" si="9"/>
        <v>108</v>
      </c>
      <c r="B109" s="8">
        <v>14</v>
      </c>
      <c r="C109" s="8" t="str">
        <f t="array" ref="C109">GetValue("Tables",B109,"Name")</f>
        <v>Indexes</v>
      </c>
      <c r="D109" s="8" t="str" cm="1">
        <f t="array" ref="D109">GetValue("Tables",B109,"Alias")</f>
        <v>Idx</v>
      </c>
      <c r="E109" s="8">
        <f t="shared" si="10"/>
        <v>110</v>
      </c>
      <c r="F109" s="8">
        <v>6</v>
      </c>
      <c r="G109" s="8" t="str">
        <f t="array" ref="G109">GetValue("Domains",F109,"Name")</f>
        <v>Boolean</v>
      </c>
      <c r="H109" s="8" t="str" cm="1">
        <f t="array" ref="H109">GetValue("Domains",F109,"#CategoryName")</f>
        <v>boolean</v>
      </c>
      <c r="I109" s="8" t="str" cm="1">
        <f t="array" ref="I109">GetValue("Domains",F109,"#TypeName")</f>
        <v>bit</v>
      </c>
      <c r="J109" s="8" t="str" cm="1">
        <f t="array" ref="J109">GetValue("Domains",F109,"#DataType")</f>
        <v>bit</v>
      </c>
      <c r="K109" s="8" t="s">
        <v>374</v>
      </c>
      <c r="L109" s="8" t="s">
        <v>373</v>
      </c>
      <c r="M109" s="8" t="s">
        <v>375</v>
      </c>
      <c r="N109" s="8" t="s">
        <v>375</v>
      </c>
      <c r="O109" s="14"/>
      <c r="P109" s="15" t="s">
        <v>30</v>
      </c>
      <c r="Q109" s="15"/>
      <c r="R109" s="8"/>
      <c r="S109" s="8"/>
      <c r="T109" s="8" t="b">
        <v>0</v>
      </c>
      <c r="U109" s="8"/>
      <c r="V109" s="8" t="b">
        <v>1</v>
      </c>
      <c r="W109" s="8" t="b">
        <v>1</v>
      </c>
      <c r="X109" s="8" t="b">
        <v>1</v>
      </c>
      <c r="Y109" s="8"/>
      <c r="Z109" s="8"/>
    </row>
    <row r="110" spans="1:26" x14ac:dyDescent="0.3">
      <c r="A110" s="6">
        <f t="shared" si="9"/>
        <v>109</v>
      </c>
      <c r="B110" s="6">
        <v>15</v>
      </c>
      <c r="C110" s="6" t="str">
        <f t="array" ref="C110">GetValue("Tables",B110,"Name")</f>
        <v>Indexkeys</v>
      </c>
      <c r="D110" s="7" t="str" cm="1">
        <f t="array" ref="D110">GetValue("Tables",B110,"Alias")</f>
        <v>Idxkey</v>
      </c>
      <c r="E110" s="6">
        <v>5</v>
      </c>
      <c r="F110" s="6">
        <v>1</v>
      </c>
      <c r="G110" s="6" t="str">
        <f t="array" ref="G110">GetValue("Domains",F110,"Name")</f>
        <v>BigInteger</v>
      </c>
      <c r="H110" s="6" t="str" cm="1">
        <f t="array" ref="H110">GetValue("Domains",F110,"#CategoryName")</f>
        <v>number</v>
      </c>
      <c r="I110" s="6" t="str" cm="1">
        <f t="array" ref="I110">GetValue("Domains",F110,"#TypeName")</f>
        <v>bigint</v>
      </c>
      <c r="J110" s="6" t="str" cm="1">
        <f t="array" ref="J110">GetValue("Domains",F110,"#DataType")</f>
        <v>bigint</v>
      </c>
      <c r="K110" s="6" t="s">
        <v>0</v>
      </c>
      <c r="L110" s="6" t="s">
        <v>248</v>
      </c>
      <c r="M110" s="6" t="s">
        <v>145</v>
      </c>
      <c r="N110" s="6" t="s">
        <v>145</v>
      </c>
      <c r="O110" s="13"/>
      <c r="P110" s="13">
        <v>1</v>
      </c>
      <c r="Q110" s="13"/>
      <c r="R110" s="6" t="b">
        <v>1</v>
      </c>
      <c r="S110" s="6" t="b">
        <v>1</v>
      </c>
      <c r="T110" s="6" t="b">
        <v>1</v>
      </c>
      <c r="U110" s="6"/>
      <c r="V110" s="6" t="b">
        <v>1</v>
      </c>
      <c r="W110" s="6" t="b">
        <v>0</v>
      </c>
      <c r="X110" s="6" t="b">
        <v>0</v>
      </c>
      <c r="Y110" s="6"/>
      <c r="Z110" s="6" t="b">
        <v>0</v>
      </c>
    </row>
    <row r="111" spans="1:26" x14ac:dyDescent="0.3">
      <c r="A111" s="6">
        <f t="shared" si="9"/>
        <v>110</v>
      </c>
      <c r="B111" s="6">
        <v>15</v>
      </c>
      <c r="C111" s="6" t="str">
        <f t="array" ref="C111">GetValue("Tables",B111,"Name")</f>
        <v>Indexkeys</v>
      </c>
      <c r="D111" s="7" t="str" cm="1">
        <f t="array" ref="D111">GetValue("Tables",B111,"Alias")</f>
        <v>Idxkey</v>
      </c>
      <c r="E111" s="6">
        <f>E110+5</f>
        <v>10</v>
      </c>
      <c r="F111" s="6">
        <v>1</v>
      </c>
      <c r="G111" s="6" t="str">
        <f t="array" ref="G111">GetValue("Domains",F111,"Name")</f>
        <v>BigInteger</v>
      </c>
      <c r="H111" s="6" t="str" cm="1">
        <f t="array" ref="H111">GetValue("Domains",F111,"#CategoryName")</f>
        <v>number</v>
      </c>
      <c r="I111" s="6" t="str" cm="1">
        <f t="array" ref="I111">GetValue("Domains",F111,"#TypeName")</f>
        <v>bigint</v>
      </c>
      <c r="J111" s="6" t="str" cm="1">
        <f t="array" ref="J111">GetValue("Domains",F111,"#DataType")</f>
        <v>bigint</v>
      </c>
      <c r="K111" s="6" t="s">
        <v>133</v>
      </c>
      <c r="L111" s="6" t="s">
        <v>249</v>
      </c>
      <c r="M111" s="6" t="s">
        <v>226</v>
      </c>
      <c r="N111" s="6" t="s">
        <v>226</v>
      </c>
      <c r="O111" s="13"/>
      <c r="P111" s="13">
        <v>1</v>
      </c>
      <c r="Q111" s="13"/>
      <c r="R111" s="6" t="b">
        <v>0</v>
      </c>
      <c r="S111" s="6" t="b">
        <v>0</v>
      </c>
      <c r="T111" s="6" t="b">
        <v>1</v>
      </c>
      <c r="U111" s="6"/>
      <c r="V111" s="6" t="b">
        <v>1</v>
      </c>
      <c r="W111" s="6" t="b">
        <v>1</v>
      </c>
      <c r="X111" s="6" t="b">
        <v>1</v>
      </c>
      <c r="Y111" s="6"/>
      <c r="Z111" s="6" t="b">
        <v>0</v>
      </c>
    </row>
    <row r="112" spans="1:26" x14ac:dyDescent="0.3">
      <c r="A112" s="6">
        <f t="shared" si="9"/>
        <v>111</v>
      </c>
      <c r="B112" s="6">
        <v>15</v>
      </c>
      <c r="C112" s="6" t="str">
        <f t="array" ref="C112">GetValue("Tables",B112,"Name")</f>
        <v>Indexkeys</v>
      </c>
      <c r="D112" s="7" t="str" cm="1">
        <f t="array" ref="D112">GetValue("Tables",B112,"Alias")</f>
        <v>Idxkey</v>
      </c>
      <c r="E112" s="6">
        <f>E111+5</f>
        <v>15</v>
      </c>
      <c r="F112" s="6">
        <v>10</v>
      </c>
      <c r="G112" s="6" t="str">
        <f t="array" ref="G112">GetValue("Domains",F112,"Name")</f>
        <v>Nvarchar(25)</v>
      </c>
      <c r="H112" s="6" t="str" cm="1">
        <f t="array" ref="H112">GetValue("Domains",F112,"#CategoryName")</f>
        <v>string</v>
      </c>
      <c r="I112" s="6" t="str" cm="1">
        <f t="array" ref="I112">GetValue("Domains",F112,"#TypeName")</f>
        <v>nvarchar</v>
      </c>
      <c r="J112" s="6" t="str" cm="1">
        <f t="array" ref="J112">GetValue("Domains",F112,"#DataType")</f>
        <v>nvarchar(25)</v>
      </c>
      <c r="K112" s="6" t="s">
        <v>1</v>
      </c>
      <c r="L112" s="6" t="s">
        <v>250</v>
      </c>
      <c r="M112" s="6" t="s">
        <v>147</v>
      </c>
      <c r="N112" s="6" t="s">
        <v>147</v>
      </c>
      <c r="O112" s="13"/>
      <c r="P112" s="13" t="s">
        <v>30</v>
      </c>
      <c r="Q112" s="13"/>
      <c r="R112" s="6" t="b">
        <v>0</v>
      </c>
      <c r="S112" s="6"/>
      <c r="T112" s="6" t="b">
        <v>1</v>
      </c>
      <c r="U112" s="6" t="b">
        <v>1</v>
      </c>
      <c r="V112" s="6" t="b">
        <v>1</v>
      </c>
      <c r="W112" s="6" t="b">
        <v>1</v>
      </c>
      <c r="X112" s="6" t="b">
        <v>1</v>
      </c>
      <c r="Y112" s="6" t="b">
        <v>0</v>
      </c>
      <c r="Z112" s="6"/>
    </row>
    <row r="113" spans="1:26" x14ac:dyDescent="0.3">
      <c r="A113" s="6">
        <f t="shared" si="9"/>
        <v>112</v>
      </c>
      <c r="B113" s="6">
        <v>15</v>
      </c>
      <c r="C113" s="6" t="str">
        <f t="array" ref="C113">GetValue("Tables",B113,"Name")</f>
        <v>Indexkeys</v>
      </c>
      <c r="D113" s="7" t="str" cm="1">
        <f t="array" ref="D113">GetValue("Tables",B113,"Alias")</f>
        <v>Idxkey</v>
      </c>
      <c r="E113" s="6">
        <f>E112+5</f>
        <v>20</v>
      </c>
      <c r="F113" s="6">
        <v>6</v>
      </c>
      <c r="G113" s="6" t="str">
        <f t="array" ref="G113">GetValue("Domains",F113,"Name")</f>
        <v>Boolean</v>
      </c>
      <c r="H113" s="6" t="str" cm="1">
        <f t="array" ref="H113">GetValue("Domains",F113,"#CategoryName")</f>
        <v>boolean</v>
      </c>
      <c r="I113" s="6" t="str" cm="1">
        <f t="array" ref="I113">GetValue("Domains",F113,"#TypeName")</f>
        <v>bit</v>
      </c>
      <c r="J113" s="6" t="str" cm="1">
        <f t="array" ref="J113">GetValue("Domains",F113,"#DataType")</f>
        <v>bit</v>
      </c>
      <c r="K113" s="6" t="s">
        <v>251</v>
      </c>
      <c r="L113" s="6" t="s">
        <v>252</v>
      </c>
      <c r="M113" s="6" t="s">
        <v>253</v>
      </c>
      <c r="N113" s="6" t="s">
        <v>253</v>
      </c>
      <c r="O113" s="13"/>
      <c r="P113" s="13" t="s">
        <v>30</v>
      </c>
      <c r="Q113" s="13"/>
      <c r="R113" s="6"/>
      <c r="S113" s="6"/>
      <c r="T113" s="6" t="b">
        <v>1</v>
      </c>
      <c r="U113" s="6"/>
      <c r="V113" s="6" t="b">
        <v>1</v>
      </c>
      <c r="W113" s="6" t="b">
        <v>1</v>
      </c>
      <c r="X113" s="6" t="b">
        <v>1</v>
      </c>
      <c r="Y113" s="6"/>
      <c r="Z113" s="6"/>
    </row>
    <row r="114" spans="1:26" x14ac:dyDescent="0.3">
      <c r="A114" s="8">
        <f t="shared" si="9"/>
        <v>113</v>
      </c>
      <c r="B114" s="8">
        <v>16</v>
      </c>
      <c r="C114" s="8" t="str">
        <f t="array" ref="C114">GetValue("Tables",B114,"Name")</f>
        <v>Sessions</v>
      </c>
      <c r="D114" s="8" t="str" cm="1">
        <f t="array" ref="D114">GetValue("Tables",B114,"Alias")</f>
        <v>Ses</v>
      </c>
      <c r="E114" s="8">
        <v>5</v>
      </c>
      <c r="F114" s="8">
        <v>1</v>
      </c>
      <c r="G114" s="8" t="str">
        <f t="array" ref="G114">GetValue("Domains",F114,"Name")</f>
        <v>BigInteger</v>
      </c>
      <c r="H114" s="8" t="str" cm="1">
        <f t="array" ref="H114">GetValue("Domains",F114,"#CategoryName")</f>
        <v>number</v>
      </c>
      <c r="I114" s="8" t="str" cm="1">
        <f t="array" ref="I114">GetValue("Domains",F114,"#TypeName")</f>
        <v>bigint</v>
      </c>
      <c r="J114" s="8" t="str" cm="1">
        <f t="array" ref="J114">GetValue("Domains",F114,"#DataType")</f>
        <v>bigint</v>
      </c>
      <c r="K114" s="8" t="s">
        <v>0</v>
      </c>
      <c r="L114" s="8" t="s">
        <v>254</v>
      </c>
      <c r="M114" s="8" t="s">
        <v>145</v>
      </c>
      <c r="N114" s="8" t="s">
        <v>145</v>
      </c>
      <c r="O114" s="14"/>
      <c r="P114" s="15">
        <v>1</v>
      </c>
      <c r="Q114" s="15"/>
      <c r="R114" s="8" t="b">
        <v>1</v>
      </c>
      <c r="S114" s="8" t="b">
        <v>1</v>
      </c>
      <c r="T114" s="8" t="b">
        <v>1</v>
      </c>
      <c r="U114" s="8"/>
      <c r="V114" s="8" t="b">
        <v>1</v>
      </c>
      <c r="W114" s="8" t="b">
        <v>0</v>
      </c>
      <c r="X114" s="8" t="b">
        <v>0</v>
      </c>
      <c r="Y114" s="8"/>
      <c r="Z114" s="8" t="b">
        <v>0</v>
      </c>
    </row>
    <row r="115" spans="1:26" x14ac:dyDescent="0.3">
      <c r="A115" s="8">
        <f t="shared" si="9"/>
        <v>114</v>
      </c>
      <c r="B115" s="8">
        <v>16</v>
      </c>
      <c r="C115" s="8" t="str">
        <f t="array" ref="C115">GetValue("Tables",B115,"Name")</f>
        <v>Sessions</v>
      </c>
      <c r="D115" s="8" t="str" cm="1">
        <f t="array" ref="D115">GetValue("Tables",B115,"Alias")</f>
        <v>Ses</v>
      </c>
      <c r="E115" s="8">
        <f>E114+5</f>
        <v>10</v>
      </c>
      <c r="F115" s="8">
        <v>1</v>
      </c>
      <c r="G115" s="8" t="str">
        <f t="array" ref="G115">GetValue("Domains",F115,"Name")</f>
        <v>BigInteger</v>
      </c>
      <c r="H115" s="8" t="str" cm="1">
        <f t="array" ref="H115">GetValue("Domains",F115,"#CategoryName")</f>
        <v>number</v>
      </c>
      <c r="I115" s="8" t="str" cm="1">
        <f t="array" ref="I115">GetValue("Domains",F115,"#TypeName")</f>
        <v>bigint</v>
      </c>
      <c r="J115" s="8" t="str" cm="1">
        <f t="array" ref="J115">GetValue("Domains",F115,"#DataType")</f>
        <v>bigint</v>
      </c>
      <c r="K115" s="8" t="s">
        <v>255</v>
      </c>
      <c r="L115" s="8" t="s">
        <v>256</v>
      </c>
      <c r="M115" s="8" t="s">
        <v>257</v>
      </c>
      <c r="N115" s="8" t="s">
        <v>257</v>
      </c>
      <c r="O115" s="14"/>
      <c r="P115" s="15">
        <v>1</v>
      </c>
      <c r="Q115" s="15"/>
      <c r="R115" s="8" t="b">
        <v>0</v>
      </c>
      <c r="S115" s="8" t="b">
        <v>0</v>
      </c>
      <c r="T115" s="8" t="b">
        <v>1</v>
      </c>
      <c r="U115" s="8"/>
      <c r="V115" s="8" t="b">
        <v>1</v>
      </c>
      <c r="W115" s="8" t="b">
        <v>1</v>
      </c>
      <c r="X115" s="8" t="b">
        <v>1</v>
      </c>
      <c r="Y115" s="8"/>
      <c r="Z115" s="8" t="b">
        <v>0</v>
      </c>
    </row>
    <row r="116" spans="1:26" x14ac:dyDescent="0.3">
      <c r="A116" s="8">
        <f t="shared" si="9"/>
        <v>115</v>
      </c>
      <c r="B116" s="8">
        <v>16</v>
      </c>
      <c r="C116" s="8" t="str">
        <f t="array" ref="C116">GetValue("Tables",B116,"Name")</f>
        <v>Sessions</v>
      </c>
      <c r="D116" s="8" t="str" cm="1">
        <f t="array" ref="D116">GetValue("Tables",B116,"Alias")</f>
        <v>Ses</v>
      </c>
      <c r="E116" s="8">
        <f>E115+5</f>
        <v>15</v>
      </c>
      <c r="F116" s="8">
        <v>4</v>
      </c>
      <c r="G116" s="8" t="str">
        <f t="array" ref="G116">GetValue("Domains",F116,"Name")</f>
        <v>SmallInteger</v>
      </c>
      <c r="H116" s="8" t="str" cm="1">
        <f t="array" ref="H116">GetValue("Domains",F116,"#CategoryName")</f>
        <v>number</v>
      </c>
      <c r="I116" s="8" t="str" cm="1">
        <f t="array" ref="I116">GetValue("Domains",F116,"#TypeName")</f>
        <v>smallint</v>
      </c>
      <c r="J116" s="8" t="str" cm="1">
        <f t="array" ref="J116">GetValue("Domains",F116,"#DataType")</f>
        <v>smallint</v>
      </c>
      <c r="K116" s="8" t="s">
        <v>77</v>
      </c>
      <c r="L116" s="8" t="s">
        <v>258</v>
      </c>
      <c r="M116" s="8" t="s">
        <v>194</v>
      </c>
      <c r="N116" s="8" t="s">
        <v>194</v>
      </c>
      <c r="O116" s="14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0</v>
      </c>
      <c r="W116" s="8" t="b">
        <v>1</v>
      </c>
      <c r="X116" s="8" t="b">
        <v>1</v>
      </c>
      <c r="Y116" s="8"/>
      <c r="Z116" s="8" t="b">
        <v>0</v>
      </c>
    </row>
    <row r="117" spans="1:26" x14ac:dyDescent="0.3">
      <c r="A117" s="8">
        <f t="shared" si="9"/>
        <v>116</v>
      </c>
      <c r="B117" s="8">
        <v>16</v>
      </c>
      <c r="C117" s="8" t="str">
        <f t="array" ref="C117">GetValue("Tables",B117,"Name")</f>
        <v>Sessions</v>
      </c>
      <c r="D117" s="8" t="str" cm="1">
        <f t="array" ref="D117">GetValue("Tables",B117,"Alias")</f>
        <v>Ses</v>
      </c>
      <c r="E117" s="8">
        <f>E116+5</f>
        <v>20</v>
      </c>
      <c r="F117" s="8">
        <v>1</v>
      </c>
      <c r="G117" s="8" t="str">
        <f t="array" ref="G117">GetValue("Domains",F117,"Name")</f>
        <v>BigInteger</v>
      </c>
      <c r="H117" s="8" t="str" cm="1">
        <f t="array" ref="H117">GetValue("Domains",F117,"#CategoryName")</f>
        <v>number</v>
      </c>
      <c r="I117" s="8" t="str" cm="1">
        <f t="array" ref="I117">GetValue("Domains",F117,"#TypeName")</f>
        <v>bigint</v>
      </c>
      <c r="J117" s="8" t="str" cm="1">
        <f t="array" ref="J117">GetValue("Domains",F117,"#DataType")</f>
        <v>bigint</v>
      </c>
      <c r="K117" s="8" t="s">
        <v>259</v>
      </c>
      <c r="L117" s="8" t="s">
        <v>260</v>
      </c>
      <c r="M117" s="8" t="s">
        <v>261</v>
      </c>
      <c r="N117" s="8" t="s">
        <v>261</v>
      </c>
      <c r="O117" s="14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1</v>
      </c>
      <c r="W117" s="8" t="b">
        <v>1</v>
      </c>
      <c r="X117" s="8" t="b">
        <v>1</v>
      </c>
      <c r="Y117" s="8"/>
      <c r="Z117" s="8" t="b">
        <v>0</v>
      </c>
    </row>
    <row r="118" spans="1:26" x14ac:dyDescent="0.3">
      <c r="A118" s="8">
        <f t="shared" si="9"/>
        <v>117</v>
      </c>
      <c r="B118" s="8">
        <v>16</v>
      </c>
      <c r="C118" s="8" t="str">
        <f t="array" ref="C118">GetValue("Tables",B118,"Name")</f>
        <v>Sessions</v>
      </c>
      <c r="D118" s="8" t="str" cm="1">
        <f t="array" ref="D118">GetValue("Tables",B118,"Alias")</f>
        <v>Ses</v>
      </c>
      <c r="E118" s="8">
        <f>E117+5</f>
        <v>25</v>
      </c>
      <c r="F118" s="8">
        <v>6</v>
      </c>
      <c r="G118" s="8" t="str">
        <f t="array" ref="G118">GetValue("Domains",F118,"Name")</f>
        <v>Boolean</v>
      </c>
      <c r="H118" s="8" t="str" cm="1">
        <f t="array" ref="H118">GetValue("Domains",F118,"#CategoryName")</f>
        <v>boolean</v>
      </c>
      <c r="I118" s="8" t="str" cm="1">
        <f t="array" ref="I118">GetValue("Domains",F118,"#TypeName")</f>
        <v>bit</v>
      </c>
      <c r="J118" s="8" t="str" cm="1">
        <f t="array" ref="J118">GetValue("Domains",F118,"#DataType")</f>
        <v>bit</v>
      </c>
      <c r="K118" s="8" t="s">
        <v>262</v>
      </c>
      <c r="L118" s="8" t="s">
        <v>263</v>
      </c>
      <c r="M118" s="8" t="s">
        <v>264</v>
      </c>
      <c r="N118" s="8" t="s">
        <v>264</v>
      </c>
      <c r="O118" s="14"/>
      <c r="P118" s="15" t="s">
        <v>30</v>
      </c>
      <c r="Q118" s="15"/>
      <c r="R118" s="8"/>
      <c r="S118" s="8"/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  <c r="Z118" s="8"/>
    </row>
    <row r="119" spans="1:26" x14ac:dyDescent="0.3">
      <c r="A119" s="6">
        <f t="shared" si="9"/>
        <v>118</v>
      </c>
      <c r="B119" s="6">
        <v>17</v>
      </c>
      <c r="C119" s="6" t="str">
        <f t="array" ref="C119">GetValue("Tables",B119,"Name")</f>
        <v>Transactions</v>
      </c>
      <c r="D119" s="7" t="str" cm="1">
        <f t="array" ref="D119">GetValue("Tables",B119,"Alias")</f>
        <v>Trs</v>
      </c>
      <c r="E119" s="6">
        <v>5</v>
      </c>
      <c r="F119" s="6">
        <v>1</v>
      </c>
      <c r="G119" s="6" t="str">
        <f t="array" ref="G119">GetValue("Domains",F119,"Name")</f>
        <v>BigInteger</v>
      </c>
      <c r="H119" s="6" t="str" cm="1">
        <f t="array" ref="H119">GetValue("Domains",F119,"#CategoryName")</f>
        <v>number</v>
      </c>
      <c r="I119" s="6" t="str" cm="1">
        <f t="array" ref="I119">GetValue("Domains",F119,"#TypeName")</f>
        <v>bigint</v>
      </c>
      <c r="J119" s="6" t="str" cm="1">
        <f t="array" ref="J119">GetValue("Domains",F119,"#DataType")</f>
        <v>bigint</v>
      </c>
      <c r="K119" s="6" t="s">
        <v>0</v>
      </c>
      <c r="L119" s="6" t="s">
        <v>302</v>
      </c>
      <c r="M119" s="6" t="s">
        <v>145</v>
      </c>
      <c r="N119" s="6" t="s">
        <v>145</v>
      </c>
      <c r="O119" s="13"/>
      <c r="P119" s="13">
        <v>1</v>
      </c>
      <c r="Q119" s="13"/>
      <c r="R119" s="6" t="b">
        <v>1</v>
      </c>
      <c r="S119" s="6" t="b">
        <v>1</v>
      </c>
      <c r="T119" s="6" t="b">
        <v>1</v>
      </c>
      <c r="U119" s="6"/>
      <c r="V119" s="6" t="b">
        <v>1</v>
      </c>
      <c r="W119" s="6" t="b">
        <v>0</v>
      </c>
      <c r="X119" s="6" t="b">
        <v>0</v>
      </c>
      <c r="Y119" s="6"/>
      <c r="Z119" s="6" t="b">
        <v>0</v>
      </c>
    </row>
    <row r="120" spans="1:26" x14ac:dyDescent="0.3">
      <c r="A120" s="6">
        <f t="shared" si="9"/>
        <v>119</v>
      </c>
      <c r="B120" s="6">
        <v>17</v>
      </c>
      <c r="C120" s="6" t="str">
        <f t="array" ref="C120">GetValue("Tables",B120,"Name")</f>
        <v>Transactions</v>
      </c>
      <c r="D120" s="7" t="str" cm="1">
        <f t="array" ref="D120">GetValue("Tables",B120,"Alias")</f>
        <v>Trs</v>
      </c>
      <c r="E120" s="6">
        <f>E119+5</f>
        <v>10</v>
      </c>
      <c r="F120" s="6">
        <v>1</v>
      </c>
      <c r="G120" s="6" t="str">
        <f t="array" ref="G120">GetValue("Domains",F120,"Name")</f>
        <v>BigInteger</v>
      </c>
      <c r="H120" s="6" t="str" cm="1">
        <f t="array" ref="H120">GetValue("Domains",F120,"#CategoryName")</f>
        <v>number</v>
      </c>
      <c r="I120" s="6" t="str" cm="1">
        <f t="array" ref="I120">GetValue("Domains",F120,"#TypeName")</f>
        <v>bigint</v>
      </c>
      <c r="J120" s="6" t="str" cm="1">
        <f t="array" ref="J120">GetValue("Domains",F120,"#DataType")</f>
        <v>bigint</v>
      </c>
      <c r="K120" s="6" t="s">
        <v>76</v>
      </c>
      <c r="L120" s="6" t="s">
        <v>277</v>
      </c>
      <c r="M120" s="6" t="s">
        <v>192</v>
      </c>
      <c r="N120" s="6" t="s">
        <v>192</v>
      </c>
      <c r="O120" s="13"/>
      <c r="P120" s="13">
        <v>1</v>
      </c>
      <c r="Q120" s="13"/>
      <c r="R120" s="6" t="b">
        <v>0</v>
      </c>
      <c r="S120" s="6" t="b">
        <v>0</v>
      </c>
      <c r="T120" s="6" t="b">
        <v>1</v>
      </c>
      <c r="U120" s="6"/>
      <c r="V120" s="6" t="b">
        <v>1</v>
      </c>
      <c r="W120" s="6" t="b">
        <v>0</v>
      </c>
      <c r="X120" s="6" t="b">
        <v>1</v>
      </c>
      <c r="Y120" s="6"/>
      <c r="Z120" s="6" t="b">
        <v>0</v>
      </c>
    </row>
    <row r="121" spans="1:26" x14ac:dyDescent="0.3">
      <c r="A121" s="6">
        <f t="shared" si="9"/>
        <v>120</v>
      </c>
      <c r="B121" s="6">
        <v>17</v>
      </c>
      <c r="C121" s="6" t="str">
        <f t="array" ref="C121">GetValue("Tables",B121,"Name")</f>
        <v>Transactions</v>
      </c>
      <c r="D121" s="7" t="str" cm="1">
        <f t="array" ref="D121">GetValue("Tables",B121,"Alias")</f>
        <v>Trs</v>
      </c>
      <c r="E121" s="6">
        <f>E120+5</f>
        <v>15</v>
      </c>
      <c r="F121" s="6">
        <v>1</v>
      </c>
      <c r="G121" s="6" t="str">
        <f t="array" ref="G121">GetValue("Domains",F121,"Name")</f>
        <v>BigInteger</v>
      </c>
      <c r="H121" s="6" t="str" cm="1">
        <f t="array" ref="H121">GetValue("Domains",F121,"#CategoryName")</f>
        <v>number</v>
      </c>
      <c r="I121" s="6" t="str" cm="1">
        <f t="array" ref="I121">GetValue("Domains",F121,"#TypeName")</f>
        <v>bigint</v>
      </c>
      <c r="J121" s="6" t="str" cm="1">
        <f t="array" ref="J121">GetValue("Domains",F121,"#DataType")</f>
        <v>bigint</v>
      </c>
      <c r="K121" s="6" t="s">
        <v>110</v>
      </c>
      <c r="L121" s="6" t="s">
        <v>203</v>
      </c>
      <c r="M121" s="6" t="s">
        <v>212</v>
      </c>
      <c r="N121" s="6" t="s">
        <v>212</v>
      </c>
      <c r="O121" s="13"/>
      <c r="P121" s="13">
        <v>1</v>
      </c>
      <c r="Q121" s="13"/>
      <c r="R121" s="6"/>
      <c r="S121" s="6"/>
      <c r="T121" s="6" t="b">
        <v>1</v>
      </c>
      <c r="U121" s="6"/>
      <c r="V121" s="6" t="b">
        <v>1</v>
      </c>
      <c r="W121" s="6" t="b">
        <v>0</v>
      </c>
      <c r="X121" s="6" t="b">
        <v>1</v>
      </c>
      <c r="Y121" s="6"/>
      <c r="Z121" s="6"/>
    </row>
    <row r="122" spans="1:26" x14ac:dyDescent="0.3">
      <c r="A122" s="6">
        <f t="shared" si="9"/>
        <v>121</v>
      </c>
      <c r="B122" s="6">
        <v>17</v>
      </c>
      <c r="C122" s="6" t="str">
        <f t="array" ref="C122">GetValue("Tables",B122,"Name")</f>
        <v>Transactions</v>
      </c>
      <c r="D122" s="7" t="str" cm="1">
        <f t="array" ref="D122">GetValue("Tables",B122,"Alias")</f>
        <v>Trs</v>
      </c>
      <c r="E122" s="6">
        <f>E121+5</f>
        <v>20</v>
      </c>
      <c r="F122" s="6">
        <v>11</v>
      </c>
      <c r="G122" s="6" t="str">
        <f t="array" ref="G122">GetValue("Domains",F122,"Name")</f>
        <v>Nvarchar(50)</v>
      </c>
      <c r="H122" s="6" t="str" cm="1">
        <f t="array" ref="H122">GetValue("Domains",F122,"#CategoryName")</f>
        <v>string</v>
      </c>
      <c r="I122" s="6" t="str" cm="1">
        <f t="array" ref="I122">GetValue("Domains",F122,"#TypeName")</f>
        <v>nvarchar</v>
      </c>
      <c r="J122" s="6" t="str" cm="1">
        <f t="array" ref="J122">GetValue("Domains",F122,"#DataType")</f>
        <v>nvarchar(50)</v>
      </c>
      <c r="K122" s="6" t="s">
        <v>303</v>
      </c>
      <c r="L122" s="6" t="s">
        <v>305</v>
      </c>
      <c r="M122" s="6" t="s">
        <v>304</v>
      </c>
      <c r="N122" s="6" t="s">
        <v>304</v>
      </c>
      <c r="O122" s="13"/>
      <c r="P122" s="13"/>
      <c r="Q122" s="13"/>
      <c r="R122" s="6" t="b">
        <v>0</v>
      </c>
      <c r="S122" s="6"/>
      <c r="T122" s="6" t="b">
        <v>0</v>
      </c>
      <c r="U122" s="6" t="b">
        <v>0</v>
      </c>
      <c r="V122" s="6" t="b">
        <v>0</v>
      </c>
      <c r="W122" s="6" t="b">
        <v>0</v>
      </c>
      <c r="X122" s="6" t="b">
        <v>0</v>
      </c>
      <c r="Y122" s="6" t="b">
        <v>1</v>
      </c>
      <c r="Z122" s="6"/>
    </row>
    <row r="123" spans="1:26" x14ac:dyDescent="0.3">
      <c r="A123" s="6">
        <f t="shared" si="9"/>
        <v>122</v>
      </c>
      <c r="B123" s="6">
        <v>17</v>
      </c>
      <c r="C123" s="6" t="str">
        <f t="array" ref="C123">GetValue("Tables",B123,"Name")</f>
        <v>Transactions</v>
      </c>
      <c r="D123" s="7" t="str" cm="1">
        <f t="array" ref="D123">GetValue("Tables",B123,"Alias")</f>
        <v>Trs</v>
      </c>
      <c r="E123" s="6">
        <f>E122+5</f>
        <v>25</v>
      </c>
      <c r="F123" s="6">
        <v>6</v>
      </c>
      <c r="G123" s="6" t="str">
        <f t="array" ref="G123">GetValue("Domains",F123,"Name")</f>
        <v>Boolean</v>
      </c>
      <c r="H123" s="6" t="str" cm="1">
        <f t="array" ref="H123">GetValue("Domains",F123,"#CategoryName")</f>
        <v>boolean</v>
      </c>
      <c r="I123" s="6" t="str" cm="1">
        <f t="array" ref="I123">GetValue("Domains",F123,"#TypeName")</f>
        <v>bit</v>
      </c>
      <c r="J123" s="6" t="str" cm="1">
        <f t="array" ref="J123">GetValue("Domains",F123,"#DataType")</f>
        <v>bit</v>
      </c>
      <c r="K123" s="6" t="s">
        <v>308</v>
      </c>
      <c r="L123" s="6" t="s">
        <v>278</v>
      </c>
      <c r="M123" s="6" t="s">
        <v>278</v>
      </c>
      <c r="N123" s="6" t="s">
        <v>278</v>
      </c>
      <c r="O123" s="13"/>
      <c r="P123" s="13" t="s">
        <v>30</v>
      </c>
      <c r="Q123" s="13"/>
      <c r="R123" s="6"/>
      <c r="S123" s="6"/>
      <c r="T123" s="6" t="b">
        <v>1</v>
      </c>
      <c r="U123" s="6"/>
      <c r="V123" s="6" t="b">
        <v>1</v>
      </c>
      <c r="W123" s="6" t="b">
        <v>1</v>
      </c>
      <c r="X123" s="6" t="b">
        <v>0</v>
      </c>
      <c r="Y123" s="6"/>
      <c r="Z123" s="6"/>
    </row>
    <row r="124" spans="1:26" x14ac:dyDescent="0.3">
      <c r="A124" s="8">
        <f t="shared" si="9"/>
        <v>123</v>
      </c>
      <c r="B124" s="8">
        <v>18</v>
      </c>
      <c r="C124" s="8" t="str">
        <f t="array" ref="C124">GetValue("Tables",B124,"Name")</f>
        <v>Operations</v>
      </c>
      <c r="D124" s="8" t="str" cm="1">
        <f t="array" ref="D124">GetValue("Tables",B124,"Alias")</f>
        <v>Ope</v>
      </c>
      <c r="E124" s="8">
        <v>5</v>
      </c>
      <c r="F124" s="8">
        <v>1</v>
      </c>
      <c r="G124" s="8" t="str">
        <f t="array" ref="G124">GetValue("Domains",F124,"Name")</f>
        <v>BigInteger</v>
      </c>
      <c r="H124" s="8" t="str" cm="1">
        <f t="array" ref="H124">GetValue("Domains",F124,"#CategoryName")</f>
        <v>number</v>
      </c>
      <c r="I124" s="8" t="str" cm="1">
        <f t="array" ref="I124">GetValue("Domains",F124,"#TypeName")</f>
        <v>bigint</v>
      </c>
      <c r="J124" s="8" t="str" cm="1">
        <f t="array" ref="J124">GetValue("Domains",F124,"#DataType")</f>
        <v>bigint</v>
      </c>
      <c r="K124" s="8" t="s">
        <v>0</v>
      </c>
      <c r="L124" s="8" t="s">
        <v>414</v>
      </c>
      <c r="M124" s="8" t="s">
        <v>145</v>
      </c>
      <c r="N124" s="8" t="s">
        <v>145</v>
      </c>
      <c r="O124" s="14"/>
      <c r="P124" s="15">
        <v>1</v>
      </c>
      <c r="Q124" s="15"/>
      <c r="R124" s="8" t="b">
        <v>1</v>
      </c>
      <c r="S124" s="8" t="b">
        <v>1</v>
      </c>
      <c r="T124" s="8" t="b">
        <v>1</v>
      </c>
      <c r="U124" s="8"/>
      <c r="V124" s="8" t="b">
        <v>1</v>
      </c>
      <c r="W124" s="8" t="b">
        <v>0</v>
      </c>
      <c r="X124" s="8" t="b">
        <v>0</v>
      </c>
      <c r="Y124" s="8"/>
      <c r="Z124" s="8" t="b">
        <v>0</v>
      </c>
    </row>
    <row r="125" spans="1:26" x14ac:dyDescent="0.3">
      <c r="A125" s="8">
        <f t="shared" si="9"/>
        <v>124</v>
      </c>
      <c r="B125" s="8">
        <v>18</v>
      </c>
      <c r="C125" s="8" t="str">
        <f t="array" ref="C125">GetValue("Tables",B125,"Name")</f>
        <v>Operations</v>
      </c>
      <c r="D125" s="8" t="str" cm="1">
        <f t="array" ref="D125">GetValue("Tables",B125,"Alias")</f>
        <v>Ope</v>
      </c>
      <c r="E125" s="8">
        <f>E124+5</f>
        <v>10</v>
      </c>
      <c r="F125" s="8">
        <v>1</v>
      </c>
      <c r="G125" s="8" t="str">
        <f t="array" ref="G125">GetValue("Domains",F125,"Name")</f>
        <v>BigInteger</v>
      </c>
      <c r="H125" s="8" t="str" cm="1">
        <f t="array" ref="H125">GetValue("Domains",F125,"#CategoryName")</f>
        <v>number</v>
      </c>
      <c r="I125" s="8" t="str" cm="1">
        <f t="array" ref="I125">GetValue("Domains",F125,"#TypeName")</f>
        <v>bigint</v>
      </c>
      <c r="J125" s="8" t="str" cm="1">
        <f t="array" ref="J125">GetValue("Domains",F125,"#DataType")</f>
        <v>bigint</v>
      </c>
      <c r="K125" s="8" t="s">
        <v>468</v>
      </c>
      <c r="L125" s="8" t="s">
        <v>469</v>
      </c>
      <c r="M125" s="8" t="s">
        <v>470</v>
      </c>
      <c r="N125" s="8" t="s">
        <v>470</v>
      </c>
      <c r="O125" s="14"/>
      <c r="P125" s="15">
        <v>1</v>
      </c>
      <c r="Q125" s="15"/>
      <c r="R125" s="8" t="b">
        <v>0</v>
      </c>
      <c r="S125" s="8" t="b">
        <v>0</v>
      </c>
      <c r="T125" s="8" t="b">
        <v>1</v>
      </c>
      <c r="U125" s="8"/>
      <c r="V125" s="8" t="b">
        <v>0</v>
      </c>
      <c r="W125" s="8" t="b">
        <v>0</v>
      </c>
      <c r="X125" s="8" t="b">
        <v>0</v>
      </c>
      <c r="Y125" s="8"/>
      <c r="Z125" s="8" t="b">
        <v>0</v>
      </c>
    </row>
    <row r="126" spans="1:26" x14ac:dyDescent="0.3">
      <c r="A126" s="8">
        <f t="shared" si="9"/>
        <v>125</v>
      </c>
      <c r="B126" s="8">
        <v>18</v>
      </c>
      <c r="C126" s="8" t="str">
        <f t="array" ref="C126">GetValue("Tables",B126,"Name")</f>
        <v>Operations</v>
      </c>
      <c r="D126" s="8" t="str" cm="1">
        <f t="array" ref="D126">GetValue("Tables",B126,"Alias")</f>
        <v>Ope</v>
      </c>
      <c r="E126" s="8">
        <f>E125+5</f>
        <v>15</v>
      </c>
      <c r="F126" s="8">
        <v>6</v>
      </c>
      <c r="G126" s="8" t="str">
        <f t="array" ref="G126">GetValue("Domains",F126,"Name")</f>
        <v>Boolean</v>
      </c>
      <c r="H126" s="8" t="str" cm="1">
        <f t="array" ref="H126">GetValue("Domains",F126,"#CategoryName")</f>
        <v>boolean</v>
      </c>
      <c r="I126" s="8" t="str" cm="1">
        <f t="array" ref="I126">GetValue("Domains",F126,"#TypeName")</f>
        <v>bit</v>
      </c>
      <c r="J126" s="8" t="str" cm="1">
        <f t="array" ref="J126">GetValue("Domains",F126,"#DataType")</f>
        <v>bit</v>
      </c>
      <c r="K126" s="8" t="s">
        <v>407</v>
      </c>
      <c r="L126" s="8" t="s">
        <v>411</v>
      </c>
      <c r="M126" s="8" t="s">
        <v>412</v>
      </c>
      <c r="N126" s="8" t="s">
        <v>412</v>
      </c>
      <c r="O126" s="14"/>
      <c r="P126" s="15">
        <v>1</v>
      </c>
      <c r="Q126" s="15"/>
      <c r="R126" s="8" t="b">
        <v>0</v>
      </c>
      <c r="S126" s="8" t="b">
        <v>0</v>
      </c>
      <c r="T126" s="8" t="b">
        <v>1</v>
      </c>
      <c r="U126" s="8"/>
      <c r="V126" s="8" t="b">
        <v>0</v>
      </c>
      <c r="W126" s="8" t="b">
        <v>0</v>
      </c>
      <c r="X126" s="8" t="b">
        <v>0</v>
      </c>
      <c r="Y126" s="8"/>
      <c r="Z126" s="8" t="b">
        <v>0</v>
      </c>
    </row>
    <row r="127" spans="1:26" x14ac:dyDescent="0.3">
      <c r="A127" s="6">
        <f t="shared" si="9"/>
        <v>126</v>
      </c>
      <c r="B127" s="6">
        <v>19</v>
      </c>
      <c r="C127" s="6" t="str">
        <f t="array" ref="C127">GetValue("Tables",B127,"Name")</f>
        <v>Unicities</v>
      </c>
      <c r="D127" s="7" t="str" cm="1">
        <f t="array" ref="D127">GetValue("Tables",B127,"Alias")</f>
        <v>Uni</v>
      </c>
      <c r="E127" s="6">
        <v>5</v>
      </c>
      <c r="F127" s="6">
        <v>1</v>
      </c>
      <c r="G127" s="6" t="str">
        <f t="array" ref="G127">GetValue("Domains",F127,"Name")</f>
        <v>BigInteger</v>
      </c>
      <c r="H127" s="6" t="str" cm="1">
        <f t="array" ref="H127">GetValue("Domains",F127,"#CategoryName")</f>
        <v>number</v>
      </c>
      <c r="I127" s="6" t="str" cm="1">
        <f t="array" ref="I127">GetValue("Domains",F127,"#TypeName")</f>
        <v>bigint</v>
      </c>
      <c r="J127" s="6" t="str" cm="1">
        <f t="array" ref="J127">GetValue("Domains",F127,"#DataType")</f>
        <v>bigint</v>
      </c>
      <c r="K127" s="6" t="s">
        <v>0</v>
      </c>
      <c r="L127" s="6" t="s">
        <v>415</v>
      </c>
      <c r="M127" s="6" t="s">
        <v>145</v>
      </c>
      <c r="N127" s="6" t="s">
        <v>145</v>
      </c>
      <c r="O127" s="13"/>
      <c r="P127" s="13">
        <v>1</v>
      </c>
      <c r="Q127" s="13"/>
      <c r="R127" s="6" t="b">
        <v>1</v>
      </c>
      <c r="S127" s="6" t="b">
        <v>1</v>
      </c>
      <c r="T127" s="6" t="b">
        <v>1</v>
      </c>
      <c r="U127" s="6"/>
      <c r="V127" s="6" t="b">
        <v>1</v>
      </c>
      <c r="W127" s="6" t="b">
        <v>0</v>
      </c>
      <c r="X127" s="6" t="b">
        <v>0</v>
      </c>
      <c r="Y127" s="6"/>
      <c r="Z127" s="6" t="b">
        <v>0</v>
      </c>
    </row>
    <row r="128" spans="1:26" x14ac:dyDescent="0.3">
      <c r="A128" s="6">
        <f t="shared" si="9"/>
        <v>127</v>
      </c>
      <c r="B128" s="6">
        <v>19</v>
      </c>
      <c r="C128" s="6" t="str">
        <f t="array" ref="C128">GetValue("Tables",B128,"Name")</f>
        <v>Unicities</v>
      </c>
      <c r="D128" s="7" t="str" cm="1">
        <f t="array" ref="D128">GetValue("Tables",B128,"Alias")</f>
        <v>Uni</v>
      </c>
      <c r="E128" s="6">
        <f>E127+5</f>
        <v>10</v>
      </c>
      <c r="F128" s="6">
        <v>1</v>
      </c>
      <c r="G128" s="6" t="str">
        <f t="array" ref="G128">GetValue("Domains",F128,"Name")</f>
        <v>BigInteger</v>
      </c>
      <c r="H128" s="6" t="str" cm="1">
        <f t="array" ref="H128">GetValue("Domains",F128,"#CategoryName")</f>
        <v>number</v>
      </c>
      <c r="I128" s="6" t="str" cm="1">
        <f t="array" ref="I128">GetValue("Domains",F128,"#TypeName")</f>
        <v>bigint</v>
      </c>
      <c r="J128" s="6" t="str" cm="1">
        <f t="array" ref="J128">GetValue("Domains",F128,"#DataType")</f>
        <v>bigint</v>
      </c>
      <c r="K128" s="6" t="s">
        <v>408</v>
      </c>
      <c r="L128" s="6" t="s">
        <v>414</v>
      </c>
      <c r="M128" s="6" t="s">
        <v>416</v>
      </c>
      <c r="N128" s="6" t="s">
        <v>416</v>
      </c>
      <c r="O128" s="13"/>
      <c r="P128" s="13">
        <v>1</v>
      </c>
      <c r="Q128" s="13"/>
      <c r="R128" s="6" t="b">
        <v>0</v>
      </c>
      <c r="S128" s="6" t="b">
        <v>0</v>
      </c>
      <c r="T128" s="6" t="b">
        <v>1</v>
      </c>
      <c r="U128" s="6"/>
      <c r="V128" s="6" t="b">
        <v>0</v>
      </c>
      <c r="W128" s="6" t="b">
        <v>0</v>
      </c>
      <c r="X128" s="6" t="b">
        <v>0</v>
      </c>
      <c r="Y128" s="6"/>
      <c r="Z128" s="6" t="b">
        <v>0</v>
      </c>
    </row>
    <row r="129" spans="1:26" x14ac:dyDescent="0.3">
      <c r="A129" s="6">
        <f t="shared" si="9"/>
        <v>128</v>
      </c>
      <c r="B129" s="6">
        <v>19</v>
      </c>
      <c r="C129" s="6" t="str">
        <f t="array" ref="C129">GetValue("Tables",B129,"Name")</f>
        <v>Unicities</v>
      </c>
      <c r="D129" s="7" t="str" cm="1">
        <f t="array" ref="D129">GetValue("Tables",B129,"Alias")</f>
        <v>Uni</v>
      </c>
      <c r="E129" s="6">
        <f t="shared" ref="E129:E133" si="11">E128+5</f>
        <v>15</v>
      </c>
      <c r="F129" s="6">
        <v>9</v>
      </c>
      <c r="G129" s="6" t="str">
        <f t="array" ref="G129">GetValue("Domains",F129,"Name")</f>
        <v>Nvarchar(20)</v>
      </c>
      <c r="H129" s="6" t="str" cm="1">
        <f t="array" ref="H129">GetValue("Domains",F129,"#CategoryName")</f>
        <v>string</v>
      </c>
      <c r="I129" s="6" t="str" cm="1">
        <f t="array" ref="I129">GetValue("Domains",F129,"#TypeName")</f>
        <v>nvarchar</v>
      </c>
      <c r="J129" s="6" t="str" cm="1">
        <f t="array" ref="J129">GetValue("Domains",F129,"#DataType")</f>
        <v>nvarchar(20)</v>
      </c>
      <c r="K129" s="6" t="s">
        <v>409</v>
      </c>
      <c r="L129" s="6" t="s">
        <v>222</v>
      </c>
      <c r="M129" s="6" t="s">
        <v>226</v>
      </c>
      <c r="N129" s="6" t="s">
        <v>226</v>
      </c>
      <c r="O129" s="13"/>
      <c r="P129" s="13"/>
      <c r="Q129" s="13"/>
      <c r="R129" s="6" t="b">
        <v>0</v>
      </c>
      <c r="S129" s="6"/>
      <c r="T129" s="6" t="b">
        <v>1</v>
      </c>
      <c r="U129" s="6"/>
      <c r="V129" s="6" t="b">
        <v>0</v>
      </c>
      <c r="W129" s="6" t="b">
        <v>0</v>
      </c>
      <c r="X129" s="6" t="b">
        <v>0</v>
      </c>
      <c r="Y129" s="6" t="b">
        <v>0</v>
      </c>
      <c r="Z129" s="6"/>
    </row>
    <row r="130" spans="1:26" x14ac:dyDescent="0.3">
      <c r="A130" s="6">
        <f t="shared" si="9"/>
        <v>129</v>
      </c>
      <c r="B130" s="6">
        <v>19</v>
      </c>
      <c r="C130" s="6" t="str">
        <f t="array" ref="C130">GetValue("Tables",B130,"Name")</f>
        <v>Unicities</v>
      </c>
      <c r="D130" s="7" t="str" cm="1">
        <f t="array" ref="D130">GetValue("Tables",B130,"Alias")</f>
        <v>Uni</v>
      </c>
      <c r="E130" s="6">
        <f t="shared" si="11"/>
        <v>20</v>
      </c>
      <c r="F130" s="6">
        <v>21</v>
      </c>
      <c r="G130" s="6" t="str">
        <f t="array" ref="G130">GetValue("Domains",F130,"Name")</f>
        <v>RENAVAM</v>
      </c>
      <c r="H130" s="6" t="str" cm="1">
        <f t="array" ref="H130">GetValue("Domains",F130,"#CategoryName")</f>
        <v>string</v>
      </c>
      <c r="I130" s="6" t="str" cm="1">
        <f t="array" ref="I130">GetValue("Domains",F130,"#TypeName")</f>
        <v>nvarchar</v>
      </c>
      <c r="J130" s="6" t="str" cm="1">
        <f t="array" ref="J130">GetValue("Domains",F130,"#DataType")</f>
        <v>nvarchar(11)</v>
      </c>
      <c r="K130" s="6" t="s">
        <v>80</v>
      </c>
      <c r="L130" s="6" t="s">
        <v>417</v>
      </c>
      <c r="M130" s="6" t="s">
        <v>200</v>
      </c>
      <c r="N130" s="6" t="s">
        <v>200</v>
      </c>
      <c r="O130" s="13"/>
      <c r="P130" s="13"/>
      <c r="Q130" s="13"/>
      <c r="R130" s="6" t="b">
        <v>0</v>
      </c>
      <c r="S130" s="6"/>
      <c r="T130" s="6" t="b">
        <v>1</v>
      </c>
      <c r="U130" s="6"/>
      <c r="V130" s="6" t="b">
        <v>0</v>
      </c>
      <c r="W130" s="6" t="b">
        <v>0</v>
      </c>
      <c r="X130" s="6" t="b">
        <v>0</v>
      </c>
      <c r="Y130" s="6" t="b">
        <v>0</v>
      </c>
      <c r="Z130" s="6"/>
    </row>
    <row r="131" spans="1:26" x14ac:dyDescent="0.3">
      <c r="A131" s="6">
        <f t="shared" si="9"/>
        <v>130</v>
      </c>
      <c r="B131" s="6">
        <v>19</v>
      </c>
      <c r="C131" s="6" t="str">
        <f t="array" ref="C131">GetValue("Tables",B131,"Name")</f>
        <v>Unicities</v>
      </c>
      <c r="D131" s="7" t="str" cm="1">
        <f t="array" ref="D131">GetValue("Tables",B131,"Alias")</f>
        <v>Uni</v>
      </c>
      <c r="E131" s="6">
        <f t="shared" si="11"/>
        <v>25</v>
      </c>
      <c r="F131" s="6">
        <v>12</v>
      </c>
      <c r="G131" s="6" t="str">
        <f t="array" ref="G131">GetValue("Domains",F131,"Name")</f>
        <v>Nvarchar(256)</v>
      </c>
      <c r="H131" s="6" t="str" cm="1">
        <f t="array" ref="H131">GetValue("Domains",F131,"#CategoryName")</f>
        <v>string</v>
      </c>
      <c r="I131" s="6" t="str" cm="1">
        <f t="array" ref="I131">GetValue("Domains",F131,"#TypeName")</f>
        <v>nvarchar</v>
      </c>
      <c r="J131" s="6" t="str" cm="1">
        <f t="array" ref="J131">GetValue("Domains",F131,"#DataType")</f>
        <v>nvarchar(256)</v>
      </c>
      <c r="K131" s="6" t="s">
        <v>449</v>
      </c>
      <c r="L131" s="6" t="s">
        <v>450</v>
      </c>
      <c r="M131" s="6" t="s">
        <v>450</v>
      </c>
      <c r="N131" s="6" t="s">
        <v>450</v>
      </c>
      <c r="O131" s="13"/>
      <c r="P131" s="13"/>
      <c r="Q131" s="13"/>
      <c r="R131" s="6" t="b">
        <v>0</v>
      </c>
      <c r="S131" s="6"/>
      <c r="T131" s="6" t="b">
        <v>0</v>
      </c>
      <c r="U131" s="6"/>
      <c r="V131" s="6" t="b">
        <v>0</v>
      </c>
      <c r="W131" s="6" t="b">
        <v>0</v>
      </c>
      <c r="X131" s="6" t="b">
        <v>0</v>
      </c>
      <c r="Y131" s="6" t="b">
        <v>0</v>
      </c>
      <c r="Z131" s="6"/>
    </row>
    <row r="132" spans="1:26" x14ac:dyDescent="0.3">
      <c r="A132" s="6">
        <f t="shared" si="9"/>
        <v>131</v>
      </c>
      <c r="B132" s="6">
        <v>19</v>
      </c>
      <c r="C132" s="6" t="str">
        <f t="array" ref="C132">GetValue("Tables",B132,"Name")</f>
        <v>Unicities</v>
      </c>
      <c r="D132" s="7" t="str" cm="1">
        <f t="array" ref="D132">GetValue("Tables",B132,"Alias")</f>
        <v>Uni</v>
      </c>
      <c r="E132" s="6">
        <f t="shared" si="11"/>
        <v>30</v>
      </c>
      <c r="F132" s="6">
        <v>12</v>
      </c>
      <c r="G132" s="6" t="str">
        <f t="array" ref="G132">GetValue("Domains",F132,"Name")</f>
        <v>Nvarchar(256)</v>
      </c>
      <c r="H132" s="6" t="str" cm="1">
        <f t="array" ref="H132">GetValue("Domains",F132,"#CategoryName")</f>
        <v>string</v>
      </c>
      <c r="I132" s="6" t="str" cm="1">
        <f t="array" ref="I132">GetValue("Domains",F132,"#TypeName")</f>
        <v>nvarchar</v>
      </c>
      <c r="J132" s="6" t="str" cm="1">
        <f t="array" ref="J132">GetValue("Domains",F132,"#DataType")</f>
        <v>nvarchar(256)</v>
      </c>
      <c r="K132" s="6" t="s">
        <v>410</v>
      </c>
      <c r="L132" s="6" t="s">
        <v>418</v>
      </c>
      <c r="M132" s="6" t="s">
        <v>418</v>
      </c>
      <c r="N132" s="6" t="s">
        <v>418</v>
      </c>
      <c r="O132" s="13"/>
      <c r="P132" s="13"/>
      <c r="Q132" s="13"/>
      <c r="R132" s="6" t="b">
        <v>0</v>
      </c>
      <c r="S132" s="6"/>
      <c r="T132" s="6" t="b">
        <v>1</v>
      </c>
      <c r="U132" s="6"/>
      <c r="V132" s="6" t="b">
        <v>0</v>
      </c>
      <c r="W132" s="6" t="b">
        <v>0</v>
      </c>
      <c r="X132" s="6" t="b">
        <v>0</v>
      </c>
      <c r="Y132" s="6" t="b">
        <v>0</v>
      </c>
      <c r="Z132" s="6"/>
    </row>
    <row r="133" spans="1:26" x14ac:dyDescent="0.3">
      <c r="A133" s="6">
        <f t="shared" si="9"/>
        <v>132</v>
      </c>
      <c r="B133" s="6">
        <v>19</v>
      </c>
      <c r="C133" s="6" t="str">
        <f t="array" ref="C133">GetValue("Tables",B133,"Name")</f>
        <v>Unicities</v>
      </c>
      <c r="D133" s="7" t="str" cm="1">
        <f t="array" ref="D133">GetValue("Tables",B133,"Alias")</f>
        <v>Uni</v>
      </c>
      <c r="E133" s="6">
        <f t="shared" si="11"/>
        <v>35</v>
      </c>
      <c r="F133" s="6">
        <v>6</v>
      </c>
      <c r="G133" s="6" t="str">
        <f t="array" ref="G133">GetValue("Domains",F133,"Name")</f>
        <v>Boolean</v>
      </c>
      <c r="H133" s="6" t="str" cm="1">
        <f t="array" ref="H133">GetValue("Domains",F133,"#CategoryName")</f>
        <v>boolean</v>
      </c>
      <c r="I133" s="6" t="str" cm="1">
        <f t="array" ref="I133">GetValue("Domains",F133,"#TypeName")</f>
        <v>bit</v>
      </c>
      <c r="J133" s="6" t="str" cm="1">
        <f t="array" ref="J133">GetValue("Domains",F133,"#DataType")</f>
        <v>bit</v>
      </c>
      <c r="K133" s="6" t="s">
        <v>407</v>
      </c>
      <c r="L133" s="6" t="s">
        <v>411</v>
      </c>
      <c r="M133" s="6" t="s">
        <v>412</v>
      </c>
      <c r="N133" s="6" t="s">
        <v>412</v>
      </c>
      <c r="O133" s="13"/>
      <c r="P133" s="13"/>
      <c r="Q133" s="13"/>
      <c r="R133" s="6" t="b">
        <v>0</v>
      </c>
      <c r="S133" s="6"/>
      <c r="T133" s="6" t="b">
        <v>0</v>
      </c>
      <c r="U133" s="6"/>
      <c r="V133" s="6" t="b">
        <v>0</v>
      </c>
      <c r="W133" s="6" t="b">
        <v>0</v>
      </c>
      <c r="X133" s="6" t="b">
        <v>0</v>
      </c>
      <c r="Y133" s="6"/>
      <c r="Z133" s="6"/>
    </row>
    <row r="134" spans="1:26" s="18" customFormat="1" x14ac:dyDescent="0.3">
      <c r="A134" s="8">
        <f t="shared" si="9"/>
        <v>133</v>
      </c>
      <c r="B134" s="8">
        <v>20</v>
      </c>
      <c r="C134" s="8" t="str">
        <f t="array" ref="C134">GetValue("Tables",B134,"Name")</f>
        <v>Operators</v>
      </c>
      <c r="D134" s="17" t="str" cm="1">
        <f t="array" ref="D134">GetValue("Tables",B134,"Alias")</f>
        <v>Ope</v>
      </c>
      <c r="E134" s="8">
        <v>5</v>
      </c>
      <c r="F134" s="8">
        <v>1</v>
      </c>
      <c r="G134" s="8" t="str">
        <f t="array" ref="G134">GetValue("Domains",F134,"Name")</f>
        <v>BigInteger</v>
      </c>
      <c r="H134" s="8" t="str" cm="1">
        <f t="array" ref="H134">GetValue("Domains",F134,"#CategoryName")</f>
        <v>number</v>
      </c>
      <c r="I134" s="8" t="str" cm="1">
        <f t="array" ref="I134">GetValue("Domains",F134,"#TypeName")</f>
        <v>bigint</v>
      </c>
      <c r="J134" s="8" t="str" cm="1">
        <f t="array" ref="J134">GetValue("Domains",F134,"#DataType")</f>
        <v>bigint</v>
      </c>
      <c r="K134" s="8" t="s">
        <v>0</v>
      </c>
      <c r="L134" s="8" t="s">
        <v>431</v>
      </c>
      <c r="M134" s="8" t="s">
        <v>145</v>
      </c>
      <c r="N134" s="8" t="s">
        <v>145</v>
      </c>
      <c r="O134" s="14"/>
      <c r="P134" s="14">
        <v>1</v>
      </c>
      <c r="Q134" s="14"/>
      <c r="R134" s="8" t="b">
        <v>1</v>
      </c>
      <c r="S134" s="8" t="b">
        <v>1</v>
      </c>
      <c r="T134" s="8" t="b">
        <v>1</v>
      </c>
      <c r="U134" s="8"/>
      <c r="V134" s="8" t="b">
        <v>1</v>
      </c>
      <c r="W134" s="8" t="b">
        <v>0</v>
      </c>
      <c r="X134" s="8" t="b">
        <v>0</v>
      </c>
      <c r="Y134" s="8"/>
      <c r="Z134" s="8" t="b">
        <v>0</v>
      </c>
    </row>
    <row r="135" spans="1:26" s="18" customFormat="1" x14ac:dyDescent="0.3">
      <c r="A135" s="8">
        <f t="shared" si="9"/>
        <v>134</v>
      </c>
      <c r="B135" s="8">
        <v>20</v>
      </c>
      <c r="C135" s="8" t="str">
        <f t="array" ref="C135">GetValue("Tables",B135,"Name")</f>
        <v>Operators</v>
      </c>
      <c r="D135" s="17" t="str" cm="1">
        <f t="array" ref="D135">GetValue("Tables",B135,"Alias")</f>
        <v>Ope</v>
      </c>
      <c r="E135" s="8">
        <f t="shared" ref="E135:E137" si="12">E134+5</f>
        <v>10</v>
      </c>
      <c r="F135" s="8">
        <v>1</v>
      </c>
      <c r="G135" s="8" t="str">
        <f t="array" ref="G135">GetValue("Domains",F135,"Name")</f>
        <v>BigInteger</v>
      </c>
      <c r="H135" s="8" t="str" cm="1">
        <f t="array" ref="H135">GetValue("Domains",F135,"#CategoryName")</f>
        <v>number</v>
      </c>
      <c r="I135" s="8" t="str" cm="1">
        <f t="array" ref="I135">GetValue("Domains",F135,"#TypeName")</f>
        <v>bigint</v>
      </c>
      <c r="J135" s="8" t="str" cm="1">
        <f t="array" ref="J135">GetValue("Domains",F135,"#DataType")</f>
        <v>bigint</v>
      </c>
      <c r="K135" s="8" t="s">
        <v>432</v>
      </c>
      <c r="L135" s="8" t="s">
        <v>434</v>
      </c>
      <c r="M135" s="8" t="s">
        <v>434</v>
      </c>
      <c r="N135" s="8" t="s">
        <v>436</v>
      </c>
      <c r="O135" s="14"/>
      <c r="P135" s="14"/>
      <c r="Q135" s="14"/>
      <c r="R135" s="8" t="b">
        <v>0</v>
      </c>
      <c r="S135" s="8" t="b">
        <v>0</v>
      </c>
      <c r="T135" s="8" t="b">
        <v>1</v>
      </c>
      <c r="U135" s="8"/>
      <c r="V135" s="8" t="b">
        <v>1</v>
      </c>
      <c r="W135" s="8" t="b">
        <v>1</v>
      </c>
      <c r="X135" s="8" t="b">
        <v>1</v>
      </c>
      <c r="Y135" s="8"/>
      <c r="Z135" s="8" t="b">
        <v>0</v>
      </c>
    </row>
    <row r="136" spans="1:26" s="18" customFormat="1" x14ac:dyDescent="0.3">
      <c r="A136" s="8">
        <f t="shared" si="9"/>
        <v>135</v>
      </c>
      <c r="B136" s="8">
        <v>20</v>
      </c>
      <c r="C136" s="8" t="str">
        <f t="array" ref="C136">GetValue("Tables",B136,"Name")</f>
        <v>Operators</v>
      </c>
      <c r="D136" s="17" t="str" cm="1">
        <f t="array" ref="D136">GetValue("Tables",B136,"Alias")</f>
        <v>Ope</v>
      </c>
      <c r="E136" s="8">
        <f t="shared" si="12"/>
        <v>15</v>
      </c>
      <c r="F136" s="8">
        <v>1</v>
      </c>
      <c r="G136" s="8" t="str">
        <f t="array" ref="G136">GetValue("Domains",F136,"Name")</f>
        <v>BigInteger</v>
      </c>
      <c r="H136" s="8" t="str" cm="1">
        <f t="array" ref="H136">GetValue("Domains",F136,"#CategoryName")</f>
        <v>number</v>
      </c>
      <c r="I136" s="8" t="str" cm="1">
        <f t="array" ref="I136">GetValue("Domains",F136,"#TypeName")</f>
        <v>bigint</v>
      </c>
      <c r="J136" s="8" t="str" cm="1">
        <f t="array" ref="J136">GetValue("Domains",F136,"#DataType")</f>
        <v>bigint</v>
      </c>
      <c r="K136" s="8" t="s">
        <v>433</v>
      </c>
      <c r="L136" s="8" t="s">
        <v>435</v>
      </c>
      <c r="M136" s="8" t="s">
        <v>435</v>
      </c>
      <c r="N136" s="8" t="s">
        <v>437</v>
      </c>
      <c r="O136" s="14"/>
      <c r="P136" s="14"/>
      <c r="Q136" s="14"/>
      <c r="R136" s="8" t="b">
        <v>0</v>
      </c>
      <c r="S136" s="8" t="b">
        <v>0</v>
      </c>
      <c r="T136" s="8" t="b">
        <v>1</v>
      </c>
      <c r="U136" s="8"/>
      <c r="V136" s="8" t="b">
        <v>1</v>
      </c>
      <c r="W136" s="8" t="b">
        <v>1</v>
      </c>
      <c r="X136" s="8" t="b">
        <v>1</v>
      </c>
      <c r="Y136" s="8"/>
      <c r="Z136" s="8" t="b">
        <v>0</v>
      </c>
    </row>
    <row r="137" spans="1:26" s="18" customFormat="1" x14ac:dyDescent="0.3">
      <c r="A137" s="8">
        <f t="shared" si="9"/>
        <v>136</v>
      </c>
      <c r="B137" s="8">
        <v>20</v>
      </c>
      <c r="C137" s="8" t="str">
        <f t="array" ref="C137">GetValue("Tables",B137,"Name")</f>
        <v>Operators</v>
      </c>
      <c r="D137" s="17" t="str" cm="1">
        <f t="array" ref="D137">GetValue("Tables",B137,"Alias")</f>
        <v>Ope</v>
      </c>
      <c r="E137" s="8">
        <f t="shared" si="12"/>
        <v>20</v>
      </c>
      <c r="F137" s="8">
        <v>6</v>
      </c>
      <c r="G137" s="8" t="str">
        <f t="array" ref="G137">GetValue("Domains",F137,"Name")</f>
        <v>Boolean</v>
      </c>
      <c r="H137" s="8" t="str" cm="1">
        <f t="array" ref="H137">GetValue("Domains",F137,"#CategoryName")</f>
        <v>boolean</v>
      </c>
      <c r="I137" s="8" t="str" cm="1">
        <f t="array" ref="I137">GetValue("Domains",F137,"#TypeName")</f>
        <v>bit</v>
      </c>
      <c r="J137" s="8" t="str" cm="1">
        <f t="array" ref="J137">GetValue("Domains",F137,"#DataType")</f>
        <v>bit</v>
      </c>
      <c r="K137" s="8" t="s">
        <v>429</v>
      </c>
      <c r="L137" s="8" t="s">
        <v>444</v>
      </c>
      <c r="M137" s="8" t="s">
        <v>445</v>
      </c>
      <c r="N137" s="8" t="s">
        <v>445</v>
      </c>
      <c r="O137" s="14"/>
      <c r="P137" s="14"/>
      <c r="Q137" s="14"/>
      <c r="R137" s="8"/>
      <c r="S137" s="8"/>
      <c r="T137" s="8" t="b">
        <v>1</v>
      </c>
      <c r="U137" s="8"/>
      <c r="V137" s="8" t="b">
        <v>1</v>
      </c>
      <c r="W137" s="8" t="b">
        <v>1</v>
      </c>
      <c r="X137" s="8" t="b">
        <v>1</v>
      </c>
      <c r="Y137" s="8"/>
      <c r="Z137" s="8"/>
    </row>
    <row r="138" spans="1:26" x14ac:dyDescent="0.3">
      <c r="A138" s="6">
        <f t="shared" si="9"/>
        <v>137</v>
      </c>
      <c r="B138" s="6">
        <v>21</v>
      </c>
      <c r="C138" s="6" t="e">
        <f t="array" ref="C138">GetValue("Tables",B138,"Name")</f>
        <v>#VALUE!</v>
      </c>
      <c r="D138" s="7" t="e" cm="1">
        <f t="array" ref="D138">GetValue("Tables",B138,"Alias")</f>
        <v>#VALUE!</v>
      </c>
      <c r="E138" s="6">
        <v>5</v>
      </c>
      <c r="F138" s="6">
        <v>5</v>
      </c>
      <c r="G138" s="6" t="str">
        <f t="array" ref="G138">GetValue("Domains",F138,"Name")</f>
        <v>TinyInteger</v>
      </c>
      <c r="H138" s="6" t="str" cm="1">
        <f t="array" ref="H138">GetValue("Domains",F138,"#CategoryName")</f>
        <v>number</v>
      </c>
      <c r="I138" s="6" t="str" cm="1">
        <f t="array" ref="I138">GetValue("Domains",F138,"#TypeName")</f>
        <v>tinyint</v>
      </c>
      <c r="J138" s="6" t="str" cm="1">
        <f t="array" ref="J138">GetValue("Domains",F138,"#DataType")</f>
        <v>tinyint</v>
      </c>
      <c r="K138" s="6" t="s">
        <v>0</v>
      </c>
      <c r="L138" s="6" t="s">
        <v>487</v>
      </c>
      <c r="M138" s="6" t="s">
        <v>145</v>
      </c>
      <c r="N138" s="6" t="s">
        <v>145</v>
      </c>
      <c r="O138" s="13"/>
      <c r="P138" s="13">
        <v>1</v>
      </c>
      <c r="Q138" s="13"/>
      <c r="R138" s="6" t="b">
        <v>1</v>
      </c>
      <c r="S138" s="6" t="b">
        <v>1</v>
      </c>
      <c r="T138" s="6" t="b">
        <v>1</v>
      </c>
      <c r="U138" s="6"/>
      <c r="V138" s="6" t="b">
        <v>1</v>
      </c>
      <c r="W138" s="6" t="b">
        <v>0</v>
      </c>
      <c r="X138" s="6" t="b">
        <v>0</v>
      </c>
      <c r="Y138" s="6"/>
      <c r="Z138" s="6" t="b">
        <v>0</v>
      </c>
    </row>
    <row r="139" spans="1:26" x14ac:dyDescent="0.3">
      <c r="A139" s="6">
        <f t="shared" si="9"/>
        <v>138</v>
      </c>
      <c r="B139" s="6">
        <v>21</v>
      </c>
      <c r="C139" s="6" t="e">
        <f t="array" ref="C139">GetValue("Tables",B139,"Name")</f>
        <v>#VALUE!</v>
      </c>
      <c r="D139" s="7" t="e" cm="1">
        <f t="array" ref="D139">GetValue("Tables",B139,"Alias")</f>
        <v>#VALUE!</v>
      </c>
      <c r="E139" s="6">
        <f>E138+5</f>
        <v>10</v>
      </c>
      <c r="F139" s="6">
        <v>7</v>
      </c>
      <c r="G139" s="6" t="str">
        <f t="array" ref="G139">GetValue("Domains",F139,"Name")</f>
        <v>DateTime</v>
      </c>
      <c r="H139" s="6" t="str" cm="1">
        <f t="array" ref="H139">GetValue("Domains",F139,"#CategoryName")</f>
        <v>datetime</v>
      </c>
      <c r="I139" s="6" t="str" cm="1">
        <f t="array" ref="I139">GetValue("Domains",F139,"#TypeName")</f>
        <v>datetime</v>
      </c>
      <c r="J139" s="6" t="str" cm="1">
        <f t="array" ref="J139">GetValue("Domains",F139,"#DataType")</f>
        <v>datetime</v>
      </c>
      <c r="K139" s="6" t="s">
        <v>1</v>
      </c>
      <c r="L139" s="6" t="s">
        <v>488</v>
      </c>
      <c r="M139" s="6" t="s">
        <v>147</v>
      </c>
      <c r="N139" s="6" t="s">
        <v>147</v>
      </c>
      <c r="O139" s="13"/>
      <c r="P139" s="13"/>
      <c r="Q139" s="13"/>
      <c r="R139" s="6" t="b">
        <v>0</v>
      </c>
      <c r="S139" s="6"/>
      <c r="T139" s="6" t="b">
        <v>1</v>
      </c>
      <c r="U139" s="6" t="b">
        <v>1</v>
      </c>
      <c r="V139" s="6" t="b">
        <v>1</v>
      </c>
      <c r="W139" s="6" t="b">
        <v>1</v>
      </c>
      <c r="X139" s="6" t="b">
        <v>1</v>
      </c>
      <c r="Y139" s="6" t="b">
        <v>0</v>
      </c>
      <c r="Z139" s="6"/>
    </row>
    <row r="140" spans="1:26" x14ac:dyDescent="0.3">
      <c r="A140" s="6">
        <f t="shared" si="9"/>
        <v>139</v>
      </c>
      <c r="B140" s="6">
        <v>21</v>
      </c>
      <c r="C140" s="6" t="e">
        <f t="array" ref="C140">GetValue("Tables",B140,"Name")</f>
        <v>#VALUE!</v>
      </c>
      <c r="D140" s="7" t="e" cm="1">
        <f t="array" ref="D140">GetValue("Tables",B140,"Alias")</f>
        <v>#VALUE!</v>
      </c>
      <c r="E140" s="6">
        <f>E139+5</f>
        <v>15</v>
      </c>
      <c r="F140" s="6">
        <v>7</v>
      </c>
      <c r="G140" s="6" t="str">
        <f t="array" ref="G140">GetValue("Domains",F140,"Name")</f>
        <v>DateTime</v>
      </c>
      <c r="H140" s="6" t="str" cm="1">
        <f t="array" ref="H140">GetValue("Domains",F140,"#CategoryName")</f>
        <v>datetime</v>
      </c>
      <c r="I140" s="6" t="str" cm="1">
        <f t="array" ref="I140">GetValue("Domains",F140,"#TypeName")</f>
        <v>datetime</v>
      </c>
      <c r="J140" s="6" t="str" cm="1">
        <f t="array" ref="J140">GetValue("Domains",F140,"#DataType")</f>
        <v>datetime</v>
      </c>
      <c r="K140" s="6" t="s">
        <v>480</v>
      </c>
      <c r="L140" s="6" t="s">
        <v>489</v>
      </c>
      <c r="M140" s="6" t="s">
        <v>68</v>
      </c>
      <c r="N140" s="6" t="s">
        <v>68</v>
      </c>
      <c r="O140" s="13"/>
      <c r="P140" s="13"/>
      <c r="Q140" s="13"/>
      <c r="R140" s="6" t="b">
        <v>0</v>
      </c>
      <c r="S140" s="6"/>
      <c r="T140" s="6" t="b">
        <v>1</v>
      </c>
      <c r="U140" s="6" t="b">
        <v>0</v>
      </c>
      <c r="V140" s="6" t="b">
        <v>1</v>
      </c>
      <c r="W140" s="6" t="b">
        <v>1</v>
      </c>
      <c r="X140" s="6" t="b">
        <v>1</v>
      </c>
      <c r="Y140" s="6" t="b">
        <v>0</v>
      </c>
      <c r="Z140" s="6"/>
    </row>
    <row r="141" spans="1:26" x14ac:dyDescent="0.3">
      <c r="A141" s="6">
        <f t="shared" si="9"/>
        <v>140</v>
      </c>
      <c r="B141" s="6">
        <v>21</v>
      </c>
      <c r="C141" s="6" t="e">
        <f t="array" ref="C141">GetValue("Tables",B141,"Name")</f>
        <v>#VALUE!</v>
      </c>
      <c r="D141" s="7" t="e" cm="1">
        <f t="array" ref="D141">GetValue("Tables",B141,"Alias")</f>
        <v>#VALUE!</v>
      </c>
      <c r="E141" s="6">
        <f>E140+5</f>
        <v>20</v>
      </c>
      <c r="F141" s="6">
        <v>7</v>
      </c>
      <c r="G141" s="6" t="str">
        <f t="array" ref="G141">GetValue("Domains",F141,"Name")</f>
        <v>DateTime</v>
      </c>
      <c r="H141" s="6" t="str" cm="1">
        <f t="array" ref="H141">GetValue("Domains",F141,"#CategoryName")</f>
        <v>datetime</v>
      </c>
      <c r="I141" s="6" t="str" cm="1">
        <f t="array" ref="I141">GetValue("Domains",F141,"#TypeName")</f>
        <v>datetime</v>
      </c>
      <c r="J141" s="6" t="str" cm="1">
        <f t="array" ref="J141">GetValue("Domains",F141,"#DataType")</f>
        <v>datetime</v>
      </c>
      <c r="K141" s="6" t="s">
        <v>481</v>
      </c>
      <c r="L141" s="6" t="s">
        <v>490</v>
      </c>
      <c r="M141" s="6" t="s">
        <v>491</v>
      </c>
      <c r="N141" s="6" t="s">
        <v>491</v>
      </c>
      <c r="O141" s="13"/>
      <c r="P141" s="13"/>
      <c r="Q141" s="13"/>
      <c r="R141" s="6" t="b">
        <v>0</v>
      </c>
      <c r="S141" s="6"/>
      <c r="T141" s="6" t="b">
        <v>0</v>
      </c>
      <c r="U141" s="6" t="b">
        <v>0</v>
      </c>
      <c r="V141" s="6" t="b">
        <v>1</v>
      </c>
      <c r="W141" s="6" t="b">
        <v>1</v>
      </c>
      <c r="X141" s="6" t="b">
        <v>1</v>
      </c>
      <c r="Y141" s="6" t="b">
        <v>0</v>
      </c>
      <c r="Z141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C18" sqref="C18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6.4414062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76</v>
      </c>
      <c r="C1" s="1" t="s">
        <v>313</v>
      </c>
      <c r="D1" s="1" t="s">
        <v>77</v>
      </c>
      <c r="E1" s="1" t="s">
        <v>78</v>
      </c>
      <c r="F1" s="1" t="s">
        <v>79</v>
      </c>
      <c r="G1" s="1" t="s">
        <v>80</v>
      </c>
      <c r="H1" s="1" t="s">
        <v>81</v>
      </c>
      <c r="I1" s="1" t="s">
        <v>336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82</v>
      </c>
      <c r="F2" t="s">
        <v>82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85</v>
      </c>
      <c r="F3" t="s">
        <v>86</v>
      </c>
      <c r="G3" t="s">
        <v>355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87</v>
      </c>
      <c r="F4" t="s">
        <v>88</v>
      </c>
      <c r="G4" t="s">
        <v>356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89</v>
      </c>
      <c r="F5" t="s">
        <v>90</v>
      </c>
      <c r="G5" t="s">
        <v>357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91</v>
      </c>
      <c r="F6" t="s">
        <v>92</v>
      </c>
      <c r="G6" t="s">
        <v>358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93</v>
      </c>
      <c r="F7" t="s">
        <v>94</v>
      </c>
      <c r="G7" t="s">
        <v>359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95</v>
      </c>
      <c r="F8" t="s">
        <v>96</v>
      </c>
      <c r="G8" t="s">
        <v>360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83</v>
      </c>
      <c r="F9" t="s">
        <v>84</v>
      </c>
      <c r="G9" t="s">
        <v>361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97</v>
      </c>
      <c r="F10" t="s">
        <v>98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99</v>
      </c>
      <c r="F11" t="s">
        <v>100</v>
      </c>
      <c r="G11" t="s">
        <v>362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101</v>
      </c>
      <c r="F12" t="s">
        <v>102</v>
      </c>
      <c r="G12" t="s">
        <v>363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103</v>
      </c>
      <c r="F13" t="s">
        <v>104</v>
      </c>
      <c r="G13" t="s">
        <v>105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H3"/>
  <sheetViews>
    <sheetView workbookViewId="0">
      <pane ySplit="1" topLeftCell="A2" activePane="bottomLeft" state="frozen"/>
      <selection pane="bottomLeft" activeCell="D8" sqref="D8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12.88671875" bestFit="1" customWidth="1"/>
    <col min="4" max="4" width="7.109375" bestFit="1" customWidth="1"/>
    <col min="5" max="5" width="9" bestFit="1" customWidth="1"/>
    <col min="6" max="6" width="20.109375" bestFit="1" customWidth="1"/>
    <col min="7" max="7" width="10.7773437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682</v>
      </c>
      <c r="C1" s="1" t="s">
        <v>683</v>
      </c>
      <c r="D1" s="1" t="s">
        <v>1</v>
      </c>
      <c r="E1" s="1" t="s">
        <v>106</v>
      </c>
      <c r="F1" s="1" t="s">
        <v>107</v>
      </c>
      <c r="G1" s="1" t="s">
        <v>108</v>
      </c>
      <c r="H1" s="1" t="s">
        <v>28</v>
      </c>
    </row>
    <row r="2" spans="1:8" x14ac:dyDescent="0.3">
      <c r="A2">
        <f>ROW(A2)-1</f>
        <v>1</v>
      </c>
      <c r="B2">
        <v>1</v>
      </c>
      <c r="C2" t="str" cm="1">
        <f t="array" ref="C2">GetValue("Clients",B2,"Name")</f>
        <v>SoftLab</v>
      </c>
      <c r="D2" t="s">
        <v>296</v>
      </c>
      <c r="E2" t="s">
        <v>296</v>
      </c>
      <c r="F2" t="s">
        <v>297</v>
      </c>
      <c r="G2">
        <v>0</v>
      </c>
      <c r="H2" t="b">
        <v>1</v>
      </c>
    </row>
    <row r="3" spans="1:8" x14ac:dyDescent="0.3">
      <c r="A3">
        <f>ROW(A3)-1</f>
        <v>2</v>
      </c>
      <c r="B3">
        <v>1</v>
      </c>
      <c r="C3" t="str" cm="1">
        <f t="array" ref="C3">GetValue("Clients",B3,"Name")</f>
        <v>SoftLab</v>
      </c>
      <c r="D3" t="s">
        <v>306</v>
      </c>
      <c r="E3" t="s">
        <v>109</v>
      </c>
      <c r="F3" t="s">
        <v>307</v>
      </c>
      <c r="G3">
        <v>0</v>
      </c>
      <c r="H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76</v>
      </c>
      <c r="C1" s="1" t="s">
        <v>313</v>
      </c>
      <c r="D1" s="1" t="s">
        <v>110</v>
      </c>
      <c r="E1" s="1" t="s">
        <v>312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76</v>
      </c>
      <c r="C1" s="1" t="s">
        <v>313</v>
      </c>
      <c r="D1" s="1" t="s">
        <v>113</v>
      </c>
      <c r="E1" s="1" t="s">
        <v>314</v>
      </c>
      <c r="F1" s="1" t="s">
        <v>428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e" cm="1">
        <f t="array" ref="F2">GetValue("Databases",D2,"ConnectionId")</f>
        <v>#VALUE!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113</v>
      </c>
      <c r="C1" s="1" t="s">
        <v>314</v>
      </c>
      <c r="D1" s="1" t="s">
        <v>428</v>
      </c>
      <c r="E1" s="1" t="s">
        <v>133</v>
      </c>
      <c r="F1" s="1" t="s">
        <v>315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t="e" cm="1">
        <f t="array" ref="D2">GetValue("Databases",B2,"ConnectionId")</f>
        <v>#VALUE!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t="e" cm="1">
        <f t="array" ref="D3">GetValue("Databases",B3,"ConnectionId")</f>
        <v>#VALUE!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t="e" cm="1">
        <f t="array" ref="D4">GetValue("Databases",B4,"ConnectionId")</f>
        <v>#VALUE!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t="e" cm="1">
        <f t="array" ref="D5">GetValue("Databases",B5,"ConnectionId")</f>
        <v>#VALUE!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t="e" cm="1">
        <f t="array" ref="D6">GetValue("Databases",B6,"ConnectionId")</f>
        <v>#VALUE!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t="e" cm="1">
        <f t="array" ref="D7">GetValue("Databases",B7,"ConnectionId")</f>
        <v>#VALUE!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t="e" cm="1">
        <f t="array" ref="D8">GetValue("Databases",B8,"ConnectionId")</f>
        <v>#VALUE!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t="e" cm="1">
        <f t="array" ref="D9">GetValue("Databases",B9,"ConnectionId")</f>
        <v>#VALUE!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t="e" cm="1">
        <f t="array" ref="D10">GetValue("Databases",B10,"ConnectionId")</f>
        <v>#VALUE!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t="e" cm="1">
        <f t="array" ref="D11">GetValue("Databases",B11,"ConnectionId")</f>
        <v>#VALUE!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t="e" cm="1">
        <f t="array" ref="D12">GetValue("Databases",B12,"ConnectionId")</f>
        <v>#VALUE!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t="e" cm="1">
        <f t="array" ref="D13">GetValue("Databases",B13,"ConnectionId")</f>
        <v>#VALUE!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t="e" cm="1">
        <f t="array" ref="D14">GetValue("Databases",B14,"ConnectionId")</f>
        <v>#VALUE!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t="e" cm="1">
        <f t="array" ref="D15">GetValue("Databases",B15,"ConnectionId")</f>
        <v>#VALUE!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t="e" cm="1">
        <f t="array" ref="D16">GetValue("Databases",B16,"ConnectionId")</f>
        <v>#VALUE!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t="e" cm="1">
        <f t="array" ref="D17">GetValue("Databases",B17,"ConnectionId")</f>
        <v>#VALUE!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t="e" cm="1">
        <f t="array" ref="D18">GetValue("Databases",B18,"ConnectionId")</f>
        <v>#VALUE!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t="e" cm="1">
        <f t="array" ref="D19">GetValue("Databases",B19,"ConnectionId")</f>
        <v>#VALUE!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t="e" cm="1">
        <f t="array" ref="D20">GetValue("Databases",B20,"ConnectionId")</f>
        <v>#VALUE!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t="e" cm="1">
        <f t="array" ref="D21">GetValue("Databases",B21,"ConnectionId")</f>
        <v>#VALUE!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t="e" cm="1">
        <f t="array" ref="D22">GetValue("Databases",B22,"ConnectionId")</f>
        <v>#VALUE!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133</v>
      </c>
      <c r="C1" s="1" t="s">
        <v>315</v>
      </c>
      <c r="D1" s="1" t="s">
        <v>1</v>
      </c>
      <c r="E1" s="1" t="s">
        <v>251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287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279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281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280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282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319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337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283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325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388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284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285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320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387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300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286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321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391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322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323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427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324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331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478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479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446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471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472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255</v>
      </c>
      <c r="C1" s="1" t="s">
        <v>317</v>
      </c>
      <c r="D1" s="1" t="s">
        <v>77</v>
      </c>
      <c r="E1" s="1" t="s">
        <v>259</v>
      </c>
      <c r="F1" s="1" t="s">
        <v>318</v>
      </c>
      <c r="G1" s="1" t="s">
        <v>262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76</v>
      </c>
      <c r="C1" s="1" t="s">
        <v>110</v>
      </c>
      <c r="D1" s="1" t="s">
        <v>303</v>
      </c>
      <c r="E1" s="1" t="s">
        <v>308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468</v>
      </c>
      <c r="C1" s="1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408</v>
      </c>
      <c r="C1" s="1" t="s">
        <v>409</v>
      </c>
      <c r="D1" s="1" t="s">
        <v>80</v>
      </c>
      <c r="E1" s="1" t="s">
        <v>449</v>
      </c>
      <c r="F1" s="1" t="s">
        <v>410</v>
      </c>
      <c r="G1" s="1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F3" sqref="F3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432</v>
      </c>
      <c r="C1" s="1" t="s">
        <v>447</v>
      </c>
      <c r="D1" s="1" t="s">
        <v>438</v>
      </c>
      <c r="E1" s="1" t="s">
        <v>441</v>
      </c>
      <c r="F1" s="1" t="s">
        <v>442</v>
      </c>
      <c r="G1" s="1" t="s">
        <v>433</v>
      </c>
      <c r="H1" s="1" t="s">
        <v>448</v>
      </c>
      <c r="I1" s="1" t="s">
        <v>439</v>
      </c>
      <c r="J1" s="1" t="s">
        <v>440</v>
      </c>
      <c r="K1" s="1" t="s">
        <v>443</v>
      </c>
      <c r="L1" s="1" t="s">
        <v>429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7"/>
  <sheetViews>
    <sheetView workbookViewId="0">
      <selection activeCell="C5" sqref="C5"/>
    </sheetView>
  </sheetViews>
  <sheetFormatPr defaultRowHeight="14.4" x14ac:dyDescent="0.3"/>
  <cols>
    <col min="1" max="1" width="3" bestFit="1" customWidth="1"/>
    <col min="2" max="2" width="8.109375" bestFit="1" customWidth="1"/>
    <col min="3" max="3" width="8.5546875" style="19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</row>
    <row r="2" spans="1:4" x14ac:dyDescent="0.3">
      <c r="A2">
        <f>ROW(A2)-1</f>
        <v>1</v>
      </c>
      <c r="B2" s="19" t="s">
        <v>482</v>
      </c>
      <c r="D2" s="19"/>
    </row>
    <row r="3" spans="1:4" x14ac:dyDescent="0.3">
      <c r="A3">
        <f t="shared" ref="A3:A7" si="0">ROW(A3)-1</f>
        <v>2</v>
      </c>
      <c r="B3" s="19" t="s">
        <v>704</v>
      </c>
      <c r="D3" s="19"/>
    </row>
    <row r="4" spans="1:4" x14ac:dyDescent="0.3">
      <c r="A4">
        <f t="shared" si="0"/>
        <v>3</v>
      </c>
      <c r="B4" s="19" t="s">
        <v>483</v>
      </c>
      <c r="C4" s="20"/>
      <c r="D4" s="20"/>
    </row>
    <row r="5" spans="1:4" x14ac:dyDescent="0.3">
      <c r="A5">
        <f t="shared" si="0"/>
        <v>4</v>
      </c>
      <c r="B5" s="19" t="s">
        <v>709</v>
      </c>
      <c r="D5" s="19"/>
    </row>
    <row r="6" spans="1:4" x14ac:dyDescent="0.3">
      <c r="A6">
        <f>ROW(A6)-1</f>
        <v>5</v>
      </c>
      <c r="B6" s="19" t="s">
        <v>705</v>
      </c>
      <c r="D6" s="19"/>
    </row>
    <row r="7" spans="1:4" x14ac:dyDescent="0.3">
      <c r="A7">
        <f t="shared" si="0"/>
        <v>6</v>
      </c>
      <c r="B7" s="19" t="s">
        <v>484</v>
      </c>
      <c r="D7" s="19"/>
    </row>
    <row r="8" spans="1:4" x14ac:dyDescent="0.3">
      <c r="A8">
        <f>ROW(A8)-1</f>
        <v>7</v>
      </c>
      <c r="B8" s="19" t="s">
        <v>710</v>
      </c>
      <c r="D8" s="19"/>
    </row>
    <row r="9" spans="1:4" x14ac:dyDescent="0.3">
      <c r="A9">
        <f t="shared" ref="A9:A17" si="1">ROW(A9)-1</f>
        <v>8</v>
      </c>
      <c r="B9" s="19" t="s">
        <v>711</v>
      </c>
      <c r="D9" s="19"/>
    </row>
    <row r="10" spans="1:4" x14ac:dyDescent="0.3">
      <c r="A10">
        <f t="shared" si="1"/>
        <v>9</v>
      </c>
      <c r="B10" s="19" t="s">
        <v>712</v>
      </c>
      <c r="D10" s="19"/>
    </row>
    <row r="11" spans="1:4" x14ac:dyDescent="0.3">
      <c r="A11">
        <f t="shared" si="1"/>
        <v>10</v>
      </c>
      <c r="B11" s="19" t="s">
        <v>713</v>
      </c>
    </row>
    <row r="12" spans="1:4" x14ac:dyDescent="0.3">
      <c r="A12">
        <f>ROW(A12)-1</f>
        <v>11</v>
      </c>
      <c r="B12" s="19" t="s">
        <v>714</v>
      </c>
    </row>
    <row r="13" spans="1:4" x14ac:dyDescent="0.3">
      <c r="A13">
        <f t="shared" si="1"/>
        <v>12</v>
      </c>
      <c r="B13" s="19" t="s">
        <v>715</v>
      </c>
    </row>
    <row r="14" spans="1:4" x14ac:dyDescent="0.3">
      <c r="A14">
        <f t="shared" si="1"/>
        <v>13</v>
      </c>
      <c r="B14" s="19" t="s">
        <v>716</v>
      </c>
    </row>
    <row r="15" spans="1:4" x14ac:dyDescent="0.3">
      <c r="A15">
        <f t="shared" si="1"/>
        <v>14</v>
      </c>
      <c r="B15" s="19" t="s">
        <v>717</v>
      </c>
    </row>
    <row r="16" spans="1:4" x14ac:dyDescent="0.3">
      <c r="A16">
        <f t="shared" si="1"/>
        <v>15</v>
      </c>
      <c r="B16" s="19" t="s">
        <v>718</v>
      </c>
    </row>
    <row r="17" spans="1:2" x14ac:dyDescent="0.3">
      <c r="A17">
        <f t="shared" si="1"/>
        <v>16</v>
      </c>
      <c r="B17" s="19" t="s">
        <v>719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dimension ref="A1:F3"/>
  <sheetViews>
    <sheetView workbookViewId="0">
      <selection activeCell="G25" sqref="G25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10.21875" bestFit="1" customWidth="1"/>
    <col min="5" max="5" width="14.6640625" bestFit="1" customWidth="1"/>
    <col min="6" max="6" width="5.77734375" bestFit="1" customWidth="1"/>
  </cols>
  <sheetData>
    <row r="1" spans="1:6" x14ac:dyDescent="0.3">
      <c r="A1" s="1" t="s">
        <v>0</v>
      </c>
      <c r="B1" s="1" t="s">
        <v>259</v>
      </c>
      <c r="C1" s="1" t="s">
        <v>318</v>
      </c>
      <c r="D1" s="1" t="s">
        <v>707</v>
      </c>
      <c r="E1" s="1" t="s">
        <v>708</v>
      </c>
      <c r="F1" s="1" t="s">
        <v>706</v>
      </c>
    </row>
    <row r="2" spans="1:6" x14ac:dyDescent="0.3">
      <c r="A2">
        <f>ROW(A2)-1</f>
        <v>1</v>
      </c>
      <c r="B2">
        <v>1</v>
      </c>
      <c r="C2" t="str" cm="1">
        <f t="array" ref="C2">GetValue("Columns",B2,"Name")</f>
        <v>Id (Categories)</v>
      </c>
      <c r="D2">
        <v>4</v>
      </c>
      <c r="E2" t="str" cm="1">
        <f t="array" ref="E2">GetValue("Operators",D2,"Name")</f>
        <v>≠</v>
      </c>
      <c r="F2">
        <v>10</v>
      </c>
    </row>
    <row r="3" spans="1:6" x14ac:dyDescent="0.3">
      <c r="A3">
        <f>ROW(A3)-1</f>
        <v>2</v>
      </c>
      <c r="B3">
        <v>1</v>
      </c>
      <c r="C3" t="str" cm="1">
        <f t="array" ref="C3">GetValue("Columns",B3,"Name")</f>
        <v>Id (Categories)</v>
      </c>
      <c r="D3">
        <v>2</v>
      </c>
      <c r="E3" t="str" cm="1">
        <f t="array" ref="E3">GetValue("Operators",D3,"Name")</f>
        <v>≤</v>
      </c>
      <c r="F3">
        <v>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30</vt:i4>
      </vt:variant>
    </vt:vector>
  </HeadingPairs>
  <TitlesOfParts>
    <vt:vector size="30" baseType="lpstr">
      <vt:lpstr>Tenants</vt:lpstr>
      <vt:lpstr>Engines</vt:lpstr>
      <vt:lpstr>Categories</vt:lpstr>
      <vt:lpstr>Types</vt:lpstr>
      <vt:lpstr>EnginesTypes</vt:lpstr>
      <vt:lpstr>Domains</vt:lpstr>
      <vt:lpstr>Masks</vt:lpstr>
      <vt:lpstr>DomainsMasks</vt:lpstr>
      <vt:lpstr>Digits</vt:lpstr>
      <vt:lpstr>MasksDigits</vt:lpstr>
      <vt:lpstr>Environments</vt:lpstr>
      <vt:lpstr>Databases</vt:lpstr>
      <vt:lpstr>DatabasesEnvironments</vt:lpstr>
      <vt:lpstr>Namespaces</vt:lpstr>
      <vt:lpstr>Systems</vt:lpstr>
      <vt:lpstr>Tables</vt:lpstr>
      <vt:lpstr>Columns</vt:lpstr>
      <vt:lpstr>Menus</vt:lpstr>
      <vt:lpstr>Users</vt:lpstr>
      <vt:lpstr>SystemsUsers</vt:lpstr>
      <vt:lpstr>SystemsDatabases</vt:lpstr>
      <vt:lpstr>DatabasesTables</vt:lpstr>
      <vt:lpstr>Indexes</vt:lpstr>
      <vt:lpstr>Indexkeys</vt:lpstr>
      <vt:lpstr>Sessions</vt:lpstr>
      <vt:lpstr>Transactions</vt:lpstr>
      <vt:lpstr>Operations</vt:lpstr>
      <vt:lpstr>Unicities</vt:lpstr>
      <vt:lpstr>Operators</vt:lpstr>
      <vt:lpstr>Conditions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2025-10-20T23:50:31Z</dcterms:modified>
</cp:coreProperties>
</file>