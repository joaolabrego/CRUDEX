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6998C8EC-64D5-40AC-BF6E-A0AF53290D33}" xr6:coauthVersionLast="47" xr6:coauthVersionMax="47" xr10:uidLastSave="{00000000-0000-0000-0000-000000000000}"/>
  <bookViews>
    <workbookView xWindow="-108" yWindow="-108" windowWidth="23256" windowHeight="13176" tabRatio="969" activeTab="6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Snp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  <sheet name="Vrt" sheetId="55" r:id="rId35"/>
  </sheets>
  <functionGroups builtInGroupCount="19"/>
  <definedNames>
    <definedName name="_xlnm._FilterDatabase" localSheetId="15" hidden="1">Col!$D$1:$D$124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7" i="12" l="1"/>
  <c r="A226" i="12"/>
  <c r="A225" i="12"/>
  <c r="A224" i="12"/>
  <c r="A223" i="12"/>
  <c r="A222" i="12"/>
  <c r="A2" i="55"/>
  <c r="A36" i="11"/>
  <c r="A120" i="12"/>
  <c r="A155" i="12"/>
  <c r="L4" i="34" a="1"/>
  <c r="L4" i="34" s="1"/>
  <c r="L3" i="34" a="1"/>
  <c r="L3" i="34" s="1"/>
  <c r="A53" i="4"/>
  <c r="A52" i="4"/>
  <c r="A51" i="4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05" i="12"/>
  <c r="A104" i="12"/>
  <c r="A103" i="12"/>
  <c r="A102" i="12"/>
  <c r="C149" i="12" a="1"/>
  <c r="C152" i="12" a="1"/>
  <c r="C205" i="12" a="1"/>
  <c r="C103" i="12" a="1"/>
  <c r="C158" i="12" a="1"/>
  <c r="E164" i="12" a="1"/>
  <c r="E195" i="12" a="1"/>
  <c r="C172" i="12" a="1"/>
  <c r="E219" i="12" a="1"/>
  <c r="C185" i="12" a="1"/>
  <c r="E163" i="12" a="1"/>
  <c r="E159" i="12" a="1"/>
  <c r="E208" i="12" a="1"/>
  <c r="E20" i="11" a="1"/>
  <c r="E30" i="11" a="1"/>
  <c r="K5" i="11" a="1"/>
  <c r="K11" i="11" a="1"/>
  <c r="C97" i="12" a="1"/>
  <c r="E136" i="12" a="1"/>
  <c r="E97" i="12" a="1"/>
  <c r="C216" i="12" a="1"/>
  <c r="E212" i="12" a="1"/>
  <c r="C169" i="12" a="1"/>
  <c r="C209" i="12" a="1"/>
  <c r="E193" i="12" a="1"/>
  <c r="C196" i="12" a="1"/>
  <c r="E18" i="11" a="1"/>
  <c r="E29" i="11" a="1"/>
  <c r="K9" i="11" a="1"/>
  <c r="K7" i="11" a="1"/>
  <c r="C177" i="12" a="1"/>
  <c r="E133" i="12" a="1"/>
  <c r="C223" i="12" a="1"/>
  <c r="E210" i="12" a="1"/>
  <c r="C167" i="12" a="1"/>
  <c r="C214" i="12" a="1"/>
  <c r="E189" i="12" a="1"/>
  <c r="E221" i="12" a="1"/>
  <c r="C211" i="12" a="1"/>
  <c r="E35" i="11" a="1"/>
  <c r="E9" i="11" a="1"/>
  <c r="K34" i="11" a="1"/>
  <c r="K13" i="11" a="1"/>
  <c r="C150" i="12" a="1"/>
  <c r="C142" i="12" a="1"/>
  <c r="E203" i="12" a="1"/>
  <c r="C193" i="12" a="1"/>
  <c r="C222" i="12" a="1"/>
  <c r="C148" i="12" a="1"/>
  <c r="C145" i="12" a="1"/>
  <c r="E187" i="12" a="1"/>
  <c r="E192" i="12" a="1"/>
  <c r="E25" i="11" a="1"/>
  <c r="E28" i="11" a="1"/>
  <c r="K28" i="11" a="1"/>
  <c r="K22" i="11" a="1"/>
  <c r="E184" i="12" a="1"/>
  <c r="E22" i="11" a="1"/>
  <c r="K8" i="11" a="1"/>
  <c r="J2" i="34" a="1"/>
  <c r="C199" i="12" a="1"/>
  <c r="C135" i="12" a="1"/>
  <c r="C189" i="12" a="1"/>
  <c r="E2" i="11" a="1"/>
  <c r="C188" i="12" a="1"/>
  <c r="C219" i="12" a="1"/>
  <c r="E151" i="12" a="1"/>
  <c r="E143" i="12" a="1"/>
  <c r="E217" i="12" a="1"/>
  <c r="C134" i="12" a="1"/>
  <c r="K16" i="11" a="1"/>
  <c r="J4" i="34" a="1"/>
  <c r="C175" i="12" a="1"/>
  <c r="C166" i="12" a="1"/>
  <c r="E141" i="12" a="1"/>
  <c r="E10" i="11" a="1"/>
  <c r="E223" i="12" a="1"/>
  <c r="C206" i="12" a="1"/>
  <c r="K17" i="11" a="1"/>
  <c r="C120" i="12" a="1"/>
  <c r="E178" i="12" a="1"/>
  <c r="C36" i="11" a="1"/>
  <c r="E144" i="12" a="1"/>
  <c r="E166" i="12" a="1"/>
  <c r="C226" i="12" a="1"/>
  <c r="E51" i="4" a="1"/>
  <c r="E147" i="12" a="1"/>
  <c r="E179" i="12" a="1"/>
  <c r="C173" i="12" a="1"/>
  <c r="E185" i="12" a="1"/>
  <c r="C183" i="12" a="1"/>
  <c r="E202" i="12" a="1"/>
  <c r="E148" i="12" a="1"/>
  <c r="C155" i="12" a="1"/>
  <c r="C198" i="12" a="1"/>
  <c r="C139" i="12" a="1"/>
  <c r="E15" i="11" a="1"/>
  <c r="E8" i="11" a="1"/>
  <c r="K24" i="11" a="1"/>
  <c r="C4" i="34" a="1"/>
  <c r="E172" i="12" a="1"/>
  <c r="E198" i="12" a="1"/>
  <c r="E205" i="12" a="1"/>
  <c r="E171" i="12" a="1"/>
  <c r="E191" i="12" a="1"/>
  <c r="C163" i="12" a="1"/>
  <c r="E211" i="12" a="1"/>
  <c r="C161" i="12" a="1"/>
  <c r="C207" i="12" a="1"/>
  <c r="C191" i="12" a="1"/>
  <c r="E5" i="11" a="1"/>
  <c r="E27" i="11" a="1"/>
  <c r="K18" i="11" a="1"/>
  <c r="C3" i="34" a="1"/>
  <c r="C138" i="12" a="1"/>
  <c r="C159" i="12" a="1"/>
  <c r="E103" i="12" a="1"/>
  <c r="C176" i="12" a="1"/>
  <c r="C220" i="12" a="1"/>
  <c r="E200" i="12" a="1"/>
  <c r="C202" i="12" a="1"/>
  <c r="C153" i="12" a="1"/>
  <c r="E152" i="12" a="1"/>
  <c r="E174" i="12" a="1"/>
  <c r="E14" i="11" a="1"/>
  <c r="E17" i="11" a="1"/>
  <c r="K14" i="11" a="1"/>
  <c r="C2" i="34" a="1"/>
  <c r="E52" i="4" a="1"/>
  <c r="E196" i="12" a="1"/>
  <c r="C181" i="12" a="1"/>
  <c r="C162" i="12" a="1"/>
  <c r="E157" i="12" a="1"/>
  <c r="C102" i="12" a="1"/>
  <c r="E214" i="12" a="1"/>
  <c r="E173" i="12" a="1"/>
  <c r="E169" i="12" a="1"/>
  <c r="C136" i="12" a="1"/>
  <c r="E7" i="11" a="1"/>
  <c r="E53" i="4" a="1"/>
  <c r="C221" i="12" a="1"/>
  <c r="C182" i="12" a="1"/>
  <c r="E209" i="12" a="1"/>
  <c r="E206" i="12" a="1"/>
  <c r="E199" i="12" a="1"/>
  <c r="E134" i="12" a="1"/>
  <c r="E197" i="12" a="1"/>
  <c r="E19" i="11" a="1"/>
  <c r="K4" i="11" a="1"/>
  <c r="J3" i="34" a="1"/>
  <c r="E177" i="12" a="1"/>
  <c r="C143" i="12" a="1"/>
  <c r="E175" i="12" a="1"/>
  <c r="C170" i="12" a="1"/>
  <c r="E4" i="11" a="1"/>
  <c r="K27" i="11" a="1"/>
  <c r="C192" i="12" a="1"/>
  <c r="E162" i="12" a="1"/>
  <c r="C225" i="12" a="1"/>
  <c r="E102" i="12" a="1"/>
  <c r="E154" i="12" a="1"/>
  <c r="C179" i="12" a="1"/>
  <c r="E218" i="12" a="1"/>
  <c r="K30" i="11" a="1"/>
  <c r="E146" i="12" a="1"/>
  <c r="E188" i="12" a="1"/>
  <c r="E182" i="12" a="1"/>
  <c r="C218" i="12" a="1"/>
  <c r="C156" i="12" a="1"/>
  <c r="E33" i="11" a="1"/>
  <c r="E186" i="12" a="1"/>
  <c r="E149" i="12" a="1"/>
  <c r="E226" i="12" a="1"/>
  <c r="C184" i="12" a="1"/>
  <c r="C160" i="12" a="1"/>
  <c r="K23" i="11" a="1"/>
  <c r="C51" i="4" a="1"/>
  <c r="C52" i="4" a="1"/>
  <c r="C53" i="4" a="1"/>
  <c r="C2" i="55" a="1"/>
  <c r="C2" i="38" a="1"/>
  <c r="E158" i="12" a="1"/>
  <c r="C204" i="12" a="1"/>
  <c r="E215" i="12" a="1"/>
  <c r="E224" i="12" a="1"/>
  <c r="E222" i="12" a="1"/>
  <c r="E160" i="12" a="1"/>
  <c r="E225" i="12" a="1"/>
  <c r="C217" i="12" a="1"/>
  <c r="E165" i="12" a="1"/>
  <c r="E155" i="12" a="1"/>
  <c r="E13" i="11" a="1"/>
  <c r="K10" i="11" a="1"/>
  <c r="K32" i="11" a="1"/>
  <c r="E104" i="12" a="1"/>
  <c r="E190" i="12" a="1"/>
  <c r="E150" i="12" a="1"/>
  <c r="E120" i="12" a="1"/>
  <c r="E138" i="12" a="1"/>
  <c r="C213" i="12" a="1"/>
  <c r="E180" i="12" a="1"/>
  <c r="C104" i="12" a="1"/>
  <c r="C137" i="12" a="1"/>
  <c r="E36" i="11" a="1"/>
  <c r="E3" i="11" a="1"/>
  <c r="K25" i="11" a="1"/>
  <c r="K3" i="11" a="1"/>
  <c r="E183" i="12" a="1"/>
  <c r="C215" i="12" a="1"/>
  <c r="E161" i="12" a="1"/>
  <c r="C200" i="12" a="1"/>
  <c r="C203" i="12" a="1"/>
  <c r="E139" i="12" a="1"/>
  <c r="C178" i="12" a="1"/>
  <c r="C165" i="12" a="1"/>
  <c r="C212" i="12" a="1"/>
  <c r="E26" i="11" a="1"/>
  <c r="E32" i="11" a="1"/>
  <c r="K6" i="11" a="1"/>
  <c r="K12" i="11" a="1"/>
  <c r="E156" i="12" a="1"/>
  <c r="C105" i="12" a="1"/>
  <c r="E137" i="12" a="1"/>
  <c r="C201" i="12" a="1"/>
  <c r="C190" i="12" a="1"/>
  <c r="E213" i="12" a="1"/>
  <c r="C151" i="12" a="1"/>
  <c r="C157" i="12" a="1"/>
  <c r="C133" i="12" a="1"/>
  <c r="E16" i="11" a="1"/>
  <c r="E12" i="11" a="1"/>
  <c r="K35" i="11" a="1"/>
  <c r="K31" i="11" a="1"/>
  <c r="E194" i="12" a="1"/>
  <c r="C208" i="12" a="1"/>
  <c r="C168" i="12" a="1"/>
  <c r="C224" i="12" a="1"/>
  <c r="E135" i="12" a="1"/>
  <c r="E216" i="12" a="1"/>
  <c r="C146" i="12" a="1"/>
  <c r="E153" i="12" a="1"/>
  <c r="E105" i="12" a="1"/>
  <c r="E6" i="11" a="1"/>
  <c r="E31" i="11" a="1"/>
  <c r="K29" i="11" a="1"/>
  <c r="K36" i="11" a="1"/>
  <c r="C187" i="12" a="1"/>
  <c r="C147" i="12" a="1"/>
  <c r="E168" i="12" a="1"/>
  <c r="E167" i="12" a="1"/>
  <c r="C186" i="12" a="1"/>
  <c r="C154" i="12" a="1"/>
  <c r="E145" i="12" a="1"/>
  <c r="E207" i="12" a="1"/>
  <c r="C164" i="12" a="1"/>
  <c r="E34" i="11" a="1"/>
  <c r="E21" i="11" a="1"/>
  <c r="K15" i="11" a="1"/>
  <c r="K21" i="11" a="1"/>
  <c r="E176" i="12" a="1"/>
  <c r="C171" i="12" a="1"/>
  <c r="C210" i="12" a="1"/>
  <c r="E181" i="12" a="1"/>
  <c r="C195" i="12" a="1"/>
  <c r="E220" i="12" a="1"/>
  <c r="E140" i="12" a="1"/>
  <c r="E201" i="12" a="1"/>
  <c r="E170" i="12" a="1"/>
  <c r="E24" i="11" a="1"/>
  <c r="E11" i="11" a="1"/>
  <c r="K19" i="11" a="1"/>
  <c r="K26" i="11" a="1"/>
  <c r="K33" i="11" a="1"/>
  <c r="C140" i="12" a="1"/>
  <c r="C141" i="12" a="1"/>
  <c r="C194" i="12" a="1"/>
  <c r="K20" i="11" a="1"/>
  <c r="C144" i="12" a="1"/>
  <c r="E204" i="12" a="1"/>
  <c r="C197" i="12" a="1"/>
  <c r="E23" i="11" a="1"/>
  <c r="C180" i="12" a="1"/>
  <c r="C174" i="12" a="1"/>
  <c r="E142" i="12" a="1"/>
  <c r="C3" i="34" l="1"/>
  <c r="C4" i="34"/>
  <c r="C2" i="34"/>
  <c r="E97" i="12"/>
  <c r="C97" i="12"/>
  <c r="E7" i="11"/>
  <c r="E17" i="11"/>
  <c r="E27" i="11"/>
  <c r="E8" i="11"/>
  <c r="E28" i="11"/>
  <c r="E9" i="11"/>
  <c r="E29" i="11"/>
  <c r="E30" i="11"/>
  <c r="E11" i="11"/>
  <c r="E21" i="11"/>
  <c r="E31" i="11"/>
  <c r="E12" i="11"/>
  <c r="E32" i="11"/>
  <c r="E3" i="11"/>
  <c r="E13" i="11"/>
  <c r="E23" i="11"/>
  <c r="E33" i="11"/>
  <c r="E10" i="11"/>
  <c r="E4" i="11"/>
  <c r="E19" i="11"/>
  <c r="E22" i="11"/>
  <c r="E14" i="11"/>
  <c r="E5" i="11"/>
  <c r="E15" i="11"/>
  <c r="E25" i="11"/>
  <c r="E35" i="11"/>
  <c r="E18" i="11"/>
  <c r="E20" i="11"/>
  <c r="E24" i="11"/>
  <c r="E34" i="11"/>
  <c r="E6" i="11"/>
  <c r="E16" i="11"/>
  <c r="E26" i="11"/>
  <c r="E36" i="11"/>
  <c r="E2" i="11"/>
  <c r="C2" i="38"/>
  <c r="K7" i="11"/>
  <c r="N7" i="11" s="1"/>
  <c r="K17" i="11"/>
  <c r="N17" i="11" s="1"/>
  <c r="K27" i="11"/>
  <c r="K8" i="11"/>
  <c r="N8" i="11" s="1"/>
  <c r="K18" i="11"/>
  <c r="K28" i="11"/>
  <c r="K9" i="11"/>
  <c r="N9" i="11" s="1"/>
  <c r="K19" i="11"/>
  <c r="N19" i="11" s="1"/>
  <c r="K29" i="11"/>
  <c r="N29" i="11" s="1"/>
  <c r="K10" i="11"/>
  <c r="N10" i="11" s="1"/>
  <c r="K20" i="11"/>
  <c r="N20" i="11" s="1"/>
  <c r="K30" i="11"/>
  <c r="N30" i="11" s="1"/>
  <c r="K11" i="11"/>
  <c r="N11" i="11" s="1"/>
  <c r="K21" i="11"/>
  <c r="N21" i="11" s="1"/>
  <c r="K31" i="11"/>
  <c r="N31" i="11" s="1"/>
  <c r="K12" i="11"/>
  <c r="N12" i="11" s="1"/>
  <c r="K22" i="11"/>
  <c r="N22" i="11" s="1"/>
  <c r="K32" i="11"/>
  <c r="N32" i="11" s="1"/>
  <c r="K3" i="11"/>
  <c r="N3" i="11" s="1"/>
  <c r="K13" i="11"/>
  <c r="N13" i="11" s="1"/>
  <c r="K23" i="11"/>
  <c r="K33" i="11"/>
  <c r="N33" i="11" s="1"/>
  <c r="K4" i="11"/>
  <c r="N4" i="11" s="1"/>
  <c r="K14" i="11"/>
  <c r="N14" i="11" s="1"/>
  <c r="K24" i="11"/>
  <c r="N24" i="11" s="1"/>
  <c r="K34" i="11"/>
  <c r="N34" i="11" s="1"/>
  <c r="K5" i="11"/>
  <c r="N5" i="11" s="1"/>
  <c r="K15" i="11"/>
  <c r="N15" i="11" s="1"/>
  <c r="K25" i="11"/>
  <c r="N25" i="11" s="1"/>
  <c r="K35" i="11"/>
  <c r="N35" i="11" s="1"/>
  <c r="K6" i="11"/>
  <c r="N6" i="11" s="1"/>
  <c r="K16" i="11"/>
  <c r="N16" i="11" s="1"/>
  <c r="K26" i="11"/>
  <c r="N26" i="11" s="1"/>
  <c r="K36" i="11"/>
  <c r="N36" i="11" s="1"/>
  <c r="N27" i="11"/>
  <c r="N18" i="11"/>
  <c r="N28" i="11"/>
  <c r="N23" i="11"/>
  <c r="C226" i="12"/>
  <c r="E226" i="12"/>
  <c r="C224" i="12"/>
  <c r="E224" i="12"/>
  <c r="C225" i="12"/>
  <c r="E225" i="12"/>
  <c r="C223" i="12"/>
  <c r="E223" i="12"/>
  <c r="C222" i="12"/>
  <c r="E222" i="12"/>
  <c r="C2" i="55"/>
  <c r="C36" i="11"/>
  <c r="E120" i="12"/>
  <c r="C120" i="12"/>
  <c r="C191" i="12"/>
  <c r="C192" i="12"/>
  <c r="C193" i="12"/>
  <c r="C194" i="12"/>
  <c r="C195" i="12"/>
  <c r="C155" i="12"/>
  <c r="E155" i="12"/>
  <c r="C53" i="4"/>
  <c r="E53" i="4"/>
  <c r="C52" i="4"/>
  <c r="E52" i="4"/>
  <c r="C51" i="4"/>
  <c r="E51" i="4"/>
  <c r="E221" i="12"/>
  <c r="C218" i="12"/>
  <c r="E218" i="12"/>
  <c r="C221" i="12"/>
  <c r="C220" i="12"/>
  <c r="C217" i="12"/>
  <c r="E220" i="12"/>
  <c r="E217" i="12"/>
  <c r="C219" i="12"/>
  <c r="C216" i="12"/>
  <c r="E219" i="12"/>
  <c r="E216" i="12"/>
  <c r="C215" i="12"/>
  <c r="E215" i="12"/>
  <c r="E214" i="12"/>
  <c r="C214" i="12"/>
  <c r="C213" i="12"/>
  <c r="E213" i="12"/>
  <c r="C212" i="12"/>
  <c r="E212" i="12"/>
  <c r="E207" i="12"/>
  <c r="C209" i="12"/>
  <c r="E209" i="12"/>
  <c r="C211" i="12"/>
  <c r="C208" i="12"/>
  <c r="E211" i="12"/>
  <c r="E208" i="12"/>
  <c r="C210" i="12"/>
  <c r="C207" i="12"/>
  <c r="E210" i="12"/>
  <c r="C206" i="12"/>
  <c r="E206" i="12"/>
  <c r="C204" i="12"/>
  <c r="E204" i="12"/>
  <c r="C203" i="12"/>
  <c r="E203" i="12"/>
  <c r="C205" i="12"/>
  <c r="C202" i="12"/>
  <c r="E205" i="12"/>
  <c r="E202" i="12"/>
  <c r="C201" i="12"/>
  <c r="E201" i="12"/>
  <c r="C200" i="12"/>
  <c r="C197" i="12"/>
  <c r="E200" i="12"/>
  <c r="E197" i="12"/>
  <c r="C199" i="12"/>
  <c r="E199" i="12"/>
  <c r="C198" i="12"/>
  <c r="E198" i="12"/>
  <c r="C196" i="12"/>
  <c r="E196" i="12"/>
  <c r="E195" i="12"/>
  <c r="E192" i="12"/>
  <c r="E194" i="12"/>
  <c r="E193" i="12"/>
  <c r="E191" i="12"/>
  <c r="E190" i="12"/>
  <c r="C190" i="12"/>
  <c r="C187" i="12"/>
  <c r="E187" i="12"/>
  <c r="C184" i="12"/>
  <c r="C181" i="12"/>
  <c r="E184" i="12"/>
  <c r="E181" i="12"/>
  <c r="E185" i="12"/>
  <c r="E182" i="12"/>
  <c r="C189" i="12"/>
  <c r="C186" i="12"/>
  <c r="C183" i="12"/>
  <c r="E189" i="12"/>
  <c r="C180" i="12"/>
  <c r="E186" i="12"/>
  <c r="E183" i="12"/>
  <c r="E180" i="12"/>
  <c r="C188" i="12"/>
  <c r="C185" i="12"/>
  <c r="C182" i="12"/>
  <c r="E188" i="12"/>
  <c r="C179" i="12"/>
  <c r="E179" i="12"/>
  <c r="C177" i="12"/>
  <c r="E177" i="12"/>
  <c r="C176" i="12"/>
  <c r="E176" i="12"/>
  <c r="C178" i="12"/>
  <c r="E178" i="12"/>
  <c r="C175" i="12"/>
  <c r="E175" i="12"/>
  <c r="E171" i="12"/>
  <c r="C173" i="12"/>
  <c r="E173" i="12"/>
  <c r="C172" i="12"/>
  <c r="E172" i="12"/>
  <c r="C174" i="12"/>
  <c r="C171" i="12"/>
  <c r="E174" i="12"/>
  <c r="C170" i="12"/>
  <c r="E170" i="12"/>
  <c r="C168" i="12"/>
  <c r="C165" i="12"/>
  <c r="E168" i="12"/>
  <c r="E165" i="12"/>
  <c r="C167" i="12"/>
  <c r="C164" i="12"/>
  <c r="E167" i="12"/>
  <c r="E164" i="12"/>
  <c r="E163" i="12"/>
  <c r="C169" i="12"/>
  <c r="C166" i="12"/>
  <c r="C163" i="12"/>
  <c r="E169" i="12"/>
  <c r="E166" i="12"/>
  <c r="C162" i="12"/>
  <c r="E162" i="12"/>
  <c r="C160" i="12"/>
  <c r="E160" i="12"/>
  <c r="C157" i="12"/>
  <c r="E157" i="12"/>
  <c r="C159" i="12"/>
  <c r="E159" i="12"/>
  <c r="C161" i="12"/>
  <c r="C158" i="12"/>
  <c r="E161" i="12"/>
  <c r="E158" i="12"/>
  <c r="C156" i="12"/>
  <c r="E156" i="12"/>
  <c r="C153" i="12"/>
  <c r="E153" i="12"/>
  <c r="C152" i="12"/>
  <c r="E152" i="12"/>
  <c r="C154" i="12"/>
  <c r="C151" i="12"/>
  <c r="E154" i="12"/>
  <c r="E151" i="12"/>
  <c r="C150" i="12"/>
  <c r="E150" i="12"/>
  <c r="J3" i="34"/>
  <c r="J4" i="34"/>
  <c r="J2" i="34"/>
  <c r="E146" i="12"/>
  <c r="E148" i="12"/>
  <c r="E149" i="12"/>
  <c r="C146" i="12"/>
  <c r="C147" i="12"/>
  <c r="C148" i="12"/>
  <c r="E147" i="12"/>
  <c r="C149" i="12"/>
  <c r="C141" i="12"/>
  <c r="E143" i="12"/>
  <c r="C145" i="12"/>
  <c r="E144" i="12"/>
  <c r="E145" i="12"/>
  <c r="C142" i="12"/>
  <c r="E141" i="12"/>
  <c r="C143" i="12"/>
  <c r="E142" i="12"/>
  <c r="C144" i="12"/>
  <c r="C140" i="12"/>
  <c r="E140" i="12"/>
  <c r="C138" i="12"/>
  <c r="C139" i="12"/>
  <c r="E138" i="12"/>
  <c r="E139" i="12"/>
  <c r="C137" i="12"/>
  <c r="E137" i="12"/>
  <c r="E134" i="12"/>
  <c r="C134" i="12"/>
  <c r="C135" i="12"/>
  <c r="C136" i="12"/>
  <c r="E135" i="12"/>
  <c r="E136" i="12"/>
  <c r="C133" i="12"/>
  <c r="E133" i="12"/>
  <c r="E105" i="12"/>
  <c r="E102" i="12"/>
  <c r="C104" i="12"/>
  <c r="C103" i="12"/>
  <c r="E103" i="12"/>
  <c r="C105" i="12"/>
  <c r="C102" i="12"/>
  <c r="E104" i="12"/>
  <c r="A34" i="12"/>
  <c r="A129" i="12"/>
  <c r="A128" i="12"/>
  <c r="A127" i="12"/>
  <c r="G140" i="12" a="1"/>
  <c r="C34" i="12" a="1"/>
  <c r="G212" i="12" a="1"/>
  <c r="G206" i="12" a="1"/>
  <c r="E34" i="12" a="1"/>
  <c r="G137" i="12" a="1"/>
  <c r="G156" i="12" a="1"/>
  <c r="G133" i="12" a="1"/>
  <c r="G175" i="12" a="1"/>
  <c r="G150" i="12" a="1"/>
  <c r="E129" i="12" a="1"/>
  <c r="E127" i="12" a="1"/>
  <c r="C127" i="12" a="1"/>
  <c r="G162" i="12" a="1"/>
  <c r="G222" i="12" a="1"/>
  <c r="G191" i="12" a="1"/>
  <c r="G201" i="12" a="1"/>
  <c r="G215" i="12" a="1"/>
  <c r="G196" i="12" a="1"/>
  <c r="C128" i="12" a="1"/>
  <c r="C129" i="12" a="1"/>
  <c r="E128" i="12" a="1"/>
  <c r="G179" i="12" a="1"/>
  <c r="G170" i="12" a="1"/>
  <c r="G222" i="12" l="1"/>
  <c r="G140" i="12"/>
  <c r="G215" i="12"/>
  <c r="G212" i="12"/>
  <c r="G206" i="12"/>
  <c r="G201" i="12"/>
  <c r="G196" i="12"/>
  <c r="G191" i="12"/>
  <c r="G179" i="12"/>
  <c r="G175" i="12"/>
  <c r="G170" i="12"/>
  <c r="G162" i="12"/>
  <c r="G156" i="12"/>
  <c r="G150" i="12"/>
  <c r="G137" i="12"/>
  <c r="G133" i="12"/>
  <c r="E34" i="12"/>
  <c r="C34" i="12"/>
  <c r="C128" i="12"/>
  <c r="E127" i="12"/>
  <c r="C129" i="12"/>
  <c r="E128" i="12"/>
  <c r="E129" i="12"/>
  <c r="C127" i="12"/>
  <c r="G223" i="12" a="1"/>
  <c r="G134" i="12" a="1"/>
  <c r="G141" i="12" a="1"/>
  <c r="G138" i="12" a="1"/>
  <c r="G163" i="12" a="1"/>
  <c r="G192" i="12" a="1"/>
  <c r="G176" i="12" a="1"/>
  <c r="G207" i="12" a="1"/>
  <c r="G197" i="12" a="1"/>
  <c r="G180" i="12" a="1"/>
  <c r="G157" i="12" a="1"/>
  <c r="G216" i="12" a="1"/>
  <c r="G171" i="12" a="1"/>
  <c r="G213" i="12" a="1"/>
  <c r="G202" i="12" a="1"/>
  <c r="G151" i="12" a="1"/>
  <c r="G223" i="12" l="1"/>
  <c r="F222" i="12"/>
  <c r="G141" i="12"/>
  <c r="G216" i="12"/>
  <c r="F215" i="12"/>
  <c r="G213" i="12"/>
  <c r="F212" i="12"/>
  <c r="G207" i="12"/>
  <c r="F206" i="12"/>
  <c r="G202" i="12"/>
  <c r="F201" i="12"/>
  <c r="G197" i="12"/>
  <c r="F196" i="12"/>
  <c r="G192" i="12"/>
  <c r="F191" i="12"/>
  <c r="G180" i="12"/>
  <c r="F179" i="12"/>
  <c r="G176" i="12"/>
  <c r="F175" i="12"/>
  <c r="G171" i="12"/>
  <c r="F170" i="12"/>
  <c r="G163" i="12"/>
  <c r="F162" i="12"/>
  <c r="G157" i="12"/>
  <c r="F156" i="12"/>
  <c r="G151" i="12"/>
  <c r="F150" i="12"/>
  <c r="G138" i="12"/>
  <c r="F137" i="12"/>
  <c r="G134" i="12"/>
  <c r="F133" i="12"/>
  <c r="A63" i="12"/>
  <c r="A15" i="4"/>
  <c r="A11" i="12"/>
  <c r="E11" i="12" a="1"/>
  <c r="G203" i="12" a="1"/>
  <c r="C11" i="12" a="1"/>
  <c r="G217" i="12" a="1"/>
  <c r="G181" i="12" a="1"/>
  <c r="G142" i="12" a="1"/>
  <c r="G193" i="12" a="1"/>
  <c r="G208" i="12" a="1"/>
  <c r="E63" i="12" a="1"/>
  <c r="G139" i="12" a="1"/>
  <c r="G177" i="12" a="1"/>
  <c r="C15" i="4" a="1"/>
  <c r="G224" i="12" a="1"/>
  <c r="G135" i="12" a="1"/>
  <c r="G164" i="12" a="1"/>
  <c r="G158" i="12" a="1"/>
  <c r="E15" i="4" a="1"/>
  <c r="G172" i="12" a="1"/>
  <c r="G214" i="12" a="1"/>
  <c r="G198" i="12" a="1"/>
  <c r="G152" i="12" a="1"/>
  <c r="C63" i="12" a="1"/>
  <c r="G224" i="12" l="1"/>
  <c r="F223" i="12"/>
  <c r="G142" i="12"/>
  <c r="G217" i="12"/>
  <c r="F216" i="12"/>
  <c r="G214" i="12"/>
  <c r="F213" i="12"/>
  <c r="G208" i="12"/>
  <c r="F207" i="12"/>
  <c r="G203" i="12"/>
  <c r="F202" i="12"/>
  <c r="G198" i="12"/>
  <c r="F197" i="12"/>
  <c r="G193" i="12"/>
  <c r="F192" i="12"/>
  <c r="G181" i="12"/>
  <c r="F180" i="12"/>
  <c r="G177" i="12"/>
  <c r="F176" i="12"/>
  <c r="G172" i="12"/>
  <c r="F171" i="12"/>
  <c r="G164" i="12"/>
  <c r="F163" i="12"/>
  <c r="G158" i="12"/>
  <c r="F157" i="12"/>
  <c r="G152" i="12"/>
  <c r="F151" i="12"/>
  <c r="G139" i="12"/>
  <c r="F138" i="12"/>
  <c r="G135" i="12"/>
  <c r="F134" i="12"/>
  <c r="C63" i="12"/>
  <c r="E63" i="12"/>
  <c r="E15" i="4"/>
  <c r="C15" i="4"/>
  <c r="C11" i="12"/>
  <c r="E11" i="12"/>
  <c r="A12" i="12"/>
  <c r="G182" i="12" a="1"/>
  <c r="G218" i="12" a="1"/>
  <c r="G209" i="12" a="1"/>
  <c r="G136" i="12" a="1"/>
  <c r="G143" i="12" a="1"/>
  <c r="G153" i="12" a="1"/>
  <c r="G159" i="12" a="1"/>
  <c r="E12" i="12" a="1"/>
  <c r="C12" i="12" a="1"/>
  <c r="G199" i="12" a="1"/>
  <c r="G194" i="12" a="1"/>
  <c r="G178" i="12" a="1"/>
  <c r="G165" i="12" a="1"/>
  <c r="G173" i="12" a="1"/>
  <c r="G204" i="12" a="1"/>
  <c r="G225" i="12" a="1"/>
  <c r="G225" i="12" l="1"/>
  <c r="F224" i="12"/>
  <c r="F225" i="12" s="1"/>
  <c r="G143" i="12"/>
  <c r="G218" i="12"/>
  <c r="F217" i="12"/>
  <c r="F214" i="12"/>
  <c r="G209" i="12"/>
  <c r="F208" i="12"/>
  <c r="G204" i="12"/>
  <c r="F203" i="12"/>
  <c r="G199" i="12"/>
  <c r="F198" i="12"/>
  <c r="G194" i="12"/>
  <c r="F193" i="12"/>
  <c r="G182" i="12"/>
  <c r="F181" i="12"/>
  <c r="G178" i="12"/>
  <c r="F177" i="12"/>
  <c r="G173" i="12"/>
  <c r="F172" i="12"/>
  <c r="G165" i="12"/>
  <c r="F164" i="12"/>
  <c r="G159" i="12"/>
  <c r="F158" i="12"/>
  <c r="G153" i="12"/>
  <c r="F152" i="12"/>
  <c r="F139" i="12"/>
  <c r="F140" i="12" s="1"/>
  <c r="F141" i="12" s="1"/>
  <c r="F142" i="12" s="1"/>
  <c r="G136" i="12"/>
  <c r="F135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E22" i="4" a="1"/>
  <c r="C41" i="12" a="1"/>
  <c r="C50" i="4" a="1"/>
  <c r="G144" i="12" a="1"/>
  <c r="G226" i="12" a="1"/>
  <c r="G205" i="12" a="1"/>
  <c r="G174" i="12" a="1"/>
  <c r="E43" i="12" a="1"/>
  <c r="C21" i="12" a="1"/>
  <c r="C45" i="12" a="1"/>
  <c r="G160" i="12" a="1"/>
  <c r="E21" i="12" a="1"/>
  <c r="C42" i="12" a="1"/>
  <c r="G200" i="12" a="1"/>
  <c r="E42" i="12" a="1"/>
  <c r="G210" i="12" a="1"/>
  <c r="E45" i="12" a="1"/>
  <c r="C57" i="12" a="1"/>
  <c r="G166" i="12" a="1"/>
  <c r="G195" i="12" a="1"/>
  <c r="G154" i="12" a="1"/>
  <c r="C44" i="12" a="1"/>
  <c r="E44" i="12" a="1"/>
  <c r="G183" i="12" a="1"/>
  <c r="E50" i="4" a="1"/>
  <c r="C43" i="12" a="1"/>
  <c r="C22" i="4" a="1"/>
  <c r="E41" i="12" a="1"/>
  <c r="C45" i="4" a="1"/>
  <c r="G219" i="12" a="1"/>
  <c r="E45" i="4" a="1"/>
  <c r="E57" i="12" a="1"/>
  <c r="G226" i="12" l="1"/>
  <c r="F226" i="12" s="1"/>
  <c r="G144" i="12"/>
  <c r="G219" i="12"/>
  <c r="F218" i="12"/>
  <c r="G205" i="12"/>
  <c r="G210" i="12"/>
  <c r="F209" i="12"/>
  <c r="F204" i="12"/>
  <c r="G200" i="12"/>
  <c r="F199" i="12"/>
  <c r="G195" i="12"/>
  <c r="F194" i="12"/>
  <c r="G183" i="12"/>
  <c r="F182" i="12"/>
  <c r="F178" i="12"/>
  <c r="G174" i="12"/>
  <c r="F173" i="12"/>
  <c r="G166" i="12"/>
  <c r="F165" i="12"/>
  <c r="G160" i="12"/>
  <c r="F159" i="12"/>
  <c r="G154" i="12"/>
  <c r="F153" i="12"/>
  <c r="F143" i="12"/>
  <c r="F136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A18" i="12"/>
  <c r="A17" i="12"/>
  <c r="F40" i="53" a="1"/>
  <c r="F51" i="53" a="1"/>
  <c r="F16" i="53" a="1"/>
  <c r="F26" i="53" a="1"/>
  <c r="F35" i="53" a="1"/>
  <c r="F19" i="53" a="1"/>
  <c r="F6" i="53" a="1"/>
  <c r="F67" i="53" a="1"/>
  <c r="F47" i="53" a="1"/>
  <c r="F55" i="53" a="1"/>
  <c r="E18" i="12" a="1"/>
  <c r="F46" i="53" a="1"/>
  <c r="G211" i="12" a="1"/>
  <c r="F39" i="53" a="1"/>
  <c r="F69" i="53" a="1"/>
  <c r="F33" i="53" a="1"/>
  <c r="F68" i="53" a="1"/>
  <c r="F66" i="53" a="1"/>
  <c r="G184" i="12" a="1"/>
  <c r="F15" i="53" a="1"/>
  <c r="F18" i="53" a="1"/>
  <c r="E4" i="28" a="1"/>
  <c r="G167" i="12" a="1"/>
  <c r="F38" i="53" a="1"/>
  <c r="F59" i="53" a="1"/>
  <c r="F63" i="53" a="1"/>
  <c r="F31" i="53" a="1"/>
  <c r="F64" i="53" a="1"/>
  <c r="F28" i="53" a="1"/>
  <c r="F13" i="53" a="1"/>
  <c r="F43" i="53" a="1"/>
  <c r="E6" i="28" a="1"/>
  <c r="F56" i="53" a="1"/>
  <c r="F30" i="53" a="1"/>
  <c r="F54" i="53" a="1"/>
  <c r="F62" i="53" a="1"/>
  <c r="F34" i="53" a="1"/>
  <c r="G41" i="12" a="1"/>
  <c r="G145" i="12" a="1"/>
  <c r="F48" i="53" a="1"/>
  <c r="F44" i="53" a="1"/>
  <c r="F5" i="53" a="1"/>
  <c r="F42" i="53" a="1"/>
  <c r="F8" i="53" a="1"/>
  <c r="C2" i="50" a="1"/>
  <c r="F17" i="53" a="1"/>
  <c r="F29" i="53" a="1"/>
  <c r="G155" i="12" a="1"/>
  <c r="F2" i="53" a="1"/>
  <c r="F49" i="53" a="1"/>
  <c r="F9" i="53" a="1"/>
  <c r="F25" i="53" a="1"/>
  <c r="G220" i="12" a="1"/>
  <c r="E2" i="28" a="1"/>
  <c r="F52" i="53" a="1"/>
  <c r="F32" i="53" a="1"/>
  <c r="F65" i="53" a="1"/>
  <c r="E17" i="12" a="1"/>
  <c r="F57" i="53" a="1"/>
  <c r="F22" i="53" a="1"/>
  <c r="F11" i="53" a="1"/>
  <c r="F61" i="53" a="1"/>
  <c r="C18" i="12" a="1"/>
  <c r="F7" i="53" a="1"/>
  <c r="F3" i="53" a="1"/>
  <c r="F23" i="53" a="1"/>
  <c r="F24" i="53" a="1"/>
  <c r="C17" i="12" a="1"/>
  <c r="F50" i="53" a="1"/>
  <c r="F45" i="53" a="1"/>
  <c r="F14" i="53" a="1"/>
  <c r="F27" i="53" a="1"/>
  <c r="G161" i="12" a="1"/>
  <c r="E5" i="28" a="1"/>
  <c r="F41" i="53" a="1"/>
  <c r="F37" i="53" a="1"/>
  <c r="F10" i="53" a="1"/>
  <c r="F58" i="53" a="1"/>
  <c r="F12" i="53" a="1"/>
  <c r="F60" i="53" a="1"/>
  <c r="F36" i="53" a="1"/>
  <c r="F4" i="53" a="1"/>
  <c r="F53" i="53" a="1"/>
  <c r="C2" i="54" a="1"/>
  <c r="F21" i="53" a="1"/>
  <c r="F20" i="53" a="1"/>
  <c r="E3" i="28" a="1"/>
  <c r="G155" i="12" l="1"/>
  <c r="G145" i="12"/>
  <c r="G220" i="12"/>
  <c r="F219" i="12"/>
  <c r="G211" i="12"/>
  <c r="F210" i="12"/>
  <c r="F205" i="12"/>
  <c r="F200" i="12"/>
  <c r="F195" i="12"/>
  <c r="G184" i="12"/>
  <c r="F183" i="12"/>
  <c r="F174" i="12"/>
  <c r="G167" i="12"/>
  <c r="F166" i="12"/>
  <c r="G161" i="12"/>
  <c r="F160" i="12"/>
  <c r="F154" i="12"/>
  <c r="F144" i="12"/>
  <c r="G41" i="12"/>
  <c r="E3" i="28"/>
  <c r="E5" i="28"/>
  <c r="E2" i="28"/>
  <c r="E4" i="28"/>
  <c r="E6" i="28"/>
  <c r="C2" i="50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L3" i="11"/>
  <c r="L4" i="11" s="1"/>
  <c r="L5" i="11" s="1"/>
  <c r="L6" i="11" s="1"/>
  <c r="L7" i="11" s="1"/>
  <c r="L8" i="11" s="1"/>
  <c r="L10" i="11" s="1"/>
  <c r="L11" i="11" s="1"/>
  <c r="L12" i="11" s="1"/>
  <c r="L13" i="11" s="1"/>
  <c r="L15" i="11" s="1"/>
  <c r="L16" i="11" s="1"/>
  <c r="L17" i="11" s="1"/>
  <c r="L18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21" i="53" a="1"/>
  <c r="E51" i="53" a="1"/>
  <c r="C4" i="53" a="1"/>
  <c r="C36" i="53" a="1"/>
  <c r="C31" i="40" a="1"/>
  <c r="C29" i="40" a="1"/>
  <c r="C64" i="53" a="1"/>
  <c r="E15" i="53" a="1"/>
  <c r="E9" i="53" a="1"/>
  <c r="C26" i="40" a="1"/>
  <c r="C23" i="12" a="1"/>
  <c r="G42" i="12" a="1"/>
  <c r="C84" i="12" a="1"/>
  <c r="C27" i="12" a="1"/>
  <c r="C19" i="12" a="1"/>
  <c r="C24" i="12" a="1"/>
  <c r="K2" i="11" a="1"/>
  <c r="C41" i="53" a="1"/>
  <c r="C3" i="40" a="1"/>
  <c r="C55" i="53" a="1"/>
  <c r="E13" i="53" a="1"/>
  <c r="E21" i="53" a="1"/>
  <c r="C72" i="12" a="1"/>
  <c r="C111" i="12" a="1"/>
  <c r="E14" i="12" a="1"/>
  <c r="C98" i="12" a="1"/>
  <c r="C49" i="40" a="1"/>
  <c r="E4" i="53" a="1"/>
  <c r="G2" i="46" a="1"/>
  <c r="C42" i="53" a="1"/>
  <c r="E41" i="53" a="1"/>
  <c r="C52" i="53" a="1"/>
  <c r="C2" i="49" a="1"/>
  <c r="C15" i="40" a="1"/>
  <c r="E16" i="12" a="1"/>
  <c r="C69" i="53" a="1"/>
  <c r="E57" i="53" a="1"/>
  <c r="C2" i="47" a="1"/>
  <c r="C37" i="53" a="1"/>
  <c r="C54" i="53" a="1"/>
  <c r="C43" i="40" a="1"/>
  <c r="C22" i="12" a="1"/>
  <c r="C80" i="12" a="1"/>
  <c r="C4" i="11" a="1"/>
  <c r="C16" i="53" a="1"/>
  <c r="C44" i="53" a="1"/>
  <c r="E56" i="53" a="1"/>
  <c r="C13" i="40" a="1"/>
  <c r="E60" i="53" a="1"/>
  <c r="E24" i="53" a="1"/>
  <c r="E23" i="53" a="1"/>
  <c r="C27" i="40" a="1"/>
  <c r="C81" i="12" a="1"/>
  <c r="E61" i="53" a="1"/>
  <c r="C19" i="40" a="1"/>
  <c r="C46" i="40" a="1"/>
  <c r="C25" i="40" a="1"/>
  <c r="C76" i="12" a="1"/>
  <c r="C6" i="12" a="1"/>
  <c r="C23" i="11" a="1"/>
  <c r="E28" i="53" a="1"/>
  <c r="C9" i="12" a="1"/>
  <c r="C18" i="11" a="1"/>
  <c r="C18" i="53" a="1"/>
  <c r="E55" i="53" a="1"/>
  <c r="C61" i="12" a="1"/>
  <c r="C27" i="53" a="1"/>
  <c r="C11" i="53" a="1"/>
  <c r="C31" i="53" a="1"/>
  <c r="C7" i="53" a="1"/>
  <c r="C114" i="12" a="1"/>
  <c r="C117" i="12" a="1"/>
  <c r="C28" i="11" a="1"/>
  <c r="E67" i="53" a="1"/>
  <c r="C100" i="12" a="1"/>
  <c r="E6" i="53" a="1"/>
  <c r="C49" i="53" a="1"/>
  <c r="C51" i="40" a="1"/>
  <c r="C47" i="12" a="1"/>
  <c r="E29" i="53" a="1"/>
  <c r="E36" i="53" a="1"/>
  <c r="C53" i="40" a="1"/>
  <c r="E48" i="53" a="1"/>
  <c r="C101" i="12" a="1"/>
  <c r="C39" i="40" a="1"/>
  <c r="C50" i="53" a="1"/>
  <c r="C36" i="40" a="1"/>
  <c r="E35" i="53" a="1"/>
  <c r="E10" i="53" a="1"/>
  <c r="C59" i="53" a="1"/>
  <c r="E2" i="9" a="1"/>
  <c r="C63" i="53" a="1"/>
  <c r="E18" i="53" a="1"/>
  <c r="C65" i="53" a="1"/>
  <c r="C132" i="12" a="1"/>
  <c r="C85" i="12" a="1"/>
  <c r="C64" i="12" a="1"/>
  <c r="C33" i="12" a="1"/>
  <c r="C7" i="12" a="1"/>
  <c r="C52" i="12" a="1"/>
  <c r="C17" i="11" a="1"/>
  <c r="E32" i="53" a="1"/>
  <c r="C4" i="12" a="1"/>
  <c r="C44" i="40" a="1"/>
  <c r="E43" i="53" a="1"/>
  <c r="G146" i="12" a="1"/>
  <c r="C5" i="40" a="1"/>
  <c r="C46" i="53" a="1"/>
  <c r="C8" i="40" a="1"/>
  <c r="C37" i="12" a="1"/>
  <c r="C122" i="12" a="1"/>
  <c r="C6" i="11" a="1"/>
  <c r="C16" i="40" a="1"/>
  <c r="C50" i="40" a="1"/>
  <c r="C56" i="12" a="1"/>
  <c r="C24" i="11" a="1"/>
  <c r="E20" i="53" a="1"/>
  <c r="E2" i="50" a="1"/>
  <c r="C60" i="12" a="1"/>
  <c r="C39" i="12" a="1"/>
  <c r="E2" i="53" a="1"/>
  <c r="C7" i="40" a="1"/>
  <c r="C86" i="12" a="1"/>
  <c r="C47" i="40" a="1"/>
  <c r="C48" i="12" a="1"/>
  <c r="C9" i="40" a="1"/>
  <c r="C48" i="40" a="1"/>
  <c r="C23" i="53" a="1"/>
  <c r="C34" i="40" a="1"/>
  <c r="C50" i="12" a="1"/>
  <c r="C60" i="53" a="1"/>
  <c r="C23" i="40" a="1"/>
  <c r="G221" i="12" a="1"/>
  <c r="C32" i="12" a="1"/>
  <c r="C27" i="11" a="1"/>
  <c r="C58" i="53" a="1"/>
  <c r="C39" i="53" a="1"/>
  <c r="C113" i="12" a="1"/>
  <c r="C15" i="11" a="1"/>
  <c r="C19" i="53" a="1"/>
  <c r="E11" i="53" a="1"/>
  <c r="C22" i="53" a="1"/>
  <c r="C95" i="12" a="1"/>
  <c r="C8" i="12" a="1"/>
  <c r="C49" i="12" a="1"/>
  <c r="C20" i="40" a="1"/>
  <c r="C33" i="40" a="1"/>
  <c r="C13" i="12" a="1"/>
  <c r="C38" i="12" a="1"/>
  <c r="C5" i="11" a="1"/>
  <c r="C30" i="53" a="1"/>
  <c r="C107" i="12" a="1"/>
  <c r="C66" i="53" a="1"/>
  <c r="E12" i="53" a="1"/>
  <c r="C5" i="53" a="1"/>
  <c r="C24" i="40" a="1"/>
  <c r="E66" i="53" a="1"/>
  <c r="E27" i="53" a="1"/>
  <c r="E69" i="53" a="1"/>
  <c r="C10" i="40" a="1"/>
  <c r="C68" i="53" a="1"/>
  <c r="E58" i="53" a="1"/>
  <c r="C15" i="12" a="1"/>
  <c r="C126" i="12" a="1"/>
  <c r="C51" i="12" a="1"/>
  <c r="C2" i="12" a="1"/>
  <c r="C35" i="12" a="1"/>
  <c r="G168" i="12" a="1"/>
  <c r="C16" i="11" a="1"/>
  <c r="C2" i="40" a="1"/>
  <c r="C8" i="53" a="1"/>
  <c r="C55" i="40" a="1"/>
  <c r="E2" i="46" a="1"/>
  <c r="C14" i="12" a="1"/>
  <c r="C26" i="11" a="1"/>
  <c r="E64" i="53" a="1"/>
  <c r="C21" i="40" a="1"/>
  <c r="C2" i="53" a="1"/>
  <c r="E22" i="53" a="1"/>
  <c r="E59" i="53" a="1"/>
  <c r="C54" i="40" a="1"/>
  <c r="C36" i="12" a="1"/>
  <c r="C112" i="12" a="1"/>
  <c r="C71" i="12" a="1"/>
  <c r="C87" i="12" a="1"/>
  <c r="C22" i="11" a="1"/>
  <c r="C31" i="11" a="1"/>
  <c r="C25" i="53" a="1"/>
  <c r="E17" i="53" a="1"/>
  <c r="C83" i="12" a="1"/>
  <c r="C108" i="12" a="1"/>
  <c r="C31" i="12" a="1"/>
  <c r="C25" i="11" a="1"/>
  <c r="C30" i="40" a="1"/>
  <c r="C35" i="53" a="1"/>
  <c r="C20" i="12" a="1"/>
  <c r="C28" i="12" a="1"/>
  <c r="C106" i="12" a="1"/>
  <c r="E2" i="15" a="1"/>
  <c r="C29" i="12" a="1"/>
  <c r="C55" i="12" a="1"/>
  <c r="C79" i="12" a="1"/>
  <c r="C8" i="11" a="1"/>
  <c r="C47" i="53" a="1"/>
  <c r="C109" i="12" a="1"/>
  <c r="C32" i="11" a="1"/>
  <c r="C24" i="53" a="1"/>
  <c r="E46" i="53" a="1"/>
  <c r="C22" i="40" a="1"/>
  <c r="C29" i="53" a="1"/>
  <c r="C96" i="12" a="1"/>
  <c r="C77" i="12" a="1"/>
  <c r="C12" i="11" a="1"/>
  <c r="E45" i="53" a="1"/>
  <c r="C49" i="4" a="1"/>
  <c r="E16" i="53" a="1"/>
  <c r="C118" i="12" a="1"/>
  <c r="C67" i="12" a="1"/>
  <c r="C28" i="40" a="1"/>
  <c r="E14" i="53" a="1"/>
  <c r="E34" i="53" a="1"/>
  <c r="E49" i="53" a="1"/>
  <c r="C54" i="12" a="1"/>
  <c r="C121" i="12" a="1"/>
  <c r="C40" i="53" a="1"/>
  <c r="C62" i="53" a="1"/>
  <c r="C68" i="12" a="1"/>
  <c r="C110" i="12" a="1"/>
  <c r="C40" i="40" a="1"/>
  <c r="C9" i="53" a="1"/>
  <c r="C34" i="53" a="1"/>
  <c r="C46" i="12" a="1"/>
  <c r="C69" i="12" a="1"/>
  <c r="C10" i="11" a="1"/>
  <c r="E50" i="53" a="1"/>
  <c r="E26" i="53" a="1"/>
  <c r="E47" i="53" a="1"/>
  <c r="E15" i="12" a="1"/>
  <c r="C5" i="12" a="1"/>
  <c r="C11" i="11" a="1"/>
  <c r="E54" i="53" a="1"/>
  <c r="C35" i="40" a="1"/>
  <c r="C18" i="40" a="1"/>
  <c r="C30" i="12" a="1"/>
  <c r="C26" i="12" a="1"/>
  <c r="C7" i="11" a="1"/>
  <c r="E31" i="53" a="1"/>
  <c r="C61" i="53" a="1"/>
  <c r="C4" i="40" a="1"/>
  <c r="C12" i="53" a="1"/>
  <c r="C2" i="15" a="1"/>
  <c r="C38" i="40" a="1"/>
  <c r="E30" i="53" a="1"/>
  <c r="C67" i="53" a="1"/>
  <c r="E68" i="53" a="1"/>
  <c r="C53" i="53" a="1"/>
  <c r="C25" i="12" a="1"/>
  <c r="C91" i="12" a="1"/>
  <c r="C3" i="12" a="1"/>
  <c r="C78" i="12" a="1"/>
  <c r="C16" i="12" a="1"/>
  <c r="C125" i="12" a="1"/>
  <c r="C35" i="11" a="1"/>
  <c r="C14" i="11" a="1"/>
  <c r="C15" i="53" a="1"/>
  <c r="E44" i="53" a="1"/>
  <c r="E49" i="4" a="1"/>
  <c r="C28" i="53" a="1"/>
  <c r="C17" i="40" a="1"/>
  <c r="E33" i="53" a="1"/>
  <c r="E42" i="53" a="1"/>
  <c r="E25" i="53" a="1"/>
  <c r="E53" i="53" a="1"/>
  <c r="E19" i="53" a="1"/>
  <c r="C131" i="12" a="1"/>
  <c r="E13" i="12" a="1"/>
  <c r="C92" i="12" a="1"/>
  <c r="C53" i="12" a="1"/>
  <c r="C93" i="12" a="1"/>
  <c r="C124" i="12" a="1"/>
  <c r="C2" i="11" a="1"/>
  <c r="C20" i="11" a="1"/>
  <c r="C57" i="53" a="1"/>
  <c r="E8" i="53" a="1"/>
  <c r="C37" i="40" a="1"/>
  <c r="E38" i="53" a="1"/>
  <c r="E37" i="53" a="1"/>
  <c r="C6" i="53" a="1"/>
  <c r="G2" i="15" a="1"/>
  <c r="E3" i="53" a="1"/>
  <c r="C6" i="40" a="1"/>
  <c r="E52" i="53" a="1"/>
  <c r="C82" i="12" a="1"/>
  <c r="C116" i="12" a="1"/>
  <c r="C73" i="12" a="1"/>
  <c r="C74" i="12" a="1"/>
  <c r="C58" i="12" a="1"/>
  <c r="C94" i="12" a="1"/>
  <c r="C19" i="11" a="1"/>
  <c r="C21" i="11" a="1"/>
  <c r="E39" i="53" a="1"/>
  <c r="C51" i="53" a="1"/>
  <c r="C11" i="40" a="1"/>
  <c r="C56" i="53" a="1"/>
  <c r="E63" i="53" a="1"/>
  <c r="E62" i="53" a="1"/>
  <c r="C38" i="53" a="1"/>
  <c r="C41" i="40" a="1"/>
  <c r="E65" i="53" a="1"/>
  <c r="C10" i="53" a="1"/>
  <c r="G185" i="12" a="1"/>
  <c r="C89" i="12" a="1"/>
  <c r="C62" i="12" a="1"/>
  <c r="G17" i="12" a="1"/>
  <c r="C119" i="12" a="1"/>
  <c r="C90" i="12" a="1"/>
  <c r="C13" i="11" a="1"/>
  <c r="C9" i="11" a="1"/>
  <c r="C14" i="53" a="1"/>
  <c r="C48" i="53" a="1"/>
  <c r="C130" i="12" a="1"/>
  <c r="C29" i="11" a="1"/>
  <c r="C33" i="53" a="1"/>
  <c r="E7" i="53" a="1"/>
  <c r="C13" i="53" a="1"/>
  <c r="C43" i="53" a="1"/>
  <c r="C40" i="12" a="1"/>
  <c r="C123" i="12" a="1"/>
  <c r="C59" i="12" a="1"/>
  <c r="C3" i="11" a="1"/>
  <c r="C32" i="53" a="1"/>
  <c r="C70" i="12" a="1"/>
  <c r="C26" i="53" a="1"/>
  <c r="C20" i="53" a="1"/>
  <c r="C75" i="12" a="1"/>
  <c r="C65" i="12" a="1"/>
  <c r="C33" i="11" a="1"/>
  <c r="C45" i="53" a="1"/>
  <c r="C52" i="40" a="1"/>
  <c r="C99" i="12" a="1"/>
  <c r="C34" i="11" a="1"/>
  <c r="C32" i="40" a="1"/>
  <c r="C12" i="40" a="1"/>
  <c r="C10" i="12" a="1"/>
  <c r="C3" i="53" a="1"/>
  <c r="C45" i="40" a="1"/>
  <c r="C17" i="53" a="1"/>
  <c r="C30" i="11" a="1"/>
  <c r="E5" i="53" a="1"/>
  <c r="E40" i="53" a="1"/>
  <c r="C115" i="12" a="1"/>
  <c r="C42" i="40" a="1"/>
  <c r="C14" i="40" a="1"/>
  <c r="C88" i="12" a="1"/>
  <c r="C66" i="12" a="1"/>
  <c r="F155" i="12" l="1"/>
  <c r="G146" i="12"/>
  <c r="G221" i="12"/>
  <c r="F220" i="12"/>
  <c r="F211" i="12"/>
  <c r="G185" i="12"/>
  <c r="F184" i="12"/>
  <c r="G168" i="12"/>
  <c r="F167" i="12"/>
  <c r="F161" i="12"/>
  <c r="F145" i="12"/>
  <c r="G42" i="12"/>
  <c r="F41" i="12"/>
  <c r="G17" i="12"/>
  <c r="F17" i="12" s="1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4" i="12"/>
  <c r="C37" i="12"/>
  <c r="C84" i="12"/>
  <c r="C5" i="12"/>
  <c r="C31" i="12"/>
  <c r="C75" i="12"/>
  <c r="C76" i="12"/>
  <c r="C85" i="12"/>
  <c r="C126" i="12"/>
  <c r="C9" i="12"/>
  <c r="C26" i="12"/>
  <c r="C67" i="12"/>
  <c r="C22" i="12"/>
  <c r="C23" i="12"/>
  <c r="C93" i="12"/>
  <c r="C108" i="12"/>
  <c r="C113" i="12"/>
  <c r="C118" i="12"/>
  <c r="C80" i="12"/>
  <c r="C121" i="12"/>
  <c r="C125" i="12"/>
  <c r="C49" i="12"/>
  <c r="C96" i="12"/>
  <c r="C132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5" i="12"/>
  <c r="C7" i="12"/>
  <c r="C29" i="12"/>
  <c r="C35" i="12"/>
  <c r="C47" i="12"/>
  <c r="C58" i="12"/>
  <c r="C69" i="12"/>
  <c r="C78" i="12"/>
  <c r="C87" i="12"/>
  <c r="C91" i="12"/>
  <c r="C106" i="12"/>
  <c r="C116" i="12"/>
  <c r="C130" i="12"/>
  <c r="C8" i="12"/>
  <c r="C30" i="12"/>
  <c r="C36" i="12"/>
  <c r="C48" i="12"/>
  <c r="C59" i="12"/>
  <c r="C70" i="12"/>
  <c r="C79" i="12"/>
  <c r="C95" i="12"/>
  <c r="C92" i="12"/>
  <c r="C107" i="12"/>
  <c r="C117" i="12"/>
  <c r="C131" i="12"/>
  <c r="C123" i="12"/>
  <c r="C10" i="12"/>
  <c r="C32" i="12"/>
  <c r="C38" i="12"/>
  <c r="C50" i="12"/>
  <c r="C61" i="12"/>
  <c r="C72" i="12"/>
  <c r="C98" i="12"/>
  <c r="C94" i="12"/>
  <c r="C109" i="12"/>
  <c r="C119" i="12"/>
  <c r="C122" i="12"/>
  <c r="C33" i="12"/>
  <c r="C51" i="12"/>
  <c r="C62" i="12"/>
  <c r="C73" i="12"/>
  <c r="C81" i="12"/>
  <c r="C99" i="12"/>
  <c r="C110" i="12"/>
  <c r="C19" i="12"/>
  <c r="C39" i="12"/>
  <c r="C52" i="12"/>
  <c r="C64" i="12"/>
  <c r="C74" i="12"/>
  <c r="C82" i="12"/>
  <c r="C100" i="12"/>
  <c r="C111" i="12"/>
  <c r="C124" i="12"/>
  <c r="C3" i="12"/>
  <c r="C25" i="12"/>
  <c r="C20" i="12"/>
  <c r="C40" i="12"/>
  <c r="C53" i="12"/>
  <c r="C65" i="12"/>
  <c r="C83" i="12"/>
  <c r="C101" i="12"/>
  <c r="C112" i="12"/>
  <c r="C2" i="12"/>
  <c r="C49" i="4"/>
  <c r="E49" i="4"/>
  <c r="C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K2" i="11"/>
  <c r="N2" i="11" s="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9" i="12"/>
  <c r="A118" i="12"/>
  <c r="A117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G186" i="12" a="1"/>
  <c r="G147" i="12" a="1"/>
  <c r="G169" i="12" a="1"/>
  <c r="G147" i="12" l="1"/>
  <c r="F221" i="12"/>
  <c r="G186" i="12"/>
  <c r="F185" i="12"/>
  <c r="G169" i="12"/>
  <c r="F168" i="12"/>
  <c r="F146" i="12"/>
  <c r="F42" i="12"/>
  <c r="F186" i="12" l="1"/>
  <c r="F169" i="12"/>
  <c r="A130" i="12"/>
  <c r="A131" i="12"/>
  <c r="A132" i="12"/>
  <c r="E83" i="27" a="1"/>
  <c r="E98" i="27" a="1"/>
  <c r="C66" i="27" a="1"/>
  <c r="E106" i="27" a="1"/>
  <c r="E99" i="27" a="1"/>
  <c r="C288" i="27" a="1"/>
  <c r="C19" i="3" a="1"/>
  <c r="E107" i="27" a="1"/>
  <c r="C120" i="27" a="1"/>
  <c r="E41" i="27" a="1"/>
  <c r="E277" i="27" a="1"/>
  <c r="C321" i="27" a="1"/>
  <c r="E16" i="40" a="1"/>
  <c r="C306" i="27" a="1"/>
  <c r="C241" i="27" a="1"/>
  <c r="C6" i="31" a="1"/>
  <c r="C367" i="27" a="1"/>
  <c r="C33" i="27" a="1"/>
  <c r="E28" i="40" a="1"/>
  <c r="C276" i="27" a="1"/>
  <c r="C186" i="27" a="1"/>
  <c r="C41" i="27" a="1"/>
  <c r="E13" i="4" a="1"/>
  <c r="G16" i="40" a="1"/>
  <c r="C89" i="27" a="1"/>
  <c r="C19" i="27" a="1"/>
  <c r="C381" i="27" a="1"/>
  <c r="C137" i="27" a="1"/>
  <c r="E42" i="40" a="1"/>
  <c r="E287" i="27" a="1"/>
  <c r="C12" i="27" a="1"/>
  <c r="E36" i="40" a="1"/>
  <c r="E249" i="27" a="1"/>
  <c r="E137" i="27" a="1"/>
  <c r="C20" i="4" a="1"/>
  <c r="E381" i="27" a="1"/>
  <c r="E14" i="27" a="1"/>
  <c r="E31" i="40" a="1"/>
  <c r="E58" i="27" a="1"/>
  <c r="G47" i="40" a="1"/>
  <c r="E25" i="27" a="1"/>
  <c r="E20" i="4" a="1"/>
  <c r="C4" i="4" a="1"/>
  <c r="C327" i="27" a="1"/>
  <c r="E288" i="27" a="1"/>
  <c r="D16" i="37" a="1"/>
  <c r="C31" i="27" a="1"/>
  <c r="C40" i="4" a="1"/>
  <c r="E115" i="27" a="1"/>
  <c r="C242" i="27" a="1"/>
  <c r="C301" i="27" a="1"/>
  <c r="C7" i="31" a="1"/>
  <c r="E46" i="12" a="1"/>
  <c r="E48" i="12" a="1"/>
  <c r="E33" i="12" a="1"/>
  <c r="E19" i="12" a="1"/>
  <c r="E110" i="12" a="1"/>
  <c r="E82" i="12" a="1"/>
  <c r="E40" i="40" a="1"/>
  <c r="C114" i="27" a="1"/>
  <c r="E326" i="27" a="1"/>
  <c r="E291" i="27" a="1"/>
  <c r="E114" i="12" a="1"/>
  <c r="E30" i="12" a="1"/>
  <c r="E27" i="4" a="1"/>
  <c r="G50" i="40" a="1"/>
  <c r="E244" i="27" a="1"/>
  <c r="E339" i="27" a="1"/>
  <c r="G3" i="40" a="1"/>
  <c r="C86" i="27" a="1"/>
  <c r="E360" i="27" a="1"/>
  <c r="C67" i="27" a="1"/>
  <c r="E31" i="4" a="1"/>
  <c r="E340" i="27" a="1"/>
  <c r="C312" i="27" a="1"/>
  <c r="E232" i="27" a="1"/>
  <c r="C10" i="4" a="1"/>
  <c r="E32" i="27" a="1"/>
  <c r="E26" i="4" a="1"/>
  <c r="E101" i="12" a="1"/>
  <c r="E71" i="12" a="1"/>
  <c r="E68" i="12" a="1"/>
  <c r="C342" i="27" a="1"/>
  <c r="E170" i="27" a="1"/>
  <c r="E12" i="40" a="1"/>
  <c r="C214" i="27" a="1"/>
  <c r="C346" i="27" a="1"/>
  <c r="E19" i="40" a="1"/>
  <c r="E5" i="40" a="1"/>
  <c r="E13" i="40" a="1"/>
  <c r="C18" i="27" a="1"/>
  <c r="E15" i="31" a="1"/>
  <c r="E90" i="27" a="1"/>
  <c r="E161" i="27" a="1"/>
  <c r="C25" i="4" a="1"/>
  <c r="C262" i="27" a="1"/>
  <c r="C302" i="27" a="1"/>
  <c r="E8" i="40" a="1"/>
  <c r="C334" i="27" a="1"/>
  <c r="C2" i="22" a="1"/>
  <c r="E322" i="27" a="1"/>
  <c r="E233" i="27" a="1"/>
  <c r="C35" i="27" a="1"/>
  <c r="E226" i="27" a="1"/>
  <c r="G4" i="40" a="1"/>
  <c r="C6" i="4" a="1"/>
  <c r="C279" i="27" a="1"/>
  <c r="E29" i="40" a="1"/>
  <c r="E2" i="4" a="1"/>
  <c r="C127" i="27" a="1"/>
  <c r="G49" i="40" a="1"/>
  <c r="E130" i="27" a="1"/>
  <c r="C23" i="4" a="1"/>
  <c r="E30" i="40" a="1"/>
  <c r="E4" i="40" a="1"/>
  <c r="C310" i="27" a="1"/>
  <c r="C369" i="27" a="1"/>
  <c r="E23" i="4" a="1"/>
  <c r="G37" i="40" a="1"/>
  <c r="E324" i="27" a="1"/>
  <c r="C45" i="27" a="1"/>
  <c r="C8" i="31" a="1"/>
  <c r="C102" i="27" a="1"/>
  <c r="E361" i="27" a="1"/>
  <c r="E37" i="40" a="1"/>
  <c r="C23" i="27" a="1"/>
  <c r="E29" i="27" a="1"/>
  <c r="E43" i="4" a="1"/>
  <c r="C338" i="27" a="1"/>
  <c r="E317" i="27" a="1"/>
  <c r="E44" i="40" a="1"/>
  <c r="C16" i="31" a="1"/>
  <c r="C9" i="4" a="1"/>
  <c r="E55" i="27" a="1"/>
  <c r="C293" i="27" a="1"/>
  <c r="C46" i="27" a="1"/>
  <c r="E7" i="27" a="1"/>
  <c r="C247" i="27" a="1"/>
  <c r="E51" i="27" a="1"/>
  <c r="C162" i="27" a="1"/>
  <c r="E30" i="4" a="1"/>
  <c r="E169" i="27" a="1"/>
  <c r="E34" i="4" a="1"/>
  <c r="E67" i="12" a="1"/>
  <c r="E9" i="12" a="1"/>
  <c r="E106" i="12" a="1"/>
  <c r="E35" i="12" a="1"/>
  <c r="E73" i="12" a="1"/>
  <c r="E115" i="12" a="1"/>
  <c r="C141" i="27" a="1"/>
  <c r="E55" i="40" a="1"/>
  <c r="E8" i="31" a="1"/>
  <c r="E248" i="27" a="1"/>
  <c r="C100" i="27" a="1"/>
  <c r="E48" i="40" a="1"/>
  <c r="C130" i="27" a="1"/>
  <c r="C63" i="27" a="1"/>
  <c r="E20" i="27" a="1"/>
  <c r="E377" i="27" a="1"/>
  <c r="C270" i="27" a="1"/>
  <c r="C207" i="27" a="1"/>
  <c r="E29" i="4" a="1"/>
  <c r="C313" i="27" a="1"/>
  <c r="E182" i="27" a="1"/>
  <c r="E280" i="27" a="1"/>
  <c r="C251" i="27" a="1"/>
  <c r="E17" i="40" a="1"/>
  <c r="C94" i="27" a="1"/>
  <c r="E320" i="27" a="1"/>
  <c r="E28" i="4" a="1"/>
  <c r="C189" i="27" a="1"/>
  <c r="G15" i="40" a="1"/>
  <c r="E172" i="27" a="1"/>
  <c r="E18" i="40" a="1"/>
  <c r="E38" i="40" a="1"/>
  <c r="C150" i="27" a="1"/>
  <c r="E173" i="27" a="1"/>
  <c r="E47" i="12" a="1"/>
  <c r="E113" i="12" a="1"/>
  <c r="E178" i="27" a="1"/>
  <c r="E104" i="27" a="1"/>
  <c r="C5" i="4" a="1"/>
  <c r="C118" i="27" a="1"/>
  <c r="E7" i="40" a="1"/>
  <c r="C265" i="27" a="1"/>
  <c r="C78" i="27" a="1"/>
  <c r="E87" i="27" a="1"/>
  <c r="C166" i="27" a="1"/>
  <c r="C59" i="27" a="1"/>
  <c r="C231" i="27" a="1"/>
  <c r="E47" i="4" a="1"/>
  <c r="E105" i="27" a="1"/>
  <c r="E140" i="27" a="1"/>
  <c r="C134" i="27" a="1"/>
  <c r="C318" i="27" a="1"/>
  <c r="E376" i="27" a="1"/>
  <c r="E10" i="27" a="1"/>
  <c r="E2" i="38" a="1"/>
  <c r="G125" i="12" a="1"/>
  <c r="E284" i="27" a="1"/>
  <c r="C51" i="27" a="1"/>
  <c r="E369" i="27" a="1"/>
  <c r="C329" i="27" a="1"/>
  <c r="C77" i="27" a="1"/>
  <c r="E374" i="27" a="1"/>
  <c r="E54" i="27" a="1"/>
  <c r="C259" i="27" a="1"/>
  <c r="C320" i="27" a="1"/>
  <c r="E11" i="31" a="1"/>
  <c r="C8" i="27" a="1"/>
  <c r="C17" i="3" a="1"/>
  <c r="C305" i="27" a="1"/>
  <c r="E241" i="27" a="1"/>
  <c r="C366" i="27" a="1"/>
  <c r="E39" i="4" a="1"/>
  <c r="E265" i="27" a="1"/>
  <c r="C155" i="27" a="1"/>
  <c r="C370" i="27" a="1"/>
  <c r="E144" i="27" a="1"/>
  <c r="E53" i="40" a="1"/>
  <c r="C79" i="27" a="1"/>
  <c r="E47" i="27" a="1"/>
  <c r="E213" i="27" a="1"/>
  <c r="C365" i="27" a="1"/>
  <c r="C48" i="27" a="1"/>
  <c r="E136" i="27" a="1"/>
  <c r="C14" i="31" a="1"/>
  <c r="E325" i="27" a="1"/>
  <c r="C14" i="3" a="1"/>
  <c r="G39" i="40" a="1"/>
  <c r="E123" i="27" a="1"/>
  <c r="C76" i="27" a="1"/>
  <c r="C374" i="27" a="1"/>
  <c r="E200" i="27" a="1"/>
  <c r="C42" i="27" a="1"/>
  <c r="C215" i="27" a="1"/>
  <c r="E89" i="27" a="1"/>
  <c r="C72" i="27" a="1"/>
  <c r="C378" i="27" a="1"/>
  <c r="C249" i="27" a="1"/>
  <c r="C20" i="27" a="1"/>
  <c r="E202" i="27" a="1"/>
  <c r="G43" i="40" a="1"/>
  <c r="C104" i="27" a="1"/>
  <c r="C81" i="27" a="1"/>
  <c r="C35" i="4" a="1"/>
  <c r="E363" i="27" a="1"/>
  <c r="E285" i="27" a="1"/>
  <c r="C158" i="27" a="1"/>
  <c r="C10" i="3" a="1"/>
  <c r="C164" i="27" a="1"/>
  <c r="C335" i="27" a="1"/>
  <c r="C61" i="27" a="1"/>
  <c r="C355" i="27" a="1"/>
  <c r="E316" i="27" a="1"/>
  <c r="C206" i="27" a="1"/>
  <c r="E225" i="27" a="1"/>
  <c r="C157" i="27" a="1"/>
  <c r="E25" i="4" a="1"/>
  <c r="C264" i="27" a="1"/>
  <c r="C283" i="27" a="1"/>
  <c r="C271" i="27" a="1"/>
  <c r="E296" i="27" a="1"/>
  <c r="E246" i="27" a="1"/>
  <c r="C8" i="4" a="1"/>
  <c r="C246" i="27" a="1"/>
  <c r="C31" i="4" a="1"/>
  <c r="C194" i="27" a="1"/>
  <c r="C57" i="27" a="1"/>
  <c r="C138" i="27" a="1"/>
  <c r="E116" i="12" a="1"/>
  <c r="E86" i="12" a="1"/>
  <c r="E81" i="12" a="1"/>
  <c r="E75" i="12" a="1"/>
  <c r="E66" i="12" a="1"/>
  <c r="E87" i="12" a="1"/>
  <c r="E323" i="27" a="1"/>
  <c r="C20" i="31" a="1"/>
  <c r="C362" i="27" a="1"/>
  <c r="E4" i="31" a="1"/>
  <c r="E61" i="27" a="1"/>
  <c r="C99" i="27" a="1"/>
  <c r="C222" i="27" a="1"/>
  <c r="E7" i="4" a="1"/>
  <c r="E71" i="27" a="1"/>
  <c r="E18" i="4" a="1"/>
  <c r="E16" i="27" a="1"/>
  <c r="E348" i="27" a="1"/>
  <c r="E243" i="27" a="1"/>
  <c r="C73" i="27" a="1"/>
  <c r="E336" i="27" a="1"/>
  <c r="E28" i="27" a="1"/>
  <c r="C148" i="27" a="1"/>
  <c r="E160" i="27" a="1"/>
  <c r="E311" i="27" a="1"/>
  <c r="C236" i="27" a="1"/>
  <c r="E54" i="12" a="1"/>
  <c r="G106" i="12" a="1"/>
  <c r="C146" i="27" a="1"/>
  <c r="D7" i="37" a="1"/>
  <c r="C227" i="27" a="1"/>
  <c r="E282" i="27" a="1"/>
  <c r="E85" i="27" a="1"/>
  <c r="E318" i="27" a="1"/>
  <c r="E312" i="27" a="1"/>
  <c r="C373" i="27" a="1"/>
  <c r="E2" i="40" a="1"/>
  <c r="G38" i="40" a="1"/>
  <c r="E3" i="31" a="1"/>
  <c r="E25" i="40" a="1"/>
  <c r="E306" i="27" a="1"/>
  <c r="E237" i="27" a="1"/>
  <c r="E42" i="27" a="1"/>
  <c r="E236" i="27" a="1"/>
  <c r="G51" i="40" a="1"/>
  <c r="E5" i="31" a="1"/>
  <c r="E3" i="12" a="1"/>
  <c r="E61" i="12" a="1"/>
  <c r="C237" i="27" a="1"/>
  <c r="E49" i="27" a="1"/>
  <c r="E94" i="27" a="1"/>
  <c r="G34" i="40" a="1"/>
  <c r="E187" i="27" a="1"/>
  <c r="C97" i="27" a="1"/>
  <c r="C261" i="27" a="1"/>
  <c r="D8" i="37" a="1"/>
  <c r="E367" i="27" a="1"/>
  <c r="E262" i="27" a="1"/>
  <c r="G24" i="40" a="1"/>
  <c r="E34" i="40" a="1"/>
  <c r="C135" i="27" a="1"/>
  <c r="C38" i="27" a="1"/>
  <c r="E6" i="31" a="1"/>
  <c r="C371" i="27" a="1"/>
  <c r="E366" i="27" a="1"/>
  <c r="C277" i="27" a="1"/>
  <c r="C22" i="27" a="1"/>
  <c r="E27" i="27" a="1"/>
  <c r="E34" i="27" a="1"/>
  <c r="C165" i="27" a="1"/>
  <c r="E184" i="27" a="1"/>
  <c r="G9" i="40" a="1"/>
  <c r="C291" i="27" a="1"/>
  <c r="C62" i="27" a="1"/>
  <c r="E126" i="27" a="1"/>
  <c r="E3" i="4" a="1"/>
  <c r="E73" i="27" a="1"/>
  <c r="C106" i="27" a="1"/>
  <c r="C121" i="27" a="1"/>
  <c r="C254" i="27" a="1"/>
  <c r="C353" i="27" a="1"/>
  <c r="C26" i="27" a="1"/>
  <c r="E40" i="4" a="1"/>
  <c r="E234" i="27" a="1"/>
  <c r="E335" i="27" a="1"/>
  <c r="C299" i="27" a="1"/>
  <c r="E278" i="27" a="1"/>
  <c r="E240" i="27" a="1"/>
  <c r="E210" i="27" a="1"/>
  <c r="C229" i="27" a="1"/>
  <c r="E20" i="31" a="1"/>
  <c r="C323" i="27" a="1"/>
  <c r="C267" i="27" a="1"/>
  <c r="C58" i="27" a="1"/>
  <c r="E242" i="27" a="1"/>
  <c r="C13" i="27" a="1"/>
  <c r="E52" i="27" a="1"/>
  <c r="E120" i="27" a="1"/>
  <c r="E132" i="27" a="1"/>
  <c r="C126" i="27" a="1"/>
  <c r="C176" i="27" a="1"/>
  <c r="E23" i="40" a="1"/>
  <c r="E328" i="27" a="1"/>
  <c r="C376" i="27" a="1"/>
  <c r="E138" i="27" a="1"/>
  <c r="E76" i="12" a="1"/>
  <c r="E49" i="12" a="1"/>
  <c r="E50" i="12" a="1"/>
  <c r="E5" i="12" a="1"/>
  <c r="E74" i="12" a="1"/>
  <c r="E330" i="27" a="1"/>
  <c r="C37" i="27" a="1"/>
  <c r="C27" i="27" a="1"/>
  <c r="G32" i="40" a="1"/>
  <c r="E276" i="27" a="1"/>
  <c r="E45" i="40" a="1"/>
  <c r="E319" i="27" a="1"/>
  <c r="C339" i="27" a="1"/>
  <c r="E21" i="27" a="1"/>
  <c r="E17" i="4" a="1"/>
  <c r="C108" i="27" a="1"/>
  <c r="C9" i="3" a="1"/>
  <c r="E192" i="27" a="1"/>
  <c r="E341" i="27" a="1"/>
  <c r="C3" i="31" a="1"/>
  <c r="E129" i="27" a="1"/>
  <c r="G28" i="40" a="1"/>
  <c r="E124" i="27" a="1"/>
  <c r="C360" i="27" a="1"/>
  <c r="E122" i="27" a="1"/>
  <c r="E208" i="27" a="1"/>
  <c r="E238" i="27" a="1"/>
  <c r="C203" i="27" a="1"/>
  <c r="C298" i="27" a="1"/>
  <c r="E117" i="27" a="1"/>
  <c r="D19" i="37" a="1"/>
  <c r="C39" i="4" a="1"/>
  <c r="E6" i="4" a="1"/>
  <c r="E334" i="27" a="1"/>
  <c r="C337" i="27" a="1"/>
  <c r="E141" i="27" a="1"/>
  <c r="E28" i="12" a="1"/>
  <c r="E119" i="12" a="1"/>
  <c r="E8" i="12" a="1"/>
  <c r="E80" i="12" a="1"/>
  <c r="E69" i="12" a="1"/>
  <c r="E189" i="27" a="1"/>
  <c r="C49" i="27" a="1"/>
  <c r="C7" i="3" a="1"/>
  <c r="C238" i="27" a="1"/>
  <c r="D11" i="37" a="1"/>
  <c r="E258" i="27" a="1"/>
  <c r="C352" i="27" a="1"/>
  <c r="E119" i="27" a="1"/>
  <c r="E24" i="4" a="1"/>
  <c r="E101" i="27" a="1"/>
  <c r="C32" i="4" a="1"/>
  <c r="E44" i="27" a="1"/>
  <c r="C74" i="27" a="1"/>
  <c r="C33" i="4" a="1"/>
  <c r="C308" i="27" a="1"/>
  <c r="C151" i="27" a="1"/>
  <c r="E261" i="27" a="1"/>
  <c r="E346" i="27" a="1"/>
  <c r="E165" i="27" a="1"/>
  <c r="E147" i="27" a="1"/>
  <c r="C280" i="27" a="1"/>
  <c r="E9" i="31" a="1"/>
  <c r="E380" i="27" a="1"/>
  <c r="C11" i="31" a="1"/>
  <c r="E121" i="27" a="1"/>
  <c r="E186" i="27" a="1"/>
  <c r="E190" i="27" a="1"/>
  <c r="C217" i="27" a="1"/>
  <c r="E118" i="27" a="1"/>
  <c r="C129" i="27" a="1"/>
  <c r="E19" i="4" a="1"/>
  <c r="E167" i="27" a="1"/>
  <c r="C232" i="27" a="1"/>
  <c r="G18" i="40" a="1"/>
  <c r="C117" i="27" a="1"/>
  <c r="E47" i="40" a="1"/>
  <c r="E379" i="27" a="1"/>
  <c r="G18" i="12" a="1"/>
  <c r="E126" i="12" a="1"/>
  <c r="G148" i="12" a="1"/>
  <c r="E94" i="12" a="1"/>
  <c r="E25" i="12" a="1"/>
  <c r="C68" i="27" a="1"/>
  <c r="E362" i="27" a="1"/>
  <c r="E292" i="27" a="1"/>
  <c r="C4" i="27" a="1"/>
  <c r="C181" i="27" a="1"/>
  <c r="E329" i="27" a="1"/>
  <c r="E359" i="27" a="1"/>
  <c r="C219" i="27" a="1"/>
  <c r="C19" i="4" a="1"/>
  <c r="C361" i="27" a="1"/>
  <c r="C287" i="27" a="1"/>
  <c r="E344" i="27" a="1"/>
  <c r="C208" i="27" a="1"/>
  <c r="E247" i="27" a="1"/>
  <c r="C286" i="27" a="1"/>
  <c r="C185" i="27" a="1"/>
  <c r="C359" i="27" a="1"/>
  <c r="C314" i="27" a="1"/>
  <c r="G20" i="40" a="1"/>
  <c r="E36" i="27" a="1"/>
  <c r="E357" i="27" a="1"/>
  <c r="E35" i="4" a="1"/>
  <c r="C136" i="27" a="1"/>
  <c r="E267" i="27" a="1"/>
  <c r="C14" i="4" a="1"/>
  <c r="G21" i="40" a="1"/>
  <c r="C317" i="27" a="1"/>
  <c r="C133" i="27" a="1"/>
  <c r="C294" i="27" a="1"/>
  <c r="E269" i="27" a="1"/>
  <c r="E30" i="27" a="1"/>
  <c r="G52" i="40" a="1"/>
  <c r="G31" i="40" a="1"/>
  <c r="G53" i="40" a="1"/>
  <c r="C198" i="27" a="1"/>
  <c r="C143" i="27" a="1"/>
  <c r="C32" i="27" a="1"/>
  <c r="E229" i="27" a="1"/>
  <c r="E216" i="27" a="1"/>
  <c r="E40" i="27" a="1"/>
  <c r="C268" i="27" a="1"/>
  <c r="C324" i="27" a="1"/>
  <c r="E253" i="27" a="1"/>
  <c r="E228" i="27" a="1"/>
  <c r="C10" i="31" a="1"/>
  <c r="C15" i="27" a="1"/>
  <c r="C18" i="4" a="1"/>
  <c r="E270" i="27" a="1"/>
  <c r="C213" i="27" a="1"/>
  <c r="G26" i="40" a="1"/>
  <c r="E60" i="12" a="1"/>
  <c r="E132" i="12" a="1"/>
  <c r="G121" i="12" a="1"/>
  <c r="E2" i="12" a="1"/>
  <c r="E298" i="27" a="1"/>
  <c r="C197" i="27" a="1"/>
  <c r="E235" i="27" a="1"/>
  <c r="C9" i="27" a="1"/>
  <c r="C149" i="27" a="1"/>
  <c r="C252" i="27" a="1"/>
  <c r="E180" i="27" a="1"/>
  <c r="E26" i="40" a="1"/>
  <c r="E112" i="27" a="1"/>
  <c r="E305" i="27" a="1"/>
  <c r="C239" i="27" a="1"/>
  <c r="C169" i="27" a="1"/>
  <c r="E88" i="27" a="1"/>
  <c r="C20" i="3" a="1"/>
  <c r="C211" i="27" a="1"/>
  <c r="E139" i="27" a="1"/>
  <c r="E271" i="27" a="1"/>
  <c r="E57" i="27" a="1"/>
  <c r="C363" i="27" a="1"/>
  <c r="C2" i="31" a="1"/>
  <c r="E41" i="4" a="1"/>
  <c r="E38" i="4" a="1"/>
  <c r="E131" i="27" a="1"/>
  <c r="E19" i="31" a="1"/>
  <c r="E264" i="27" a="1"/>
  <c r="C163" i="27" a="1"/>
  <c r="C300" i="27" a="1"/>
  <c r="C36" i="4" a="1"/>
  <c r="E168" i="27" a="1"/>
  <c r="C12" i="31" a="1"/>
  <c r="E97" i="27" a="1"/>
  <c r="E254" i="27" a="1"/>
  <c r="E300" i="27" a="1"/>
  <c r="C37" i="4" a="1"/>
  <c r="C180" i="27" a="1"/>
  <c r="C107" i="27" a="1"/>
  <c r="G6" i="40" a="1"/>
  <c r="E39" i="12" a="1"/>
  <c r="E56" i="12" a="1"/>
  <c r="E10" i="12" a="1"/>
  <c r="E31" i="12" a="1"/>
  <c r="D9" i="37" a="1"/>
  <c r="C173" i="27" a="1"/>
  <c r="C161" i="27" a="1"/>
  <c r="E13" i="27" a="1"/>
  <c r="E230" i="27" a="1"/>
  <c r="E175" i="27" a="1"/>
  <c r="C205" i="27" a="1"/>
  <c r="C71" i="27" a="1"/>
  <c r="C343" i="27" a="1"/>
  <c r="E75" i="27" a="1"/>
  <c r="C322" i="27" a="1"/>
  <c r="E59" i="27" a="1"/>
  <c r="C349" i="27" a="1"/>
  <c r="E54" i="40" a="1"/>
  <c r="C7" i="4" a="1"/>
  <c r="C192" i="27" a="1"/>
  <c r="E103" i="27" a="1"/>
  <c r="C131" i="27" a="1"/>
  <c r="E302" i="27" a="1"/>
  <c r="C16" i="4" a="1"/>
  <c r="C282" i="27" a="1"/>
  <c r="E201" i="27" a="1"/>
  <c r="E145" i="27" a="1"/>
  <c r="E207" i="27" a="1"/>
  <c r="C372" i="27" a="1"/>
  <c r="C281" i="27" a="1"/>
  <c r="E36" i="4" a="1"/>
  <c r="E327" i="27" a="1"/>
  <c r="E368" i="27" a="1"/>
  <c r="C250" i="27" a="1"/>
  <c r="E33" i="40" a="1"/>
  <c r="C200" i="27" a="1"/>
  <c r="C354" i="27" a="1"/>
  <c r="C30" i="4" a="1"/>
  <c r="E245" i="27" a="1"/>
  <c r="C46" i="4" a="1"/>
  <c r="G30" i="40" a="1"/>
  <c r="C357" i="27" a="1"/>
  <c r="E8" i="4" a="1"/>
  <c r="E12" i="27" a="1"/>
  <c r="C75" i="27" a="1"/>
  <c r="C128" i="27" a="1"/>
  <c r="E250" i="27" a="1"/>
  <c r="G19" i="40" a="1"/>
  <c r="C375" i="27" a="1"/>
  <c r="E38" i="27" a="1"/>
  <c r="E19" i="27" a="1"/>
  <c r="C212" i="27" a="1"/>
  <c r="C240" i="27" a="1"/>
  <c r="C109" i="27" a="1"/>
  <c r="C90" i="27" a="1"/>
  <c r="C17" i="27" a="1"/>
  <c r="E40" i="12" a="1"/>
  <c r="G58" i="12" a="1"/>
  <c r="E108" i="12" a="1"/>
  <c r="E53" i="12" a="1"/>
  <c r="E303" i="27" a="1"/>
  <c r="C43" i="4" a="1"/>
  <c r="E149" i="27" a="1"/>
  <c r="C201" i="27" a="1"/>
  <c r="E6" i="40" a="1"/>
  <c r="E77" i="27" a="1"/>
  <c r="G40" i="40" a="1"/>
  <c r="C6" i="3" a="1"/>
  <c r="C245" i="27" a="1"/>
  <c r="C290" i="27" a="1"/>
  <c r="C221" i="27" a="1"/>
  <c r="C285" i="27" a="1"/>
  <c r="E197" i="27" a="1"/>
  <c r="C3" i="27" a="1"/>
  <c r="E194" i="27" a="1"/>
  <c r="C26" i="4" a="1"/>
  <c r="E53" i="27" a="1"/>
  <c r="C17" i="31" a="1"/>
  <c r="E222" i="27" a="1"/>
  <c r="E133" i="27" a="1"/>
  <c r="C2" i="3" a="1"/>
  <c r="E370" i="27" a="1"/>
  <c r="C13" i="4" a="1"/>
  <c r="C303" i="27" a="1"/>
  <c r="E349" i="27" a="1"/>
  <c r="C191" i="27" a="1"/>
  <c r="E112" i="12" a="1"/>
  <c r="G2" i="12" a="1"/>
  <c r="G25" i="12" a="1"/>
  <c r="E70" i="12" a="1"/>
  <c r="C34" i="4" a="1"/>
  <c r="E21" i="40" a="1"/>
  <c r="C274" i="27" a="1"/>
  <c r="E26" i="27" a="1"/>
  <c r="E45" i="27" a="1"/>
  <c r="C255" i="27" a="1"/>
  <c r="C3" i="3" a="1"/>
  <c r="E153" i="27" a="1"/>
  <c r="E44" i="4" a="1"/>
  <c r="E51" i="40" a="1"/>
  <c r="E193" i="27" a="1"/>
  <c r="E62" i="27" a="1"/>
  <c r="E257" i="27" a="1"/>
  <c r="G25" i="40" a="1"/>
  <c r="C9" i="31" a="1"/>
  <c r="C10" i="27" a="1"/>
  <c r="E252" i="27" a="1"/>
  <c r="C21" i="4" a="1"/>
  <c r="C54" i="27" a="1"/>
  <c r="G48" i="40" a="1"/>
  <c r="D2" i="37" a="1"/>
  <c r="G5" i="40" a="1"/>
  <c r="E4" i="4" a="1"/>
  <c r="E10" i="4" a="1"/>
  <c r="D5" i="37" a="1"/>
  <c r="G13" i="40" a="1"/>
  <c r="E11" i="4" a="1"/>
  <c r="C364" i="27" a="1"/>
  <c r="E33" i="4" a="1"/>
  <c r="E18" i="27" a="1"/>
  <c r="G27" i="40" a="1"/>
  <c r="D4" i="37" a="1"/>
  <c r="C209" i="27" a="1"/>
  <c r="E196" i="27" a="1"/>
  <c r="C167" i="27" a="1"/>
  <c r="C244" i="27" a="1"/>
  <c r="C2" i="4" a="1"/>
  <c r="E24" i="40" a="1"/>
  <c r="F2" i="22" a="1"/>
  <c r="E32" i="40" a="1"/>
  <c r="G41" i="40" a="1"/>
  <c r="C351" i="27" a="1"/>
  <c r="E299" i="27" a="1"/>
  <c r="C52" i="27" a="1"/>
  <c r="C177" i="27" a="1"/>
  <c r="E17" i="27" a="1"/>
  <c r="G46" i="40" a="1"/>
  <c r="E17" i="31" a="1"/>
  <c r="E52" i="40" a="1"/>
  <c r="E195" i="27" a="1"/>
  <c r="C82" i="27" a="1"/>
  <c r="E99" i="12" a="1"/>
  <c r="G130" i="12" a="1"/>
  <c r="E64" i="12" a="1"/>
  <c r="E24" i="27" a="1"/>
  <c r="C333" i="27" a="1"/>
  <c r="C95" i="27" a="1"/>
  <c r="C309" i="27" a="1"/>
  <c r="E127" i="27" a="1"/>
  <c r="E272" i="27" a="1"/>
  <c r="E358" i="27" a="1"/>
  <c r="E8" i="27" a="1"/>
  <c r="E223" i="27" a="1"/>
  <c r="C11" i="4" a="1"/>
  <c r="C235" i="27" a="1"/>
  <c r="E204" i="27" a="1"/>
  <c r="C15" i="3" a="1"/>
  <c r="C11" i="27" a="1"/>
  <c r="E39" i="27" a="1"/>
  <c r="E69" i="27" a="1"/>
  <c r="E10" i="40" a="1"/>
  <c r="E293" i="27" a="1"/>
  <c r="G12" i="40" a="1"/>
  <c r="C18" i="3" a="1"/>
  <c r="C132" i="27" a="1"/>
  <c r="C39" i="27" a="1"/>
  <c r="C103" i="27" a="1"/>
  <c r="E33" i="27" a="1"/>
  <c r="C304" i="27" a="1"/>
  <c r="C124" i="27" a="1"/>
  <c r="G95" i="12" a="1"/>
  <c r="G88" i="12" a="1"/>
  <c r="E93" i="12" a="1"/>
  <c r="C345" i="27" a="1"/>
  <c r="E373" i="27" a="1"/>
  <c r="E20" i="40" a="1"/>
  <c r="G14" i="40" a="1"/>
  <c r="E11" i="27" a="1"/>
  <c r="E179" i="27" a="1"/>
  <c r="E333" i="27" a="1"/>
  <c r="E16" i="31" a="1"/>
  <c r="C27" i="4" a="1"/>
  <c r="E256" i="27" a="1"/>
  <c r="E74" i="27" a="1"/>
  <c r="E84" i="27" a="1"/>
  <c r="C210" i="27" a="1"/>
  <c r="E15" i="40" a="1"/>
  <c r="C234" i="27" a="1"/>
  <c r="E46" i="4" a="1"/>
  <c r="E321" i="27" a="1"/>
  <c r="E198" i="27" a="1"/>
  <c r="C154" i="27" a="1"/>
  <c r="E266" i="27" a="1"/>
  <c r="E259" i="27" a="1"/>
  <c r="C111" i="27" a="1"/>
  <c r="E50" i="40" a="1"/>
  <c r="C179" i="27" a="1"/>
  <c r="C64" i="27" a="1"/>
  <c r="E130" i="12" a="1"/>
  <c r="E77" i="12" a="1"/>
  <c r="G187" i="12" a="1"/>
  <c r="G22" i="40" a="1"/>
  <c r="E378" i="27" a="1"/>
  <c r="G33" i="40" a="1"/>
  <c r="E150" i="27" a="1"/>
  <c r="C50" i="27" a="1"/>
  <c r="E181" i="27" a="1"/>
  <c r="E68" i="27" a="1"/>
  <c r="E39" i="40" a="1"/>
  <c r="C218" i="27" a="1"/>
  <c r="E219" i="27" a="1"/>
  <c r="C289" i="27" a="1"/>
  <c r="E211" i="27" a="1"/>
  <c r="E331" i="27" a="1"/>
  <c r="C225" i="27" a="1"/>
  <c r="C248" i="27" a="1"/>
  <c r="E48" i="4" a="1"/>
  <c r="E10" i="31" a="1"/>
  <c r="C3" i="4" a="1"/>
  <c r="E96" i="12" a="1"/>
  <c r="C153" i="27" a="1"/>
  <c r="G17" i="40" a="1"/>
  <c r="D10" i="37" a="1"/>
  <c r="C17" i="4" a="1"/>
  <c r="C260" i="27" a="1"/>
  <c r="C204" i="27" a="1"/>
  <c r="C243" i="27" a="1"/>
  <c r="C13" i="3" a="1"/>
  <c r="E131" i="12" a="1"/>
  <c r="C224" i="27" a="1"/>
  <c r="E110" i="27" a="1"/>
  <c r="E347" i="27" a="1"/>
  <c r="C336" i="27" a="1"/>
  <c r="C15" i="31" a="1"/>
  <c r="C344" i="27" a="1"/>
  <c r="E273" i="27" a="1"/>
  <c r="E289" i="27" a="1"/>
  <c r="E14" i="4" a="1"/>
  <c r="E65" i="12" a="1"/>
  <c r="C380" i="27" a="1"/>
  <c r="E364" i="27" a="1"/>
  <c r="D18" i="37" a="1"/>
  <c r="E31" i="27" a="1"/>
  <c r="E64" i="27" a="1"/>
  <c r="E9" i="40" a="1"/>
  <c r="D13" i="37" a="1"/>
  <c r="E9" i="27" a="1"/>
  <c r="C379" i="27" a="1"/>
  <c r="C263" i="27" a="1"/>
  <c r="E171" i="27" a="1"/>
  <c r="E212" i="27" a="1"/>
  <c r="C119" i="27" a="1"/>
  <c r="E286" i="27" a="1"/>
  <c r="E279" i="27" a="1"/>
  <c r="E82" i="27" a="1"/>
  <c r="E143" i="27" a="1"/>
  <c r="C187" i="27" a="1"/>
  <c r="E128" i="27" a="1"/>
  <c r="C174" i="27" a="1"/>
  <c r="G54" i="40" a="1"/>
  <c r="E5" i="27" a="1"/>
  <c r="E35" i="40" a="1"/>
  <c r="E80" i="27" a="1"/>
  <c r="C125" i="27" a="1"/>
  <c r="C16" i="27" a="1"/>
  <c r="D12" i="37" a="1"/>
  <c r="E43" i="40" a="1"/>
  <c r="E263" i="27" a="1"/>
  <c r="E84" i="12" a="1"/>
  <c r="E37" i="12" a="1"/>
  <c r="E85" i="12" a="1"/>
  <c r="E66" i="27" a="1"/>
  <c r="C2" i="27" a="1"/>
  <c r="C2" i="9" a="1"/>
  <c r="E27" i="40" a="1"/>
  <c r="E174" i="27" a="1"/>
  <c r="C152" i="27" a="1"/>
  <c r="C228" i="27" a="1"/>
  <c r="E91" i="27" a="1"/>
  <c r="E338" i="27" a="1"/>
  <c r="E58" i="12" a="1"/>
  <c r="E124" i="12" a="1"/>
  <c r="C256" i="27" a="1"/>
  <c r="C13" i="31" a="1"/>
  <c r="E125" i="27" a="1"/>
  <c r="E32" i="4" a="1"/>
  <c r="E332" i="27" a="1"/>
  <c r="C55" i="27" a="1"/>
  <c r="C258" i="27" a="1"/>
  <c r="C60" i="27" a="1"/>
  <c r="C316" i="27" a="1"/>
  <c r="E12" i="31" a="1"/>
  <c r="E365" i="27" a="1"/>
  <c r="C172" i="27" a="1"/>
  <c r="C29" i="27" a="1"/>
  <c r="C115" i="27" a="1"/>
  <c r="C140" i="27" a="1"/>
  <c r="C91" i="27" a="1"/>
  <c r="E345" i="27" a="1"/>
  <c r="C70" i="27" a="1"/>
  <c r="E51" i="12" a="1"/>
  <c r="E91" i="12" a="1"/>
  <c r="E337" i="27" a="1"/>
  <c r="E294" i="27" a="1"/>
  <c r="E343" i="27" a="1"/>
  <c r="E12" i="4" a="1"/>
  <c r="E158" i="27" a="1"/>
  <c r="E314" i="27" a="1"/>
  <c r="C273" i="27" a="1"/>
  <c r="E65" i="27" a="1"/>
  <c r="C80" i="27" a="1"/>
  <c r="E307" i="27" a="1"/>
  <c r="E18" i="31" a="1"/>
  <c r="C83" i="27" a="1"/>
  <c r="E371" i="27" a="1"/>
  <c r="C113" i="27" a="1"/>
  <c r="C65" i="27" a="1"/>
  <c r="C296" i="27" a="1"/>
  <c r="G2" i="38" a="1"/>
  <c r="E23" i="12" a="1"/>
  <c r="E111" i="12" a="1"/>
  <c r="C275" i="27" a="1"/>
  <c r="C160" i="27" a="1"/>
  <c r="C348" i="27" a="1"/>
  <c r="D20" i="37" a="1"/>
  <c r="D17" i="37" a="1"/>
  <c r="C220" i="27" a="1"/>
  <c r="C112" i="27" a="1"/>
  <c r="E37" i="4" a="1"/>
  <c r="C101" i="27" a="1"/>
  <c r="C284" i="27" a="1"/>
  <c r="E221" i="27" a="1"/>
  <c r="C278" i="27" a="1"/>
  <c r="E308" i="27" a="1"/>
  <c r="C18" i="31" a="1"/>
  <c r="E48" i="27" a="1"/>
  <c r="E183" i="27" a="1"/>
  <c r="C315" i="27" a="1"/>
  <c r="E38" i="12" a="1"/>
  <c r="E117" i="12" a="1"/>
  <c r="E372" i="27" a="1"/>
  <c r="E260" i="27" a="1"/>
  <c r="E301" i="27" a="1"/>
  <c r="E185" i="27" a="1"/>
  <c r="C110" i="27" a="1"/>
  <c r="C319" i="27" a="1"/>
  <c r="E42" i="4" a="1"/>
  <c r="C28" i="27" a="1"/>
  <c r="E203" i="27" a="1"/>
  <c r="C16" i="3" a="1"/>
  <c r="C29" i="4" a="1"/>
  <c r="E3" i="27" a="1"/>
  <c r="C295" i="27" a="1"/>
  <c r="G13" i="12" a="1"/>
  <c r="E78" i="12" a="1"/>
  <c r="C377" i="27" a="1"/>
  <c r="C195" i="27" a="1"/>
  <c r="C358" i="27" a="1"/>
  <c r="C44" i="4" a="1"/>
  <c r="E205" i="27" a="1"/>
  <c r="E93" i="27" a="1"/>
  <c r="E6" i="27" a="1"/>
  <c r="C175" i="27" a="1"/>
  <c r="C69" i="27" a="1"/>
  <c r="C25" i="27" a="1"/>
  <c r="C331" i="27" a="1"/>
  <c r="E63" i="27" a="1"/>
  <c r="C178" i="27" a="1"/>
  <c r="E20" i="12" a="1"/>
  <c r="G64" i="12" a="1"/>
  <c r="E14" i="31" a="1"/>
  <c r="C253" i="27" a="1"/>
  <c r="C5" i="3" a="1"/>
  <c r="C311" i="27" a="1"/>
  <c r="C183" i="27" a="1"/>
  <c r="C4" i="31" a="1"/>
  <c r="E220" i="27" a="1"/>
  <c r="E154" i="27" a="1"/>
  <c r="E134" i="27" a="1"/>
  <c r="C233" i="27" a="1"/>
  <c r="E109" i="27" a="1"/>
  <c r="E151" i="27" a="1"/>
  <c r="C6" i="27" a="1"/>
  <c r="E88" i="12" a="1"/>
  <c r="E79" i="12" a="1"/>
  <c r="E255" i="27" a="1"/>
  <c r="C21" i="27" a="1"/>
  <c r="E310" i="27" a="1"/>
  <c r="E351" i="27" a="1"/>
  <c r="E23" i="27" a="1"/>
  <c r="C330" i="27" a="1"/>
  <c r="C266" i="27" a="1"/>
  <c r="C41" i="4" a="1"/>
  <c r="C171" i="27" a="1"/>
  <c r="C145" i="27" a="1"/>
  <c r="E375" i="27" a="1"/>
  <c r="E177" i="27" a="1"/>
  <c r="E9" i="4" a="1"/>
  <c r="E55" i="12" a="1"/>
  <c r="E122" i="12" a="1"/>
  <c r="G8" i="40" a="1"/>
  <c r="E152" i="27" a="1"/>
  <c r="E22" i="12" a="1"/>
  <c r="E13" i="31" a="1"/>
  <c r="E295" i="27" a="1"/>
  <c r="C2" i="5" a="1"/>
  <c r="E36" i="12" a="1"/>
  <c r="C4" i="3" a="1"/>
  <c r="E49" i="40" a="1"/>
  <c r="E86" i="27" a="1"/>
  <c r="C332" i="27" a="1"/>
  <c r="C84" i="27" a="1"/>
  <c r="C350" i="27" a="1"/>
  <c r="E114" i="27" a="1"/>
  <c r="E123" i="12" a="1"/>
  <c r="C199" i="27" a="1"/>
  <c r="E2" i="27" a="1"/>
  <c r="C47" i="27" a="1"/>
  <c r="C147" i="27" a="1"/>
  <c r="E89" i="12" a="1"/>
  <c r="C88" i="27" a="1"/>
  <c r="E108" i="27" a="1"/>
  <c r="G44" i="40" a="1"/>
  <c r="C168" i="27" a="1"/>
  <c r="E46" i="27" a="1"/>
  <c r="C368" i="27" a="1"/>
  <c r="G2" i="40" a="1"/>
  <c r="C48" i="4" a="1"/>
  <c r="E297" i="27" a="1"/>
  <c r="E26" i="12" a="1"/>
  <c r="C297" i="27" a="1"/>
  <c r="C36" i="27" a="1"/>
  <c r="E72" i="27" a="1"/>
  <c r="C38" i="4" a="1"/>
  <c r="E41" i="40" a="1"/>
  <c r="G20" i="12" a="1"/>
  <c r="E67" i="27" a="1"/>
  <c r="E188" i="27" a="1"/>
  <c r="E163" i="27" a="1"/>
  <c r="G46" i="12" a="1"/>
  <c r="E76" i="27" a="1"/>
  <c r="C226" i="27" a="1"/>
  <c r="C193" i="27" a="1"/>
  <c r="E283" i="27" a="1"/>
  <c r="C257" i="27" a="1"/>
  <c r="E217" i="27" a="1"/>
  <c r="C44" i="27" a="1"/>
  <c r="G11" i="40" a="1"/>
  <c r="E176" i="27" a="1"/>
  <c r="C96" i="27" a="1"/>
  <c r="E239" i="27" a="1"/>
  <c r="E355" i="27" a="1"/>
  <c r="G42" i="40" a="1"/>
  <c r="E4" i="12" a="1"/>
  <c r="E52" i="12" a="1"/>
  <c r="E35" i="27" a="1"/>
  <c r="E14" i="40" a="1"/>
  <c r="E100" i="27" a="1"/>
  <c r="E7" i="31" a="1"/>
  <c r="E224" i="27" a="1"/>
  <c r="E22" i="40" a="1"/>
  <c r="E313" i="27" a="1"/>
  <c r="G55" i="40" a="1"/>
  <c r="E148" i="27" a="1"/>
  <c r="E227" i="27" a="1"/>
  <c r="C216" i="27" a="1"/>
  <c r="E350" i="27" a="1"/>
  <c r="E32" i="12" a="1"/>
  <c r="E98" i="12" a="1"/>
  <c r="E100" i="12" a="1"/>
  <c r="C43" i="27" a="1"/>
  <c r="C340" i="27" a="1"/>
  <c r="E309" i="27" a="1"/>
  <c r="E274" i="27" a="1"/>
  <c r="C341" i="27" a="1"/>
  <c r="C56" i="27" a="1"/>
  <c r="C156" i="27" a="1"/>
  <c r="E95" i="12" a="1"/>
  <c r="E118" i="12" a="1"/>
  <c r="C98" i="27" a="1"/>
  <c r="G36" i="40" a="1"/>
  <c r="C40" i="27" a="1"/>
  <c r="C326" i="27" a="1"/>
  <c r="C144" i="27" a="1"/>
  <c r="C24" i="4" a="1"/>
  <c r="E155" i="27" a="1"/>
  <c r="G35" i="12" a="1"/>
  <c r="E354" i="27" a="1"/>
  <c r="C34" i="27" a="1"/>
  <c r="C182" i="27" a="1"/>
  <c r="E11" i="40" a="1"/>
  <c r="C196" i="27" a="1"/>
  <c r="E107" i="12" a="1"/>
  <c r="E43" i="27" a="1"/>
  <c r="E5" i="4" a="1"/>
  <c r="G7" i="40" a="1"/>
  <c r="E281" i="27" a="1"/>
  <c r="E21" i="4" a="1"/>
  <c r="E27" i="12" a="1"/>
  <c r="E56" i="27" a="1"/>
  <c r="E142" i="27" a="1"/>
  <c r="E290" i="27" a="1"/>
  <c r="E79" i="27" a="1"/>
  <c r="C184" i="27" a="1"/>
  <c r="E121" i="12" a="1"/>
  <c r="E4" i="27" a="1"/>
  <c r="C53" i="27" a="1"/>
  <c r="C122" i="27" a="1"/>
  <c r="E78" i="27" a="1"/>
  <c r="E342" i="27" a="1"/>
  <c r="E125" i="12" a="1"/>
  <c r="G70" i="12" a="1"/>
  <c r="E60" i="27" a="1"/>
  <c r="E116" i="27" a="1"/>
  <c r="E352" i="27" a="1"/>
  <c r="E72" i="12" a="1"/>
  <c r="C202" i="27" a="1"/>
  <c r="G10" i="40" a="1"/>
  <c r="E209" i="27" a="1"/>
  <c r="E356" i="27" a="1"/>
  <c r="C347" i="27" a="1"/>
  <c r="E2" i="31" a="1"/>
  <c r="C325" i="27" a="1"/>
  <c r="E83" i="12" a="1"/>
  <c r="E70" i="27" a="1"/>
  <c r="C92" i="27" a="1"/>
  <c r="C188" i="27" a="1"/>
  <c r="G81" i="12" a="1"/>
  <c r="E111" i="27" a="1"/>
  <c r="C7" i="27" a="1"/>
  <c r="E166" i="27" a="1"/>
  <c r="E353" i="27" a="1"/>
  <c r="C12" i="4" a="1"/>
  <c r="E96" i="27" a="1"/>
  <c r="E275" i="27" a="1"/>
  <c r="E146" i="27" a="1"/>
  <c r="E231" i="27" a="1"/>
  <c r="C105" i="27" a="1"/>
  <c r="E46" i="40" a="1"/>
  <c r="E109" i="12" a="1"/>
  <c r="E157" i="27" a="1"/>
  <c r="E22" i="27" a="1"/>
  <c r="G29" i="40" a="1"/>
  <c r="D14" i="37" a="1"/>
  <c r="C5" i="31" a="1"/>
  <c r="E206" i="27" a="1"/>
  <c r="E215" i="27" a="1"/>
  <c r="C19" i="31" a="1"/>
  <c r="E102" i="27" a="1"/>
  <c r="G45" i="40" a="1"/>
  <c r="C87" i="27" a="1"/>
  <c r="E159" i="27" a="1"/>
  <c r="E7" i="12" a="1"/>
  <c r="E24" i="12" a="1"/>
  <c r="E92" i="12" a="1"/>
  <c r="C30" i="27" a="1"/>
  <c r="E214" i="27" a="1"/>
  <c r="C14" i="27" a="1"/>
  <c r="E37" i="27" a="1"/>
  <c r="E95" i="27" a="1"/>
  <c r="G43" i="12" a="1"/>
  <c r="E251" i="27" a="1"/>
  <c r="C8" i="3" a="1"/>
  <c r="E164" i="27" a="1"/>
  <c r="E315" i="27" a="1"/>
  <c r="C356" i="27" a="1"/>
  <c r="E29" i="12" a="1"/>
  <c r="E62" i="12" a="1"/>
  <c r="E156" i="27" a="1"/>
  <c r="C269" i="27" a="1"/>
  <c r="E3" i="40" a="1"/>
  <c r="C47" i="4" a="1"/>
  <c r="E218" i="27" a="1"/>
  <c r="E92" i="27" a="1"/>
  <c r="C142" i="27" a="1"/>
  <c r="E6" i="12" a="1"/>
  <c r="C123" i="27" a="1"/>
  <c r="C85" i="27" a="1"/>
  <c r="C170" i="27" a="1"/>
  <c r="E16" i="4" a="1"/>
  <c r="C12" i="3" a="1"/>
  <c r="G23" i="40" a="1"/>
  <c r="E50" i="27" a="1"/>
  <c r="C11" i="3" a="1"/>
  <c r="C5" i="27" a="1"/>
  <c r="G35" i="40" a="1"/>
  <c r="C230" i="27" a="1"/>
  <c r="C116" i="27" a="1"/>
  <c r="C28" i="4" a="1"/>
  <c r="C328" i="27" a="1"/>
  <c r="C190" i="27" a="1"/>
  <c r="C223" i="27" a="1"/>
  <c r="C307" i="27" a="1"/>
  <c r="C139" i="27" a="1"/>
  <c r="C24" i="27" a="1"/>
  <c r="E191" i="27" a="1"/>
  <c r="D6" i="37" a="1"/>
  <c r="C42" i="4" a="1"/>
  <c r="E268" i="27" a="1"/>
  <c r="C292" i="27" a="1"/>
  <c r="G75" i="12" a="1"/>
  <c r="E81" i="27" a="1"/>
  <c r="E162" i="27" a="1"/>
  <c r="C93" i="27" a="1"/>
  <c r="E59" i="12" a="1"/>
  <c r="D15" i="37" a="1"/>
  <c r="E135" i="27" a="1"/>
  <c r="E113" i="27" a="1"/>
  <c r="E15" i="27" a="1"/>
  <c r="C159" i="27" a="1"/>
  <c r="D3" i="37" a="1"/>
  <c r="E304" i="27" a="1"/>
  <c r="E90" i="12" a="1"/>
  <c r="E199" i="27" a="1"/>
  <c r="C272" i="27" a="1"/>
  <c r="C272" i="27" l="1"/>
  <c r="E199" i="27"/>
  <c r="E90" i="12"/>
  <c r="E304" i="27"/>
  <c r="D3" i="37"/>
  <c r="C159" i="27"/>
  <c r="E15" i="27"/>
  <c r="E113" i="27"/>
  <c r="E135" i="27"/>
  <c r="D15" i="37"/>
  <c r="E59" i="12"/>
  <c r="C93" i="27"/>
  <c r="E162" i="27"/>
  <c r="E81" i="27"/>
  <c r="G75" i="12"/>
  <c r="C292" i="27"/>
  <c r="E268" i="27"/>
  <c r="C42" i="4"/>
  <c r="D6" i="37"/>
  <c r="E191" i="27"/>
  <c r="C24" i="27"/>
  <c r="C139" i="27"/>
  <c r="C307" i="27"/>
  <c r="C223" i="27"/>
  <c r="C190" i="27"/>
  <c r="C328" i="27"/>
  <c r="C28" i="4"/>
  <c r="C116" i="27"/>
  <c r="C230" i="27"/>
  <c r="G35" i="40"/>
  <c r="C5" i="27"/>
  <c r="C11" i="3"/>
  <c r="E50" i="27"/>
  <c r="G23" i="40"/>
  <c r="C12" i="3"/>
  <c r="E16" i="4"/>
  <c r="C170" i="27"/>
  <c r="C85" i="27"/>
  <c r="C123" i="27"/>
  <c r="E6" i="12"/>
  <c r="C142" i="27"/>
  <c r="E92" i="27"/>
  <c r="E218" i="27"/>
  <c r="C47" i="4"/>
  <c r="E3" i="40"/>
  <c r="C269" i="27"/>
  <c r="E156" i="27"/>
  <c r="E62" i="12"/>
  <c r="E29" i="12"/>
  <c r="C356" i="27"/>
  <c r="E315" i="27"/>
  <c r="E164" i="27"/>
  <c r="C8" i="3"/>
  <c r="E251" i="27"/>
  <c r="G43" i="12"/>
  <c r="E95" i="27"/>
  <c r="E37" i="27"/>
  <c r="C14" i="27"/>
  <c r="E214" i="27"/>
  <c r="C30" i="27"/>
  <c r="E92" i="12"/>
  <c r="E24" i="12"/>
  <c r="E7" i="12"/>
  <c r="E159" i="27"/>
  <c r="C87" i="27"/>
  <c r="G45" i="40"/>
  <c r="E102" i="27"/>
  <c r="C19" i="31"/>
  <c r="E215" i="27"/>
  <c r="E206" i="27"/>
  <c r="C5" i="31"/>
  <c r="D14" i="37"/>
  <c r="G29" i="40"/>
  <c r="E22" i="27"/>
  <c r="E157" i="27"/>
  <c r="E109" i="12"/>
  <c r="E46" i="40"/>
  <c r="C105" i="27"/>
  <c r="E231" i="27"/>
  <c r="E146" i="27"/>
  <c r="E275" i="27"/>
  <c r="E96" i="27"/>
  <c r="C12" i="4"/>
  <c r="E353" i="27"/>
  <c r="E166" i="27"/>
  <c r="C7" i="27"/>
  <c r="E111" i="27"/>
  <c r="G81" i="12"/>
  <c r="C188" i="27"/>
  <c r="C92" i="27"/>
  <c r="E70" i="27"/>
  <c r="E83" i="12"/>
  <c r="C325" i="27"/>
  <c r="E2" i="31"/>
  <c r="C347" i="27"/>
  <c r="E356" i="27"/>
  <c r="E209" i="27"/>
  <c r="G10" i="40"/>
  <c r="C202" i="27"/>
  <c r="E72" i="12"/>
  <c r="E352" i="27"/>
  <c r="E116" i="27"/>
  <c r="E60" i="27"/>
  <c r="G70" i="12"/>
  <c r="E125" i="12"/>
  <c r="E342" i="27"/>
  <c r="E78" i="27"/>
  <c r="C122" i="27"/>
  <c r="C53" i="27"/>
  <c r="E4" i="27"/>
  <c r="E121" i="12"/>
  <c r="C184" i="27"/>
  <c r="E79" i="27"/>
  <c r="E290" i="27"/>
  <c r="E142" i="27"/>
  <c r="E56" i="27"/>
  <c r="E27" i="12"/>
  <c r="E21" i="4"/>
  <c r="E281" i="27"/>
  <c r="G7" i="40"/>
  <c r="E5" i="4"/>
  <c r="E43" i="27"/>
  <c r="E107" i="12"/>
  <c r="C196" i="27"/>
  <c r="E11" i="40"/>
  <c r="C182" i="27"/>
  <c r="C34" i="27"/>
  <c r="E354" i="27"/>
  <c r="G35" i="12"/>
  <c r="E155" i="27"/>
  <c r="C24" i="4"/>
  <c r="C144" i="27"/>
  <c r="C326" i="27"/>
  <c r="C40" i="27"/>
  <c r="G36" i="40"/>
  <c r="C98" i="27"/>
  <c r="E118" i="12"/>
  <c r="E95" i="12"/>
  <c r="C156" i="27"/>
  <c r="C56" i="27"/>
  <c r="C341" i="27"/>
  <c r="E274" i="27"/>
  <c r="E309" i="27"/>
  <c r="C340" i="27"/>
  <c r="C43" i="27"/>
  <c r="E100" i="12"/>
  <c r="E98" i="12"/>
  <c r="E32" i="12"/>
  <c r="E350" i="27"/>
  <c r="C216" i="27"/>
  <c r="E227" i="27"/>
  <c r="E148" i="27"/>
  <c r="G55" i="40"/>
  <c r="E313" i="27"/>
  <c r="E22" i="40"/>
  <c r="E224" i="27"/>
  <c r="E7" i="31"/>
  <c r="E100" i="27"/>
  <c r="E14" i="40"/>
  <c r="E35" i="27"/>
  <c r="E52" i="12"/>
  <c r="E4" i="12"/>
  <c r="G42" i="40"/>
  <c r="E355" i="27"/>
  <c r="E239" i="27"/>
  <c r="C96" i="27"/>
  <c r="E176" i="27"/>
  <c r="G11" i="40"/>
  <c r="C44" i="27"/>
  <c r="E217" i="27"/>
  <c r="C257" i="27"/>
  <c r="E283" i="27"/>
  <c r="C193" i="27"/>
  <c r="C226" i="27"/>
  <c r="E76" i="27"/>
  <c r="G46" i="12"/>
  <c r="E163" i="27"/>
  <c r="E188" i="27"/>
  <c r="E67" i="27"/>
  <c r="G20" i="12"/>
  <c r="E41" i="40"/>
  <c r="C38" i="4"/>
  <c r="E72" i="27"/>
  <c r="C36" i="27"/>
  <c r="C297" i="27"/>
  <c r="E26" i="12"/>
  <c r="E297" i="27"/>
  <c r="C48" i="4"/>
  <c r="G2" i="40"/>
  <c r="C368" i="27"/>
  <c r="E46" i="27"/>
  <c r="C168" i="27"/>
  <c r="G44" i="40"/>
  <c r="E108" i="27"/>
  <c r="C88" i="27"/>
  <c r="E89" i="12"/>
  <c r="C147" i="27"/>
  <c r="C47" i="27"/>
  <c r="E2" i="27"/>
  <c r="C199" i="27"/>
  <c r="E123" i="12"/>
  <c r="E114" i="27"/>
  <c r="C350" i="27"/>
  <c r="C84" i="27"/>
  <c r="C332" i="27"/>
  <c r="E86" i="27"/>
  <c r="E49" i="40"/>
  <c r="C4" i="3"/>
  <c r="E36" i="12"/>
  <c r="C2" i="5"/>
  <c r="E295" i="27"/>
  <c r="E13" i="31"/>
  <c r="E22" i="12"/>
  <c r="E152" i="27"/>
  <c r="G8" i="40"/>
  <c r="E122" i="12"/>
  <c r="E55" i="12"/>
  <c r="E9" i="4"/>
  <c r="E177" i="27"/>
  <c r="E375" i="27"/>
  <c r="C145" i="27"/>
  <c r="C171" i="27"/>
  <c r="C41" i="4"/>
  <c r="C266" i="27"/>
  <c r="C330" i="27"/>
  <c r="E23" i="27"/>
  <c r="E351" i="27"/>
  <c r="E310" i="27"/>
  <c r="C21" i="27"/>
  <c r="E255" i="27"/>
  <c r="E79" i="12"/>
  <c r="E88" i="12"/>
  <c r="C6" i="27"/>
  <c r="E151" i="27"/>
  <c r="E109" i="27"/>
  <c r="C233" i="27"/>
  <c r="E134" i="27"/>
  <c r="E154" i="27"/>
  <c r="E220" i="27"/>
  <c r="C4" i="31"/>
  <c r="C183" i="27"/>
  <c r="C311" i="27"/>
  <c r="C5" i="3"/>
  <c r="C253" i="27"/>
  <c r="E14" i="31"/>
  <c r="G64" i="12"/>
  <c r="E20" i="12"/>
  <c r="C178" i="27"/>
  <c r="E63" i="27"/>
  <c r="C331" i="27"/>
  <c r="C25" i="27"/>
  <c r="C69" i="27"/>
  <c r="C175" i="27"/>
  <c r="E6" i="27"/>
  <c r="E93" i="27"/>
  <c r="E205" i="27"/>
  <c r="C44" i="4"/>
  <c r="C358" i="27"/>
  <c r="C195" i="27"/>
  <c r="C377" i="27"/>
  <c r="E78" i="12"/>
  <c r="G13" i="12"/>
  <c r="C295" i="27"/>
  <c r="E3" i="27"/>
  <c r="C29" i="4"/>
  <c r="C16" i="3"/>
  <c r="E203" i="27"/>
  <c r="C28" i="27"/>
  <c r="E42" i="4"/>
  <c r="C319" i="27"/>
  <c r="C110" i="27"/>
  <c r="E185" i="27"/>
  <c r="E301" i="27"/>
  <c r="E260" i="27"/>
  <c r="E372" i="27"/>
  <c r="E117" i="12"/>
  <c r="E38" i="12"/>
  <c r="C315" i="27"/>
  <c r="E183" i="27"/>
  <c r="E48" i="27"/>
  <c r="C18" i="31"/>
  <c r="E308" i="27"/>
  <c r="C278" i="27"/>
  <c r="E221" i="27"/>
  <c r="C284" i="27"/>
  <c r="C101" i="27"/>
  <c r="E37" i="4"/>
  <c r="C112" i="27"/>
  <c r="C220" i="27"/>
  <c r="D17" i="37"/>
  <c r="D20" i="37"/>
  <c r="C348" i="27"/>
  <c r="C160" i="27"/>
  <c r="C275" i="27"/>
  <c r="E111" i="12"/>
  <c r="E23" i="12"/>
  <c r="G2" i="38"/>
  <c r="C296" i="27"/>
  <c r="C65" i="27"/>
  <c r="C113" i="27"/>
  <c r="E371" i="27"/>
  <c r="C83" i="27"/>
  <c r="E18" i="31"/>
  <c r="E307" i="27"/>
  <c r="C80" i="27"/>
  <c r="E65" i="27"/>
  <c r="C273" i="27"/>
  <c r="E314" i="27"/>
  <c r="E158" i="27"/>
  <c r="E12" i="4"/>
  <c r="E343" i="27"/>
  <c r="E294" i="27"/>
  <c r="E337" i="27"/>
  <c r="E91" i="12"/>
  <c r="E51" i="12"/>
  <c r="C70" i="27"/>
  <c r="E345" i="27"/>
  <c r="C91" i="27"/>
  <c r="C140" i="27"/>
  <c r="C115" i="27"/>
  <c r="C29" i="27"/>
  <c r="C172" i="27"/>
  <c r="E365" i="27"/>
  <c r="E12" i="31"/>
  <c r="C316" i="27"/>
  <c r="C60" i="27"/>
  <c r="C258" i="27"/>
  <c r="C55" i="27"/>
  <c r="E332" i="27"/>
  <c r="E32" i="4"/>
  <c r="E125" i="27"/>
  <c r="C13" i="31"/>
  <c r="C256" i="27"/>
  <c r="E124" i="12"/>
  <c r="E58" i="12"/>
  <c r="E338" i="27"/>
  <c r="E91" i="27"/>
  <c r="C228" i="27"/>
  <c r="C152" i="27"/>
  <c r="E174" i="27"/>
  <c r="E27" i="40"/>
  <c r="C2" i="9"/>
  <c r="C2" i="27"/>
  <c r="E66" i="27"/>
  <c r="E85" i="12"/>
  <c r="E37" i="12"/>
  <c r="E84" i="12"/>
  <c r="E263" i="27"/>
  <c r="E43" i="40"/>
  <c r="D12" i="37"/>
  <c r="C16" i="27"/>
  <c r="C125" i="27"/>
  <c r="E80" i="27"/>
  <c r="E35" i="40"/>
  <c r="E5" i="27"/>
  <c r="G54" i="40"/>
  <c r="C174" i="27"/>
  <c r="E128" i="27"/>
  <c r="C187" i="27"/>
  <c r="E143" i="27"/>
  <c r="E82" i="27"/>
  <c r="E279" i="27"/>
  <c r="E286" i="27"/>
  <c r="C119" i="27"/>
  <c r="E212" i="27"/>
  <c r="E171" i="27"/>
  <c r="C263" i="27"/>
  <c r="C379" i="27"/>
  <c r="E9" i="27"/>
  <c r="D13" i="37"/>
  <c r="E9" i="40"/>
  <c r="E64" i="27"/>
  <c r="E31" i="27"/>
  <c r="D18" i="37"/>
  <c r="E364" i="27"/>
  <c r="C380" i="27"/>
  <c r="E65" i="12"/>
  <c r="E14" i="4"/>
  <c r="E289" i="27"/>
  <c r="E273" i="27"/>
  <c r="C344" i="27"/>
  <c r="C15" i="31"/>
  <c r="C336" i="27"/>
  <c r="E347" i="27"/>
  <c r="E110" i="27"/>
  <c r="C224" i="27"/>
  <c r="E131" i="12"/>
  <c r="C13" i="3"/>
  <c r="C243" i="27"/>
  <c r="C204" i="27"/>
  <c r="C260" i="27"/>
  <c r="C17" i="4"/>
  <c r="D10" i="37"/>
  <c r="G17" i="40"/>
  <c r="C153" i="27"/>
  <c r="E96" i="12"/>
  <c r="C3" i="4"/>
  <c r="E10" i="31"/>
  <c r="E48" i="4"/>
  <c r="C248" i="27"/>
  <c r="C225" i="27"/>
  <c r="E331" i="27"/>
  <c r="E211" i="27"/>
  <c r="C289" i="27"/>
  <c r="E219" i="27"/>
  <c r="C218" i="27"/>
  <c r="E39" i="40"/>
  <c r="E68" i="27"/>
  <c r="E181" i="27"/>
  <c r="C50" i="27"/>
  <c r="E150" i="27"/>
  <c r="G33" i="40"/>
  <c r="E378" i="27"/>
  <c r="G22" i="40"/>
  <c r="G187" i="12"/>
  <c r="F187" i="12" s="1"/>
  <c r="E77" i="12"/>
  <c r="E130" i="12"/>
  <c r="C64" i="27"/>
  <c r="C179" i="27"/>
  <c r="E50" i="40"/>
  <c r="C111" i="27"/>
  <c r="E259" i="27"/>
  <c r="E266" i="27"/>
  <c r="C154" i="27"/>
  <c r="E198" i="27"/>
  <c r="E321" i="27"/>
  <c r="E46" i="4"/>
  <c r="C234" i="27"/>
  <c r="E15" i="40"/>
  <c r="C210" i="27"/>
  <c r="E84" i="27"/>
  <c r="E74" i="27"/>
  <c r="E256" i="27"/>
  <c r="C27" i="4"/>
  <c r="E16" i="31"/>
  <c r="E333" i="27"/>
  <c r="E179" i="27"/>
  <c r="E11" i="27"/>
  <c r="G14" i="40"/>
  <c r="E20" i="40"/>
  <c r="E373" i="27"/>
  <c r="C345" i="27"/>
  <c r="E93" i="12"/>
  <c r="G88" i="12"/>
  <c r="G95" i="12"/>
  <c r="C124" i="27"/>
  <c r="C304" i="27"/>
  <c r="E33" i="27"/>
  <c r="C103" i="27"/>
  <c r="C39" i="27"/>
  <c r="C132" i="27"/>
  <c r="C18" i="3"/>
  <c r="G12" i="40"/>
  <c r="E293" i="27"/>
  <c r="E10" i="40"/>
  <c r="E69" i="27"/>
  <c r="E39" i="27"/>
  <c r="C11" i="27"/>
  <c r="C15" i="3"/>
  <c r="E204" i="27"/>
  <c r="C235" i="27"/>
  <c r="C11" i="4"/>
  <c r="E223" i="27"/>
  <c r="E8" i="27"/>
  <c r="E358" i="27"/>
  <c r="E272" i="27"/>
  <c r="E127" i="27"/>
  <c r="C309" i="27"/>
  <c r="C95" i="27"/>
  <c r="C333" i="27"/>
  <c r="E24" i="27"/>
  <c r="E64" i="12"/>
  <c r="G130" i="12"/>
  <c r="E99" i="12"/>
  <c r="C82" i="27"/>
  <c r="E195" i="27"/>
  <c r="E52" i="40"/>
  <c r="E17" i="31"/>
  <c r="G46" i="40"/>
  <c r="E17" i="27"/>
  <c r="C177" i="27"/>
  <c r="C52" i="27"/>
  <c r="E299" i="27"/>
  <c r="C351" i="27"/>
  <c r="G41" i="40"/>
  <c r="E32" i="40"/>
  <c r="F2" i="22"/>
  <c r="E24" i="40"/>
  <c r="C2" i="4"/>
  <c r="C244" i="27"/>
  <c r="C167" i="27"/>
  <c r="E196" i="27"/>
  <c r="C209" i="27"/>
  <c r="D4" i="37"/>
  <c r="G27" i="40"/>
  <c r="E18" i="27"/>
  <c r="E33" i="4"/>
  <c r="C364" i="27"/>
  <c r="E11" i="4"/>
  <c r="G13" i="40"/>
  <c r="D5" i="37"/>
  <c r="E10" i="4"/>
  <c r="E4" i="4"/>
  <c r="G5" i="40"/>
  <c r="D2" i="37"/>
  <c r="G48" i="40"/>
  <c r="C54" i="27"/>
  <c r="C21" i="4"/>
  <c r="E252" i="27"/>
  <c r="C10" i="27"/>
  <c r="C9" i="31"/>
  <c r="G25" i="40"/>
  <c r="E257" i="27"/>
  <c r="E62" i="27"/>
  <c r="E193" i="27"/>
  <c r="E51" i="40"/>
  <c r="E44" i="4"/>
  <c r="E153" i="27"/>
  <c r="C3" i="3"/>
  <c r="C255" i="27"/>
  <c r="E45" i="27"/>
  <c r="E26" i="27"/>
  <c r="C274" i="27"/>
  <c r="E21" i="40"/>
  <c r="C34" i="4"/>
  <c r="E70" i="12"/>
  <c r="G25" i="12"/>
  <c r="G2" i="12"/>
  <c r="E112" i="12"/>
  <c r="C191" i="27"/>
  <c r="E349" i="27"/>
  <c r="C303" i="27"/>
  <c r="C13" i="4"/>
  <c r="E370" i="27"/>
  <c r="C2" i="3"/>
  <c r="E133" i="27"/>
  <c r="E222" i="27"/>
  <c r="C17" i="31"/>
  <c r="E53" i="27"/>
  <c r="C26" i="4"/>
  <c r="E194" i="27"/>
  <c r="C3" i="27"/>
  <c r="E197" i="27"/>
  <c r="C285" i="27"/>
  <c r="C221" i="27"/>
  <c r="C290" i="27"/>
  <c r="C245" i="27"/>
  <c r="C6" i="3"/>
  <c r="G40" i="40"/>
  <c r="E77" i="27"/>
  <c r="E6" i="40"/>
  <c r="C201" i="27"/>
  <c r="E149" i="27"/>
  <c r="C43" i="4"/>
  <c r="E303" i="27"/>
  <c r="E53" i="12"/>
  <c r="E108" i="12"/>
  <c r="G58" i="12"/>
  <c r="E40" i="12"/>
  <c r="C17" i="27"/>
  <c r="C90" i="27"/>
  <c r="C109" i="27"/>
  <c r="C240" i="27"/>
  <c r="C212" i="27"/>
  <c r="E19" i="27"/>
  <c r="E38" i="27"/>
  <c r="C375" i="27"/>
  <c r="G19" i="40"/>
  <c r="E250" i="27"/>
  <c r="C128" i="27"/>
  <c r="C75" i="27"/>
  <c r="E12" i="27"/>
  <c r="E8" i="4"/>
  <c r="C357" i="27"/>
  <c r="G30" i="40"/>
  <c r="C46" i="4"/>
  <c r="E245" i="27"/>
  <c r="C30" i="4"/>
  <c r="C354" i="27"/>
  <c r="C200" i="27"/>
  <c r="E33" i="40"/>
  <c r="C250" i="27"/>
  <c r="E368" i="27"/>
  <c r="E327" i="27"/>
  <c r="E36" i="4"/>
  <c r="C281" i="27"/>
  <c r="C372" i="27"/>
  <c r="E207" i="27"/>
  <c r="E145" i="27"/>
  <c r="E201" i="27"/>
  <c r="C282" i="27"/>
  <c r="C16" i="4"/>
  <c r="E302" i="27"/>
  <c r="C131" i="27"/>
  <c r="E103" i="27"/>
  <c r="C192" i="27"/>
  <c r="C7" i="4"/>
  <c r="E54" i="40"/>
  <c r="C349" i="27"/>
  <c r="E59" i="27"/>
  <c r="C322" i="27"/>
  <c r="E75" i="27"/>
  <c r="C343" i="27"/>
  <c r="C71" i="27"/>
  <c r="C205" i="27"/>
  <c r="E175" i="27"/>
  <c r="E230" i="27"/>
  <c r="E13" i="27"/>
  <c r="C161" i="27"/>
  <c r="C173" i="27"/>
  <c r="D9" i="37"/>
  <c r="E31" i="12"/>
  <c r="E10" i="12"/>
  <c r="E56" i="12"/>
  <c r="E39" i="12"/>
  <c r="G6" i="40"/>
  <c r="C107" i="27"/>
  <c r="C180" i="27"/>
  <c r="C37" i="4"/>
  <c r="E300" i="27"/>
  <c r="E254" i="27"/>
  <c r="E97" i="27"/>
  <c r="C12" i="31"/>
  <c r="E168" i="27"/>
  <c r="C36" i="4"/>
  <c r="C300" i="27"/>
  <c r="C163" i="27"/>
  <c r="E264" i="27"/>
  <c r="E19" i="31"/>
  <c r="E131" i="27"/>
  <c r="E38" i="4"/>
  <c r="E41" i="4"/>
  <c r="C2" i="31"/>
  <c r="C363" i="27"/>
  <c r="E57" i="27"/>
  <c r="E271" i="27"/>
  <c r="E139" i="27"/>
  <c r="C211" i="27"/>
  <c r="C20" i="3"/>
  <c r="E88" i="27"/>
  <c r="C169" i="27"/>
  <c r="C239" i="27"/>
  <c r="E305" i="27"/>
  <c r="E112" i="27"/>
  <c r="E26" i="40"/>
  <c r="E180" i="27"/>
  <c r="C252" i="27"/>
  <c r="C149" i="27"/>
  <c r="C9" i="27"/>
  <c r="E235" i="27"/>
  <c r="C197" i="27"/>
  <c r="E298" i="27"/>
  <c r="E2" i="12"/>
  <c r="G121" i="12"/>
  <c r="E132" i="12"/>
  <c r="E60" i="12"/>
  <c r="G26" i="40"/>
  <c r="C213" i="27"/>
  <c r="E270" i="27"/>
  <c r="C18" i="4"/>
  <c r="C15" i="27"/>
  <c r="C10" i="31"/>
  <c r="E228" i="27"/>
  <c r="E253" i="27"/>
  <c r="C324" i="27"/>
  <c r="C268" i="27"/>
  <c r="E40" i="27"/>
  <c r="E216" i="27"/>
  <c r="E229" i="27"/>
  <c r="C32" i="27"/>
  <c r="C143" i="27"/>
  <c r="C198" i="27"/>
  <c r="G53" i="40"/>
  <c r="G31" i="40"/>
  <c r="G52" i="40"/>
  <c r="E30" i="27"/>
  <c r="E269" i="27"/>
  <c r="C294" i="27"/>
  <c r="C133" i="27"/>
  <c r="C317" i="27"/>
  <c r="G21" i="40"/>
  <c r="C14" i="4"/>
  <c r="E267" i="27"/>
  <c r="C136" i="27"/>
  <c r="E35" i="4"/>
  <c r="E357" i="27"/>
  <c r="E36" i="27"/>
  <c r="G20" i="40"/>
  <c r="C314" i="27"/>
  <c r="C359" i="27"/>
  <c r="C185" i="27"/>
  <c r="C286" i="27"/>
  <c r="E247" i="27"/>
  <c r="C208" i="27"/>
  <c r="E344" i="27"/>
  <c r="C287" i="27"/>
  <c r="C361" i="27"/>
  <c r="C19" i="4"/>
  <c r="C219" i="27"/>
  <c r="E359" i="27"/>
  <c r="E329" i="27"/>
  <c r="C181" i="27"/>
  <c r="C4" i="27"/>
  <c r="E292" i="27"/>
  <c r="E362" i="27"/>
  <c r="C68" i="27"/>
  <c r="E25" i="12"/>
  <c r="E94" i="12"/>
  <c r="G148" i="12"/>
  <c r="E126" i="12"/>
  <c r="G18" i="12"/>
  <c r="E379" i="27"/>
  <c r="E47" i="40"/>
  <c r="C117" i="27"/>
  <c r="G18" i="40"/>
  <c r="C232" i="27"/>
  <c r="E167" i="27"/>
  <c r="E19" i="4"/>
  <c r="C129" i="27"/>
  <c r="E118" i="27"/>
  <c r="C217" i="27"/>
  <c r="E190" i="27"/>
  <c r="E186" i="27"/>
  <c r="E121" i="27"/>
  <c r="C11" i="31"/>
  <c r="E380" i="27"/>
  <c r="E9" i="31"/>
  <c r="C280" i="27"/>
  <c r="E147" i="27"/>
  <c r="E165" i="27"/>
  <c r="E346" i="27"/>
  <c r="E261" i="27"/>
  <c r="C151" i="27"/>
  <c r="C308" i="27"/>
  <c r="C33" i="4"/>
  <c r="C74" i="27"/>
  <c r="E44" i="27"/>
  <c r="C32" i="4"/>
  <c r="E101" i="27"/>
  <c r="E24" i="4"/>
  <c r="E119" i="27"/>
  <c r="C352" i="27"/>
  <c r="E258" i="27"/>
  <c r="D11" i="37"/>
  <c r="C238" i="27"/>
  <c r="C7" i="3"/>
  <c r="C49" i="27"/>
  <c r="E189" i="27"/>
  <c r="E69" i="12"/>
  <c r="E80" i="12"/>
  <c r="E8" i="12"/>
  <c r="E119" i="12"/>
  <c r="E28" i="12"/>
  <c r="E141" i="27"/>
  <c r="C337" i="27"/>
  <c r="E334" i="27"/>
  <c r="E6" i="4"/>
  <c r="C39" i="4"/>
  <c r="D19" i="37"/>
  <c r="E117" i="27"/>
  <c r="C298" i="27"/>
  <c r="C203" i="27"/>
  <c r="E238" i="27"/>
  <c r="E208" i="27"/>
  <c r="E122" i="27"/>
  <c r="C360" i="27"/>
  <c r="E124" i="27"/>
  <c r="G28" i="40"/>
  <c r="E129" i="27"/>
  <c r="C3" i="31"/>
  <c r="E341" i="27"/>
  <c r="E192" i="27"/>
  <c r="C9" i="3"/>
  <c r="C108" i="27"/>
  <c r="E17" i="4"/>
  <c r="E21" i="27"/>
  <c r="C339" i="27"/>
  <c r="E319" i="27"/>
  <c r="E45" i="40"/>
  <c r="E276" i="27"/>
  <c r="G32" i="40"/>
  <c r="C27" i="27"/>
  <c r="C37" i="27"/>
  <c r="E330" i="27"/>
  <c r="E74" i="12"/>
  <c r="E5" i="12"/>
  <c r="E50" i="12"/>
  <c r="E49" i="12"/>
  <c r="E76" i="12"/>
  <c r="E138" i="27"/>
  <c r="C376" i="27"/>
  <c r="E328" i="27"/>
  <c r="E23" i="40"/>
  <c r="C176" i="27"/>
  <c r="C126" i="27"/>
  <c r="E132" i="27"/>
  <c r="E120" i="27"/>
  <c r="E52" i="27"/>
  <c r="C13" i="27"/>
  <c r="E242" i="27"/>
  <c r="C58" i="27"/>
  <c r="C267" i="27"/>
  <c r="C323" i="27"/>
  <c r="E20" i="31"/>
  <c r="C229" i="27"/>
  <c r="E210" i="27"/>
  <c r="E240" i="27"/>
  <c r="E278" i="27"/>
  <c r="C299" i="27"/>
  <c r="E335" i="27"/>
  <c r="E234" i="27"/>
  <c r="E40" i="4"/>
  <c r="C26" i="27"/>
  <c r="C353" i="27"/>
  <c r="C254" i="27"/>
  <c r="C121" i="27"/>
  <c r="C106" i="27"/>
  <c r="E73" i="27"/>
  <c r="E3" i="4"/>
  <c r="E126" i="27"/>
  <c r="C62" i="27"/>
  <c r="C291" i="27"/>
  <c r="G9" i="40"/>
  <c r="E184" i="27"/>
  <c r="C165" i="27"/>
  <c r="E34" i="27"/>
  <c r="E27" i="27"/>
  <c r="C22" i="27"/>
  <c r="C277" i="27"/>
  <c r="E366" i="27"/>
  <c r="C371" i="27"/>
  <c r="E6" i="31"/>
  <c r="C38" i="27"/>
  <c r="C135" i="27"/>
  <c r="E34" i="40"/>
  <c r="G24" i="40"/>
  <c r="E262" i="27"/>
  <c r="E367" i="27"/>
  <c r="D8" i="37"/>
  <c r="C261" i="27"/>
  <c r="C97" i="27"/>
  <c r="E187" i="27"/>
  <c r="G34" i="40"/>
  <c r="E94" i="27"/>
  <c r="E49" i="27"/>
  <c r="C237" i="27"/>
  <c r="E61" i="12"/>
  <c r="E3" i="12"/>
  <c r="E5" i="31"/>
  <c r="G51" i="40"/>
  <c r="E236" i="27"/>
  <c r="E42" i="27"/>
  <c r="E237" i="27"/>
  <c r="E306" i="27"/>
  <c r="E25" i="40"/>
  <c r="E3" i="31"/>
  <c r="G38" i="40"/>
  <c r="E2" i="40"/>
  <c r="C373" i="27"/>
  <c r="E312" i="27"/>
  <c r="E318" i="27"/>
  <c r="E85" i="27"/>
  <c r="E282" i="27"/>
  <c r="C227" i="27"/>
  <c r="D7" i="37"/>
  <c r="C146" i="27"/>
  <c r="G106" i="12"/>
  <c r="E54" i="12"/>
  <c r="C236" i="27"/>
  <c r="E311" i="27"/>
  <c r="E160" i="27"/>
  <c r="C148" i="27"/>
  <c r="E28" i="27"/>
  <c r="E336" i="27"/>
  <c r="C73" i="27"/>
  <c r="E243" i="27"/>
  <c r="E348" i="27"/>
  <c r="E16" i="27"/>
  <c r="E18" i="4"/>
  <c r="E71" i="27"/>
  <c r="E7" i="4"/>
  <c r="C222" i="27"/>
  <c r="C99" i="27"/>
  <c r="E61" i="27"/>
  <c r="E4" i="31"/>
  <c r="C362" i="27"/>
  <c r="C20" i="31"/>
  <c r="E323" i="27"/>
  <c r="E87" i="12"/>
  <c r="E66" i="12"/>
  <c r="E75" i="12"/>
  <c r="E81" i="12"/>
  <c r="E86" i="12"/>
  <c r="E116" i="12"/>
  <c r="C138" i="27"/>
  <c r="C57" i="27"/>
  <c r="C194" i="27"/>
  <c r="C31" i="4"/>
  <c r="C246" i="27"/>
  <c r="C8" i="4"/>
  <c r="E246" i="27"/>
  <c r="E296" i="27"/>
  <c r="C271" i="27"/>
  <c r="C283" i="27"/>
  <c r="C264" i="27"/>
  <c r="E25" i="4"/>
  <c r="C157" i="27"/>
  <c r="E225" i="27"/>
  <c r="C206" i="27"/>
  <c r="E316" i="27"/>
  <c r="C355" i="27"/>
  <c r="C61" i="27"/>
  <c r="C335" i="27"/>
  <c r="C164" i="27"/>
  <c r="C10" i="3"/>
  <c r="C158" i="27"/>
  <c r="E285" i="27"/>
  <c r="E363" i="27"/>
  <c r="C35" i="4"/>
  <c r="C81" i="27"/>
  <c r="C104" i="27"/>
  <c r="G43" i="40"/>
  <c r="E202" i="27"/>
  <c r="C20" i="27"/>
  <c r="C249" i="27"/>
  <c r="C378" i="27"/>
  <c r="C72" i="27"/>
  <c r="E89" i="27"/>
  <c r="C215" i="27"/>
  <c r="C42" i="27"/>
  <c r="E200" i="27"/>
  <c r="C374" i="27"/>
  <c r="C76" i="27"/>
  <c r="E123" i="27"/>
  <c r="G39" i="40"/>
  <c r="C14" i="3"/>
  <c r="E325" i="27"/>
  <c r="C14" i="31"/>
  <c r="E136" i="27"/>
  <c r="C48" i="27"/>
  <c r="C365" i="27"/>
  <c r="E213" i="27"/>
  <c r="E47" i="27"/>
  <c r="C79" i="27"/>
  <c r="E53" i="40"/>
  <c r="E144" i="27"/>
  <c r="C370" i="27"/>
  <c r="C155" i="27"/>
  <c r="E265" i="27"/>
  <c r="E39" i="4"/>
  <c r="C366" i="27"/>
  <c r="E241" i="27"/>
  <c r="C305" i="27"/>
  <c r="C17" i="3"/>
  <c r="C8" i="27"/>
  <c r="E11" i="31"/>
  <c r="C320" i="27"/>
  <c r="C259" i="27"/>
  <c r="E54" i="27"/>
  <c r="E374" i="27"/>
  <c r="C77" i="27"/>
  <c r="C329" i="27"/>
  <c r="E369" i="27"/>
  <c r="C51" i="27"/>
  <c r="E284" i="27"/>
  <c r="G125" i="12"/>
  <c r="E2" i="38"/>
  <c r="E10" i="27"/>
  <c r="E376" i="27"/>
  <c r="C318" i="27"/>
  <c r="C134" i="27"/>
  <c r="E140" i="27"/>
  <c r="E105" i="27"/>
  <c r="E47" i="4"/>
  <c r="C231" i="27"/>
  <c r="C59" i="27"/>
  <c r="C166" i="27"/>
  <c r="E87" i="27"/>
  <c r="C78" i="27"/>
  <c r="C265" i="27"/>
  <c r="E7" i="40"/>
  <c r="C118" i="27"/>
  <c r="C5" i="4"/>
  <c r="E104" i="27"/>
  <c r="E178" i="27"/>
  <c r="E113" i="12"/>
  <c r="E47" i="12"/>
  <c r="E173" i="27"/>
  <c r="C150" i="27"/>
  <c r="E38" i="40"/>
  <c r="E18" i="40"/>
  <c r="E172" i="27"/>
  <c r="G15" i="40"/>
  <c r="C189" i="27"/>
  <c r="E28" i="4"/>
  <c r="E320" i="27"/>
  <c r="C94" i="27"/>
  <c r="E17" i="40"/>
  <c r="C251" i="27"/>
  <c r="E280" i="27"/>
  <c r="E182" i="27"/>
  <c r="C313" i="27"/>
  <c r="E29" i="4"/>
  <c r="C207" i="27"/>
  <c r="C270" i="27"/>
  <c r="E377" i="27"/>
  <c r="E20" i="27"/>
  <c r="C63" i="27"/>
  <c r="C130" i="27"/>
  <c r="E48" i="40"/>
  <c r="C100" i="27"/>
  <c r="E248" i="27"/>
  <c r="E8" i="31"/>
  <c r="E55" i="40"/>
  <c r="C141" i="27"/>
  <c r="E115" i="12"/>
  <c r="E73" i="12"/>
  <c r="E35" i="12"/>
  <c r="E106" i="12"/>
  <c r="E9" i="12"/>
  <c r="E67" i="12"/>
  <c r="E34" i="4"/>
  <c r="E169" i="27"/>
  <c r="E30" i="4"/>
  <c r="C162" i="27"/>
  <c r="E51" i="27"/>
  <c r="C247" i="27"/>
  <c r="E7" i="27"/>
  <c r="C46" i="27"/>
  <c r="C293" i="27"/>
  <c r="E55" i="27"/>
  <c r="C9" i="4"/>
  <c r="C16" i="31"/>
  <c r="E44" i="40"/>
  <c r="E317" i="27"/>
  <c r="C338" i="27"/>
  <c r="E43" i="4"/>
  <c r="E29" i="27"/>
  <c r="C23" i="27"/>
  <c r="E37" i="40"/>
  <c r="E361" i="27"/>
  <c r="C102" i="27"/>
  <c r="C8" i="31"/>
  <c r="C45" i="27"/>
  <c r="E324" i="27"/>
  <c r="G37" i="40"/>
  <c r="E23" i="4"/>
  <c r="C369" i="27"/>
  <c r="C310" i="27"/>
  <c r="E4" i="40"/>
  <c r="E30" i="40"/>
  <c r="C23" i="4"/>
  <c r="E130" i="27"/>
  <c r="G49" i="40"/>
  <c r="C127" i="27"/>
  <c r="E2" i="4"/>
  <c r="E29" i="40"/>
  <c r="C279" i="27"/>
  <c r="C6" i="4"/>
  <c r="G4" i="40"/>
  <c r="E226" i="27"/>
  <c r="C35" i="27"/>
  <c r="E233" i="27"/>
  <c r="E322" i="27"/>
  <c r="C2" i="22"/>
  <c r="C334" i="27"/>
  <c r="E8" i="40"/>
  <c r="C302" i="27"/>
  <c r="C262" i="27"/>
  <c r="C25" i="4"/>
  <c r="E161" i="27"/>
  <c r="E90" i="27"/>
  <c r="E15" i="31"/>
  <c r="C18" i="27"/>
  <c r="E13" i="40"/>
  <c r="E5" i="40"/>
  <c r="E19" i="40"/>
  <c r="C346" i="27"/>
  <c r="C214" i="27"/>
  <c r="E12" i="40"/>
  <c r="E170" i="27"/>
  <c r="C342" i="27"/>
  <c r="E68" i="12"/>
  <c r="E71" i="12"/>
  <c r="E101" i="12"/>
  <c r="E26" i="4"/>
  <c r="E32" i="27"/>
  <c r="C10" i="4"/>
  <c r="E232" i="27"/>
  <c r="C312" i="27"/>
  <c r="E340" i="27"/>
  <c r="E31" i="4"/>
  <c r="C67" i="27"/>
  <c r="E360" i="27"/>
  <c r="C86" i="27"/>
  <c r="G3" i="40"/>
  <c r="E339" i="27"/>
  <c r="E244" i="27"/>
  <c r="G50" i="40"/>
  <c r="E27" i="4"/>
  <c r="E30" i="12"/>
  <c r="E114" i="12"/>
  <c r="E291" i="27"/>
  <c r="E326" i="27"/>
  <c r="C114" i="27"/>
  <c r="E40" i="40"/>
  <c r="E82" i="12"/>
  <c r="E110" i="12"/>
  <c r="E19" i="12"/>
  <c r="E33" i="12"/>
  <c r="E48" i="12"/>
  <c r="E46" i="12"/>
  <c r="C7" i="31"/>
  <c r="C301" i="27"/>
  <c r="C242" i="27"/>
  <c r="E115" i="27"/>
  <c r="C40" i="4"/>
  <c r="C31" i="27"/>
  <c r="D16" i="37"/>
  <c r="E288" i="27"/>
  <c r="C327" i="27"/>
  <c r="C4" i="4"/>
  <c r="E20" i="4"/>
  <c r="E25" i="27"/>
  <c r="G47" i="40"/>
  <c r="E58" i="27"/>
  <c r="E31" i="40"/>
  <c r="E14" i="27"/>
  <c r="E381" i="27"/>
  <c r="C20" i="4"/>
  <c r="E137" i="27"/>
  <c r="E249" i="27"/>
  <c r="E36" i="40"/>
  <c r="C12" i="27"/>
  <c r="E287" i="27"/>
  <c r="E42" i="40"/>
  <c r="C137" i="27"/>
  <c r="C381" i="27"/>
  <c r="C19" i="27"/>
  <c r="C89" i="27"/>
  <c r="G16" i="40"/>
  <c r="E13" i="4"/>
  <c r="C41" i="27"/>
  <c r="C186" i="27"/>
  <c r="C276" i="27"/>
  <c r="E28" i="40"/>
  <c r="C33" i="27"/>
  <c r="C367" i="27"/>
  <c r="C6" i="31"/>
  <c r="C241" i="27"/>
  <c r="C306" i="27"/>
  <c r="E16" i="40"/>
  <c r="C321" i="27"/>
  <c r="E277" i="27"/>
  <c r="E41" i="27"/>
  <c r="C120" i="27"/>
  <c r="E107" i="27"/>
  <c r="C19" i="3"/>
  <c r="C288" i="27"/>
  <c r="E99" i="27"/>
  <c r="E106" i="27"/>
  <c r="C66" i="27"/>
  <c r="E98" i="27"/>
  <c r="E83" i="27"/>
  <c r="F106" i="12"/>
  <c r="F147" i="12"/>
  <c r="F125" i="12"/>
  <c r="F13" i="12"/>
  <c r="F88" i="12"/>
  <c r="F81" i="12"/>
  <c r="F35" i="12"/>
  <c r="F64" i="12"/>
  <c r="F18" i="12"/>
  <c r="F2" i="12"/>
  <c r="F70" i="12"/>
  <c r="F95" i="12"/>
  <c r="A94" i="12"/>
  <c r="G26" i="12" a="1"/>
  <c r="C2" i="46" a="1"/>
  <c r="G3" i="12" a="1"/>
  <c r="E2" i="55" a="1"/>
  <c r="G36" i="12" a="1"/>
  <c r="G19" i="12" a="1"/>
  <c r="G131" i="12" a="1"/>
  <c r="G59" i="12" a="1"/>
  <c r="G14" i="12" a="1"/>
  <c r="G65" i="12" a="1"/>
  <c r="G107" i="12" a="1"/>
  <c r="G149" i="12" a="1"/>
  <c r="G188" i="12" a="1"/>
  <c r="G122" i="12" a="1"/>
  <c r="G44" i="12" a="1"/>
  <c r="G47" i="12" a="1"/>
  <c r="G71" i="12" a="1"/>
  <c r="G89" i="12" a="1"/>
  <c r="G96" i="12" a="1"/>
  <c r="G126" i="12" a="1"/>
  <c r="D2" i="22" a="1"/>
  <c r="G82" i="12" a="1"/>
  <c r="G76" i="12" a="1"/>
  <c r="G21" i="12" a="1"/>
  <c r="G21" i="12" l="1"/>
  <c r="G76" i="12"/>
  <c r="G82" i="12"/>
  <c r="D2" i="22"/>
  <c r="G126" i="12"/>
  <c r="G96" i="12"/>
  <c r="G89" i="12"/>
  <c r="G71" i="12"/>
  <c r="G47" i="12"/>
  <c r="G44" i="12"/>
  <c r="G122" i="12"/>
  <c r="G188" i="12"/>
  <c r="G149" i="12"/>
  <c r="G107" i="12"/>
  <c r="G65" i="12"/>
  <c r="G14" i="12"/>
  <c r="F14" i="12" s="1"/>
  <c r="G59" i="12"/>
  <c r="G131" i="12"/>
  <c r="F131" i="12" s="1"/>
  <c r="G19" i="12"/>
  <c r="F19" i="12" s="1"/>
  <c r="G36" i="12"/>
  <c r="E2" i="55"/>
  <c r="G3" i="12"/>
  <c r="C2" i="46"/>
  <c r="G26" i="12"/>
  <c r="F20" i="12"/>
  <c r="F43" i="12"/>
  <c r="F121" i="12"/>
  <c r="F58" i="12"/>
  <c r="F46" i="12"/>
  <c r="F25" i="12"/>
  <c r="F26" i="12" s="1"/>
  <c r="F130" i="12"/>
  <c r="F75" i="12"/>
  <c r="F3" i="12"/>
  <c r="F76" i="12"/>
  <c r="F47" i="12"/>
  <c r="F122" i="12"/>
  <c r="F188" i="12"/>
  <c r="F82" i="12"/>
  <c r="F148" i="12"/>
  <c r="F126" i="12"/>
  <c r="F89" i="12"/>
  <c r="F96" i="12"/>
  <c r="A89" i="12"/>
  <c r="G22" i="12" a="1"/>
  <c r="G77" i="12" a="1"/>
  <c r="G4" i="12" a="1"/>
  <c r="G2" i="22" a="1"/>
  <c r="G83" i="12" a="1"/>
  <c r="G27" i="12" a="1"/>
  <c r="G127" i="12" a="1"/>
  <c r="G97" i="12" a="1"/>
  <c r="G90" i="12" a="1"/>
  <c r="G72" i="12" a="1"/>
  <c r="G48" i="12" a="1"/>
  <c r="G189" i="12" a="1"/>
  <c r="G15" i="12" a="1"/>
  <c r="G132" i="12" a="1"/>
  <c r="G45" i="12" a="1"/>
  <c r="G123" i="12" a="1"/>
  <c r="G108" i="12" a="1"/>
  <c r="G66" i="12" a="1"/>
  <c r="G60" i="12" a="1"/>
  <c r="G37" i="12" a="1"/>
  <c r="G37" i="12" l="1"/>
  <c r="F37" i="12" s="1"/>
  <c r="G60" i="12"/>
  <c r="G66" i="12"/>
  <c r="G108" i="12"/>
  <c r="G123" i="12"/>
  <c r="G45" i="12"/>
  <c r="F45" i="12" s="1"/>
  <c r="G132" i="12"/>
  <c r="G15" i="12"/>
  <c r="G189" i="12"/>
  <c r="G48" i="12"/>
  <c r="G72" i="12"/>
  <c r="G90" i="12"/>
  <c r="G97" i="12"/>
  <c r="G127" i="12"/>
  <c r="G27" i="12"/>
  <c r="G83" i="12"/>
  <c r="G2" i="22"/>
  <c r="G4" i="12"/>
  <c r="G77" i="12"/>
  <c r="G22" i="12"/>
  <c r="F59" i="12"/>
  <c r="F60" i="12" s="1"/>
  <c r="F44" i="12"/>
  <c r="F36" i="12"/>
  <c r="F107" i="12"/>
  <c r="F65" i="12"/>
  <c r="F71" i="12"/>
  <c r="F21" i="12"/>
  <c r="F15" i="12"/>
  <c r="F189" i="12"/>
  <c r="F72" i="12"/>
  <c r="F123" i="12"/>
  <c r="F48" i="12"/>
  <c r="F27" i="12"/>
  <c r="F90" i="12"/>
  <c r="F108" i="12"/>
  <c r="F132" i="12"/>
  <c r="F66" i="12"/>
  <c r="F22" i="12"/>
  <c r="F149" i="12"/>
  <c r="A73" i="12"/>
  <c r="A72" i="12"/>
  <c r="A87" i="12"/>
  <c r="A61" i="12"/>
  <c r="G61" i="12" a="1"/>
  <c r="G67" i="12" a="1"/>
  <c r="G109" i="12" a="1"/>
  <c r="G124" i="12" a="1"/>
  <c r="G16" i="12" a="1"/>
  <c r="G98" i="12" a="1"/>
  <c r="G128" i="12" a="1"/>
  <c r="G28" i="12" a="1"/>
  <c r="G84" i="12" a="1"/>
  <c r="G78" i="12" a="1"/>
  <c r="G38" i="12" a="1"/>
  <c r="G190" i="12" a="1"/>
  <c r="G49" i="12" a="1"/>
  <c r="G73" i="12" a="1"/>
  <c r="G91" i="12" a="1"/>
  <c r="G5" i="12" a="1"/>
  <c r="G23" i="12" a="1"/>
  <c r="G23" i="12" l="1"/>
  <c r="G5" i="12"/>
  <c r="G91" i="12"/>
  <c r="G73" i="12"/>
  <c r="G49" i="12"/>
  <c r="G190" i="12"/>
  <c r="F190" i="12" s="1"/>
  <c r="G38" i="12"/>
  <c r="F38" i="12" s="1"/>
  <c r="G78" i="12"/>
  <c r="G84" i="12"/>
  <c r="G28" i="12"/>
  <c r="G128" i="12"/>
  <c r="G98" i="12"/>
  <c r="G16" i="12"/>
  <c r="F16" i="12" s="1"/>
  <c r="G124" i="12"/>
  <c r="F124" i="12" s="1"/>
  <c r="G109" i="12"/>
  <c r="F109" i="12" s="1"/>
  <c r="G67" i="12"/>
  <c r="G61" i="12"/>
  <c r="F4" i="12"/>
  <c r="F5" i="12" s="1"/>
  <c r="F77" i="12"/>
  <c r="F78" i="12" s="1"/>
  <c r="F127" i="12"/>
  <c r="F128" i="12" s="1"/>
  <c r="F97" i="12"/>
  <c r="F83" i="12"/>
  <c r="F91" i="12"/>
  <c r="F84" i="12"/>
  <c r="F28" i="12"/>
  <c r="F73" i="12"/>
  <c r="F49" i="12"/>
  <c r="A54" i="12"/>
  <c r="A56" i="12"/>
  <c r="A55" i="12"/>
  <c r="A53" i="12"/>
  <c r="A52" i="12"/>
  <c r="A48" i="12"/>
  <c r="G6" i="12" a="1"/>
  <c r="G92" i="12" a="1"/>
  <c r="G74" i="12" a="1"/>
  <c r="G50" i="12" a="1"/>
  <c r="G39" i="12" a="1"/>
  <c r="G110" i="12" a="1"/>
  <c r="G79" i="12" a="1"/>
  <c r="G85" i="12" a="1"/>
  <c r="G29" i="12" a="1"/>
  <c r="G129" i="12" a="1"/>
  <c r="G99" i="12" a="1"/>
  <c r="G68" i="12" a="1"/>
  <c r="G62" i="12" a="1"/>
  <c r="G24" i="12" a="1"/>
  <c r="G24" i="12" l="1"/>
  <c r="G62" i="12"/>
  <c r="G68" i="12"/>
  <c r="G99" i="12"/>
  <c r="G129" i="12"/>
  <c r="F129" i="12" s="1"/>
  <c r="G29" i="12"/>
  <c r="F29" i="12" s="1"/>
  <c r="G85" i="12"/>
  <c r="G79" i="12"/>
  <c r="G110" i="12"/>
  <c r="G39" i="12"/>
  <c r="G50" i="12"/>
  <c r="G74" i="12"/>
  <c r="F74" i="12" s="1"/>
  <c r="G92" i="12"/>
  <c r="G6" i="12"/>
  <c r="F61" i="12"/>
  <c r="F62" i="12" s="1"/>
  <c r="F98" i="12"/>
  <c r="F67" i="12"/>
  <c r="F68" i="12" s="1"/>
  <c r="F23" i="12"/>
  <c r="F24" i="12"/>
  <c r="F85" i="12"/>
  <c r="F6" i="12"/>
  <c r="F110" i="12"/>
  <c r="F92" i="12"/>
  <c r="F3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31" i="13" a="1"/>
  <c r="G69" i="12" a="1"/>
  <c r="C30" i="13" a="1"/>
  <c r="G100" i="12" a="1"/>
  <c r="C35" i="13" a="1"/>
  <c r="G30" i="12" a="1"/>
  <c r="C32" i="13" a="1"/>
  <c r="C36" i="13" a="1"/>
  <c r="G80" i="12" a="1"/>
  <c r="G111" i="12" a="1"/>
  <c r="C41" i="13" a="1"/>
  <c r="G51" i="12" a="1"/>
  <c r="C34" i="13" a="1"/>
  <c r="G63" i="12" a="1"/>
  <c r="C40" i="13" a="1"/>
  <c r="C38" i="13" a="1"/>
  <c r="G86" i="12" a="1"/>
  <c r="C39" i="13" a="1"/>
  <c r="G40" i="12" a="1"/>
  <c r="G93" i="12" a="1"/>
  <c r="G7" i="12" a="1"/>
  <c r="C33" i="13" a="1"/>
  <c r="C37" i="13" a="1"/>
  <c r="G7" i="12" l="1"/>
  <c r="G93" i="12"/>
  <c r="G40" i="12"/>
  <c r="G86" i="12"/>
  <c r="G63" i="12"/>
  <c r="F63" i="12" s="1"/>
  <c r="G51" i="12"/>
  <c r="G111" i="12"/>
  <c r="G80" i="12"/>
  <c r="G30" i="12"/>
  <c r="G100" i="12"/>
  <c r="G69" i="12"/>
  <c r="F99" i="12"/>
  <c r="F79" i="12"/>
  <c r="F50" i="12"/>
  <c r="F93" i="12"/>
  <c r="F40" i="12"/>
  <c r="F30" i="12"/>
  <c r="F51" i="12"/>
  <c r="F80" i="12"/>
  <c r="F86" i="12"/>
  <c r="F7" i="12"/>
  <c r="F69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8" i="12" a="1"/>
  <c r="G94" i="12" a="1"/>
  <c r="G87" i="12" a="1"/>
  <c r="G52" i="12" a="1"/>
  <c r="G112" i="12" a="1"/>
  <c r="G31" i="12" a="1"/>
  <c r="G101" i="12" a="1"/>
  <c r="G101" i="12" l="1"/>
  <c r="G31" i="12"/>
  <c r="G112" i="12"/>
  <c r="G52" i="12"/>
  <c r="G87" i="12"/>
  <c r="G94" i="12"/>
  <c r="F94" i="12" s="1"/>
  <c r="G8" i="12"/>
  <c r="F100" i="12"/>
  <c r="F111" i="12"/>
  <c r="F31" i="12"/>
  <c r="F52" i="12"/>
  <c r="F112" i="12"/>
  <c r="F87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G102" i="12" a="1"/>
  <c r="H5" i="6" a="1"/>
  <c r="G32" i="12" a="1"/>
  <c r="C3" i="6" a="1"/>
  <c r="G113" i="12" a="1"/>
  <c r="H3" i="6" a="1"/>
  <c r="G53" i="12" a="1"/>
  <c r="G9" i="12" a="1"/>
  <c r="C5" i="6" a="1"/>
  <c r="H4" i="6" a="1"/>
  <c r="C4" i="6" a="1"/>
  <c r="G9" i="12" l="1"/>
  <c r="G53" i="12"/>
  <c r="G113" i="12"/>
  <c r="G32" i="12"/>
  <c r="G102" i="12"/>
  <c r="F8" i="12"/>
  <c r="F101" i="12"/>
  <c r="F32" i="12"/>
  <c r="F53" i="12"/>
  <c r="F113" i="12"/>
  <c r="F9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G10" i="12" a="1"/>
  <c r="E18" i="42" a="1"/>
  <c r="E14" i="14" a="1"/>
  <c r="C10" i="42" a="1"/>
  <c r="E6" i="14" a="1"/>
  <c r="C6" i="42" a="1"/>
  <c r="C2" i="42" a="1"/>
  <c r="C26" i="42" a="1"/>
  <c r="E20" i="14" a="1"/>
  <c r="C21" i="42" a="1"/>
  <c r="E18" i="14" a="1"/>
  <c r="E9" i="42" a="1"/>
  <c r="E16" i="42" a="1"/>
  <c r="E15" i="42" a="1"/>
  <c r="E3" i="42" a="1"/>
  <c r="E27" i="14" a="1"/>
  <c r="C4" i="42" a="1"/>
  <c r="E22" i="42" a="1"/>
  <c r="E24" i="42" a="1"/>
  <c r="E12" i="42" a="1"/>
  <c r="C19" i="42" a="1"/>
  <c r="E8" i="14" a="1"/>
  <c r="E28" i="42" a="1"/>
  <c r="E27" i="42" a="1"/>
  <c r="E21" i="14" a="1"/>
  <c r="E8" i="42" a="1"/>
  <c r="C12" i="42" a="1"/>
  <c r="E6" i="42" a="1"/>
  <c r="C24" i="42" a="1"/>
  <c r="E17" i="14" a="1"/>
  <c r="G54" i="12" a="1"/>
  <c r="E7" i="42" a="1"/>
  <c r="C15" i="42" a="1"/>
  <c r="C3" i="42" a="1"/>
  <c r="E17" i="42" a="1"/>
  <c r="C8" i="42" a="1"/>
  <c r="E10" i="14" a="1"/>
  <c r="E4" i="14" a="1"/>
  <c r="E4" i="42" a="1"/>
  <c r="E23" i="14" a="1"/>
  <c r="E7" i="14" a="1"/>
  <c r="E25" i="14" a="1"/>
  <c r="E14" i="42" a="1"/>
  <c r="C20" i="42" a="1"/>
  <c r="E23" i="42" a="1"/>
  <c r="C9" i="42" a="1"/>
  <c r="C22" i="42" a="1"/>
  <c r="E25" i="42" a="1"/>
  <c r="C25" i="42" a="1"/>
  <c r="E21" i="42" a="1"/>
  <c r="E9" i="14" a="1"/>
  <c r="C18" i="42" a="1"/>
  <c r="E19" i="14" a="1"/>
  <c r="C29" i="42" a="1"/>
  <c r="G114" i="12" a="1"/>
  <c r="C27" i="42" a="1"/>
  <c r="C28" i="42" a="1"/>
  <c r="E2" i="42" a="1"/>
  <c r="E28" i="14" a="1"/>
  <c r="G33" i="12" a="1"/>
  <c r="E20" i="42" a="1"/>
  <c r="E26" i="14" a="1"/>
  <c r="G103" i="12" a="1"/>
  <c r="E2" i="14" a="1"/>
  <c r="E13" i="14" a="1"/>
  <c r="C23" i="42" a="1"/>
  <c r="E10" i="42" a="1"/>
  <c r="C11" i="42" a="1"/>
  <c r="E13" i="42" a="1"/>
  <c r="E15" i="14" a="1"/>
  <c r="C2" i="6" a="1"/>
  <c r="C16" i="42" a="1"/>
  <c r="H2" i="6" a="1"/>
  <c r="E12" i="14" a="1"/>
  <c r="E19" i="42" a="1"/>
  <c r="C2" i="41" a="1"/>
  <c r="C13" i="42" a="1"/>
  <c r="E26" i="42" a="1"/>
  <c r="C5" i="42" a="1"/>
  <c r="E24" i="14" a="1"/>
  <c r="C7" i="42" a="1"/>
  <c r="E16" i="14" a="1"/>
  <c r="C14" i="42" a="1"/>
  <c r="E22" i="14" a="1"/>
  <c r="E3" i="14" a="1"/>
  <c r="C17" i="42" a="1"/>
  <c r="G103" i="12" l="1"/>
  <c r="G33" i="12"/>
  <c r="G114" i="12"/>
  <c r="G54" i="12"/>
  <c r="G10" i="12"/>
  <c r="F102" i="12"/>
  <c r="F54" i="12"/>
  <c r="F10" i="12"/>
  <c r="F33" i="12"/>
  <c r="F114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G104" i="12" a="1"/>
  <c r="G34" i="12" a="1"/>
  <c r="G115" i="12" a="1"/>
  <c r="G55" i="12" a="1"/>
  <c r="G11" i="12" a="1"/>
  <c r="G11" i="12" l="1"/>
  <c r="G55" i="12"/>
  <c r="G115" i="12"/>
  <c r="G34" i="12"/>
  <c r="G104" i="12"/>
  <c r="F103" i="12"/>
  <c r="A25" i="11"/>
  <c r="G105" i="12" a="1"/>
  <c r="C25" i="14" a="1"/>
  <c r="C23" i="13" a="1"/>
  <c r="C3" i="13" a="1"/>
  <c r="C22" i="14" a="1"/>
  <c r="C11" i="13" a="1"/>
  <c r="C6" i="13" a="1"/>
  <c r="E29" i="42" a="1"/>
  <c r="C12" i="13" a="1"/>
  <c r="C14" i="13" a="1"/>
  <c r="C28" i="13" a="1"/>
  <c r="C14" i="14" a="1"/>
  <c r="C13" i="13" a="1"/>
  <c r="C12" i="14" a="1"/>
  <c r="C2" i="13" a="1"/>
  <c r="C15" i="14" a="1"/>
  <c r="C7" i="14" a="1"/>
  <c r="C20" i="14" a="1"/>
  <c r="C23" i="14" a="1"/>
  <c r="E29" i="14" a="1"/>
  <c r="C27" i="14" a="1"/>
  <c r="C2" i="14" a="1"/>
  <c r="C16" i="14" a="1"/>
  <c r="C8" i="14" a="1"/>
  <c r="C26" i="13" a="1"/>
  <c r="C11" i="14" a="1"/>
  <c r="C17" i="13" a="1"/>
  <c r="C29" i="14" a="1"/>
  <c r="C3" i="7" a="1"/>
  <c r="C2" i="7" a="1"/>
  <c r="C10" i="13" a="1"/>
  <c r="C4" i="33" a="1"/>
  <c r="C5" i="13" a="1"/>
  <c r="C24" i="13" a="1"/>
  <c r="C29" i="13" a="1"/>
  <c r="C4" i="14" a="1"/>
  <c r="C2" i="33" a="1"/>
  <c r="C18" i="14" a="1"/>
  <c r="C21" i="14" a="1"/>
  <c r="C3" i="33" a="1"/>
  <c r="C26" i="14" a="1"/>
  <c r="C27" i="13" a="1"/>
  <c r="C28" i="14" a="1"/>
  <c r="C19" i="13" a="1"/>
  <c r="C21" i="13" a="1"/>
  <c r="C9" i="13" a="1"/>
  <c r="C9" i="14" a="1"/>
  <c r="C4" i="13" a="1"/>
  <c r="C16" i="13" a="1"/>
  <c r="C25" i="13" a="1"/>
  <c r="G12" i="12" a="1"/>
  <c r="C22" i="13" a="1"/>
  <c r="C10" i="14" a="1"/>
  <c r="C6" i="14" a="1"/>
  <c r="C8" i="13" a="1"/>
  <c r="G56" i="12" a="1"/>
  <c r="C5" i="14" a="1"/>
  <c r="C15" i="13" a="1"/>
  <c r="C24" i="14" a="1"/>
  <c r="C13" i="14" a="1"/>
  <c r="G116" i="12" a="1"/>
  <c r="C18" i="13" a="1"/>
  <c r="C7" i="13" a="1"/>
  <c r="C20" i="13" a="1"/>
  <c r="E5" i="42" a="1"/>
  <c r="E5" i="14" a="1"/>
  <c r="C3" i="14" a="1"/>
  <c r="C19" i="14" a="1"/>
  <c r="C17" i="14" a="1"/>
  <c r="E5" i="14" l="1"/>
  <c r="E5" i="42"/>
  <c r="G116" i="12"/>
  <c r="G56" i="12"/>
  <c r="G12" i="12"/>
  <c r="G105" i="12"/>
  <c r="F55" i="12"/>
  <c r="F34" i="12"/>
  <c r="F115" i="12"/>
  <c r="F11" i="12"/>
  <c r="F104" i="12"/>
  <c r="F56" i="12"/>
  <c r="F116" i="12"/>
  <c r="F12" i="12"/>
  <c r="E29" i="14"/>
  <c r="E29" i="4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G117" i="12" a="1"/>
  <c r="G57" i="12" a="1"/>
  <c r="E11" i="14" a="1"/>
  <c r="E11" i="42" a="1"/>
  <c r="E11" i="42" l="1"/>
  <c r="E11" i="14"/>
  <c r="G57" i="12"/>
  <c r="G117" i="12"/>
  <c r="F105" i="12"/>
  <c r="F117" i="12"/>
  <c r="F57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8" i="12" a="1"/>
  <c r="G118" i="12" l="1"/>
  <c r="A28" i="11"/>
  <c r="A27" i="11"/>
  <c r="G119" i="12" a="1"/>
  <c r="G119" i="12" l="1"/>
  <c r="F118" i="12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G120" i="12" a="1"/>
  <c r="G120" i="12" l="1"/>
  <c r="F120" i="12" s="1"/>
  <c r="F119" i="12"/>
  <c r="A4" i="3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6" i="12" l="1"/>
  <c r="A125" i="12"/>
  <c r="A26" i="11"/>
  <c r="A15" i="11"/>
  <c r="A111" i="12" l="1"/>
  <c r="A6" i="12"/>
  <c r="A8" i="13" l="1"/>
  <c r="A85" i="12"/>
  <c r="A40" i="12" l="1"/>
  <c r="A3" i="7" l="1"/>
  <c r="A123" i="12"/>
  <c r="A19" i="13"/>
  <c r="A15" i="13"/>
  <c r="A11" i="13"/>
  <c r="A98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A121" i="12"/>
  <c r="A7" i="12"/>
  <c r="A5" i="12"/>
  <c r="A4" i="12"/>
  <c r="A8" i="12"/>
  <c r="A3" i="12"/>
  <c r="A2" i="12"/>
  <c r="A24" i="12"/>
  <c r="A20" i="12"/>
  <c r="A19" i="12"/>
  <c r="A116" i="12"/>
  <c r="A115" i="12"/>
  <c r="A114" i="12"/>
  <c r="A113" i="12"/>
  <c r="A112" i="12"/>
  <c r="A110" i="12"/>
  <c r="A109" i="12"/>
  <c r="A108" i="12"/>
  <c r="A107" i="12"/>
  <c r="A106" i="12"/>
  <c r="A90" i="12"/>
  <c r="A93" i="12"/>
  <c r="A91" i="12"/>
  <c r="A88" i="12"/>
  <c r="A101" i="12"/>
  <c r="A100" i="12"/>
  <c r="A99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9" i="2" a="1"/>
  <c r="I6" i="11" a="1"/>
  <c r="I19" i="11" a="1"/>
  <c r="C15" i="2" a="1"/>
  <c r="I11" i="11" a="1"/>
  <c r="I9" i="11" a="1"/>
  <c r="C26" i="2" a="1"/>
  <c r="I23" i="11" a="1"/>
  <c r="C36" i="2" a="1"/>
  <c r="I17" i="11" a="1"/>
  <c r="C39" i="2" a="1"/>
  <c r="I24" i="11" a="1"/>
  <c r="C6" i="2" a="1"/>
  <c r="I30" i="11" a="1"/>
  <c r="I16" i="11" a="1"/>
  <c r="C3" i="2" a="1"/>
  <c r="C5" i="2" a="1"/>
  <c r="I13" i="11" a="1"/>
  <c r="I7" i="11" a="1"/>
  <c r="C16" i="2" a="1"/>
  <c r="C20" i="2" a="1"/>
  <c r="I3" i="11" a="1"/>
  <c r="C24" i="2" a="1"/>
  <c r="I12" i="11" a="1"/>
  <c r="C4" i="2" a="1"/>
  <c r="C14" i="2" a="1"/>
  <c r="I31" i="11" a="1"/>
  <c r="C11" i="2" a="1"/>
  <c r="H4" i="34" a="1"/>
  <c r="C21" i="2" a="1"/>
  <c r="C33" i="2" a="1"/>
  <c r="C8" i="2" a="1"/>
  <c r="I36" i="11" a="1"/>
  <c r="I2" i="11" a="1"/>
  <c r="I20" i="11" a="1"/>
  <c r="C23" i="2" a="1"/>
  <c r="I34" i="11" a="1"/>
  <c r="C27" i="2" a="1"/>
  <c r="I14" i="11" a="1"/>
  <c r="C22" i="2" a="1"/>
  <c r="C38" i="2" a="1"/>
  <c r="C2" i="2" a="1"/>
  <c r="C13" i="2" a="1"/>
  <c r="I10" i="11" a="1"/>
  <c r="I8" i="11" a="1"/>
  <c r="I18" i="11" a="1"/>
  <c r="C37" i="2" a="1"/>
  <c r="I28" i="11" a="1"/>
  <c r="C30" i="2" a="1"/>
  <c r="C31" i="2" a="1"/>
  <c r="I15" i="11" a="1"/>
  <c r="I22" i="11" a="1"/>
  <c r="L2" i="34" a="1"/>
  <c r="I33" i="11" a="1"/>
  <c r="I25" i="11" a="1"/>
  <c r="I4" i="11" a="1"/>
  <c r="C7" i="2" a="1"/>
  <c r="I35" i="11" a="1"/>
  <c r="I32" i="11" a="1"/>
  <c r="I21" i="11" a="1"/>
  <c r="C17" i="2" a="1"/>
  <c r="C28" i="2" a="1"/>
  <c r="I26" i="11" a="1"/>
  <c r="C32" i="2" a="1"/>
  <c r="I5" i="11" a="1"/>
  <c r="C10" i="2" a="1"/>
  <c r="I27" i="11" a="1"/>
  <c r="C29" i="2" a="1"/>
  <c r="I29" i="11" a="1"/>
  <c r="C18" i="2" a="1"/>
  <c r="C35" i="2" a="1"/>
  <c r="H3" i="34" a="1"/>
  <c r="C25" i="2" a="1"/>
  <c r="C34" i="2" a="1"/>
  <c r="C19" i="2" a="1"/>
  <c r="H2" i="34" a="1"/>
  <c r="C12" i="2" a="1"/>
  <c r="I36" i="11" l="1"/>
  <c r="H4" i="34"/>
  <c r="H3" i="34"/>
  <c r="H2" i="34"/>
  <c r="L2" i="34"/>
  <c r="I16" i="11"/>
  <c r="I25" i="11"/>
  <c r="I15" i="11"/>
  <c r="I35" i="11"/>
  <c r="I24" i="11"/>
  <c r="I32" i="11"/>
  <c r="I34" i="11"/>
  <c r="I23" i="11"/>
  <c r="I31" i="11"/>
  <c r="I22" i="11"/>
  <c r="I33" i="11"/>
  <c r="I21" i="11"/>
  <c r="I30" i="11"/>
  <c r="I20" i="11"/>
  <c r="I29" i="11"/>
  <c r="I19" i="11"/>
  <c r="I28" i="11"/>
  <c r="I18" i="11"/>
  <c r="I27" i="11"/>
  <c r="I17" i="11"/>
  <c r="I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I6" i="11"/>
  <c r="I12" i="11"/>
  <c r="I13" i="11"/>
  <c r="I3" i="11"/>
  <c r="I5" i="11"/>
  <c r="I11" i="11"/>
  <c r="I14" i="11"/>
  <c r="I4" i="11"/>
  <c r="I10" i="11"/>
  <c r="I9" i="11"/>
  <c r="I8" i="11"/>
  <c r="I7" i="11"/>
  <c r="I2" i="11"/>
  <c r="F2" i="4" a="1"/>
  <c r="F9" i="4" a="1"/>
  <c r="F46" i="4" a="1"/>
  <c r="F26" i="4" a="1"/>
  <c r="F17" i="4" a="1"/>
  <c r="F8" i="4" a="1"/>
  <c r="F7" i="4" a="1"/>
  <c r="F30" i="4" a="1"/>
  <c r="F43" i="4" a="1"/>
  <c r="F39" i="4" a="1"/>
  <c r="F18" i="4" a="1"/>
  <c r="F52" i="4" a="1"/>
  <c r="F5" i="4" a="1"/>
  <c r="F36" i="4" a="1"/>
  <c r="F13" i="4" a="1"/>
  <c r="F16" i="4" a="1"/>
  <c r="F27" i="4" a="1"/>
  <c r="F29" i="4" a="1"/>
  <c r="F3" i="4" a="1"/>
  <c r="F45" i="4" a="1"/>
  <c r="F47" i="4" a="1"/>
  <c r="F12" i="4" a="1"/>
  <c r="F40" i="4" a="1"/>
  <c r="F49" i="4" a="1"/>
  <c r="F33" i="4" a="1"/>
  <c r="F32" i="4" a="1"/>
  <c r="F14" i="4" a="1"/>
  <c r="F50" i="4" a="1"/>
  <c r="F41" i="4" a="1"/>
  <c r="F37" i="4" a="1"/>
  <c r="F25" i="4" a="1"/>
  <c r="F11" i="4" a="1"/>
  <c r="F15" i="4" a="1"/>
  <c r="F22" i="4" a="1"/>
  <c r="F24" i="4" a="1"/>
  <c r="F38" i="4" a="1"/>
  <c r="F34" i="4" a="1"/>
  <c r="F6" i="4" a="1"/>
  <c r="F23" i="4" a="1"/>
  <c r="F51" i="4" a="1"/>
  <c r="F20" i="4" a="1"/>
  <c r="F10" i="4" a="1"/>
  <c r="F35" i="4" a="1"/>
  <c r="F28" i="4" a="1"/>
  <c r="F48" i="4" a="1"/>
  <c r="F21" i="4" a="1"/>
  <c r="F31" i="4" a="1"/>
  <c r="F44" i="4" a="1"/>
  <c r="F42" i="4" a="1"/>
  <c r="F53" i="4" a="1"/>
  <c r="F19" i="4" a="1"/>
  <c r="F4" i="4" a="1"/>
  <c r="F52" i="4" l="1"/>
  <c r="F51" i="4"/>
  <c r="F53" i="4"/>
  <c r="F15" i="4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<sst xmlns="http://schemas.openxmlformats.org/spreadsheetml/2006/main" count="2551" uniqueCount="940">
  <si>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</si>
  <si>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</si>
  <si>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</si>
  <si>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</si>
  <si>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</si>
  <si>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</si>
  <si>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</si>
  <si>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</si>
  <si>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</si>
  <si>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</si>
  <si>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</si>
  <si>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</si>
  <si>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</si>
  <si>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</si>
  <si>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</si>
  <si>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</si>
  <si>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</si>
  <si>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</si>
  <si>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</si>
  <si>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</si>
  <si>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</si>
  <si>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</si>
  <si>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</si>
  <si>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</si>
  <si>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</si>
  <si>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</si>
  <si>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</si>
  <si>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</si>
  <si>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</si>
  <si>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</si>
  <si>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</si>
  <si>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</si>
  <si>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</si>
  <si>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</si>
  <si>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</si>
  <si>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</si>
  <si>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</si>
  <si>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</si>
  <si>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</si>
  <si>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</si>
  <si>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</si>
  <si>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</si>
  <si>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</si>
  <si>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</si>
  <si>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</si>
  <si>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</si>
  <si>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</si>
  <si>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</si>
  <si>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</si>
  <si>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</si>
  <si>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</si>
  <si>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</si>
  <si>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</si>
  <si>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</si>
  <si>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</si>
  <si>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</si>
  <si>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</si>
  <si>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</si>
  <si>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</si>
  <si>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</si>
  <si>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</si>
  <si>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</si>
  <si>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</si>
  <si>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</si>
  <si>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</si>
  <si>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</si>
  <si>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</si>
  <si>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</si>
  <si>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</si>
  <si>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</si>
  <si>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</si>
  <si>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</si>
  <si>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</si>
  <si>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</si>
  <si>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</si>
  <si>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</si>
  <si>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</si>
  <si>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</si>
  <si>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</si>
  <si>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</si>
  <si>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</si>
  <si>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</si>
  <si>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</si>
  <si>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</si>
  <si>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</si>
  <si>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</si>
  <si>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</si>
  <si>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</si>
  <si>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</si>
  <si>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</si>
  <si>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</si>
  <si>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</si>
  <si>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</si>
  <si>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</si>
  <si>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</si>
  <si>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</si>
  <si>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</si>
  <si>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</si>
  <si>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</si>
  <si>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</si>
  <si>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</si>
  <si>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</si>
  <si>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</si>
  <si>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</si>
  <si>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</si>
  <si>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</si>
  <si>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</si>
  <si>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</si>
  <si>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</si>
  <si>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</si>
  <si>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</si>
  <si>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</si>
  <si>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</si>
  <si>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</si>
  <si>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</si>
  <si>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</si>
  <si>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</si>
  <si>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</si>
  <si>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</si>
  <si>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</si>
  <si>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</si>
  <si>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</si>
  <si>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</si>
  <si>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</si>
  <si>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</si>
  <si>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</si>
  <si>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</si>
  <si>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</si>
  <si>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</si>
  <si>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</si>
  <si>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</si>
  <si>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</si>
  <si>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</si>
  <si>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</si>
  <si>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</si>
  <si>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</si>
  <si>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</si>
  <si>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</si>
  <si>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</si>
  <si>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</si>
  <si>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</si>
  <si>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</si>
  <si>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</si>
  <si>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</si>
  <si>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</si>
  <si>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</si>
  <si>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</si>
  <si>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</si>
  <si>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</si>
  <si>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</si>
  <si>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</si>
  <si>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</si>
  <si>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</si>
  <si>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</si>
  <si>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</si>
  <si>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</si>
  <si>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</si>
  <si>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</si>
  <si>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</si>
  <si>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</si>
  <si>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</si>
  <si>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</si>
  <si>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</si>
  <si>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</si>
  <si>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</si>
  <si>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</si>
  <si>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</si>
  <si>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</si>
  <si>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</si>
  <si>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</si>
  <si>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</si>
  <si>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</si>
  <si>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</si>
  <si>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</si>
  <si>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</si>
  <si>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</si>
  <si>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</si>
  <si>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</si>
  <si>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</si>
  <si>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</si>
  <si>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</si>
  <si>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</si>
  <si>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</si>
  <si>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</si>
  <si>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</si>
  <si>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</si>
  <si>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</si>
  <si>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</si>
  <si>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</si>
  <si>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</si>
  <si>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</si>
  <si>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</si>
  <si>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</si>
  <si>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</si>
  <si>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</si>
  <si>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</si>
  <si>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</si>
  <si>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</si>
  <si>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</si>
  <si>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</si>
  <si>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</si>
  <si>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</si>
  <si>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</si>
  <si>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</si>
  <si>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</si>
  <si>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</si>
  <si>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</si>
  <si>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</si>
  <si>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</si>
  <si>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</si>
  <si>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</si>
  <si>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</si>
  <si>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</si>
  <si>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</si>
  <si>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</si>
  <si>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</si>
  <si>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</si>
  <si>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</si>
  <si>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</si>
  <si>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</si>
  <si>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</si>
  <si>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</si>
  <si>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</si>
  <si>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</si>
  <si>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</si>
  <si>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</si>
  <si>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</si>
  <si>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</si>
  <si>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</si>
  <si>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</si>
  <si>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</si>
  <si>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</si>
  <si>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</si>
  <si>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</si>
  <si>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</si>
  <si>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</si>
  <si>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</si>
  <si>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</si>
  <si>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</si>
  <si>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</si>
  <si>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</si>
  <si>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</si>
  <si>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</si>
  <si>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</si>
  <si>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</si>
  <si>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</si>
  <si>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</si>
  <si>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</si>
  <si>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</si>
  <si>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</si>
  <si>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</si>
  <si>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</si>
  <si>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</si>
  <si>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</si>
  <si>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</si>
  <si>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</si>
  <si>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</si>
  <si>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</si>
  <si>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</si>
  <si>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</si>
  <si>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</si>
  <si>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</si>
  <si>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</si>
  <si>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</si>
  <si>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</si>
  <si>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</si>
  <si>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</si>
  <si>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</si>
  <si>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</si>
  <si>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</si>
  <si>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</si>
  <si>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</si>
  <si>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</si>
  <si>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</si>
  <si>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</si>
  <si>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</si>
  <si>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</si>
  <si>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</si>
  <si>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</si>
  <si>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</si>
  <si>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</si>
  <si>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</si>
  <si>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</si>
  <si>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</si>
  <si>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</si>
  <si>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</si>
  <si>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</si>
  <si>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</si>
  <si>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</si>
  <si>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</si>
  <si>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</si>
  <si>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</si>
  <si>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</si>
  <si>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</si>
  <si>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</si>
  <si>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</si>
  <si>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</si>
  <si>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</si>
  <si>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</si>
  <si>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</si>
  <si>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</si>
  <si>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</si>
  <si>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</si>
  <si>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</si>
  <si>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</si>
  <si>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</si>
  <si>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</si>
  <si>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</si>
  <si>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</si>
  <si>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</si>
  <si>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</si>
  <si>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</si>
  <si>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</si>
  <si>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</si>
  <si>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</si>
  <si>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</si>
  <si>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</si>
  <si>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</si>
  <si>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</si>
  <si>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</si>
  <si>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</si>
  <si>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</si>
  <si>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</si>
  <si>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</si>
  <si>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</si>
  <si>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</si>
  <si>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</si>
  <si>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</si>
  <si>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</si>
  <si>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</si>
  <si>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</si>
  <si>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</si>
  <si>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</si>
  <si>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</si>
  <si>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</si>
  <si>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</si>
  <si>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</si>
  <si>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</si>
  <si>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</si>
  <si>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</si>
  <si>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</si>
  <si>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</si>
  <si>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</si>
  <si>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</si>
  <si>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</si>
  <si>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</si>
  <si>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</si>
  <si>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</si>
  <si>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</si>
  <si>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</si>
  <si>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</si>
  <si>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</si>
  <si>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</si>
  <si>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</si>
  <si>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</si>
  <si>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</si>
  <si>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</si>
  <si>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</si>
  <si>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</si>
  <si>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</si>
  <si>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</si>
  <si>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</si>
  <si>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</si>
  <si>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</si>
  <si>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</si>
  <si>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</si>
  <si>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</si>
  <si>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</si>
  <si>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</si>
  <si>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</si>
  <si>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</si>
  <si>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</si>
  <si>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</si>
  <si>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</si>
  <si>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</si>
  <si>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</si>
  <si>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</si>
  <si>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</si>
  <si>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</si>
  <si>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</si>
  <si>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</si>
  <si>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</si>
  <si>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</si>
  <si>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</si>
  <si>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</si>
  <si>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</si>
  <si>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</si>
  <si>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</si>
  <si>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</si>
  <si>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</si>
  <si>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</si>
  <si>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</si>
  <si>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</si>
  <si>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</si>
  <si>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</si>
  <si>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</si>
  <si>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</si>
  <si>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</si>
  <si>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</si>
  <si>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</si>
  <si>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</si>
  <si>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</si>
  <si>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</si>
  <si>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</si>
  <si>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</si>
  <si>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</si>
  <si>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</si>
  <si>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</si>
  <si>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</si>
  <si>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</si>
  <si>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</si>
  <si>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</si>
  <si>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</si>
  <si>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</si>
  <si>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</si>
  <si>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</si>
  <si>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</si>
  <si>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</si>
  <si>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</si>
  <si>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</si>
  <si>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</si>
  <si>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</si>
  <si>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</si>
  <si>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</si>
  <si>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</si>
  <si>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</si>
  <si>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</si>
  <si>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</si>
  <si>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</si>
  <si>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</si>
  <si>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</si>
  <si>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</si>
  <si>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</si>
  <si>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</si>
  <si>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</si>
  <si>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</si>
  <si>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</si>
  <si>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</si>
  <si>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</si>
  <si>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</si>
  <si>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</si>
  <si>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</si>
  <si>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</si>
  <si>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</si>
  <si>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</si>
  <si>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</si>
  <si>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</si>
  <si>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</si>
  <si>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</si>
  <si>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</si>
  <si>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</si>
  <si>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</si>
  <si>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</si>
  <si>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</si>
  <si>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</si>
  <si>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</si>
  <si>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</si>
  <si>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</si>
  <si>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</si>
  <si>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</si>
  <si>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</si>
  <si>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</si>
  <si>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</si>
  <si>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</si>
  <si>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</si>
  <si>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</si>
  <si>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</si>
  <si>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</si>
  <si>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</si>
  <si>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</si>
  <si>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</si>
  <si>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</si>
  <si>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</si>
  <si>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</si>
  <si>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</si>
  <si>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</si>
  <si>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</si>
  <si>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</si>
  <si>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</si>
  <si>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</si>
  <si>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</si>
  <si>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</si>
  <si>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</si>
  <si>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</si>
  <si>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</si>
  <si>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</si>
  <si>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</si>
  <si>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</si>
  <si>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</si>
  <si>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</si>
  <si>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</si>
  <si>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</si>
  <si>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</si>
  <si>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</si>
  <si>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</si>
  <si>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</si>
  <si>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</si>
  <si>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</si>
  <si>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</si>
  <si>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</si>
  <si>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</si>
  <si>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</si>
  <si>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</si>
  <si>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</si>
  <si>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</si>
  <si>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</si>
  <si>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</si>
  <si>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</si>
  <si>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</si>
  <si>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</si>
  <si>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</si>
  <si>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</si>
  <si>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</si>
  <si>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</si>
  <si>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</si>
  <si>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</si>
  <si>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</si>
  <si>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</si>
  <si>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</si>
  <si>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</si>
  <si>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</si>
  <si>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</si>
  <si>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</si>
  <si>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</si>
  <si>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</si>
  <si>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</si>
  <si>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</si>
  <si>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</si>
  <si>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</si>
  <si>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</si>
  <si>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</si>
  <si>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</si>
  <si>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</si>
  <si>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</si>
  <si>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</si>
  <si>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</si>
  <si>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</si>
  <si>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</si>
  <si>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</si>
  <si>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</si>
  <si>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</si>
  <si>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</si>
  <si>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</si>
  <si>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</si>
  <si>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</si>
  <si>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</si>
  <si>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</si>
  <si>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</si>
  <si>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</si>
  <si>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</si>
  <si>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</si>
  <si>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</si>
  <si>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</si>
  <si>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</si>
  <si>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</si>
  <si>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</si>
  <si>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</si>
  <si>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</si>
  <si>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</si>
  <si>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</si>
  <si>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</si>
  <si>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</si>
  <si>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</si>
  <si>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</si>
  <si>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</si>
  <si>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</si>
  <si>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</si>
  <si>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</si>
  <si>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</si>
  <si>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</si>
  <si>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</si>
  <si>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</si>
  <si>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</si>
  <si>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</si>
  <si>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</si>
  <si>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</si>
  <si>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</si>
  <si>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</si>
  <si>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</si>
  <si>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</si>
  <si>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</si>
  <si>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</si>
  <si>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</si>
  <si>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</si>
  <si>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</si>
  <si>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</si>
  <si>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</si>
  <si>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</si>
  <si>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</si>
  <si>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</si>
  <si>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</si>
  <si>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</si>
  <si>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</si>
  <si>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</si>
  <si>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</si>
  <si>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</si>
  <si>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</si>
  <si>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</si>
  <si>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</si>
  <si>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</si>
  <si>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</si>
  <si>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</si>
  <si>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</si>
  <si>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</si>
  <si>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</si>
  <si>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</si>
  <si>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</si>
  <si>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</si>
  <si>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</si>
  <si>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</si>
  <si>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</si>
  <si>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</si>
  <si>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</si>
  <si>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</si>
  <si>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</si>
  <si>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</si>
  <si>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</si>
  <si>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</si>
  <si>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</si>
  <si>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</si>
  <si>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</si>
  <si>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</si>
  <si>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</si>
  <si>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</si>
  <si>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</si>
  <si>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</si>
  <si>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IsBirectional</t>
  </si>
  <si>
    <t>Coluna</t>
  </si>
  <si>
    <t>Engines 0001</t>
  </si>
  <si>
    <t>LeftColumnId</t>
  </si>
  <si>
    <t>RightColumnId</t>
  </si>
  <si>
    <t>#RightTableColumnName</t>
  </si>
  <si>
    <t>#LeftTableColumnName</t>
  </si>
  <si>
    <t>RightValue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</si>
  <si>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</si>
  <si>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</si>
  <si>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</si>
  <si>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</si>
  <si>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</si>
  <si>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</si>
  <si>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</si>
  <si>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</si>
  <si>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</si>
  <si>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</si>
  <si>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</si>
  <si>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</si>
  <si>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</si>
  <si>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</si>
  <si>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</si>
  <si>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</si>
  <si>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</si>
  <si>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</si>
  <si>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</si>
  <si>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</si>
  <si>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</si>
  <si>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</si>
  <si>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</si>
  <si>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</si>
  <si>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</si>
  <si>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</si>
  <si>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</si>
  <si>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</si>
  <si>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</si>
  <si>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</si>
  <si>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</si>
  <si>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</si>
  <si>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</si>
  <si>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</si>
  <si>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</si>
  <si>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</si>
  <si>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</si>
  <si>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</si>
  <si>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</si>
  <si>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</si>
  <si>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</si>
  <si>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</si>
  <si>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</si>
  <si>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</si>
  <si>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</si>
  <si>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</si>
  <si>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</si>
  <si>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</si>
  <si>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</si>
  <si>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</si>
  <si>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</si>
  <si>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</si>
  <si>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</si>
  <si>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</si>
  <si>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</si>
  <si>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</si>
  <si>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</si>
  <si>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</si>
  <si>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</si>
  <si>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</si>
  <si>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</si>
  <si>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</si>
  <si>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</si>
  <si>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</si>
  <si>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</si>
  <si>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</si>
  <si>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</si>
  <si>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</si>
  <si>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</si>
  <si>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</si>
  <si>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</si>
  <si>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</si>
  <si>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</si>
  <si>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</si>
  <si>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</si>
  <si>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</si>
  <si>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</si>
  <si>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</si>
  <si>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</si>
  <si>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</si>
  <si>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</si>
  <si>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</si>
  <si>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</si>
  <si>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</si>
  <si>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</si>
  <si>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</si>
  <si>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</si>
  <si>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</si>
  <si>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</si>
  <si>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</si>
  <si>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</si>
  <si>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</si>
  <si>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</si>
  <si>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</si>
  <si>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</si>
  <si>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</si>
  <si>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</si>
  <si>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</si>
  <si>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</si>
  <si>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</si>
  <si>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</si>
  <si>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</si>
  <si>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HookId</t>
  </si>
  <si>
    <t>#HookName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</si>
  <si>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</si>
  <si>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</si>
  <si>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</si>
  <si>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</si>
  <si>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</si>
  <si>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</si>
  <si>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</si>
  <si>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</si>
  <si>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</si>
  <si>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</si>
  <si>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</si>
  <si>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</si>
  <si>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</si>
  <si>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</si>
  <si>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</si>
  <si>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</si>
  <si>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</si>
  <si>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Sessões de Logins</t>
  </si>
  <si>
    <t>Categ. x Comparad.</t>
  </si>
  <si>
    <t>left</t>
  </si>
  <si>
    <t>ValidMask: 9 = numérico; A = alfabético; X = alfanumérico; * = alfanumérico e especiais.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</si>
  <si>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</si>
  <si>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</si>
  <si>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</si>
  <si>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</si>
  <si>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</si>
  <si>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</si>
  <si>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</si>
  <si>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</si>
  <si>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</si>
  <si>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</si>
  <si>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</si>
  <si>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</si>
  <si>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</si>
  <si>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</si>
  <si>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</si>
  <si>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</si>
  <si>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</si>
  <si>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</si>
  <si>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</si>
  <si>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</si>
  <si>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</si>
  <si>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</si>
  <si>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</si>
  <si>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</si>
  <si>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</si>
  <si>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</si>
  <si>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</si>
  <si>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</si>
  <si>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</si>
  <si>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</si>
  <si>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</si>
  <si>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</si>
  <si>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</si>
  <si>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</si>
  <si>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</si>
  <si>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</si>
  <si>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</si>
  <si>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</si>
  <si>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</si>
  <si>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</si>
  <si>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</si>
  <si>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</si>
  <si>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</si>
  <si>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</si>
  <si>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</si>
  <si>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</si>
  <si>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</si>
  <si>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</si>
  <si>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</si>
  <si>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</si>
  <si>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</si>
  <si>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</si>
  <si>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</si>
  <si>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</si>
  <si>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</si>
  <si>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</si>
  <si>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</si>
  <si>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</si>
  <si>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</si>
  <si>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</si>
  <si>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Valor à direita</t>
  </si>
  <si>
    <t>Parênteses à direita</t>
  </si>
  <si>
    <t>Expressão</t>
  </si>
  <si>
    <t>Conector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</si>
  <si>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</si>
  <si>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</si>
  <si>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</si>
  <si>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</si>
  <si>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</si>
  <si>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</si>
  <si>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</si>
  <si>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</si>
  <si>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</si>
  <si>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</si>
  <si>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</si>
  <si>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</si>
  <si>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</si>
  <si>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</si>
  <si>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</si>
  <si>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</si>
  <si>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</si>
  <si>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</si>
  <si>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</si>
  <si>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</si>
  <si>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</si>
  <si>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</si>
  <si>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</si>
  <si>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</si>
  <si>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</si>
  <si>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</si>
  <si>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</si>
  <si>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</si>
  <si>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</si>
  <si>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</si>
  <si>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</si>
  <si>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</si>
  <si>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</si>
  <si>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</si>
  <si>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</si>
  <si>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</si>
  <si>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</si>
  <si>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</si>
  <si>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</si>
  <si>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</si>
  <si>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</si>
  <si>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</si>
  <si>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</si>
  <si>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</si>
  <si>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</si>
  <si>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</si>
  <si>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</si>
  <si>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</si>
  <si>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</si>
  <si>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É pré-CRUD?</t>
  </si>
  <si>
    <t>Gancho é ativo?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</si>
  <si>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</si>
  <si>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</si>
  <si>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</si>
  <si>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</si>
  <si>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</si>
  <si>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</si>
  <si>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</si>
  <si>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</si>
  <si>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</si>
  <si>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</si>
  <si>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</si>
  <si>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</si>
  <si>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</si>
  <si>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</si>
  <si>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</si>
  <si>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</si>
  <si>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</si>
  <si>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</si>
  <si>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</si>
  <si>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</si>
  <si>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</si>
  <si>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</si>
  <si>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</si>
  <si>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</si>
  <si>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</si>
  <si>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</si>
  <si>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</si>
  <si>
    <t>Id da t abela</t>
  </si>
  <si>
    <t>Nome do índice</t>
  </si>
  <si>
    <t>É índice único?</t>
  </si>
  <si>
    <t>Único?</t>
  </si>
  <si>
    <t>Id da coluna chave</t>
  </si>
  <si>
    <t>Sequência da coluna chave</t>
  </si>
  <si>
    <t>É unicidade bidirecional?</t>
  </si>
  <si>
    <t>Id do comparador lógico</t>
  </si>
  <si>
    <t>Alias da referência</t>
  </si>
  <si>
    <t>URL's</t>
  </si>
  <si>
    <t>Scripts de Snipers</t>
  </si>
  <si>
    <t>URL's HTTP/HTTPS de Snipers</t>
  </si>
  <si>
    <t>Snipers</t>
  </si>
  <si>
    <t>Snp</t>
  </si>
  <si>
    <t>Snipers Pré/Pós CRUD</t>
  </si>
  <si>
    <t>Id do sniper</t>
  </si>
  <si>
    <t>Tabela do sniper</t>
  </si>
  <si>
    <t>Nome do sniper</t>
  </si>
  <si>
    <t>IsVirtual</t>
  </si>
  <si>
    <t>É virtual?</t>
  </si>
  <si>
    <t>Virtual?</t>
  </si>
  <si>
    <t>Virtuais</t>
  </si>
  <si>
    <t>Vrt</t>
  </si>
  <si>
    <t>Colunas Virtuais</t>
  </si>
  <si>
    <t>Id da coluna virtual</t>
  </si>
  <si>
    <t>Valor da coluna virtual</t>
  </si>
  <si>
    <t>ValueId</t>
  </si>
  <si>
    <t>Id do valor na tabela</t>
  </si>
  <si>
    <t>Id do valor</t>
  </si>
  <si>
    <t>Cadastro</t>
  </si>
  <si>
    <t>Associação</t>
  </si>
  <si>
    <t>Manutenção de Tabelas de Definição</t>
  </si>
  <si>
    <t>Definição</t>
  </si>
  <si>
    <t>Engine</t>
  </si>
  <si>
    <t>IsParentChild</t>
  </si>
  <si>
    <t>ComplementaryTableid</t>
  </si>
  <si>
    <t>#ComplementaryTableName</t>
  </si>
  <si>
    <t>Id da tabela complementar</t>
  </si>
  <si>
    <t>Tabela complementar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</si>
</sst>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ColWidth="11.6640625" defaultRowHeight="14.4"/>
  <cols>
    <col min="1" max="1" width="3" bestFit="1" customWidth="1"/>
    <col min="2" max="2" width="10.33203125" bestFit="1" customWidth="1"/>
    <col min="3" max="3" width="12.44140625" bestFit="1" customWidth="1"/>
    <col min="4" max="4" width="12.88671875" bestFit="1" customWidth="1"/>
    <col min="5" max="5" width="13.33203125" bestFit="1" customWidth="1"/>
    <col min="6" max="8" width="12.44140625" bestFit="1" customWidth="1"/>
    <col min="9" max="9" width="12.6640625" bestFit="1" customWidth="1"/>
    <col min="10" max="10" width="13.109375" style="6" bestFit="1" customWidth="1"/>
    <col min="11" max="11" width="12.441406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170</v>
      </c>
      <c r="G1" s="1" t="s">
        <v>2</v>
      </c>
      <c r="H1" s="1" t="s">
        <v>167</v>
      </c>
      <c r="I1" s="1" t="s">
        <v>23</v>
      </c>
      <c r="J1" s="1" t="s">
        <v>612</v>
      </c>
      <c r="K1" s="1" t="s">
        <v>539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207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selection activeCell="I27" sqref="I27"/>
    </sheetView>
  </sheetViews>
  <sheetFormatPr defaultColWidth="9.109375" defaultRowHeight="14.4"/>
  <cols>
    <col min="1" max="1" width="3" bestFit="1" customWidth="1"/>
    <col min="2" max="2" width="7.5546875" style="6" bestFit="1" customWidth="1"/>
    <col min="3" max="3" width="22" bestFit="1" customWidth="1"/>
    <col min="4" max="4" width="5.33203125" bestFit="1" customWidth="1"/>
  </cols>
  <sheetData>
    <row r="1" spans="1:4" s="1" customFormat="1">
      <c r="A1" s="1" t="s">
        <v>0</v>
      </c>
      <c r="B1" s="1" t="s">
        <v>634</v>
      </c>
      <c r="C1" s="1" t="s">
        <v>66</v>
      </c>
      <c r="D1" s="1" t="s">
        <v>635</v>
      </c>
    </row>
    <row r="2" spans="1:4">
      <c r="A2">
        <f>ROW(A2)-1</f>
        <v>1</v>
      </c>
      <c r="B2" s="6" t="s">
        <v>386</v>
      </c>
      <c r="C2" t="s">
        <v>716</v>
      </c>
      <c r="D2">
        <v>2</v>
      </c>
    </row>
    <row r="3" spans="1:4">
      <c r="A3">
        <f>ROW(A3)-1</f>
        <v>2</v>
      </c>
      <c r="B3" s="6" t="s">
        <v>636</v>
      </c>
      <c r="C3" t="s">
        <v>649</v>
      </c>
      <c r="D3">
        <v>2</v>
      </c>
    </row>
    <row r="4" spans="1:4">
      <c r="A4">
        <f>ROW(A4)-1</f>
        <v>3</v>
      </c>
      <c r="B4" s="6" t="s">
        <v>469</v>
      </c>
      <c r="C4" t="s">
        <v>650</v>
      </c>
      <c r="D4">
        <v>2</v>
      </c>
    </row>
    <row r="5" spans="1:4">
      <c r="A5">
        <f>ROW(A5)-1</f>
        <v>4</v>
      </c>
      <c r="B5" s="6" t="s">
        <v>637</v>
      </c>
      <c r="C5" t="s">
        <v>651</v>
      </c>
      <c r="D5">
        <v>2</v>
      </c>
    </row>
    <row r="6" spans="1:4">
      <c r="A6">
        <f t="shared" ref="A6:A15" si="0">ROW(A6)-1</f>
        <v>5</v>
      </c>
      <c r="B6" s="6" t="s">
        <v>638</v>
      </c>
      <c r="C6" t="s">
        <v>647</v>
      </c>
      <c r="D6">
        <v>2</v>
      </c>
    </row>
    <row r="7" spans="1:4">
      <c r="A7">
        <f t="shared" si="0"/>
        <v>6</v>
      </c>
      <c r="B7" s="6" t="s">
        <v>387</v>
      </c>
      <c r="C7" t="s">
        <v>648</v>
      </c>
      <c r="D7">
        <v>2</v>
      </c>
    </row>
    <row r="8" spans="1:4">
      <c r="A8">
        <f t="shared" si="0"/>
        <v>7</v>
      </c>
      <c r="B8" s="6" t="s">
        <v>639</v>
      </c>
      <c r="C8" t="s">
        <v>652</v>
      </c>
    </row>
    <row r="9" spans="1:4">
      <c r="A9">
        <f t="shared" si="0"/>
        <v>8</v>
      </c>
      <c r="B9" s="6" t="s">
        <v>640</v>
      </c>
      <c r="C9" t="s">
        <v>653</v>
      </c>
    </row>
    <row r="10" spans="1:4">
      <c r="A10">
        <f t="shared" si="0"/>
        <v>9</v>
      </c>
      <c r="B10" s="6" t="s">
        <v>641</v>
      </c>
      <c r="C10" t="s">
        <v>654</v>
      </c>
      <c r="D10">
        <v>2</v>
      </c>
    </row>
    <row r="11" spans="1:4">
      <c r="A11">
        <f t="shared" si="0"/>
        <v>10</v>
      </c>
      <c r="B11" s="6" t="s">
        <v>642</v>
      </c>
      <c r="C11" t="s">
        <v>655</v>
      </c>
      <c r="D11">
        <v>2</v>
      </c>
    </row>
    <row r="12" spans="1:4">
      <c r="A12">
        <f t="shared" si="0"/>
        <v>11</v>
      </c>
      <c r="B12" s="6" t="s">
        <v>643</v>
      </c>
      <c r="C12" t="s">
        <v>657</v>
      </c>
      <c r="D12">
        <v>3</v>
      </c>
    </row>
    <row r="13" spans="1:4">
      <c r="A13">
        <f t="shared" si="0"/>
        <v>12</v>
      </c>
      <c r="B13" s="6" t="s">
        <v>644</v>
      </c>
      <c r="C13" t="s">
        <v>656</v>
      </c>
      <c r="D13">
        <v>3</v>
      </c>
    </row>
    <row r="14" spans="1:4">
      <c r="A14">
        <f t="shared" si="0"/>
        <v>13</v>
      </c>
      <c r="B14" s="6" t="s">
        <v>645</v>
      </c>
      <c r="C14" t="s">
        <v>658</v>
      </c>
      <c r="D14">
        <v>1</v>
      </c>
    </row>
    <row r="15" spans="1:4">
      <c r="A15">
        <f t="shared" si="0"/>
        <v>14</v>
      </c>
      <c r="B15" s="6" t="s">
        <v>646</v>
      </c>
      <c r="C15" t="s">
        <v>659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53" activePane="bottomLeft" state="frozen"/>
      <selection pane="bottomLeft" activeCell="E69" sqref="E69"/>
    </sheetView>
  </sheetViews>
  <sheetFormatPr defaultColWidth="10.44140625" defaultRowHeight="14.4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0</v>
      </c>
      <c r="B1" s="1" t="s">
        <v>16</v>
      </c>
      <c r="C1" s="1" t="s">
        <v>146</v>
      </c>
      <c r="D1" s="1" t="s">
        <v>670</v>
      </c>
      <c r="E1" s="1" t="s">
        <v>823</v>
      </c>
      <c r="F1" s="1" t="s">
        <v>715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B2" sqref="B2"/>
    </sheetView>
  </sheetViews>
  <sheetFormatPr defaultColWidth="40.88671875" defaultRowHeight="14.4"/>
  <cols>
    <col min="1" max="1" width="3" bestFit="1" customWidth="1"/>
    <col min="2" max="2" width="14" bestFit="1" customWidth="1"/>
    <col min="3" max="3" width="29.88671875" bestFit="1" customWidth="1"/>
    <col min="4" max="5" width="12.44140625" bestFit="1" customWidth="1"/>
  </cols>
  <sheetData>
    <row r="1" spans="1:5" s="1" customFormat="1">
      <c r="A1" s="1" t="s">
        <v>0</v>
      </c>
      <c r="B1" s="1" t="s">
        <v>1</v>
      </c>
      <c r="C1" s="1" t="s">
        <v>481</v>
      </c>
      <c r="D1" s="1" t="s">
        <v>488</v>
      </c>
      <c r="E1" s="1" t="s">
        <v>24</v>
      </c>
    </row>
    <row r="2" spans="1:5">
      <c r="A2">
        <f>ROW(A2)-1</f>
        <v>1</v>
      </c>
      <c r="B2" t="s">
        <v>219</v>
      </c>
      <c r="C2" t="s">
        <v>482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220</v>
      </c>
      <c r="C3" t="s">
        <v>483</v>
      </c>
      <c r="D3" t="b">
        <v>0</v>
      </c>
      <c r="E3" t="b">
        <v>0</v>
      </c>
    </row>
    <row r="4" spans="1:5">
      <c r="A4">
        <f t="shared" si="0"/>
        <v>3</v>
      </c>
      <c r="B4" t="s">
        <v>221</v>
      </c>
      <c r="C4" t="s">
        <v>527</v>
      </c>
      <c r="D4" t="b">
        <v>0</v>
      </c>
      <c r="E4" t="b">
        <v>0</v>
      </c>
    </row>
    <row r="5" spans="1:5">
      <c r="A5">
        <f t="shared" si="0"/>
        <v>4</v>
      </c>
      <c r="B5" t="s">
        <v>222</v>
      </c>
      <c r="C5" t="s">
        <v>484</v>
      </c>
      <c r="D5" t="b">
        <v>0</v>
      </c>
      <c r="E5" t="b">
        <v>0</v>
      </c>
    </row>
    <row r="6" spans="1:5">
      <c r="A6">
        <f t="shared" si="0"/>
        <v>5</v>
      </c>
      <c r="B6" t="s">
        <v>223</v>
      </c>
      <c r="C6" s="15" t="s">
        <v>485</v>
      </c>
      <c r="D6" t="b">
        <v>1</v>
      </c>
      <c r="E6" t="b">
        <v>0</v>
      </c>
    </row>
    <row r="7" spans="1:5">
      <c r="A7">
        <f t="shared" si="0"/>
        <v>6</v>
      </c>
      <c r="B7" t="s">
        <v>269</v>
      </c>
      <c r="C7" s="15" t="s">
        <v>528</v>
      </c>
      <c r="D7" t="b">
        <v>1</v>
      </c>
      <c r="E7" t="b">
        <v>0</v>
      </c>
    </row>
    <row r="8" spans="1:5">
      <c r="A8">
        <f t="shared" si="0"/>
        <v>7</v>
      </c>
      <c r="B8" t="s">
        <v>270</v>
      </c>
      <c r="C8" s="15" t="s">
        <v>486</v>
      </c>
      <c r="D8" t="b">
        <v>1</v>
      </c>
      <c r="E8" t="b">
        <v>0</v>
      </c>
    </row>
    <row r="9" spans="1:5">
      <c r="A9">
        <f t="shared" si="0"/>
        <v>8</v>
      </c>
      <c r="B9" t="s">
        <v>271</v>
      </c>
      <c r="C9" s="15" t="s">
        <v>487</v>
      </c>
      <c r="D9" t="b">
        <v>0</v>
      </c>
      <c r="E9" t="b">
        <v>0</v>
      </c>
    </row>
    <row r="10" spans="1:5">
      <c r="A10">
        <f t="shared" si="0"/>
        <v>9</v>
      </c>
      <c r="B10" t="s">
        <v>272</v>
      </c>
      <c r="C10" s="15" t="s">
        <v>529</v>
      </c>
      <c r="D10" t="b">
        <v>0</v>
      </c>
      <c r="E10" t="b">
        <v>0</v>
      </c>
    </row>
    <row r="11" spans="1:5">
      <c r="A11">
        <f t="shared" si="0"/>
        <v>10</v>
      </c>
      <c r="B11" t="s">
        <v>273</v>
      </c>
      <c r="C11" s="10" t="s">
        <v>530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6" activePane="bottomLeft" state="frozen"/>
      <selection pane="bottomLeft" activeCell="D6" sqref="D6"/>
    </sheetView>
  </sheetViews>
  <sheetFormatPr defaultColWidth="10" defaultRowHeight="14.4"/>
  <cols>
    <col min="1" max="1" width="3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0</v>
      </c>
      <c r="B1" s="1" t="s">
        <v>16</v>
      </c>
      <c r="C1" s="1" t="s">
        <v>146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507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509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378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197</v>
      </c>
      <c r="F6" s="4" t="s">
        <v>198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199</v>
      </c>
      <c r="F7" s="4" t="s">
        <v>200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379</v>
      </c>
      <c r="E8" s="4" t="s">
        <v>201</v>
      </c>
      <c r="F8" s="4" t="s">
        <v>202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380</v>
      </c>
      <c r="E9" s="4" t="s">
        <v>201</v>
      </c>
      <c r="F9" s="4" t="s">
        <v>202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381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382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377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362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361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365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177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203</v>
      </c>
      <c r="F24" s="4" t="s">
        <v>204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510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383</v>
      </c>
      <c r="E30" s="4" t="s">
        <v>205</v>
      </c>
      <c r="F30" s="4" t="s">
        <v>206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508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364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178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363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176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214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77" activePane="bottomLeft" state="frozen"/>
      <selection pane="bottomLeft" activeCell="E83" sqref="E83"/>
    </sheetView>
  </sheetViews>
  <sheetFormatPr defaultColWidth="9.44140625" defaultRowHeight="14.4"/>
  <cols>
    <col min="1" max="1" width="4" bestFit="1" customWidth="1"/>
    <col min="2" max="2" width="8.6640625" bestFit="1" customWidth="1"/>
    <col min="3" max="3" width="14" bestFit="1" customWidth="1"/>
    <col min="4" max="4" width="7" bestFit="1" customWidth="1"/>
    <col min="5" max="5" width="16.88671875" bestFit="1" customWidth="1"/>
    <col min="6" max="6" width="43.5546875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474</v>
      </c>
      <c r="C1" s="7" t="s">
        <v>254</v>
      </c>
      <c r="D1" s="7" t="s">
        <v>53</v>
      </c>
      <c r="E1" s="7" t="s">
        <v>147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177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178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176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177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224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243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239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226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227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244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244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228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267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230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245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245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246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247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267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226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248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268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234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248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238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244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225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267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241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234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248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233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228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249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226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250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246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234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248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248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65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224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243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239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226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227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244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244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228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267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230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245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245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246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247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267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226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248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268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234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248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238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244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225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267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241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234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248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233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228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249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226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250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246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234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248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248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65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224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251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239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226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227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228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228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229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268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236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252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245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251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231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268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226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241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268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234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241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232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228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225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268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274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667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241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233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228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225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251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251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234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241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235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274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224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243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225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226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227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228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228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229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267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236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237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231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267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226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275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268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234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275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238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228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225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267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275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234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275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233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228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225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226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237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276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234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275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275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275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224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243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225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226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227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228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228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229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267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236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237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231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267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226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275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268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234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275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238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228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225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267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275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234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275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233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228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225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226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237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276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234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275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275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275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224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243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225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226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227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228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228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229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267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236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279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231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267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226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278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268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234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278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238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228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225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267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278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234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278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233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228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225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226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279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276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234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278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278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278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280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281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239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226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227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282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286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283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267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238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281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231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267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240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241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267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242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241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238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282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225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267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284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284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241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285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286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225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226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281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281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234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241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287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65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289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288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289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226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227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227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228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229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289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290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291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291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276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289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289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240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287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289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292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287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293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227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289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289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294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295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287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227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228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289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288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276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276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295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287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296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65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224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276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225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226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227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228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228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229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267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230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277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276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231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267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297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287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268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298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287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232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228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225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267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235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234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287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233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228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225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226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276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276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234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287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235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65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tabSelected="1" workbookViewId="0">
      <pane ySplit="1" topLeftCell="A2" activePane="bottomLeft" state="frozen"/>
      <selection pane="bottomLeft" activeCell="C7" sqref="C7"/>
    </sheetView>
  </sheetViews>
  <sheetFormatPr defaultRowHeight="14.4"/>
  <cols>
    <col min="1" max="1" width="2.6640625" bestFit="1" customWidth="1"/>
    <col min="2" max="2" width="9" bestFit="1" customWidth="1"/>
    <col min="3" max="3" width="143.109375" customWidth="1"/>
    <col min="4" max="4" width="8.6640625" bestFit="1" customWidth="1"/>
    <col min="5" max="5" width="13.44140625" bestFit="1" customWidth="1"/>
    <col min="6" max="6" width="12.44140625" bestFit="1" customWidth="1"/>
  </cols>
  <sheetData>
    <row r="1" spans="1:6" s="1" customFormat="1">
      <c r="A1" s="1" t="s">
        <v>0</v>
      </c>
      <c r="B1" s="1" t="s">
        <v>1</v>
      </c>
      <c r="C1" s="1" t="s">
        <v>255</v>
      </c>
      <c r="D1" s="1" t="s">
        <v>474</v>
      </c>
      <c r="E1" s="1" t="s">
        <v>254</v>
      </c>
      <c r="F1" s="1" t="s">
        <v>24</v>
      </c>
    </row>
    <row r="2" spans="1:6">
      <c r="A2">
        <f>ROW(A2)-1</f>
        <v>1</v>
      </c>
      <c r="B2" t="s">
        <v>385</v>
      </c>
      <c r="C2" t="s">
        <v>256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257</v>
      </c>
      <c r="C3" t="s">
        <v>258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259</v>
      </c>
      <c r="C4" t="s">
        <v>260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261</v>
      </c>
      <c r="C5" t="s">
        <v>262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263</v>
      </c>
      <c r="C6" t="s">
        <v>264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3"/>
  <sheetViews>
    <sheetView zoomScaleNormal="100" workbookViewId="0">
      <pane ySplit="1" topLeftCell="A35" activePane="bottomLeft" state="frozen"/>
      <selection pane="bottomLeft" activeCell="A43" sqref="A43"/>
    </sheetView>
  </sheetViews>
  <sheetFormatPr defaultColWidth="54.88671875" defaultRowHeight="14.4"/>
  <cols>
    <col min="1" max="1" width="3" bestFit="1" customWidth="1"/>
    <col min="2" max="2" width="8" bestFit="1" customWidth="1"/>
    <col min="3" max="3" width="12.5546875" bestFit="1" customWidth="1"/>
    <col min="4" max="4" width="7" bestFit="1" customWidth="1"/>
    <col min="5" max="5" width="16.44140625" bestFit="1" customWidth="1"/>
    <col min="6" max="6" width="15.33203125" bestFit="1" customWidth="1"/>
    <col min="7" max="7" width="17.6640625" bestFit="1" customWidth="1"/>
    <col min="8" max="8" width="7" bestFit="1" customWidth="1"/>
    <col min="9" max="9" width="9" bestFit="1" customWidth="1"/>
    <col min="10" max="10" width="7.5546875" bestFit="1" customWidth="1"/>
    <col min="11" max="11" width="9.6640625" bestFit="1" customWidth="1"/>
    <col min="12" max="12" width="10" bestFit="1" customWidth="1"/>
    <col min="13" max="13" width="10.44140625" bestFit="1" customWidth="1"/>
    <col min="14" max="14" width="40" bestFit="1" customWidth="1"/>
    <col min="15" max="15" width="26.5546875" bestFit="1" customWidth="1"/>
  </cols>
  <sheetData>
    <row r="1" spans="1:15" s="1" customFormat="1">
      <c r="A1" s="1" t="s">
        <v>0</v>
      </c>
      <c r="B1" s="1" t="s">
        <v>433</v>
      </c>
      <c r="C1" s="1" t="s">
        <v>342</v>
      </c>
      <c r="D1" s="1" t="s">
        <v>53</v>
      </c>
      <c r="E1" s="1" t="s">
        <v>147</v>
      </c>
      <c r="F1" s="1" t="s">
        <v>146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526</v>
      </c>
      <c r="N1" s="1" t="s">
        <v>140</v>
      </c>
      <c r="O1" s="1" t="s">
        <v>760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244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179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180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181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182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183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447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767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441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442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443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444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445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448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766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446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299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300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301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354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305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307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309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312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313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314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345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346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347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436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437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438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439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440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384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64</v>
      </c>
    </row>
    <row r="44" spans="1:15">
      <c r="A44">
        <f t="shared" ref="A44:A53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506</v>
      </c>
      <c r="H44">
        <v>10</v>
      </c>
      <c r="N44" t="s">
        <v>674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432</v>
      </c>
      <c r="H45">
        <v>10</v>
      </c>
      <c r="M45" s="10"/>
      <c r="N45" s="10" t="s">
        <v>763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765</v>
      </c>
      <c r="H46">
        <v>5</v>
      </c>
      <c r="M46" s="10"/>
      <c r="N46" s="10" t="s">
        <v>505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524</v>
      </c>
      <c r="H47">
        <v>10</v>
      </c>
      <c r="M47" s="10" t="s">
        <v>464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525</v>
      </c>
      <c r="H48">
        <v>10</v>
      </c>
      <c r="M48" s="10" t="s">
        <v>465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704</v>
      </c>
      <c r="H49">
        <v>10</v>
      </c>
      <c r="N49" t="s">
        <v>705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761</v>
      </c>
      <c r="O50" t="s">
        <v>762</v>
      </c>
    </row>
    <row r="51" spans="1:15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38</v>
      </c>
      <c r="E51" t="str" cm="1">
        <f t="array" ref="E51">GetValue("Typ",D51,"Name")</f>
        <v>json</v>
      </c>
      <c r="F51" t="str" cm="1">
        <f t="array" ref="F51">GetValue("Typ",D51,"#CategoryName")</f>
        <v>text</v>
      </c>
      <c r="G51" t="s">
        <v>65</v>
      </c>
      <c r="O51" t="s">
        <v>762</v>
      </c>
    </row>
    <row r="52" spans="1:15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29</v>
      </c>
      <c r="E52" t="str" cm="1">
        <f t="array" ref="E52">GetValue("Typ",D52,"Name")</f>
        <v>time(s)</v>
      </c>
      <c r="F52" t="str" cm="1">
        <f t="array" ref="F52">GetValue("Typ",D52,"#CategoryName")</f>
        <v>time</v>
      </c>
      <c r="G52" t="s">
        <v>233</v>
      </c>
      <c r="O52" t="s">
        <v>762</v>
      </c>
    </row>
    <row r="53" spans="1:15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5</v>
      </c>
      <c r="E53" t="str" cm="1">
        <f t="array" ref="E53">GetValue("Typ",D53,"Name")</f>
        <v>date</v>
      </c>
      <c r="F53" t="str" cm="1">
        <f t="array" ref="F53">GetValue("Typ",D53,"#CategoryName")</f>
        <v>date</v>
      </c>
      <c r="G53" t="s">
        <v>227</v>
      </c>
      <c r="O53" t="s">
        <v>762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E15" sqref="E15"/>
    </sheetView>
  </sheetViews>
  <sheetFormatPr defaultRowHeight="14.4"/>
  <cols>
    <col min="1" max="1" width="3.6640625" bestFit="1" customWidth="1"/>
    <col min="2" max="2" width="7.44140625" bestFit="1" customWidth="1"/>
    <col min="3" max="3" width="11.6640625" bestFit="1" customWidth="1"/>
    <col min="4" max="4" width="17.33203125" bestFit="1" customWidth="1"/>
    <col min="5" max="5" width="18.5546875" bestFit="1" customWidth="1"/>
    <col min="6" max="6" width="18.5546875" style="2" bestFit="1" customWidth="1"/>
    <col min="7" max="7" width="11.6640625" bestFit="1" customWidth="1"/>
    <col min="9" max="9" width="79.88671875" bestFit="1" customWidth="1"/>
  </cols>
  <sheetData>
    <row r="1" spans="1:9" s="1" customFormat="1">
      <c r="A1" s="1" t="s">
        <v>0</v>
      </c>
      <c r="B1" s="1" t="s">
        <v>433</v>
      </c>
      <c r="C1" s="1" t="s">
        <v>342</v>
      </c>
      <c r="D1" s="13" t="s">
        <v>1</v>
      </c>
      <c r="E1" s="13" t="s">
        <v>522</v>
      </c>
      <c r="F1" s="25" t="s">
        <v>515</v>
      </c>
      <c r="G1" s="1" t="s">
        <v>660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316</v>
      </c>
      <c r="E2" t="s">
        <v>317</v>
      </c>
      <c r="F2" s="26">
        <v>99999999</v>
      </c>
      <c r="G2" t="s">
        <v>757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299</v>
      </c>
      <c r="E3" t="s">
        <v>302</v>
      </c>
      <c r="F3" s="2" t="s">
        <v>679</v>
      </c>
      <c r="G3" t="s">
        <v>757</v>
      </c>
      <c r="I3" t="s">
        <v>523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300</v>
      </c>
      <c r="E4" t="s">
        <v>303</v>
      </c>
      <c r="F4" s="2" t="s">
        <v>680</v>
      </c>
      <c r="G4" t="s">
        <v>757</v>
      </c>
      <c r="I4" t="s">
        <v>758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354</v>
      </c>
      <c r="E5" t="s">
        <v>355</v>
      </c>
      <c r="F5" s="2" t="s">
        <v>681</v>
      </c>
      <c r="G5" t="s">
        <v>757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449</v>
      </c>
      <c r="E6" t="s">
        <v>306</v>
      </c>
      <c r="F6" s="2" t="s">
        <v>682</v>
      </c>
      <c r="G6" t="s">
        <v>757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307</v>
      </c>
      <c r="E7" t="s">
        <v>308</v>
      </c>
      <c r="F7" s="2">
        <v>99999999999</v>
      </c>
      <c r="G7" t="s">
        <v>757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309</v>
      </c>
      <c r="E8" t="s">
        <v>310</v>
      </c>
      <c r="F8" s="2">
        <v>99999999</v>
      </c>
      <c r="G8" t="s">
        <v>757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311</v>
      </c>
      <c r="E9" t="s">
        <v>359</v>
      </c>
      <c r="F9" s="2" t="s">
        <v>683</v>
      </c>
      <c r="G9" t="s">
        <v>757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312</v>
      </c>
      <c r="E10" t="s">
        <v>360</v>
      </c>
      <c r="F10" s="2" t="s">
        <v>684</v>
      </c>
      <c r="G10" t="s">
        <v>757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313</v>
      </c>
      <c r="E11" t="s">
        <v>351</v>
      </c>
      <c r="F11" s="2" t="s">
        <v>685</v>
      </c>
      <c r="G11" t="s">
        <v>757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314</v>
      </c>
      <c r="E12" t="s">
        <v>315</v>
      </c>
      <c r="F12" s="2" t="s">
        <v>686</v>
      </c>
      <c r="G12" t="s">
        <v>759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345</v>
      </c>
      <c r="E13" t="s">
        <v>348</v>
      </c>
      <c r="F13" s="2" t="s">
        <v>687</v>
      </c>
      <c r="G13" t="s">
        <v>757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436</v>
      </c>
      <c r="E14" t="s">
        <v>349</v>
      </c>
      <c r="F14" s="2" t="s">
        <v>688</v>
      </c>
      <c r="G14" t="s">
        <v>757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437</v>
      </c>
      <c r="E15" t="s">
        <v>350</v>
      </c>
      <c r="F15" s="2" t="s">
        <v>689</v>
      </c>
      <c r="G15" t="s">
        <v>757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438</v>
      </c>
      <c r="E16" t="s">
        <v>357</v>
      </c>
      <c r="F16" s="4" t="s">
        <v>690</v>
      </c>
      <c r="G16" t="s">
        <v>759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439</v>
      </c>
      <c r="E17" t="s">
        <v>358</v>
      </c>
      <c r="F17" s="4" t="s">
        <v>691</v>
      </c>
      <c r="G17" t="s">
        <v>759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346</v>
      </c>
      <c r="E18" t="s">
        <v>352</v>
      </c>
      <c r="F18" s="2" t="s">
        <v>692</v>
      </c>
      <c r="G18" t="s">
        <v>757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440</v>
      </c>
      <c r="E19" t="s">
        <v>353</v>
      </c>
      <c r="F19" s="2" t="s">
        <v>693</v>
      </c>
      <c r="G19" t="s">
        <v>757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347</v>
      </c>
      <c r="E20" t="s">
        <v>308</v>
      </c>
      <c r="F20" s="2">
        <v>99999999999</v>
      </c>
      <c r="G20" t="s">
        <v>757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546875" defaultRowHeight="14.4"/>
  <cols>
    <col min="1" max="1" width="3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0</v>
      </c>
      <c r="B1" s="1" t="s">
        <v>96</v>
      </c>
      <c r="C1" s="1" t="s">
        <v>153</v>
      </c>
      <c r="D1" s="1" t="s">
        <v>54</v>
      </c>
      <c r="E1" s="1" t="s">
        <v>148</v>
      </c>
      <c r="F1" s="8" t="s">
        <v>450</v>
      </c>
      <c r="G1" s="8" t="s">
        <v>451</v>
      </c>
      <c r="H1" s="9" t="s">
        <v>452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668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669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320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321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320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321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322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323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356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324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325</v>
      </c>
      <c r="H13" s="12" t="s">
        <v>304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324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326</v>
      </c>
      <c r="H15" s="12" t="s">
        <v>304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8.6640625" bestFit="1" customWidth="1"/>
    <col min="5" max="5" width="13.44140625" bestFit="1" customWidth="1"/>
    <col min="6" max="6" width="7" bestFit="1" customWidth="1"/>
    <col min="7" max="7" width="13.109375" bestFit="1" customWidth="1"/>
  </cols>
  <sheetData>
    <row r="1" spans="1:7" s="1" customFormat="1">
      <c r="A1" s="1" t="s">
        <v>0</v>
      </c>
      <c r="B1" s="1" t="s">
        <v>433</v>
      </c>
      <c r="C1" s="1" t="s">
        <v>342</v>
      </c>
      <c r="D1" s="1" t="s">
        <v>474</v>
      </c>
      <c r="E1" s="1" t="s">
        <v>254</v>
      </c>
      <c r="F1" s="1" t="s">
        <v>1</v>
      </c>
      <c r="G1" s="1" t="s">
        <v>66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168</v>
      </c>
      <c r="G2" t="s">
        <v>169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12.44140625" bestFit="1" customWidth="1"/>
    <col min="5" max="5" width="39.109375" bestFit="1" customWidth="1"/>
    <col min="6" max="6" width="154.10937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84</v>
      </c>
      <c r="C1" s="1" t="s">
        <v>151</v>
      </c>
      <c r="D1" s="1" t="s">
        <v>434</v>
      </c>
      <c r="E1" s="1" t="s">
        <v>318</v>
      </c>
      <c r="F1" s="1" t="s">
        <v>215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216</v>
      </c>
      <c r="E2" t="s">
        <v>209</v>
      </c>
      <c r="F2" t="s">
        <v>457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265</v>
      </c>
      <c r="E3" t="s">
        <v>209</v>
      </c>
      <c r="F3" t="s">
        <v>458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266</v>
      </c>
      <c r="E4" t="s">
        <v>209</v>
      </c>
      <c r="F4" t="s">
        <v>459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D6" sqref="D6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0</v>
      </c>
      <c r="B1" s="1" t="s">
        <v>84</v>
      </c>
      <c r="C1" s="1" t="s">
        <v>151</v>
      </c>
      <c r="D1" s="1" t="s">
        <v>343</v>
      </c>
      <c r="E1" s="1" t="s">
        <v>1</v>
      </c>
      <c r="F1" s="1" t="s">
        <v>66</v>
      </c>
      <c r="G1" s="1" t="s">
        <v>67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344</v>
      </c>
      <c r="E2" t="s">
        <v>168</v>
      </c>
      <c r="F2" t="s">
        <v>169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9.109375" bestFit="1" customWidth="1"/>
    <col min="3" max="3" width="13.88671875" bestFit="1" customWidth="1"/>
    <col min="4" max="4" width="9.6640625" bestFit="1" customWidth="1"/>
    <col min="5" max="5" width="12" bestFit="1" customWidth="1"/>
    <col min="6" max="6" width="33.88671875" bestFit="1" customWidth="1"/>
    <col min="7" max="7" width="14" bestFit="1" customWidth="1"/>
    <col min="8" max="8" width="20.33203125" bestFit="1" customWidth="1"/>
    <col min="9" max="9" width="12.44140625" bestFit="1" customWidth="1"/>
  </cols>
  <sheetData>
    <row r="1" spans="1:9" s="1" customFormat="1">
      <c r="A1" s="1" t="s">
        <v>0</v>
      </c>
      <c r="B1" s="1" t="s">
        <v>68</v>
      </c>
      <c r="C1" s="1" t="s">
        <v>150</v>
      </c>
      <c r="D1" s="1" t="s">
        <v>69</v>
      </c>
      <c r="E1" s="1" t="s">
        <v>70</v>
      </c>
      <c r="F1" s="1" t="s">
        <v>71</v>
      </c>
      <c r="G1" s="1" t="s">
        <v>73</v>
      </c>
      <c r="H1" s="1" t="s">
        <v>165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475</v>
      </c>
      <c r="F2" t="s">
        <v>476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930</v>
      </c>
      <c r="F3" t="s">
        <v>477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933</v>
      </c>
      <c r="F4" t="s">
        <v>932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931</v>
      </c>
      <c r="F5" t="s">
        <v>478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N36"/>
  <sheetViews>
    <sheetView zoomScaleNormal="100" workbookViewId="0">
      <pane ySplit="1" topLeftCell="A11" activePane="bottomLeft" state="frozen"/>
      <selection pane="bottomLeft" activeCell="F22" sqref="F22"/>
    </sheetView>
  </sheetViews>
  <sheetFormatPr defaultColWidth="10.5546875" defaultRowHeight="14.4"/>
  <cols>
    <col min="1" max="1" width="3" bestFit="1" customWidth="1"/>
    <col min="2" max="2" width="10.88671875" bestFit="1" customWidth="1"/>
    <col min="3" max="3" width="15.5546875" bestFit="1" customWidth="1"/>
    <col min="4" max="4" width="20.88671875" bestFit="1" customWidth="1"/>
    <col min="5" max="5" width="25.5546875" bestFit="1" customWidth="1"/>
    <col min="6" max="6" width="12.33203125" bestFit="1" customWidth="1"/>
    <col min="7" max="7" width="5.33203125" bestFit="1" customWidth="1"/>
    <col min="8" max="8" width="38.6640625" bestFit="1" customWidth="1"/>
    <col min="9" max="9" width="9.44140625" bestFit="1" customWidth="1"/>
    <col min="10" max="10" width="8" bestFit="1" customWidth="1"/>
    <col min="11" max="11" width="14.33203125" bestFit="1" customWidth="1"/>
    <col min="12" max="12" width="15.109375" bestFit="1" customWidth="1"/>
    <col min="13" max="13" width="19.44140625" bestFit="1" customWidth="1"/>
    <col min="14" max="14" width="49.88671875" bestFit="1" customWidth="1"/>
  </cols>
  <sheetData>
    <row r="1" spans="1:14" s="1" customFormat="1">
      <c r="A1" s="1" t="s">
        <v>0</v>
      </c>
      <c r="B1" s="1" t="s">
        <v>84</v>
      </c>
      <c r="C1" s="1" t="s">
        <v>151</v>
      </c>
      <c r="D1" s="1" t="s">
        <v>936</v>
      </c>
      <c r="E1" s="1" t="s">
        <v>937</v>
      </c>
      <c r="F1" s="1" t="s">
        <v>1</v>
      </c>
      <c r="G1" s="1" t="s">
        <v>83</v>
      </c>
      <c r="H1" s="1" t="s">
        <v>66</v>
      </c>
      <c r="I1" s="1" t="s">
        <v>163</v>
      </c>
      <c r="J1" s="1" t="s">
        <v>455</v>
      </c>
      <c r="K1" s="1" t="s">
        <v>456</v>
      </c>
      <c r="L1" s="1" t="s">
        <v>675</v>
      </c>
      <c r="M1" s="1" t="s">
        <v>676</v>
      </c>
      <c r="N1" s="1" t="s">
        <v>677</v>
      </c>
    </row>
    <row r="2" spans="1:14">
      <c r="A2">
        <f t="shared" ref="A2:A36" si="0">ROW(A2)-1</f>
        <v>1</v>
      </c>
      <c r="B2">
        <v>1</v>
      </c>
      <c r="C2" t="str" cm="1">
        <f t="array" ref="C2">GetValue("Db",B2,"Name")</f>
        <v>crudex</v>
      </c>
      <c r="E2" t="str" cm="1">
        <f t="array" ref="E2">GetValue("Tbl",D2,"Name")</f>
        <v/>
      </c>
      <c r="F2" t="s">
        <v>94</v>
      </c>
      <c r="G2" t="s">
        <v>327</v>
      </c>
      <c r="H2" t="s">
        <v>739</v>
      </c>
      <c r="I2" cm="1">
        <f t="array" ref="I2">GetLastId(A2)</f>
        <v>10</v>
      </c>
      <c r="J2">
        <v>1</v>
      </c>
      <c r="K2" t="str" cm="1">
        <f t="array" ref="K2">GetValue("Mnu",J2,"Caption")</f>
        <v>Manutenção</v>
      </c>
      <c r="L2">
        <v>5</v>
      </c>
      <c r="M2" t="s">
        <v>718</v>
      </c>
      <c r="N2" t="str">
        <f>K2&amp;" de "&amp;H2</f>
        <v>Manutenção de Categorias de Tipos</v>
      </c>
    </row>
    <row r="3" spans="1:14">
      <c r="A3">
        <f t="shared" si="0"/>
        <v>2</v>
      </c>
      <c r="B3">
        <v>1</v>
      </c>
      <c r="C3" t="str" cm="1">
        <f t="array" ref="C3">GetValue("Db",B3,"Name")</f>
        <v>crudex</v>
      </c>
      <c r="E3" t="str" cm="1">
        <f t="array" ref="E3">GetValue("Tbl",D3,"Name")</f>
        <v/>
      </c>
      <c r="F3" t="s">
        <v>671</v>
      </c>
      <c r="G3" t="s">
        <v>672</v>
      </c>
      <c r="H3" t="s">
        <v>673</v>
      </c>
      <c r="I3" cm="1">
        <f t="array" ref="I3">GetLastId(A3)</f>
        <v>14</v>
      </c>
      <c r="J3">
        <v>1</v>
      </c>
      <c r="K3" t="str" cm="1">
        <f t="array" ref="K3">GetValue("Mnu",J3,"Caption")</f>
        <v>Manutenção</v>
      </c>
      <c r="L3">
        <f>L2+5</f>
        <v>10</v>
      </c>
      <c r="M3" t="s">
        <v>673</v>
      </c>
      <c r="N3" t="str">
        <f t="shared" ref="N3:N36" si="1">K3&amp;" de "&amp;H3</f>
        <v>Manutenção de Comparadores</v>
      </c>
    </row>
    <row r="4" spans="1:14">
      <c r="A4">
        <f t="shared" si="0"/>
        <v>3</v>
      </c>
      <c r="B4">
        <v>1</v>
      </c>
      <c r="C4" t="str" cm="1">
        <f t="array" ref="C4">GetValue("Db",B4,"Name")</f>
        <v>crudex</v>
      </c>
      <c r="E4" t="str" cm="1">
        <f t="array" ref="E4">GetValue("Tbl",D4,"Name")</f>
        <v/>
      </c>
      <c r="F4" t="s">
        <v>789</v>
      </c>
      <c r="G4" t="s">
        <v>790</v>
      </c>
      <c r="H4" t="s">
        <v>678</v>
      </c>
      <c r="I4" cm="1">
        <f t="array" ref="I4">GetLastId(A4)</f>
        <v>68</v>
      </c>
      <c r="J4">
        <v>1</v>
      </c>
      <c r="K4" t="str" cm="1">
        <f t="array" ref="K4">GetValue("Mnu",J4,"Caption")</f>
        <v>Manutenção</v>
      </c>
      <c r="L4">
        <f t="shared" ref="L4:L36" si="2">L3+5</f>
        <v>15</v>
      </c>
      <c r="M4" t="s">
        <v>756</v>
      </c>
      <c r="N4" t="str">
        <f t="shared" si="1"/>
        <v>Manutenção de Categorias x Comparadores</v>
      </c>
    </row>
    <row r="5" spans="1:14">
      <c r="A5">
        <f>ROW(A5)-1</f>
        <v>4</v>
      </c>
      <c r="B5">
        <v>1</v>
      </c>
      <c r="C5" t="str" cm="1">
        <f t="array" ref="C5">GetValue("Db",B5,"Name")</f>
        <v>crudex</v>
      </c>
      <c r="E5" t="str" cm="1">
        <f t="array" ref="E5">GetValue("Tbl",D5,"Name")</f>
        <v/>
      </c>
      <c r="F5" t="s">
        <v>367</v>
      </c>
      <c r="G5" t="s">
        <v>370</v>
      </c>
      <c r="H5" t="s">
        <v>374</v>
      </c>
      <c r="I5" cm="1">
        <f t="array" ref="I5">GetLastId(A5)</f>
        <v>10</v>
      </c>
      <c r="J5">
        <v>1</v>
      </c>
      <c r="K5" t="str" cm="1">
        <f t="array" ref="K5">GetValue("Mnu",J5,"Caption")</f>
        <v>Manutenção</v>
      </c>
      <c r="L5">
        <f t="shared" si="2"/>
        <v>20</v>
      </c>
      <c r="M5" t="s">
        <v>374</v>
      </c>
      <c r="N5" t="str">
        <f t="shared" si="1"/>
        <v>Manutenção de SGBD's</v>
      </c>
    </row>
    <row r="6" spans="1:14">
      <c r="A6">
        <f t="shared" si="0"/>
        <v>5</v>
      </c>
      <c r="B6">
        <v>1</v>
      </c>
      <c r="C6" t="str" cm="1">
        <f t="array" ref="C6">GetValue("Db",B6,"Name")</f>
        <v>crudex</v>
      </c>
      <c r="E6" t="str" cm="1">
        <f t="array" ref="E6">GetValue("Tbl",D6,"Name")</f>
        <v/>
      </c>
      <c r="F6" t="s">
        <v>85</v>
      </c>
      <c r="G6" t="s">
        <v>328</v>
      </c>
      <c r="H6" t="s">
        <v>74</v>
      </c>
      <c r="I6" cm="1">
        <f t="array" ref="I6">GetLastId(A6)</f>
        <v>38</v>
      </c>
      <c r="J6">
        <v>1</v>
      </c>
      <c r="K6" t="str" cm="1">
        <f t="array" ref="K6">GetValue("Mnu",J6,"Caption")</f>
        <v>Manutenção</v>
      </c>
      <c r="L6">
        <f t="shared" si="2"/>
        <v>25</v>
      </c>
      <c r="M6" t="s">
        <v>74</v>
      </c>
      <c r="N6" t="str">
        <f t="shared" si="1"/>
        <v>Manutenção de Tipos</v>
      </c>
    </row>
    <row r="7" spans="1:14">
      <c r="A7">
        <f t="shared" si="0"/>
        <v>6</v>
      </c>
      <c r="B7">
        <v>1</v>
      </c>
      <c r="C7" t="str" cm="1">
        <f t="array" ref="C7">GetValue("Db",B7,"Name")</f>
        <v>crudex</v>
      </c>
      <c r="E7" t="str" cm="1">
        <f t="array" ref="E7">GetValue("Tbl",D7,"Name")</f>
        <v/>
      </c>
      <c r="F7" t="s">
        <v>785</v>
      </c>
      <c r="G7" t="s">
        <v>786</v>
      </c>
      <c r="H7" t="s">
        <v>375</v>
      </c>
      <c r="I7" cm="1">
        <f t="array" ref="I7">GetLastId(A7)</f>
        <v>380</v>
      </c>
      <c r="J7">
        <v>1</v>
      </c>
      <c r="K7" t="str" cm="1">
        <f t="array" ref="K7">GetValue("Mnu",J7,"Caption")</f>
        <v>Manutenção</v>
      </c>
      <c r="L7">
        <f t="shared" si="2"/>
        <v>30</v>
      </c>
      <c r="M7" t="s">
        <v>375</v>
      </c>
      <c r="N7" t="str">
        <f t="shared" si="1"/>
        <v>Manutenção de SGBD's x Tipos</v>
      </c>
    </row>
    <row r="8" spans="1:14">
      <c r="A8">
        <f t="shared" si="0"/>
        <v>7</v>
      </c>
      <c r="B8">
        <v>1</v>
      </c>
      <c r="C8" t="str" cm="1">
        <f t="array" ref="C8">GetValue("Db",B8,"Name")</f>
        <v>crudex</v>
      </c>
      <c r="E8" t="str" cm="1">
        <f t="array" ref="E8">GetValue("Tbl",D8,"Name")</f>
        <v/>
      </c>
      <c r="F8" t="s">
        <v>366</v>
      </c>
      <c r="G8" t="s">
        <v>369</v>
      </c>
      <c r="H8" t="s">
        <v>373</v>
      </c>
      <c r="I8" cm="1">
        <f t="array" ref="I8">GetLastId(A8)</f>
        <v>5</v>
      </c>
      <c r="J8">
        <v>1</v>
      </c>
      <c r="K8" t="str" cm="1">
        <f t="array" ref="K8">GetValue("Mnu",J8,"Caption")</f>
        <v>Manutenção</v>
      </c>
      <c r="L8">
        <f t="shared" si="2"/>
        <v>35</v>
      </c>
      <c r="M8" t="s">
        <v>373</v>
      </c>
      <c r="N8" t="str">
        <f t="shared" si="1"/>
        <v>Manutenção de Clientes</v>
      </c>
    </row>
    <row r="9" spans="1:14">
      <c r="A9">
        <f t="shared" si="0"/>
        <v>8</v>
      </c>
      <c r="B9">
        <v>1</v>
      </c>
      <c r="C9" t="str" cm="1">
        <f t="array" ref="C9">GetValue("Db",B9,"Name")</f>
        <v>crudex</v>
      </c>
      <c r="E9" t="str" cm="1">
        <f t="array" ref="E9">GetValue("Tbl",D9,"Name")</f>
        <v/>
      </c>
      <c r="F9" t="s">
        <v>86</v>
      </c>
      <c r="G9" t="s">
        <v>330</v>
      </c>
      <c r="H9" t="s">
        <v>740</v>
      </c>
      <c r="I9" cm="1">
        <f t="array" ref="I9">GetLastId(A9)</f>
        <v>52</v>
      </c>
      <c r="J9">
        <v>2</v>
      </c>
      <c r="K9" t="str" cm="1">
        <f t="array" ref="K9">GetValue("Mnu",J9,"Caption")</f>
        <v>Cadastro</v>
      </c>
      <c r="L9">
        <v>5</v>
      </c>
      <c r="M9" t="s">
        <v>719</v>
      </c>
      <c r="N9" t="str">
        <f t="shared" si="1"/>
        <v>Cadastro de Domínios de Colunas</v>
      </c>
    </row>
    <row r="10" spans="1:14">
      <c r="A10">
        <f t="shared" si="0"/>
        <v>9</v>
      </c>
      <c r="B10">
        <v>1</v>
      </c>
      <c r="C10" t="str" cm="1">
        <f t="array" ref="C10">GetValue("Db",B10,"Name")</f>
        <v>crudex</v>
      </c>
      <c r="E10" t="str" cm="1">
        <f t="array" ref="E10">GetValue("Tbl",D10,"Name")</f>
        <v/>
      </c>
      <c r="F10" t="s">
        <v>87</v>
      </c>
      <c r="G10" t="s">
        <v>329</v>
      </c>
      <c r="H10" t="s">
        <v>741</v>
      </c>
      <c r="I10" cm="1">
        <f t="array" ref="I10">GetLastId(A10)</f>
        <v>19</v>
      </c>
      <c r="J10">
        <v>2</v>
      </c>
      <c r="K10" t="str" cm="1">
        <f t="array" ref="K10">GetValue("Mnu",J10,"Caption")</f>
        <v>Cadastro</v>
      </c>
      <c r="L10">
        <f t="shared" si="2"/>
        <v>10</v>
      </c>
      <c r="M10" t="s">
        <v>720</v>
      </c>
      <c r="N10" t="str">
        <f t="shared" si="1"/>
        <v>Cadastro de Máscaras de Edição</v>
      </c>
    </row>
    <row r="11" spans="1:14">
      <c r="A11">
        <f t="shared" si="0"/>
        <v>10</v>
      </c>
      <c r="B11">
        <v>1</v>
      </c>
      <c r="C11" t="str" cm="1">
        <f t="array" ref="C11">GetValue("Db",B11,"Name")</f>
        <v>crudex</v>
      </c>
      <c r="E11" t="str" cm="1">
        <f t="array" ref="E11">GetValue("Tbl",D11,"Name")</f>
        <v/>
      </c>
      <c r="F11" t="s">
        <v>787</v>
      </c>
      <c r="G11" t="s">
        <v>788</v>
      </c>
      <c r="H11" t="s">
        <v>717</v>
      </c>
      <c r="I11" cm="1">
        <f t="array" ref="I11">GetLastId(A11)</f>
        <v>19</v>
      </c>
      <c r="J11">
        <v>2</v>
      </c>
      <c r="K11" t="str" cm="1">
        <f t="array" ref="K11">GetValue("Mnu",J11,"Caption")</f>
        <v>Cadastro</v>
      </c>
      <c r="L11">
        <f t="shared" si="2"/>
        <v>15</v>
      </c>
      <c r="M11" t="s">
        <v>717</v>
      </c>
      <c r="N11" t="str">
        <f t="shared" si="1"/>
        <v>Cadastro de Domínios x Máscaras</v>
      </c>
    </row>
    <row r="12" spans="1:14">
      <c r="A12">
        <f t="shared" si="0"/>
        <v>11</v>
      </c>
      <c r="B12">
        <v>1</v>
      </c>
      <c r="C12" t="str" cm="1">
        <f t="array" ref="C12">GetValue("Db",B12,"Name")</f>
        <v>crudex</v>
      </c>
      <c r="E12" t="str" cm="1">
        <f t="array" ref="E12">GetValue("Tbl",D12,"Name")</f>
        <v/>
      </c>
      <c r="F12" t="s">
        <v>90</v>
      </c>
      <c r="G12" t="s">
        <v>334</v>
      </c>
      <c r="H12" t="s">
        <v>376</v>
      </c>
      <c r="I12" cm="1">
        <f t="array" ref="I12">GetLastId(A12)</f>
        <v>1</v>
      </c>
      <c r="J12">
        <v>2</v>
      </c>
      <c r="K12" t="str" cm="1">
        <f t="array" ref="K12">GetValue("Mnu",J12,"Caption")</f>
        <v>Cadastro</v>
      </c>
      <c r="L12">
        <f t="shared" si="2"/>
        <v>20</v>
      </c>
      <c r="M12" t="s">
        <v>376</v>
      </c>
      <c r="N12" t="str">
        <f t="shared" si="1"/>
        <v>Cadastro de Bancos-de-dados</v>
      </c>
    </row>
    <row r="13" spans="1:14">
      <c r="A13">
        <f t="shared" si="0"/>
        <v>12</v>
      </c>
      <c r="B13">
        <v>1</v>
      </c>
      <c r="C13" t="str" cm="1">
        <f t="array" ref="C13">GetValue("Db",B13,"Name")</f>
        <v>crudex</v>
      </c>
      <c r="E13" t="str" cm="1">
        <f t="array" ref="E13">GetValue("Tbl",D13,"Name")</f>
        <v/>
      </c>
      <c r="F13" t="s">
        <v>454</v>
      </c>
      <c r="G13" t="s">
        <v>579</v>
      </c>
      <c r="H13" t="s">
        <v>742</v>
      </c>
      <c r="I13" cm="1">
        <f t="array" ref="I13">GetLastId(A13)</f>
        <v>3</v>
      </c>
      <c r="J13">
        <v>2</v>
      </c>
      <c r="K13" t="str" cm="1">
        <f t="array" ref="K13">GetValue("Mnu",J13,"Caption")</f>
        <v>Cadastro</v>
      </c>
      <c r="L13">
        <f t="shared" si="2"/>
        <v>25</v>
      </c>
      <c r="M13" t="s">
        <v>721</v>
      </c>
      <c r="N13" t="str">
        <f t="shared" si="1"/>
        <v>Cadastro de Conexões de Bancos-de-Dados</v>
      </c>
    </row>
    <row r="14" spans="1:14">
      <c r="A14">
        <f t="shared" si="0"/>
        <v>13</v>
      </c>
      <c r="B14">
        <v>1</v>
      </c>
      <c r="C14" t="str" cm="1">
        <f t="array" ref="C14">GetValue("Db",B14,"Name")</f>
        <v>crudex</v>
      </c>
      <c r="E14" t="str" cm="1">
        <f t="array" ref="E14">GetValue("Tbl",D14,"Name")</f>
        <v/>
      </c>
      <c r="F14" t="s">
        <v>88</v>
      </c>
      <c r="G14" t="s">
        <v>331</v>
      </c>
      <c r="H14" t="s">
        <v>78</v>
      </c>
      <c r="I14" cm="1">
        <f t="array" ref="I14">GetLastId(A14)</f>
        <v>1</v>
      </c>
      <c r="J14">
        <v>3</v>
      </c>
      <c r="K14" t="str" cm="1">
        <f t="array" ref="K14">GetValue("Mnu",J14,"Caption")</f>
        <v>Definição</v>
      </c>
      <c r="L14">
        <v>5</v>
      </c>
      <c r="M14" t="s">
        <v>78</v>
      </c>
      <c r="N14" t="str">
        <f t="shared" si="1"/>
        <v>Definição de Sistemas</v>
      </c>
    </row>
    <row r="15" spans="1:14">
      <c r="A15">
        <f>ROW(A15)-1</f>
        <v>14</v>
      </c>
      <c r="B15">
        <v>1</v>
      </c>
      <c r="C15" t="str" cm="1">
        <f t="array" ref="C15">GetValue("Db",B15,"Name")</f>
        <v>crudex</v>
      </c>
      <c r="E15" t="str" cm="1">
        <f t="array" ref="E15">GetValue("Tbl",D15,"Name")</f>
        <v/>
      </c>
      <c r="F15" t="s">
        <v>77</v>
      </c>
      <c r="G15" t="s">
        <v>332</v>
      </c>
      <c r="H15" t="s">
        <v>743</v>
      </c>
      <c r="I15" cm="1">
        <f t="array" ref="I15">GetLastId(A15)</f>
        <v>4</v>
      </c>
      <c r="J15">
        <v>3</v>
      </c>
      <c r="K15" t="str" cm="1">
        <f t="array" ref="K15">GetValue("Mnu",J15,"Caption")</f>
        <v>Definição</v>
      </c>
      <c r="L15">
        <f t="shared" si="2"/>
        <v>10</v>
      </c>
      <c r="M15" t="s">
        <v>77</v>
      </c>
      <c r="N15" t="str">
        <f t="shared" si="1"/>
        <v>Definição de Menus Agrupadores de Opções</v>
      </c>
    </row>
    <row r="16" spans="1:14">
      <c r="A16">
        <f>ROW(A16)-1</f>
        <v>15</v>
      </c>
      <c r="B16">
        <v>1</v>
      </c>
      <c r="C16" t="str" cm="1">
        <f t="array" ref="C16">GetValue("Db",B16,"Name")</f>
        <v>crudex</v>
      </c>
      <c r="E16" t="str" cm="1">
        <f t="array" ref="E16">GetValue("Tbl",D16,"Name")</f>
        <v/>
      </c>
      <c r="F16" t="s">
        <v>91</v>
      </c>
      <c r="G16" t="s">
        <v>335</v>
      </c>
      <c r="H16" t="s">
        <v>76</v>
      </c>
      <c r="I16" cm="1">
        <f t="array" ref="I16">GetLastId(A16)</f>
        <v>35</v>
      </c>
      <c r="J16">
        <v>3</v>
      </c>
      <c r="K16" t="str" cm="1">
        <f t="array" ref="K16">GetValue("Mnu",J16,"Caption")</f>
        <v>Definição</v>
      </c>
      <c r="L16">
        <f t="shared" si="2"/>
        <v>15</v>
      </c>
      <c r="M16" t="s">
        <v>76</v>
      </c>
      <c r="N16" t="str">
        <f t="shared" si="1"/>
        <v>Definição de Tabelas</v>
      </c>
    </row>
    <row r="17" spans="1:14">
      <c r="A17">
        <f t="shared" si="0"/>
        <v>16</v>
      </c>
      <c r="B17">
        <v>1</v>
      </c>
      <c r="C17" t="str" cm="1">
        <f t="array" ref="C17">GetValue("Db",B17,"Name")</f>
        <v>crudex</v>
      </c>
      <c r="E17" t="str" cm="1">
        <f t="array" ref="E17">GetValue("Tbl",D17,"Name")</f>
        <v/>
      </c>
      <c r="F17" t="s">
        <v>92</v>
      </c>
      <c r="G17" t="s">
        <v>336</v>
      </c>
      <c r="H17" t="s">
        <v>744</v>
      </c>
      <c r="I17" cm="1">
        <f t="array" ref="I17">GetLastId(A17)</f>
        <v>225</v>
      </c>
      <c r="J17">
        <v>3</v>
      </c>
      <c r="K17" t="str" cm="1">
        <f t="array" ref="K17">GetValue("Mnu",J17,"Caption")</f>
        <v>Definição</v>
      </c>
      <c r="L17">
        <f t="shared" si="2"/>
        <v>20</v>
      </c>
      <c r="M17" t="s">
        <v>722</v>
      </c>
      <c r="N17" t="str">
        <f t="shared" si="1"/>
        <v>Definição de Colunas de Tabelas</v>
      </c>
    </row>
    <row r="18" spans="1:14">
      <c r="A18">
        <f t="shared" si="0"/>
        <v>17</v>
      </c>
      <c r="B18">
        <v>1</v>
      </c>
      <c r="C18" t="str" cm="1">
        <f t="array" ref="C18">GetValue("Db",B18,"Name")</f>
        <v>crudex</v>
      </c>
      <c r="E18" t="str" cm="1">
        <f t="array" ref="E18">GetValue("Tbl",D18,"Name")</f>
        <v/>
      </c>
      <c r="F18" t="s">
        <v>93</v>
      </c>
      <c r="G18" t="s">
        <v>337</v>
      </c>
      <c r="H18" t="s">
        <v>745</v>
      </c>
      <c r="I18" cm="1">
        <f t="array" ref="I18">GetLastId(A18)</f>
        <v>40</v>
      </c>
      <c r="J18">
        <v>3</v>
      </c>
      <c r="K18" t="str" cm="1">
        <f t="array" ref="K18">GetValue("Mnu",J18,"Caption")</f>
        <v>Definição</v>
      </c>
      <c r="L18">
        <f t="shared" si="2"/>
        <v>25</v>
      </c>
      <c r="M18" t="s">
        <v>723</v>
      </c>
      <c r="N18" t="str">
        <f t="shared" si="1"/>
        <v>Definição de Índices de Tabelas</v>
      </c>
    </row>
    <row r="19" spans="1:14" ht="13.95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E19" t="str" cm="1">
        <f t="array" ref="E19">GetValue("Tbl",D19,"Name")</f>
        <v/>
      </c>
      <c r="F19" t="s">
        <v>138</v>
      </c>
      <c r="G19" t="s">
        <v>371</v>
      </c>
      <c r="H19" t="s">
        <v>746</v>
      </c>
      <c r="I19" cm="1">
        <f t="array" ref="I19">GetLastId(A19)</f>
        <v>28</v>
      </c>
      <c r="J19">
        <v>4</v>
      </c>
      <c r="K19" t="str" cm="1">
        <f t="array" ref="K19">GetValue("Mnu",J19,"Caption")</f>
        <v>Associação</v>
      </c>
      <c r="L19">
        <v>5</v>
      </c>
      <c r="M19" t="s">
        <v>724</v>
      </c>
      <c r="N19" t="str">
        <f t="shared" si="1"/>
        <v>Associação de Chaves de Índices</v>
      </c>
    </row>
    <row r="20" spans="1:14" ht="13.95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E20" t="str" cm="1">
        <f t="array" ref="E20">GetValue("Tbl",D20,"Name")</f>
        <v/>
      </c>
      <c r="F20" t="s">
        <v>472</v>
      </c>
      <c r="G20" t="s">
        <v>473</v>
      </c>
      <c r="H20" t="s">
        <v>747</v>
      </c>
      <c r="I20" cm="1">
        <f t="array" ref="I20">GetLastId(A20)</f>
        <v>28</v>
      </c>
      <c r="J20">
        <v>4</v>
      </c>
      <c r="K20" t="str" cm="1">
        <f t="array" ref="K20">GetValue("Mnu",J20,"Caption")</f>
        <v>Associação</v>
      </c>
      <c r="L20">
        <f t="shared" si="2"/>
        <v>10</v>
      </c>
      <c r="M20" t="s">
        <v>725</v>
      </c>
      <c r="N20" t="str">
        <f t="shared" si="1"/>
        <v>Associação de Colunas Não-Chaves de Índices</v>
      </c>
    </row>
    <row r="21" spans="1:14">
      <c r="A21">
        <f t="shared" si="0"/>
        <v>20</v>
      </c>
      <c r="B21">
        <v>1</v>
      </c>
      <c r="C21" t="str" cm="1">
        <f t="array" ref="C21">GetValue("Db",B21,"Name")</f>
        <v>crudex</v>
      </c>
      <c r="E21" t="str" cm="1">
        <f t="array" ref="E21">GetValue("Tbl",D21,"Name")</f>
        <v/>
      </c>
      <c r="F21" t="s">
        <v>208</v>
      </c>
      <c r="G21" t="s">
        <v>341</v>
      </c>
      <c r="H21" t="s">
        <v>748</v>
      </c>
      <c r="I21" cm="1">
        <f t="array" ref="I21">GetLastId(A21)</f>
        <v>1</v>
      </c>
      <c r="J21">
        <v>4</v>
      </c>
      <c r="K21" t="str" cm="1">
        <f t="array" ref="K21">GetValue("Mnu",J21,"Caption")</f>
        <v>Associação</v>
      </c>
      <c r="L21">
        <f t="shared" si="2"/>
        <v>15</v>
      </c>
      <c r="M21" t="s">
        <v>726</v>
      </c>
      <c r="N21" t="str">
        <f t="shared" si="1"/>
        <v>Associação de Unicidades Cruzadas Entre Tabelas</v>
      </c>
    </row>
    <row r="22" spans="1:14">
      <c r="A22">
        <f t="shared" si="0"/>
        <v>21</v>
      </c>
      <c r="B22">
        <v>1</v>
      </c>
      <c r="C22" t="str" cm="1">
        <f t="array" ref="C22">GetValue("Db",B22,"Name")</f>
        <v>crudex</v>
      </c>
      <c r="E22" t="str" cm="1">
        <f t="array" ref="E22">GetValue("Tbl",D22,"Name")</f>
        <v/>
      </c>
      <c r="F22" t="s">
        <v>470</v>
      </c>
      <c r="G22" t="s">
        <v>471</v>
      </c>
      <c r="H22" t="s">
        <v>749</v>
      </c>
      <c r="I22" cm="1">
        <f t="array" ref="I22">GetLastId(A22)</f>
        <v>1</v>
      </c>
      <c r="J22">
        <v>4</v>
      </c>
      <c r="K22" t="str" cm="1">
        <f t="array" ref="K22">GetValue("Mnu",J22,"Caption")</f>
        <v>Associação</v>
      </c>
      <c r="L22">
        <f t="shared" si="2"/>
        <v>20</v>
      </c>
      <c r="M22" t="s">
        <v>738</v>
      </c>
      <c r="N22" t="str">
        <f t="shared" si="1"/>
        <v>Associação de Expressões Lógicas</v>
      </c>
    </row>
    <row r="23" spans="1:14">
      <c r="A23">
        <f t="shared" si="0"/>
        <v>22</v>
      </c>
      <c r="B23">
        <v>1</v>
      </c>
      <c r="C23" t="str" cm="1">
        <f t="array" ref="C23">GetValue("Db",B23,"Name")</f>
        <v>crudex</v>
      </c>
      <c r="E23" t="str" cm="1">
        <f t="array" ref="E23">GetValue("Tbl",D23,"Name")</f>
        <v/>
      </c>
      <c r="F23" t="s">
        <v>368</v>
      </c>
      <c r="G23" t="s">
        <v>372</v>
      </c>
      <c r="H23" t="s">
        <v>750</v>
      </c>
      <c r="I23" cm="1">
        <f t="array" ref="I23">GetLastId(A23)</f>
        <v>3</v>
      </c>
      <c r="J23">
        <v>4</v>
      </c>
      <c r="K23" t="str" cm="1">
        <f t="array" ref="K23">GetValue("Mnu",J23,"Caption")</f>
        <v>Associação</v>
      </c>
      <c r="L23">
        <f t="shared" si="2"/>
        <v>25</v>
      </c>
      <c r="M23" t="s">
        <v>727</v>
      </c>
      <c r="N23" t="str">
        <f t="shared" si="1"/>
        <v>Associação de Condições de Expressões Lógicas</v>
      </c>
    </row>
    <row r="24" spans="1:14">
      <c r="A24">
        <f>ROW(A24)-1</f>
        <v>23</v>
      </c>
      <c r="B24">
        <v>1</v>
      </c>
      <c r="C24" t="str" cm="1">
        <f t="array" ref="C24">GetValue("Db",B24,"Name")</f>
        <v>crudex</v>
      </c>
      <c r="E24" t="str" cm="1">
        <f t="array" ref="E24">GetValue("Tbl",D24,"Name")</f>
        <v/>
      </c>
      <c r="F24" t="s">
        <v>495</v>
      </c>
      <c r="G24" t="s">
        <v>494</v>
      </c>
      <c r="H24" t="s">
        <v>751</v>
      </c>
      <c r="I24" cm="1">
        <f t="array" ref="I24">GetLastId(A24)</f>
        <v>1</v>
      </c>
      <c r="J24">
        <v>4</v>
      </c>
      <c r="K24" t="str" cm="1">
        <f t="array" ref="K24">GetValue("Mnu",J24,"Caption")</f>
        <v>Associação</v>
      </c>
      <c r="L24">
        <f t="shared" si="2"/>
        <v>30</v>
      </c>
      <c r="M24" t="s">
        <v>728</v>
      </c>
      <c r="N24" t="str">
        <f t="shared" si="1"/>
        <v>Associação de Referências Chave-Estrangeira e Pai-Filho</v>
      </c>
    </row>
    <row r="25" spans="1:14">
      <c r="A25">
        <f>ROW(A25)-1</f>
        <v>24</v>
      </c>
      <c r="B25">
        <v>1</v>
      </c>
      <c r="C25" t="str" cm="1">
        <f t="array" ref="C25">GetValue("Db",B25,"Name")</f>
        <v>crudex</v>
      </c>
      <c r="E25" t="str" cm="1">
        <f t="array" ref="E25">GetValue("Tbl",D25,"Name")</f>
        <v/>
      </c>
      <c r="F25" t="s">
        <v>89</v>
      </c>
      <c r="G25" t="s">
        <v>333</v>
      </c>
      <c r="H25" t="s">
        <v>75</v>
      </c>
      <c r="I25" cm="1">
        <f t="array" ref="I25">GetLastId(A25)</f>
        <v>2</v>
      </c>
      <c r="J25">
        <v>4</v>
      </c>
      <c r="K25" t="str" cm="1">
        <f t="array" ref="K25">GetValue("Mnu",J25,"Caption")</f>
        <v>Associação</v>
      </c>
      <c r="L25">
        <f t="shared" si="2"/>
        <v>35</v>
      </c>
      <c r="M25" t="s">
        <v>75</v>
      </c>
      <c r="N25" t="str">
        <f t="shared" si="1"/>
        <v>Associação de Usuários</v>
      </c>
    </row>
    <row r="26" spans="1:14">
      <c r="A26">
        <f>ROW(A26)-1</f>
        <v>25</v>
      </c>
      <c r="B26">
        <v>1</v>
      </c>
      <c r="C26" t="str" cm="1">
        <f t="array" ref="C26">GetValue("Db",B26,"Name")</f>
        <v>crudex</v>
      </c>
      <c r="E26" t="str" cm="1">
        <f t="array" ref="E26">GetValue("Tbl",D26,"Name")</f>
        <v/>
      </c>
      <c r="F26" t="s">
        <v>489</v>
      </c>
      <c r="G26" t="s">
        <v>694</v>
      </c>
      <c r="H26" t="s">
        <v>752</v>
      </c>
      <c r="I26" cm="1">
        <f t="array" ref="I26">GetLastId(A26)</f>
        <v>54</v>
      </c>
      <c r="J26">
        <v>4</v>
      </c>
      <c r="K26" t="str" cm="1">
        <f t="array" ref="K26">GetValue("Mnu",J26,"Caption")</f>
        <v>Associação</v>
      </c>
      <c r="L26">
        <f t="shared" si="2"/>
        <v>40</v>
      </c>
      <c r="M26" t="s">
        <v>729</v>
      </c>
      <c r="N26" t="str">
        <f t="shared" si="1"/>
        <v>Associação de Permissões de Acesso de Usuários</v>
      </c>
    </row>
    <row r="27" spans="1:14">
      <c r="A27">
        <f t="shared" si="0"/>
        <v>26</v>
      </c>
      <c r="B27">
        <v>1</v>
      </c>
      <c r="C27" t="str" cm="1">
        <f t="array" ref="C27">GetValue("Db",B27,"Name")</f>
        <v>crudex</v>
      </c>
      <c r="E27" t="str" cm="1">
        <f t="array" ref="E27">GetValue("Tbl",D27,"Name")</f>
        <v/>
      </c>
      <c r="F27" t="s">
        <v>427</v>
      </c>
      <c r="G27" t="s">
        <v>426</v>
      </c>
      <c r="H27" t="s">
        <v>431</v>
      </c>
      <c r="I27" cm="1">
        <f t="array" ref="I27">GetLastId(A27)</f>
        <v>19</v>
      </c>
      <c r="J27">
        <v>4</v>
      </c>
      <c r="K27" t="str" cm="1">
        <f t="array" ref="K27">GetValue("Mnu",J27,"Caption")</f>
        <v>Associação</v>
      </c>
      <c r="L27">
        <f t="shared" si="2"/>
        <v>45</v>
      </c>
      <c r="M27" t="s">
        <v>730</v>
      </c>
      <c r="N27" t="str">
        <f t="shared" si="1"/>
        <v>Associação de Propriedades HTML</v>
      </c>
    </row>
    <row r="28" spans="1:14">
      <c r="A28">
        <f t="shared" si="0"/>
        <v>27</v>
      </c>
      <c r="B28">
        <v>1</v>
      </c>
      <c r="C28" t="str" cm="1">
        <f t="array" ref="C28">GetValue("Db",B28,"Name")</f>
        <v>crudex</v>
      </c>
      <c r="E28" t="str" cm="1">
        <f t="array" ref="E28">GetValue("Tbl",D28,"Name")</f>
        <v/>
      </c>
      <c r="F28" t="s">
        <v>429</v>
      </c>
      <c r="G28" t="s">
        <v>430</v>
      </c>
      <c r="H28" t="s">
        <v>753</v>
      </c>
      <c r="I28" cm="1">
        <f t="array" ref="I28">GetLastId(A28)</f>
        <v>1</v>
      </c>
      <c r="J28">
        <v>4</v>
      </c>
      <c r="K28" t="str" cm="1">
        <f t="array" ref="K28">GetValue("Mnu",J28,"Caption")</f>
        <v>Associação</v>
      </c>
      <c r="L28">
        <f t="shared" si="2"/>
        <v>50</v>
      </c>
      <c r="M28" t="s">
        <v>731</v>
      </c>
      <c r="N28" t="str">
        <f t="shared" si="1"/>
        <v>Associação de Comportamentos de Formulários</v>
      </c>
    </row>
    <row r="29" spans="1:14">
      <c r="A29">
        <f t="shared" si="0"/>
        <v>28</v>
      </c>
      <c r="B29">
        <v>1</v>
      </c>
      <c r="C29" t="str" cm="1">
        <f t="array" ref="C29">GetValue("Db",B29,"Name")</f>
        <v>crudex</v>
      </c>
      <c r="E29" t="str" cm="1">
        <f t="array" ref="E29">GetValue("Tbl",D29,"Name")</f>
        <v/>
      </c>
      <c r="F29" t="s">
        <v>511</v>
      </c>
      <c r="G29" t="s">
        <v>512</v>
      </c>
      <c r="H29" t="s">
        <v>754</v>
      </c>
      <c r="I29" cm="1">
        <f t="array" ref="I29">GetLastId(A29)</f>
        <v>1</v>
      </c>
      <c r="J29">
        <v>4</v>
      </c>
      <c r="K29" t="str" cm="1">
        <f t="array" ref="K29">GetValue("Mnu",J29,"Caption")</f>
        <v>Associação</v>
      </c>
      <c r="L29">
        <f t="shared" si="2"/>
        <v>55</v>
      </c>
      <c r="M29" t="s">
        <v>732</v>
      </c>
      <c r="N29" t="str">
        <f t="shared" si="1"/>
        <v>Associação de Agendamentos de Tarefas</v>
      </c>
    </row>
    <row r="30" spans="1:14">
      <c r="A30">
        <f t="shared" si="0"/>
        <v>29</v>
      </c>
      <c r="B30">
        <v>1</v>
      </c>
      <c r="C30" t="str" cm="1">
        <f t="array" ref="C30">GetValue("Db",B30,"Name")</f>
        <v>crudex</v>
      </c>
      <c r="E30" t="str" cm="1">
        <f t="array" ref="E30">GetValue("Tbl",D30,"Name")</f>
        <v/>
      </c>
      <c r="F30" t="s">
        <v>913</v>
      </c>
      <c r="G30" t="s">
        <v>914</v>
      </c>
      <c r="H30" t="s">
        <v>915</v>
      </c>
      <c r="I30" cm="1">
        <f t="array" ref="I30">GetLastId(A30)</f>
        <v>1</v>
      </c>
      <c r="J30">
        <v>4</v>
      </c>
      <c r="K30" t="str" cm="1">
        <f t="array" ref="K30">GetValue("Mnu",J30,"Caption")</f>
        <v>Associação</v>
      </c>
      <c r="L30">
        <f t="shared" si="2"/>
        <v>60</v>
      </c>
      <c r="M30" t="s">
        <v>913</v>
      </c>
      <c r="N30" t="str">
        <f t="shared" si="1"/>
        <v>Associação de Snipers Pré/Pós CRUD</v>
      </c>
    </row>
    <row r="31" spans="1:14">
      <c r="A31">
        <f>ROW(A31)-1</f>
        <v>30</v>
      </c>
      <c r="B31">
        <v>1</v>
      </c>
      <c r="C31" t="str" cm="1">
        <f t="array" ref="C31">GetValue("Db",B31,"Name")</f>
        <v>crudex</v>
      </c>
      <c r="E31" t="str" cm="1">
        <f t="array" ref="E31">GetValue("Tbl",D31,"Name")</f>
        <v/>
      </c>
      <c r="F31" t="s">
        <v>513</v>
      </c>
      <c r="G31" t="s">
        <v>514</v>
      </c>
      <c r="H31" t="s">
        <v>911</v>
      </c>
      <c r="I31" cm="1">
        <f t="array" ref="I31">GetLastId(A31)</f>
        <v>1</v>
      </c>
      <c r="J31">
        <v>4</v>
      </c>
      <c r="K31" t="str" cm="1">
        <f t="array" ref="K31">GetValue("Mnu",J31,"Caption")</f>
        <v>Associação</v>
      </c>
      <c r="L31">
        <f t="shared" si="2"/>
        <v>65</v>
      </c>
      <c r="M31" t="s">
        <v>513</v>
      </c>
      <c r="N31" t="str">
        <f t="shared" si="1"/>
        <v>Associação de Scripts de Snipers</v>
      </c>
    </row>
    <row r="32" spans="1:14">
      <c r="A32">
        <f>ROW(A32)-1</f>
        <v>31</v>
      </c>
      <c r="B32">
        <v>1</v>
      </c>
      <c r="C32" t="str" cm="1">
        <f t="array" ref="C32">GetValue("Db",B32,"Name")</f>
        <v>crudex</v>
      </c>
      <c r="E32" t="str" cm="1">
        <f t="array" ref="E32">GetValue("Tbl",D32,"Name")</f>
        <v/>
      </c>
      <c r="F32" t="s">
        <v>799</v>
      </c>
      <c r="G32" t="s">
        <v>800</v>
      </c>
      <c r="H32" t="s">
        <v>912</v>
      </c>
      <c r="I32" cm="1">
        <f t="array" ref="I32">GetLastId(A32)</f>
        <v>1</v>
      </c>
      <c r="J32">
        <v>4</v>
      </c>
      <c r="K32" t="str" cm="1">
        <f t="array" ref="K32">GetValue("Mnu",J32,"Caption")</f>
        <v>Associação</v>
      </c>
      <c r="L32">
        <f t="shared" si="2"/>
        <v>70</v>
      </c>
      <c r="M32" t="s">
        <v>910</v>
      </c>
      <c r="N32" t="str">
        <f t="shared" si="1"/>
        <v>Associação de URL's HTTP/HTTPS de Snipers</v>
      </c>
    </row>
    <row r="33" spans="1:14">
      <c r="A33">
        <f t="shared" si="0"/>
        <v>32</v>
      </c>
      <c r="B33">
        <v>1</v>
      </c>
      <c r="C33" t="str" cm="1">
        <f t="array" ref="C33">GetValue("Db",B33,"Name")</f>
        <v>crudex</v>
      </c>
      <c r="E33" t="str" cm="1">
        <f t="array" ref="E33">GetValue("Tbl",D33,"Name")</f>
        <v/>
      </c>
      <c r="F33" t="s">
        <v>210</v>
      </c>
      <c r="G33" t="s">
        <v>338</v>
      </c>
      <c r="H33" t="s">
        <v>755</v>
      </c>
      <c r="I33" cm="1">
        <f t="array" ref="I33">GetLastId(A33)</f>
        <v>1</v>
      </c>
      <c r="J33">
        <v>4</v>
      </c>
      <c r="K33" t="str" cm="1">
        <f t="array" ref="K33">GetValue("Mnu",J33,"Caption")</f>
        <v>Associação</v>
      </c>
      <c r="L33">
        <f t="shared" si="2"/>
        <v>75</v>
      </c>
      <c r="M33" t="s">
        <v>733</v>
      </c>
      <c r="N33" t="str">
        <f t="shared" si="1"/>
        <v>Associação de Sessões de Logins</v>
      </c>
    </row>
    <row r="34" spans="1:14">
      <c r="A34">
        <f t="shared" si="0"/>
        <v>33</v>
      </c>
      <c r="B34">
        <v>1</v>
      </c>
      <c r="C34" t="str" cm="1">
        <f t="array" ref="C34">GetValue("Db",B34,"Name")</f>
        <v>crudex</v>
      </c>
      <c r="E34" t="str" cm="1">
        <f t="array" ref="E34">GetValue("Tbl",D34,"Name")</f>
        <v/>
      </c>
      <c r="F34" t="s">
        <v>187</v>
      </c>
      <c r="G34" t="s">
        <v>339</v>
      </c>
      <c r="H34" t="s">
        <v>491</v>
      </c>
      <c r="I34" cm="1">
        <f t="array" ref="I34">GetLastId(A34)</f>
        <v>1</v>
      </c>
      <c r="J34">
        <v>4</v>
      </c>
      <c r="K34" t="str" cm="1">
        <f t="array" ref="K34">GetValue("Mnu",J34,"Caption")</f>
        <v>Associação</v>
      </c>
      <c r="L34">
        <f t="shared" si="2"/>
        <v>80</v>
      </c>
      <c r="M34" t="s">
        <v>734</v>
      </c>
      <c r="N34" t="str">
        <f t="shared" si="1"/>
        <v>Associação de Transações CRUD</v>
      </c>
    </row>
    <row r="35" spans="1:14">
      <c r="A35">
        <f t="shared" si="0"/>
        <v>34</v>
      </c>
      <c r="B35">
        <v>1</v>
      </c>
      <c r="C35" t="str" cm="1">
        <f t="array" ref="C35">GetValue("Db",B35,"Name")</f>
        <v>crudex</v>
      </c>
      <c r="E35" t="str" cm="1">
        <f t="array" ref="E35">GetValue("Tbl",D35,"Name")</f>
        <v/>
      </c>
      <c r="F35" t="s">
        <v>188</v>
      </c>
      <c r="G35" t="s">
        <v>340</v>
      </c>
      <c r="H35" t="s">
        <v>490</v>
      </c>
      <c r="I35" cm="1">
        <f t="array" ref="I35">GetLastId(A35)</f>
        <v>1</v>
      </c>
      <c r="J35">
        <v>4</v>
      </c>
      <c r="K35" t="str" cm="1">
        <f t="array" ref="K35">GetValue("Mnu",J35,"Caption")</f>
        <v>Associação</v>
      </c>
      <c r="L35">
        <f t="shared" si="2"/>
        <v>85</v>
      </c>
      <c r="M35" t="s">
        <v>735</v>
      </c>
      <c r="N35" t="str">
        <f t="shared" si="1"/>
        <v>Associação de Operações CRUD</v>
      </c>
    </row>
    <row r="36" spans="1:14">
      <c r="A36">
        <f t="shared" si="0"/>
        <v>35</v>
      </c>
      <c r="B36">
        <v>1</v>
      </c>
      <c r="C36" t="str" cm="1">
        <f t="array" ref="C36">GetValue("Db",B36,"Name")</f>
        <v>crudex</v>
      </c>
      <c r="E36" t="str" cm="1">
        <f t="array" ref="E36">GetValue("Tbl",D36,"Name")</f>
        <v/>
      </c>
      <c r="F36" t="s">
        <v>922</v>
      </c>
      <c r="G36" t="s">
        <v>923</v>
      </c>
      <c r="H36" t="s">
        <v>924</v>
      </c>
      <c r="I36" cm="1">
        <f t="array" ref="I36">GetLastId(A36)</f>
        <v>1</v>
      </c>
      <c r="J36">
        <v>4</v>
      </c>
      <c r="K36" t="str" cm="1">
        <f t="array" ref="K36">GetValue("Mnu",J36,"Caption")</f>
        <v>Associação</v>
      </c>
      <c r="L36">
        <f t="shared" si="2"/>
        <v>90</v>
      </c>
      <c r="M36" t="s">
        <v>924</v>
      </c>
      <c r="N36" t="str">
        <f t="shared" si="1"/>
        <v>Associação de Colunas Virtuais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Q226"/>
  <sheetViews>
    <sheetView zoomScale="95" zoomScaleNormal="95" workbookViewId="0">
      <pane ySplit="1" topLeftCell="A206" activePane="bottomLeft" state="frozen"/>
      <selection pane="bottomLeft" activeCell="G227" sqref="G227"/>
    </sheetView>
  </sheetViews>
  <sheetFormatPr defaultRowHeight="14.4"/>
  <cols>
    <col min="1" max="1" width="4.33203125" bestFit="1" customWidth="1"/>
    <col min="2" max="2" width="7.5546875" bestFit="1" customWidth="1"/>
    <col min="3" max="3" width="11.109375" bestFit="1" customWidth="1"/>
    <col min="4" max="4" width="9.5546875" bestFit="1" customWidth="1"/>
    <col min="5" max="5" width="15.44140625" bestFit="1" customWidth="1"/>
    <col min="6" max="6" width="9.6640625" bestFit="1" customWidth="1"/>
    <col min="7" max="7" width="26.33203125" bestFit="1" customWidth="1"/>
    <col min="8" max="8" width="39.6640625" bestFit="1" customWidth="1"/>
    <col min="9" max="9" width="21.6640625" bestFit="1" customWidth="1"/>
    <col min="10" max="11" width="12.44140625" bestFit="1" customWidth="1"/>
    <col min="12" max="14" width="11.6640625" bestFit="1" customWidth="1"/>
    <col min="15" max="15" width="11.33203125" bestFit="1" customWidth="1"/>
    <col min="16" max="16" width="10" bestFit="1" customWidth="1"/>
    <col min="17" max="17" width="8" bestFit="1" customWidth="1"/>
  </cols>
  <sheetData>
    <row r="1" spans="1:17" s="1" customFormat="1">
      <c r="A1" s="17" t="s">
        <v>0</v>
      </c>
      <c r="B1" s="17" t="s">
        <v>95</v>
      </c>
      <c r="C1" s="17" t="s">
        <v>493</v>
      </c>
      <c r="D1" s="17" t="s">
        <v>96</v>
      </c>
      <c r="E1" s="17" t="s">
        <v>153</v>
      </c>
      <c r="F1" s="17" t="s">
        <v>69</v>
      </c>
      <c r="G1" s="17" t="s">
        <v>1</v>
      </c>
      <c r="H1" s="17" t="s">
        <v>66</v>
      </c>
      <c r="I1" s="17" t="s">
        <v>70</v>
      </c>
      <c r="J1" s="17" t="s">
        <v>617</v>
      </c>
      <c r="K1" s="17" t="s">
        <v>618</v>
      </c>
      <c r="L1" s="17" t="s">
        <v>619</v>
      </c>
      <c r="M1" s="17" t="s">
        <v>620</v>
      </c>
      <c r="N1" s="17" t="s">
        <v>623</v>
      </c>
      <c r="O1" s="17" t="s">
        <v>622</v>
      </c>
      <c r="P1" s="17" t="s">
        <v>621</v>
      </c>
      <c r="Q1" s="17" t="s">
        <v>919</v>
      </c>
    </row>
    <row r="2" spans="1:17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706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  <c r="Q2" s="20" t="b">
        <v>0</v>
      </c>
    </row>
    <row r="3" spans="1:17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124</v>
      </c>
      <c r="I3" s="20" t="s">
        <v>97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  <c r="Q3" s="20" t="b">
        <v>0</v>
      </c>
    </row>
    <row r="4" spans="1:17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175</v>
      </c>
      <c r="I4" s="20" t="s">
        <v>126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  <c r="Q4" s="20" t="b">
        <v>0</v>
      </c>
    </row>
    <row r="5" spans="1:17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174</v>
      </c>
      <c r="I5" s="20" t="s">
        <v>127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  <c r="Q5" s="20" t="b">
        <v>0</v>
      </c>
    </row>
    <row r="6" spans="1:17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173</v>
      </c>
      <c r="I6" s="20" t="s">
        <v>128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  <c r="Q6" s="20" t="b">
        <v>0</v>
      </c>
    </row>
    <row r="7" spans="1:17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172</v>
      </c>
      <c r="I7" s="20" t="s">
        <v>171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  <c r="Q7" s="20" t="b">
        <v>0</v>
      </c>
    </row>
    <row r="8" spans="1:17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538</v>
      </c>
      <c r="I8" s="20" t="s">
        <v>125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  <c r="Q8" s="20" t="b">
        <v>0</v>
      </c>
    </row>
    <row r="9" spans="1:17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537</v>
      </c>
      <c r="I9" s="20" t="s">
        <v>536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  <c r="Q9" s="20" t="b">
        <v>0</v>
      </c>
    </row>
    <row r="10" spans="1:17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531</v>
      </c>
      <c r="I10" s="20" t="s">
        <v>535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  <c r="Q10" s="20" t="b">
        <v>0</v>
      </c>
    </row>
    <row r="11" spans="1:17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532</v>
      </c>
      <c r="I11" s="20" t="s">
        <v>533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  <c r="Q11" s="20" t="b">
        <v>0</v>
      </c>
    </row>
    <row r="12" spans="1:17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534</v>
      </c>
      <c r="I12" s="20" t="s">
        <v>540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  <c r="Q12" s="20" t="b">
        <v>0</v>
      </c>
    </row>
    <row r="13" spans="1:17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707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  <c r="Q13" s="18" t="b">
        <v>0</v>
      </c>
    </row>
    <row r="14" spans="1:17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708</v>
      </c>
      <c r="I14" s="18" t="s">
        <v>710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  <c r="Q14" s="18" t="b">
        <v>0</v>
      </c>
    </row>
    <row r="15" spans="1:17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709</v>
      </c>
      <c r="I15" s="18" t="s">
        <v>109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  <c r="Q15" s="18" t="b">
        <v>0</v>
      </c>
    </row>
    <row r="16" spans="1:17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711</v>
      </c>
      <c r="I16" s="18" t="s">
        <v>712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  <c r="Q16" s="18" t="b">
        <v>0</v>
      </c>
    </row>
    <row r="17" spans="1:17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713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  <c r="Q17" s="20" t="b">
        <v>0</v>
      </c>
    </row>
    <row r="18" spans="1:17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714</v>
      </c>
      <c r="I18" s="20" t="s">
        <v>98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  <c r="Q18" s="20" t="b">
        <v>0</v>
      </c>
    </row>
    <row r="19" spans="1:17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764</v>
      </c>
      <c r="I19" s="20" t="s">
        <v>764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  <c r="Q19" s="20" t="b">
        <v>0</v>
      </c>
    </row>
    <row r="20" spans="1:17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435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  <c r="Q20" s="18" t="b">
        <v>0</v>
      </c>
    </row>
    <row r="21" spans="1:17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769</v>
      </c>
      <c r="I21" s="18" t="s">
        <v>97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  <c r="Q21" s="18" t="b">
        <v>0</v>
      </c>
    </row>
    <row r="22" spans="1:17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516</v>
      </c>
      <c r="I22" s="18" t="s">
        <v>517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  <c r="Q22" s="18" t="b">
        <v>0</v>
      </c>
    </row>
    <row r="23" spans="1:17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518</v>
      </c>
      <c r="I23" s="18" t="s">
        <v>519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  <c r="Q23" s="18" t="b">
        <v>0</v>
      </c>
    </row>
    <row r="24" spans="1:17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IsActive</v>
      </c>
      <c r="H24" s="18" t="s">
        <v>776</v>
      </c>
      <c r="I24" s="18" t="s">
        <v>112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  <c r="Q24" s="18" t="b">
        <v>0</v>
      </c>
    </row>
    <row r="25" spans="1:17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541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  <c r="Q25" s="20" t="b">
        <v>0</v>
      </c>
    </row>
    <row r="26" spans="1:17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770</v>
      </c>
      <c r="I26" s="20" t="s">
        <v>98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  <c r="Q26" s="20" t="b">
        <v>0</v>
      </c>
    </row>
    <row r="27" spans="1:17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542</v>
      </c>
      <c r="I27" s="20" t="s">
        <v>97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  <c r="Q27" s="20" t="b">
        <v>0</v>
      </c>
    </row>
    <row r="28" spans="1:17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543</v>
      </c>
      <c r="I28" s="20" t="s">
        <v>544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  <c r="Q28" s="20" t="b">
        <v>0</v>
      </c>
    </row>
    <row r="29" spans="1:17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545</v>
      </c>
      <c r="I29" s="20" t="s">
        <v>549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  <c r="Q29" s="20" t="b">
        <v>0</v>
      </c>
    </row>
    <row r="30" spans="1:17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546</v>
      </c>
      <c r="I30" s="20" t="s">
        <v>546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  <c r="Q30" s="20" t="b">
        <v>0</v>
      </c>
    </row>
    <row r="31" spans="1:17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547</v>
      </c>
      <c r="I31" s="20" t="s">
        <v>547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  <c r="Q31" s="20" t="b">
        <v>0</v>
      </c>
    </row>
    <row r="32" spans="1:17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784</v>
      </c>
      <c r="I32" s="20" t="s">
        <v>784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  <c r="Q32" s="20" t="b">
        <v>0</v>
      </c>
    </row>
    <row r="33" spans="1:17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548</v>
      </c>
      <c r="I33" s="20" t="s">
        <v>548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  <c r="Q33" s="20" t="b">
        <v>0</v>
      </c>
    </row>
    <row r="34" spans="1:17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553</v>
      </c>
      <c r="I34" s="20" t="s">
        <v>112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  <c r="Q34" s="20" t="b">
        <v>0</v>
      </c>
    </row>
    <row r="35" spans="1:17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566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  <c r="Q35" s="18" t="b">
        <v>0</v>
      </c>
    </row>
    <row r="36" spans="1:17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777</v>
      </c>
      <c r="I36" s="18" t="s">
        <v>453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  <c r="Q36" s="18" t="b">
        <v>0</v>
      </c>
    </row>
    <row r="37" spans="1:17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541</v>
      </c>
      <c r="I37" s="18" t="s">
        <v>99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  <c r="Q37" s="18" t="b">
        <v>0</v>
      </c>
    </row>
    <row r="38" spans="1:17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567</v>
      </c>
      <c r="I38" s="18" t="s">
        <v>97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  <c r="Q38" s="18" t="b">
        <v>0</v>
      </c>
    </row>
    <row r="39" spans="1:17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771</v>
      </c>
      <c r="I39" s="18" t="s">
        <v>102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  <c r="Q39" s="18" t="b">
        <v>0</v>
      </c>
    </row>
    <row r="40" spans="1:17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772</v>
      </c>
      <c r="I40" s="18" t="s">
        <v>104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  <c r="Q40" s="18" t="b">
        <v>0</v>
      </c>
    </row>
    <row r="41" spans="1:17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575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  <c r="Q41" s="20" t="b">
        <v>0</v>
      </c>
    </row>
    <row r="42" spans="1:17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550</v>
      </c>
      <c r="I42" s="20" t="s">
        <v>97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  <c r="Q42" s="20" t="b">
        <v>0</v>
      </c>
    </row>
    <row r="43" spans="1:17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768</v>
      </c>
      <c r="I43" s="20" t="s">
        <v>552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  <c r="Q43" s="20" t="b">
        <v>0</v>
      </c>
    </row>
    <row r="44" spans="1:17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435</v>
      </c>
      <c r="I44" s="20" t="s">
        <v>453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  <c r="Q44" s="20" t="b">
        <v>0</v>
      </c>
    </row>
    <row r="45" spans="1:17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778</v>
      </c>
      <c r="I45" s="20" t="s">
        <v>112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  <c r="Q45" s="20" t="b">
        <v>0</v>
      </c>
    </row>
    <row r="46" spans="1:17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554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  <c r="Q46" s="18" t="b">
        <v>0</v>
      </c>
    </row>
    <row r="47" spans="1:17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555</v>
      </c>
      <c r="I47" s="18" t="s">
        <v>99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  <c r="Q47" s="18" t="b">
        <v>0</v>
      </c>
    </row>
    <row r="48" spans="1:17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100</v>
      </c>
      <c r="I48" s="18" t="s">
        <v>97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  <c r="Q48" s="18" t="b">
        <v>0</v>
      </c>
    </row>
    <row r="49" spans="1:17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101</v>
      </c>
      <c r="I49" s="18" t="s">
        <v>102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  <c r="Q49" s="18" t="b">
        <v>0</v>
      </c>
    </row>
    <row r="50" spans="1:17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103</v>
      </c>
      <c r="I50" s="18" t="s">
        <v>104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  <c r="Q50" s="18" t="b">
        <v>0</v>
      </c>
    </row>
    <row r="51" spans="1:17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556</v>
      </c>
      <c r="I51" s="18" t="s">
        <v>139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  <c r="Q51" s="18" t="b">
        <v>0</v>
      </c>
    </row>
    <row r="52" spans="1:17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557</v>
      </c>
      <c r="I52" s="18" t="s">
        <v>558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  <c r="Q52" s="18" t="b">
        <v>0</v>
      </c>
    </row>
    <row r="53" spans="1:17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559</v>
      </c>
      <c r="I53" s="18" t="s">
        <v>560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  <c r="Q53" s="18" t="b">
        <v>0</v>
      </c>
    </row>
    <row r="54" spans="1:17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107</v>
      </c>
      <c r="I54" s="18" t="s">
        <v>561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  <c r="Q54" s="18" t="b">
        <v>0</v>
      </c>
    </row>
    <row r="55" spans="1:17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105</v>
      </c>
      <c r="I55" s="18" t="s">
        <v>544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  <c r="Q55" s="18" t="b">
        <v>0</v>
      </c>
    </row>
    <row r="56" spans="1:17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106</v>
      </c>
      <c r="I56" s="18" t="s">
        <v>549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  <c r="Q56" s="18" t="b">
        <v>0</v>
      </c>
    </row>
    <row r="57" spans="1:17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1"/>
        <v>60</v>
      </c>
      <c r="G57" s="18" t="str" cm="1">
        <f t="array" ref="G57">GetColumnName(C57,IF(B57=B56,G56,""))</f>
        <v>ListValues</v>
      </c>
      <c r="H57" s="18" t="s">
        <v>106</v>
      </c>
      <c r="I57" s="18" t="s">
        <v>549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  <c r="Q57" s="18" t="b">
        <v>0</v>
      </c>
    </row>
    <row r="58" spans="1:17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1"/>
        <v>5</v>
      </c>
      <c r="G58" s="20" t="str" cm="1">
        <f t="array" ref="G58">GetColumnName(C58,IF(B58=B57,G57,""))</f>
        <v>Id</v>
      </c>
      <c r="H58" s="20" t="s">
        <v>562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  <c r="Q58" s="20" t="b">
        <v>0</v>
      </c>
    </row>
    <row r="59" spans="1:17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773</v>
      </c>
      <c r="I59" s="20" t="s">
        <v>576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  <c r="Q59" s="20" t="b">
        <v>0</v>
      </c>
    </row>
    <row r="60" spans="1:17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563</v>
      </c>
      <c r="I60" s="20" t="s">
        <v>97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  <c r="Q60" s="20" t="b">
        <v>0</v>
      </c>
    </row>
    <row r="61" spans="1:17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EditMask</v>
      </c>
      <c r="H61" s="20" t="s">
        <v>108</v>
      </c>
      <c r="I61" s="20" t="s">
        <v>774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  <c r="Q61" s="20" t="b">
        <v>0</v>
      </c>
    </row>
    <row r="62" spans="1:17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ValidMask</v>
      </c>
      <c r="H62" s="20" t="s">
        <v>564</v>
      </c>
      <c r="I62" s="20" t="s">
        <v>775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  <c r="Q62" s="20" t="b">
        <v>0</v>
      </c>
    </row>
    <row r="63" spans="1:17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1"/>
        <v>30</v>
      </c>
      <c r="G63" s="20" t="str" cm="1">
        <f t="array" ref="G63">GetColumnName(C63,IF(B63=B62,G62,""))</f>
        <v>Modificators</v>
      </c>
      <c r="H63" s="20" t="s">
        <v>112</v>
      </c>
      <c r="I63" s="20" t="s">
        <v>112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  <c r="Q63" s="20" t="b">
        <v>0</v>
      </c>
    </row>
    <row r="64" spans="1:17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568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  <c r="Q64" s="18" t="b">
        <v>0</v>
      </c>
    </row>
    <row r="65" spans="1:17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565</v>
      </c>
      <c r="I65" s="18" t="s">
        <v>118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  <c r="Q65" s="18" t="b">
        <v>0</v>
      </c>
    </row>
    <row r="66" spans="1:17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562</v>
      </c>
      <c r="I66" s="18" t="s">
        <v>108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  <c r="Q66" s="18" t="b">
        <v>0</v>
      </c>
    </row>
    <row r="67" spans="1:17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2" si="4">IF(G67="Id",5,F66+5)</f>
        <v>20</v>
      </c>
      <c r="G67" s="18" t="str" cm="1">
        <f t="array" ref="G67">GetColumnName(C67,IF(B67=B66,G66,""))</f>
        <v>CheckDigitModule</v>
      </c>
      <c r="H67" s="18" t="s">
        <v>569</v>
      </c>
      <c r="I67" s="18" t="s">
        <v>573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  <c r="Q67" s="18" t="b">
        <v>0</v>
      </c>
    </row>
    <row r="68" spans="1:17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570</v>
      </c>
      <c r="I68" s="18" t="s">
        <v>572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  <c r="Q68" s="18" t="b">
        <v>0</v>
      </c>
    </row>
    <row r="69" spans="1:17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571</v>
      </c>
      <c r="I69" s="18" t="s">
        <v>577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  <c r="Q69" s="18" t="b">
        <v>0</v>
      </c>
    </row>
    <row r="70" spans="1:17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574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  <c r="Q70" s="20" t="b">
        <v>0</v>
      </c>
    </row>
    <row r="71" spans="1:17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575</v>
      </c>
      <c r="I71" s="20" t="s">
        <v>576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  <c r="Q71" s="20" t="b">
        <v>0</v>
      </c>
    </row>
    <row r="72" spans="1:17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582</v>
      </c>
      <c r="I72" s="20" t="s">
        <v>97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  <c r="Q72" s="20" t="b">
        <v>0</v>
      </c>
    </row>
    <row r="73" spans="1:17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597</v>
      </c>
      <c r="I73" s="20" t="s">
        <v>109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  <c r="Q73" s="20" t="b">
        <v>0</v>
      </c>
    </row>
    <row r="74" spans="1:17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551</v>
      </c>
      <c r="I74" s="20" t="s">
        <v>552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  <c r="Q74" s="20" t="b">
        <v>0</v>
      </c>
    </row>
    <row r="75" spans="1:17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578</v>
      </c>
      <c r="I75" s="18" t="s">
        <v>193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  <c r="Q75" s="18" t="b">
        <v>0</v>
      </c>
    </row>
    <row r="76" spans="1:17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575</v>
      </c>
      <c r="I76" s="18" t="s">
        <v>576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  <c r="Q76" s="18" t="b">
        <v>0</v>
      </c>
    </row>
    <row r="77" spans="1:17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574</v>
      </c>
      <c r="I77" s="18" t="s">
        <v>113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  <c r="Q77" s="18" t="b">
        <v>0</v>
      </c>
    </row>
    <row r="78" spans="1:17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580</v>
      </c>
      <c r="I78" s="18" t="s">
        <v>581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  <c r="Q78" s="18" t="b">
        <v>0</v>
      </c>
    </row>
    <row r="79" spans="1:17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583</v>
      </c>
      <c r="I79" s="18" t="s">
        <v>584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  <c r="Q79" s="18" t="b">
        <v>0</v>
      </c>
    </row>
    <row r="80" spans="1:17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585</v>
      </c>
      <c r="I80" s="18" t="s">
        <v>586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  <c r="Q80" s="18" t="b">
        <v>0</v>
      </c>
    </row>
    <row r="81" spans="1:17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587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  <c r="Q81" s="20" t="b">
        <v>0</v>
      </c>
    </row>
    <row r="82" spans="1:17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588</v>
      </c>
      <c r="I82" s="20" t="s">
        <v>113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  <c r="Q82" s="20" t="b">
        <v>0</v>
      </c>
    </row>
    <row r="83" spans="1:17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589</v>
      </c>
      <c r="I83" s="20" t="s">
        <v>590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  <c r="Q83" s="20" t="b">
        <v>0</v>
      </c>
    </row>
    <row r="84" spans="1:17">
      <c r="A84" s="20">
        <f t="shared" ref="A84:A226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591</v>
      </c>
      <c r="I84" s="20" t="s">
        <v>97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  <c r="Q84" s="20" t="b">
        <v>0</v>
      </c>
    </row>
    <row r="85" spans="1:17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592</v>
      </c>
      <c r="I85" s="20" t="s">
        <v>109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  <c r="Q85" s="20" t="b">
        <v>0</v>
      </c>
    </row>
    <row r="86" spans="1:17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593</v>
      </c>
      <c r="I86" s="20" t="s">
        <v>594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  <c r="Q86" s="20" t="b">
        <v>0</v>
      </c>
    </row>
    <row r="87" spans="1:17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595</v>
      </c>
      <c r="I87" s="20" t="s">
        <v>112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  <c r="Q87" s="20" t="b">
        <v>0</v>
      </c>
    </row>
    <row r="88" spans="1:17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598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  <c r="Q88" s="18" t="b">
        <v>0</v>
      </c>
    </row>
    <row r="89" spans="1:17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587</v>
      </c>
      <c r="I89" s="18" t="s">
        <v>110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  <c r="Q89" s="18" t="b">
        <v>0</v>
      </c>
    </row>
    <row r="90" spans="1:17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604</v>
      </c>
      <c r="I90" s="18" t="s">
        <v>605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  <c r="Q90" s="18" t="b">
        <v>0</v>
      </c>
    </row>
    <row r="91" spans="1:17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599</v>
      </c>
      <c r="I91" s="18" t="s">
        <v>111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  <c r="Q91" s="18" t="b">
        <v>0</v>
      </c>
    </row>
    <row r="92" spans="1:17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600</v>
      </c>
      <c r="I92" s="18" t="s">
        <v>601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  <c r="Q92" s="18" t="b">
        <v>0</v>
      </c>
    </row>
    <row r="93" spans="1:17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602</v>
      </c>
      <c r="I93" s="18" t="s">
        <v>603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  <c r="Q93" s="18" t="b">
        <v>0</v>
      </c>
    </row>
    <row r="94" spans="1:17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606</v>
      </c>
      <c r="I94" s="18" t="s">
        <v>112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  <c r="Q94" s="18" t="b">
        <v>0</v>
      </c>
    </row>
    <row r="95" spans="1:17">
      <c r="A95" s="20">
        <f t="shared" ref="A95:A105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596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  <c r="Q95" s="20" t="b">
        <v>0</v>
      </c>
    </row>
    <row r="96" spans="1:17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574</v>
      </c>
      <c r="I96" s="20" t="s">
        <v>113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  <c r="Q96" s="20" t="b">
        <v>0</v>
      </c>
    </row>
    <row r="97" spans="1:17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</v>
      </c>
      <c r="E97" s="20" t="str" cm="1">
        <f t="array" ref="E97">GetValue("Dmn",D97,"Name")</f>
        <v>BigInteger</v>
      </c>
      <c r="F97" s="20">
        <f t="shared" ref="F97" si="7">IF(G97="Id",5,F96+5)</f>
        <v>15</v>
      </c>
      <c r="G97" s="20" t="str" cm="1">
        <f t="array" ref="G97">GetColumnName(C97,IF(B97=B96,G96,""))</f>
        <v>ComplementaryTableid</v>
      </c>
      <c r="H97" s="20" t="s">
        <v>938</v>
      </c>
      <c r="I97" s="20" t="s">
        <v>939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  <c r="Q97" s="20" t="b">
        <v>0</v>
      </c>
    </row>
    <row r="98" spans="1:17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10</v>
      </c>
      <c r="E98" s="20" t="str" cm="1">
        <f t="array" ref="E98">GetValue("Dmn",D98,"Name")</f>
        <v>Nvarchar(25)</v>
      </c>
      <c r="F98" s="20">
        <f>IF(G98="Id",5,F96+5)</f>
        <v>15</v>
      </c>
      <c r="G98" s="20" t="str" cm="1">
        <f t="array" ref="G98">GetColumnName(C98,IF(B98=B97,G97,""))</f>
        <v>Name</v>
      </c>
      <c r="H98" s="20" t="s">
        <v>114</v>
      </c>
      <c r="I98" s="20" t="s">
        <v>97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  <c r="Q98" s="20" t="b">
        <v>0</v>
      </c>
    </row>
    <row r="99" spans="1:17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9</v>
      </c>
      <c r="E99" s="20" t="str" cm="1">
        <f t="array" ref="E99">GetValue("Dmn",D99,"Name")</f>
        <v>Nvarchar(20)</v>
      </c>
      <c r="F99" s="20">
        <f t="shared" si="4"/>
        <v>20</v>
      </c>
      <c r="G99" s="20" t="str" cm="1">
        <f t="array" ref="G99">GetColumnName(C99,IF(B99=B98,G98,""))</f>
        <v>Alias</v>
      </c>
      <c r="H99" s="20" t="s">
        <v>115</v>
      </c>
      <c r="I99" s="20" t="s">
        <v>83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  <c r="Q99" s="20" t="b">
        <v>0</v>
      </c>
    </row>
    <row r="100" spans="1:17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11</v>
      </c>
      <c r="E100" s="20" t="str" cm="1">
        <f t="array" ref="E100">GetValue("Dmn",D100,"Name")</f>
        <v>Nvarchar(50)</v>
      </c>
      <c r="F100" s="20">
        <f t="shared" si="4"/>
        <v>25</v>
      </c>
      <c r="G100" s="20" t="str" cm="1">
        <f t="array" ref="G100">GetColumnName(C100,IF(B100=B99,G99,""))</f>
        <v>Description</v>
      </c>
      <c r="H100" s="20" t="s">
        <v>116</v>
      </c>
      <c r="I100" s="20" t="s">
        <v>109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  <c r="Q100" s="20" t="b">
        <v>0</v>
      </c>
    </row>
    <row r="101" spans="1:17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>IF(G101="Id",5,F100+5)</f>
        <v>30</v>
      </c>
      <c r="G101" s="20" t="str" cm="1">
        <f t="array" ref="G101">GetColumnName(C101,IF(B101=B100,G100,""))</f>
        <v>CurrentId</v>
      </c>
      <c r="H101" s="20" t="s">
        <v>798</v>
      </c>
      <c r="I101" s="20" t="s">
        <v>797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  <c r="Q101" s="20" t="b">
        <v>0</v>
      </c>
    </row>
    <row r="102" spans="1:17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1</v>
      </c>
      <c r="E102" s="20" t="str" cm="1">
        <f t="array" ref="E102">GetValue("Dmn",D102,"Name")</f>
        <v>BigInteger</v>
      </c>
      <c r="F102" s="20">
        <f t="shared" ref="F102:F105" si="8">IF(G102="Id",5,F101+5)</f>
        <v>35</v>
      </c>
      <c r="G102" s="20" t="str" cm="1">
        <f t="array" ref="G102">GetColumnName(C102,IF(B102=B101,G101,""))</f>
        <v>MenuId</v>
      </c>
      <c r="H102" s="20" t="s">
        <v>791</v>
      </c>
      <c r="I102" s="20" t="s">
        <v>795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  <c r="Q102" s="20" t="b">
        <v>0</v>
      </c>
    </row>
    <row r="103" spans="1:17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2</v>
      </c>
      <c r="E103" s="20" t="str" cm="1">
        <f t="array" ref="E103">GetValue("Dmn",D103,"Name")</f>
        <v>Integer</v>
      </c>
      <c r="F103" s="20">
        <f t="shared" si="8"/>
        <v>40</v>
      </c>
      <c r="G103" s="20" t="str" cm="1">
        <f t="array" ref="G103">GetColumnName(C103,IF(B103=B102,G102,""))</f>
        <v>MenuSequence</v>
      </c>
      <c r="H103" s="20" t="s">
        <v>792</v>
      </c>
      <c r="I103" s="20" t="s">
        <v>111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  <c r="Q103" s="20" t="b">
        <v>0</v>
      </c>
    </row>
    <row r="104" spans="1:17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9</v>
      </c>
      <c r="E104" s="20" t="str" cm="1">
        <f t="array" ref="E104">GetValue("Dmn",D104,"Name")</f>
        <v>Nvarchar(20)</v>
      </c>
      <c r="F104" s="20">
        <f t="shared" si="8"/>
        <v>45</v>
      </c>
      <c r="G104" s="20" t="str" cm="1">
        <f t="array" ref="G104">GetColumnName(C104,IF(B104=B103,G103,""))</f>
        <v>MenuCaption</v>
      </c>
      <c r="H104" s="20" t="s">
        <v>793</v>
      </c>
      <c r="I104" s="20" t="s">
        <v>796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  <c r="Q104" s="20" t="b">
        <v>0</v>
      </c>
    </row>
    <row r="105" spans="1:17">
      <c r="A105" s="20">
        <f t="shared" si="6"/>
        <v>104</v>
      </c>
      <c r="B105" s="21">
        <v>15</v>
      </c>
      <c r="C105" s="20" t="str" cm="1">
        <f t="array" ref="C105">GetValue("Tbl",B105,"Alias")</f>
        <v>Tbl</v>
      </c>
      <c r="D105" s="20">
        <v>11</v>
      </c>
      <c r="E105" s="20" t="str" cm="1">
        <f t="array" ref="E105">GetValue("Dmn",D105,"Name")</f>
        <v>Nvarchar(50)</v>
      </c>
      <c r="F105" s="20">
        <f t="shared" si="8"/>
        <v>50</v>
      </c>
      <c r="G105" s="20" t="str" cm="1">
        <f t="array" ref="G105">GetColumnName(C105,IF(B105=B104,G104,""))</f>
        <v>MenuMessage</v>
      </c>
      <c r="H105" s="20" t="s">
        <v>794</v>
      </c>
      <c r="I105" s="20" t="s">
        <v>603</v>
      </c>
      <c r="J105" s="20" t="s">
        <v>26</v>
      </c>
      <c r="K105" s="20" t="s">
        <v>26</v>
      </c>
      <c r="L105" s="20" t="s">
        <v>26</v>
      </c>
      <c r="M105" s="20" t="s">
        <v>26</v>
      </c>
      <c r="N105" s="20"/>
      <c r="O105" s="20"/>
      <c r="P105" s="20" t="s">
        <v>26</v>
      </c>
      <c r="Q105" s="20" t="b">
        <v>0</v>
      </c>
    </row>
    <row r="106" spans="1:17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>IF(G106="Id",5,F101+5)</f>
        <v>5</v>
      </c>
      <c r="G106" s="18" t="str" cm="1">
        <f t="array" ref="G106">GetColumnName(C106,IF(B106=B101,G101,""))</f>
        <v>Id</v>
      </c>
      <c r="H106" s="18" t="s">
        <v>607</v>
      </c>
      <c r="I106" s="18" t="s">
        <v>0</v>
      </c>
      <c r="J106" s="18" t="b">
        <v>1</v>
      </c>
      <c r="K106" s="18" t="b">
        <v>1</v>
      </c>
      <c r="L106" s="18" t="b">
        <v>0</v>
      </c>
      <c r="M106" s="18" t="b">
        <v>0</v>
      </c>
      <c r="N106" s="18"/>
      <c r="O106" s="18"/>
      <c r="P106" s="18" t="b">
        <v>0</v>
      </c>
      <c r="Q106" s="18" t="b">
        <v>0</v>
      </c>
    </row>
    <row r="107" spans="1:17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10</v>
      </c>
      <c r="G107" s="18" t="str" cm="1">
        <f t="array" ref="G107">GetColumnName(C107,IF(B107=B106,G106,""))</f>
        <v>TableId</v>
      </c>
      <c r="H107" s="18" t="s">
        <v>596</v>
      </c>
      <c r="I107" s="18" t="s">
        <v>117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  <c r="Q107" s="18" t="b">
        <v>0</v>
      </c>
    </row>
    <row r="108" spans="1:17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1</v>
      </c>
      <c r="E108" s="18" t="str" cm="1">
        <f t="array" ref="E108">GetValue("Dmn",D108,"Name")</f>
        <v>BigInteger</v>
      </c>
      <c r="F108" s="18">
        <f t="shared" si="4"/>
        <v>15</v>
      </c>
      <c r="G108" s="18" t="str" cm="1">
        <f t="array" ref="G108">GetColumnName(C108,IF(B108=B107,G107,""))</f>
        <v>DomainId</v>
      </c>
      <c r="H108" s="18" t="s">
        <v>608</v>
      </c>
      <c r="I108" s="18" t="s">
        <v>118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  <c r="Q108" s="18" t="b">
        <v>0</v>
      </c>
    </row>
    <row r="109" spans="1:17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4</v>
      </c>
      <c r="E109" s="18" t="str" cm="1">
        <f t="array" ref="E109">GetValue("Dmn",D109,"Name")</f>
        <v>SmallInteger</v>
      </c>
      <c r="F109" s="18">
        <f t="shared" si="4"/>
        <v>20</v>
      </c>
      <c r="G109" s="18" t="str" cm="1">
        <f t="array" ref="G109">GetColumnName(C109,IF(B109=B108,G108,""))</f>
        <v>Sequence</v>
      </c>
      <c r="H109" s="18" t="s">
        <v>609</v>
      </c>
      <c r="I109" s="18" t="s">
        <v>111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  <c r="Q109" s="18" t="b">
        <v>0</v>
      </c>
    </row>
    <row r="110" spans="1:17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10</v>
      </c>
      <c r="E110" s="18" t="str" cm="1">
        <f t="array" ref="E110">GetValue("Dmn",D110,"Name")</f>
        <v>Nvarchar(25)</v>
      </c>
      <c r="F110" s="18">
        <f t="shared" si="4"/>
        <v>25</v>
      </c>
      <c r="G110" s="18" t="str" cm="1">
        <f t="array" ref="G110">GetColumnName(C110,IF(B110=B109,G109,""))</f>
        <v>Name</v>
      </c>
      <c r="H110" s="18" t="s">
        <v>119</v>
      </c>
      <c r="I110" s="18" t="s">
        <v>97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  <c r="Q110" s="18" t="b">
        <v>0</v>
      </c>
    </row>
    <row r="111" spans="1:17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11</v>
      </c>
      <c r="E111" s="18" t="str" cm="1">
        <f t="array" ref="E111">GetValue("Dmn",D111,"Name")</f>
        <v>Nvarchar(50)</v>
      </c>
      <c r="F111" s="18">
        <f t="shared" si="4"/>
        <v>30</v>
      </c>
      <c r="G111" s="18" t="str" cm="1">
        <f t="array" ref="G111">GetColumnName(C111,IF(B111=B110,G110,""))</f>
        <v>Description</v>
      </c>
      <c r="H111" s="18" t="s">
        <v>610</v>
      </c>
      <c r="I111" s="18" t="s">
        <v>109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  <c r="Q111" s="18" t="b">
        <v>0</v>
      </c>
    </row>
    <row r="112" spans="1:17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10</v>
      </c>
      <c r="E112" s="18" t="str" cm="1">
        <f t="array" ref="E112">GetValue("Dmn",D112,"Name")</f>
        <v>Nvarchar(25)</v>
      </c>
      <c r="F112" s="18">
        <f t="shared" si="4"/>
        <v>35</v>
      </c>
      <c r="G112" s="18" t="str" cm="1">
        <f t="array" ref="G112">GetColumnName(C112,IF(B112=B111,G111,""))</f>
        <v>Caption</v>
      </c>
      <c r="H112" s="18" t="s">
        <v>611</v>
      </c>
      <c r="I112" s="18" t="s">
        <v>601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  <c r="Q112" s="18" t="b">
        <v>0</v>
      </c>
    </row>
    <row r="113" spans="1:17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40</v>
      </c>
      <c r="G113" s="18" t="str" cm="1">
        <f t="array" ref="G113">GetColumnName(C113,IF(B113=B112,G112,""))</f>
        <v>IsRequired</v>
      </c>
      <c r="H113" s="18" t="s">
        <v>613</v>
      </c>
      <c r="I113" s="18" t="s">
        <v>561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  <c r="Q113" s="18" t="b">
        <v>0</v>
      </c>
    </row>
    <row r="114" spans="1:17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45</v>
      </c>
      <c r="G114" s="18" t="str" cm="1">
        <f t="array" ref="G114">GetColumnName(C114,IF(B114=B113,G113,""))</f>
        <v>IsFilterable</v>
      </c>
      <c r="H114" s="18" t="s">
        <v>614</v>
      </c>
      <c r="I114" s="18" t="s">
        <v>544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  <c r="Q114" s="18" t="b">
        <v>0</v>
      </c>
    </row>
    <row r="115" spans="1:17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50</v>
      </c>
      <c r="G115" s="18" t="str" cm="1">
        <f t="array" ref="G115">GetColumnName(C115,IF(B115=B114,G114,""))</f>
        <v>IsEditable</v>
      </c>
      <c r="H115" s="18" t="s">
        <v>615</v>
      </c>
      <c r="I115" s="18" t="s">
        <v>549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  <c r="Q115" s="18" t="b">
        <v>0</v>
      </c>
    </row>
    <row r="116" spans="1:17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55</v>
      </c>
      <c r="G116" s="18" t="str" cm="1">
        <f t="array" ref="G116">GetColumnName(C116,IF(B116=B115,G115,""))</f>
        <v>IsGridable</v>
      </c>
      <c r="H116" s="18" t="s">
        <v>661</v>
      </c>
      <c r="I116" s="18" t="s">
        <v>664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  <c r="Q116" s="18" t="b">
        <v>0</v>
      </c>
    </row>
    <row r="117" spans="1:17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60</v>
      </c>
      <c r="G117" s="18" t="str" cm="1">
        <f t="array" ref="G117">GetColumnName(C117,IF(B117=B116,G116,""))</f>
        <v>IsListable</v>
      </c>
      <c r="H117" s="18" t="s">
        <v>662</v>
      </c>
      <c r="I117" s="18" t="s">
        <v>663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  <c r="Q117" s="18" t="b">
        <v>0</v>
      </c>
    </row>
    <row r="118" spans="1:17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65</v>
      </c>
      <c r="G118" s="18" t="str" cm="1">
        <f t="array" ref="G118">GetColumnName(C118,IF(B118=B117,G117,""))</f>
        <v>IsEncrypted</v>
      </c>
      <c r="H118" s="18" t="s">
        <v>666</v>
      </c>
      <c r="I118" s="18" t="s">
        <v>665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  <c r="Q118" s="18" t="b">
        <v>0</v>
      </c>
    </row>
    <row r="119" spans="1:17">
      <c r="A119" s="18">
        <f t="shared" si="5"/>
        <v>118</v>
      </c>
      <c r="B119" s="19">
        <v>16</v>
      </c>
      <c r="C119" s="18" t="str" cm="1">
        <f t="array" ref="C119">GetValue("Tbl",B119,"Alias")</f>
        <v>Col</v>
      </c>
      <c r="D119" s="18">
        <v>6</v>
      </c>
      <c r="E119" s="18" t="str" cm="1">
        <f t="array" ref="E119">GetValue("Dmn",D119,"Name")</f>
        <v>Boolean</v>
      </c>
      <c r="F119" s="18">
        <f t="shared" si="4"/>
        <v>70</v>
      </c>
      <c r="G119" s="18" t="str" cm="1">
        <f t="array" ref="G119">GetColumnName(C119,IF(B119=B118,G118,""))</f>
        <v>IsInWords</v>
      </c>
      <c r="H119" s="18" t="s">
        <v>781</v>
      </c>
      <c r="I119" s="18" t="s">
        <v>782</v>
      </c>
      <c r="J119" s="18" t="s">
        <v>26</v>
      </c>
      <c r="K119" s="18" t="s">
        <v>26</v>
      </c>
      <c r="L119" s="18" t="s">
        <v>26</v>
      </c>
      <c r="M119" s="18" t="s">
        <v>26</v>
      </c>
      <c r="N119" s="18"/>
      <c r="O119" s="18"/>
      <c r="P119" s="18" t="s">
        <v>26</v>
      </c>
      <c r="Q119" s="18" t="b">
        <v>0</v>
      </c>
    </row>
    <row r="120" spans="1:17">
      <c r="A120" s="18">
        <f t="shared" si="5"/>
        <v>119</v>
      </c>
      <c r="B120" s="19">
        <v>16</v>
      </c>
      <c r="C120" s="18" t="str" cm="1">
        <f t="array" ref="C120">GetValue("Tbl",B120,"Alias")</f>
        <v>Col</v>
      </c>
      <c r="D120" s="18">
        <v>6</v>
      </c>
      <c r="E120" s="18" t="str" cm="1">
        <f t="array" ref="E120">GetValue("Dmn",D120,"Name")</f>
        <v>Boolean</v>
      </c>
      <c r="F120" s="18">
        <f t="shared" ref="F120" si="9">IF(G120="Id",5,F119+5)</f>
        <v>75</v>
      </c>
      <c r="G120" s="18" t="str" cm="1">
        <f t="array" ref="G120">GetColumnName(C120,IF(B120=B119,G119,""))</f>
        <v>IsVirtual</v>
      </c>
      <c r="H120" s="18" t="s">
        <v>920</v>
      </c>
      <c r="I120" s="18" t="s">
        <v>921</v>
      </c>
      <c r="J120" s="18" t="s">
        <v>26</v>
      </c>
      <c r="K120" s="18" t="s">
        <v>26</v>
      </c>
      <c r="L120" s="18" t="s">
        <v>26</v>
      </c>
      <c r="M120" s="18" t="s">
        <v>26</v>
      </c>
      <c r="N120" s="18"/>
      <c r="O120" s="18"/>
      <c r="P120" s="18" t="s">
        <v>26</v>
      </c>
      <c r="Q120" s="18" t="b">
        <v>0</v>
      </c>
    </row>
    <row r="121" spans="1:17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>IF(G121="Id",5,F119+5)</f>
        <v>5</v>
      </c>
      <c r="G121" s="20" t="str" cm="1">
        <f t="array" ref="G121">GetColumnName(C121,IF(B121=B119,G119,""))</f>
        <v>Id</v>
      </c>
      <c r="H121" s="20" t="s">
        <v>624</v>
      </c>
      <c r="I121" s="20" t="s">
        <v>110</v>
      </c>
      <c r="J121" s="20" t="b">
        <v>1</v>
      </c>
      <c r="K121" s="20" t="b">
        <v>1</v>
      </c>
      <c r="L121" s="20" t="b">
        <v>0</v>
      </c>
      <c r="M121" s="20" t="b">
        <v>0</v>
      </c>
      <c r="N121" s="20"/>
      <c r="O121" s="20"/>
      <c r="P121" s="20" t="b">
        <v>0</v>
      </c>
      <c r="Q121" s="20" t="b">
        <v>0</v>
      </c>
    </row>
    <row r="122" spans="1:17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1</v>
      </c>
      <c r="E122" s="20" t="str" cm="1">
        <f t="array" ref="E122">GetValue("Dmn",D122,"Name")</f>
        <v>BigInteger</v>
      </c>
      <c r="F122" s="20">
        <f t="shared" si="4"/>
        <v>10</v>
      </c>
      <c r="G122" s="20" t="str" cm="1">
        <f t="array" ref="G122">GetColumnName(C122,IF(B122=B121,G121,""))</f>
        <v>TableId</v>
      </c>
      <c r="H122" s="20" t="s">
        <v>901</v>
      </c>
      <c r="I122" s="20" t="s">
        <v>117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  <c r="Q122" s="20" t="b">
        <v>0</v>
      </c>
    </row>
    <row r="123" spans="1:17">
      <c r="A123" s="20">
        <f t="shared" si="5"/>
        <v>122</v>
      </c>
      <c r="B123" s="21">
        <v>17</v>
      </c>
      <c r="C123" s="20" t="str" cm="1">
        <f t="array" ref="C123">GetValue("Tbl",B123,"Alias")</f>
        <v>Idx</v>
      </c>
      <c r="D123" s="20">
        <v>10</v>
      </c>
      <c r="E123" s="20" t="str" cm="1">
        <f t="array" ref="E123">GetValue("Dmn",D123,"Name")</f>
        <v>Nvarchar(25)</v>
      </c>
      <c r="F123" s="20">
        <f t="shared" si="4"/>
        <v>15</v>
      </c>
      <c r="G123" s="20" t="str" cm="1">
        <f t="array" ref="G123">GetColumnName(C123,IF(B123=B122,G122,""))</f>
        <v>Name</v>
      </c>
      <c r="H123" s="20" t="s">
        <v>902</v>
      </c>
      <c r="I123" s="20" t="s">
        <v>97</v>
      </c>
      <c r="J123" s="20" t="s">
        <v>26</v>
      </c>
      <c r="K123" s="20" t="s">
        <v>26</v>
      </c>
      <c r="L123" s="20" t="s">
        <v>26</v>
      </c>
      <c r="M123" s="20" t="s">
        <v>26</v>
      </c>
      <c r="N123" s="20"/>
      <c r="O123" s="20"/>
      <c r="P123" s="20" t="s">
        <v>26</v>
      </c>
      <c r="Q123" s="20" t="b">
        <v>0</v>
      </c>
    </row>
    <row r="124" spans="1:17">
      <c r="A124" s="20">
        <f t="shared" si="5"/>
        <v>123</v>
      </c>
      <c r="B124" s="21">
        <v>17</v>
      </c>
      <c r="C124" s="20" t="str" cm="1">
        <f t="array" ref="C124">GetValue("Tbl",B124,"Alias")</f>
        <v>Idx</v>
      </c>
      <c r="D124" s="20">
        <v>4</v>
      </c>
      <c r="E124" s="20" t="str" cm="1">
        <f t="array" ref="E124">GetValue("Dmn",D124,"Name")</f>
        <v>SmallInteger</v>
      </c>
      <c r="F124" s="20">
        <f t="shared" si="4"/>
        <v>20</v>
      </c>
      <c r="G124" s="20" t="str" cm="1">
        <f t="array" ref="G124">GetColumnName(C124,IF(B124=B123,G123,""))</f>
        <v>IsUnique</v>
      </c>
      <c r="H124" s="20" t="s">
        <v>903</v>
      </c>
      <c r="I124" s="20" t="s">
        <v>904</v>
      </c>
      <c r="J124" s="20" t="s">
        <v>26</v>
      </c>
      <c r="K124" s="20" t="s">
        <v>26</v>
      </c>
      <c r="L124" s="20" t="s">
        <v>26</v>
      </c>
      <c r="M124" s="20" t="s">
        <v>26</v>
      </c>
      <c r="N124" s="20"/>
      <c r="O124" s="20"/>
      <c r="P124" s="20" t="s">
        <v>26</v>
      </c>
      <c r="Q124" s="20" t="b">
        <v>0</v>
      </c>
    </row>
    <row r="125" spans="1:17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5</v>
      </c>
      <c r="G125" s="18" t="str" cm="1">
        <f t="array" ref="G125">GetColumnName(C125,IF(B125=B124,G124,""))</f>
        <v>Id</v>
      </c>
      <c r="H125" s="18" t="s">
        <v>624</v>
      </c>
      <c r="I125" s="18" t="s">
        <v>0</v>
      </c>
      <c r="J125" s="18" t="b">
        <v>1</v>
      </c>
      <c r="K125" s="18" t="b">
        <v>1</v>
      </c>
      <c r="L125" s="18" t="b">
        <v>0</v>
      </c>
      <c r="M125" s="18" t="b">
        <v>0</v>
      </c>
      <c r="N125" s="18"/>
      <c r="O125" s="18"/>
      <c r="P125" s="18" t="b">
        <v>0</v>
      </c>
      <c r="Q125" s="18" t="b">
        <v>0</v>
      </c>
    </row>
    <row r="126" spans="1:17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4"/>
        <v>10</v>
      </c>
      <c r="G126" s="18" t="str" cm="1">
        <f t="array" ref="G126">GetColumnName(C126,IF(B126=B125,G125,""))</f>
        <v>IndexId</v>
      </c>
      <c r="H126" s="18" t="s">
        <v>616</v>
      </c>
      <c r="I126" s="18" t="s">
        <v>625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  <c r="Q126" s="18" t="b">
        <v>0</v>
      </c>
    </row>
    <row r="127" spans="1:17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1</v>
      </c>
      <c r="E127" s="18" t="str" cm="1">
        <f t="array" ref="E127">GetValue("Dmn",D127,"Name")</f>
        <v>BigInteger</v>
      </c>
      <c r="F127" s="18">
        <f t="shared" si="4"/>
        <v>15</v>
      </c>
      <c r="G127" s="18" t="str" cm="1">
        <f t="array" ref="G127">GetColumnName(C127,IF(B127=B126,G126,""))</f>
        <v>ColumnId</v>
      </c>
      <c r="H127" s="18" t="s">
        <v>905</v>
      </c>
      <c r="I127" s="18" t="s">
        <v>627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  <c r="Q127" s="18" t="b">
        <v>0</v>
      </c>
    </row>
    <row r="128" spans="1:17">
      <c r="A128" s="18">
        <f t="shared" si="5"/>
        <v>127</v>
      </c>
      <c r="B128" s="19">
        <v>18</v>
      </c>
      <c r="C128" s="18" t="str" cm="1">
        <f t="array" ref="C128">GetValue("Tbl",B128,"Alias")</f>
        <v>Idk</v>
      </c>
      <c r="D128" s="18">
        <v>4</v>
      </c>
      <c r="E128" s="18" t="str" cm="1">
        <f t="array" ref="E128">GetValue("Dmn",D128,"Name")</f>
        <v>SmallInteger</v>
      </c>
      <c r="F128" s="18">
        <f t="shared" si="4"/>
        <v>20</v>
      </c>
      <c r="G128" s="18" t="str" cm="1">
        <f t="array" ref="G128">GetColumnName(C128,IF(B128=B127,G127,""))</f>
        <v>Sequence</v>
      </c>
      <c r="H128" s="18" t="s">
        <v>906</v>
      </c>
      <c r="I128" s="18" t="s">
        <v>111</v>
      </c>
      <c r="J128" s="18" t="s">
        <v>26</v>
      </c>
      <c r="K128" s="18" t="s">
        <v>26</v>
      </c>
      <c r="L128" s="18" t="s">
        <v>26</v>
      </c>
      <c r="M128" s="18" t="s">
        <v>26</v>
      </c>
      <c r="N128" s="18"/>
      <c r="O128" s="18"/>
      <c r="P128" s="18" t="s">
        <v>26</v>
      </c>
      <c r="Q128" s="18" t="b">
        <v>0</v>
      </c>
    </row>
    <row r="129" spans="1:17">
      <c r="A129" s="18">
        <f t="shared" si="5"/>
        <v>128</v>
      </c>
      <c r="B129" s="19">
        <v>18</v>
      </c>
      <c r="C129" s="18" t="str" cm="1">
        <f t="array" ref="C129">GetValue("Tbl",B129,"Alias")</f>
        <v>Idk</v>
      </c>
      <c r="D129" s="18">
        <v>6</v>
      </c>
      <c r="E129" s="18" t="str" cm="1">
        <f t="array" ref="E129">GetValue("Dmn",D129,"Name")</f>
        <v>Boolean</v>
      </c>
      <c r="F129" s="18">
        <f t="shared" si="4"/>
        <v>25</v>
      </c>
      <c r="G129" s="18" t="str" cm="1">
        <f t="array" ref="G129">GetColumnName(C129,IF(B129=B128,G128,""))</f>
        <v>IsDescending</v>
      </c>
      <c r="H129" s="18" t="s">
        <v>779</v>
      </c>
      <c r="I129" s="18" t="s">
        <v>780</v>
      </c>
      <c r="J129" s="18" t="s">
        <v>26</v>
      </c>
      <c r="K129" s="18" t="s">
        <v>26</v>
      </c>
      <c r="L129" s="18" t="s">
        <v>26</v>
      </c>
      <c r="M129" s="18" t="s">
        <v>26</v>
      </c>
      <c r="N129" s="18"/>
      <c r="O129" s="18"/>
      <c r="P129" s="18" t="s">
        <v>26</v>
      </c>
      <c r="Q129" s="18" t="b">
        <v>0</v>
      </c>
    </row>
    <row r="130" spans="1:17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5</v>
      </c>
      <c r="G130" s="20" t="str" cm="1">
        <f t="array" ref="G130">GetColumnName(C130,IF(B130=B129,G129,""))</f>
        <v>Id</v>
      </c>
      <c r="H130" s="20" t="s">
        <v>805</v>
      </c>
      <c r="I130" s="20" t="s">
        <v>0</v>
      </c>
      <c r="J130" s="20" t="b">
        <v>1</v>
      </c>
      <c r="K130" s="20" t="b">
        <v>1</v>
      </c>
      <c r="L130" s="20" t="b">
        <v>0</v>
      </c>
      <c r="M130" s="20" t="b">
        <v>0</v>
      </c>
      <c r="N130" s="20"/>
      <c r="O130" s="20"/>
      <c r="P130" s="20" t="b">
        <v>0</v>
      </c>
      <c r="Q130" s="20" t="b">
        <v>0</v>
      </c>
    </row>
    <row r="131" spans="1:17">
      <c r="A131" s="20">
        <f t="shared" si="5"/>
        <v>130</v>
      </c>
      <c r="B131" s="21">
        <v>19</v>
      </c>
      <c r="C131" s="20" t="str" cm="1">
        <f t="array" ref="C131">GetValue("Tbl",B131,"Alias")</f>
        <v>Inc</v>
      </c>
      <c r="D131" s="20">
        <v>1</v>
      </c>
      <c r="E131" s="20" t="str" cm="1">
        <f t="array" ref="E131">GetValue("Dmn",D131,"Name")</f>
        <v>BigInteger</v>
      </c>
      <c r="F131" s="20">
        <f t="shared" si="4"/>
        <v>10</v>
      </c>
      <c r="G131" s="20" t="str" cm="1">
        <f t="array" ref="G131">GetColumnName(C131,IF(B131=B130,G130,""))</f>
        <v>IndexId</v>
      </c>
      <c r="H131" s="20" t="s">
        <v>616</v>
      </c>
      <c r="I131" s="20" t="s">
        <v>625</v>
      </c>
      <c r="J131" s="20" t="s">
        <v>26</v>
      </c>
      <c r="K131" s="20" t="s">
        <v>26</v>
      </c>
      <c r="L131" s="20" t="s">
        <v>26</v>
      </c>
      <c r="M131" s="20" t="s">
        <v>26</v>
      </c>
      <c r="N131" s="20"/>
      <c r="O131" s="20"/>
      <c r="P131" s="20" t="s">
        <v>26</v>
      </c>
      <c r="Q131" s="20" t="b">
        <v>0</v>
      </c>
    </row>
    <row r="132" spans="1:17">
      <c r="A132" s="20">
        <f t="shared" si="5"/>
        <v>131</v>
      </c>
      <c r="B132" s="21">
        <v>19</v>
      </c>
      <c r="C132" s="20" t="str" cm="1">
        <f t="array" ref="C132">GetValue("Tbl",B132,"Alias")</f>
        <v>Inc</v>
      </c>
      <c r="D132" s="20">
        <v>1</v>
      </c>
      <c r="E132" s="20" t="str" cm="1">
        <f t="array" ref="E132">GetValue("Dmn",D132,"Name")</f>
        <v>BigInteger</v>
      </c>
      <c r="F132" s="20">
        <f t="shared" si="4"/>
        <v>15</v>
      </c>
      <c r="G132" s="20" t="str" cm="1">
        <f t="array" ref="G132">GetColumnName(C132,IF(B132=B131,G131,""))</f>
        <v>ColumnId</v>
      </c>
      <c r="H132" s="20" t="s">
        <v>783</v>
      </c>
      <c r="I132" s="20" t="s">
        <v>627</v>
      </c>
      <c r="J132" s="20" t="s">
        <v>26</v>
      </c>
      <c r="K132" s="20" t="s">
        <v>26</v>
      </c>
      <c r="L132" s="20" t="s">
        <v>26</v>
      </c>
      <c r="M132" s="20" t="s">
        <v>26</v>
      </c>
      <c r="N132" s="20"/>
      <c r="O132" s="20"/>
      <c r="P132" s="20" t="s">
        <v>26</v>
      </c>
      <c r="Q132" s="20" t="b">
        <v>0</v>
      </c>
    </row>
    <row r="133" spans="1:17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ref="F133" si="10">IF(G133="Id",5,F132+5)</f>
        <v>5</v>
      </c>
      <c r="G133" s="18" t="str" cm="1">
        <f t="array" ref="G133">GetColumnName(C133,IF(B133=B132,G132,""))</f>
        <v>Id</v>
      </c>
      <c r="H133" s="18" t="s">
        <v>806</v>
      </c>
      <c r="I133" s="18" t="s">
        <v>0</v>
      </c>
      <c r="J133" s="18" t="b">
        <v>1</v>
      </c>
      <c r="K133" s="18" t="b">
        <v>1</v>
      </c>
      <c r="L133" s="18" t="b">
        <v>0</v>
      </c>
      <c r="M133" s="18" t="b">
        <v>0</v>
      </c>
      <c r="N133" s="18"/>
      <c r="O133" s="18"/>
      <c r="P133" s="18" t="b">
        <v>0</v>
      </c>
      <c r="Q133" s="18" t="b">
        <v>0</v>
      </c>
    </row>
    <row r="134" spans="1:17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1</v>
      </c>
      <c r="E134" s="18" t="str" cm="1">
        <f t="array" ref="E134">GetValue("Dmn",D134,"Name")</f>
        <v>BigInteger</v>
      </c>
      <c r="F134" s="18">
        <f t="shared" ref="F134:F137" si="11">IF(G134="Id",5,F133+5)</f>
        <v>10</v>
      </c>
      <c r="G134" s="18" t="str" cm="1">
        <f t="array" ref="G134">GetColumnName(C134,IF(B134=B133,G133,""))</f>
        <v>LeftColumnId</v>
      </c>
      <c r="H134" s="18" t="s">
        <v>807</v>
      </c>
      <c r="I134" s="18" t="s">
        <v>810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  <c r="Q134" s="18" t="b">
        <v>0</v>
      </c>
    </row>
    <row r="135" spans="1:17">
      <c r="A135" s="18">
        <f t="shared" si="5"/>
        <v>134</v>
      </c>
      <c r="B135" s="19">
        <v>20</v>
      </c>
      <c r="C135" s="18" t="str" cm="1">
        <f t="array" ref="C135">GetValue("Tbl",B135,"Alias")</f>
        <v>Uni</v>
      </c>
      <c r="D135" s="18">
        <v>1</v>
      </c>
      <c r="E135" s="18" t="str" cm="1">
        <f t="array" ref="E135">GetValue("Dmn",D135,"Name")</f>
        <v>BigInteger</v>
      </c>
      <c r="F135" s="18">
        <f t="shared" si="11"/>
        <v>15</v>
      </c>
      <c r="G135" s="18" t="str" cm="1">
        <f t="array" ref="G135">GetColumnName(C135,IF(B135=B134,G134,""))</f>
        <v>RightColumnId</v>
      </c>
      <c r="H135" s="18" t="s">
        <v>808</v>
      </c>
      <c r="I135" s="18" t="s">
        <v>811</v>
      </c>
      <c r="J135" s="18" t="s">
        <v>26</v>
      </c>
      <c r="K135" s="18" t="s">
        <v>26</v>
      </c>
      <c r="L135" s="18" t="s">
        <v>26</v>
      </c>
      <c r="M135" s="18" t="s">
        <v>26</v>
      </c>
      <c r="N135" s="18"/>
      <c r="O135" s="18"/>
      <c r="P135" s="18" t="s">
        <v>26</v>
      </c>
      <c r="Q135" s="18" t="b">
        <v>0</v>
      </c>
    </row>
    <row r="136" spans="1:17">
      <c r="A136" s="18">
        <f t="shared" si="5"/>
        <v>135</v>
      </c>
      <c r="B136" s="19">
        <v>20</v>
      </c>
      <c r="C136" s="18" t="str" cm="1">
        <f t="array" ref="C136">GetValue("Tbl",B136,"Alias")</f>
        <v>Uni</v>
      </c>
      <c r="D136" s="18">
        <v>6</v>
      </c>
      <c r="E136" s="18" t="str" cm="1">
        <f t="array" ref="E136">GetValue("Dmn",D136,"Name")</f>
        <v>Boolean</v>
      </c>
      <c r="F136" s="18">
        <f t="shared" si="11"/>
        <v>20</v>
      </c>
      <c r="G136" s="18" t="str" cm="1">
        <f t="array" ref="G136">GetColumnName(C136,IF(B136=B135,G135,""))</f>
        <v>IsBirectional</v>
      </c>
      <c r="H136" s="18" t="s">
        <v>907</v>
      </c>
      <c r="I136" s="18" t="s">
        <v>812</v>
      </c>
      <c r="J136" s="18" t="s">
        <v>26</v>
      </c>
      <c r="K136" s="18" t="s">
        <v>26</v>
      </c>
      <c r="L136" s="18" t="s">
        <v>26</v>
      </c>
      <c r="M136" s="18" t="s">
        <v>26</v>
      </c>
      <c r="N136" s="18"/>
      <c r="O136" s="18"/>
      <c r="P136" s="18" t="s">
        <v>26</v>
      </c>
      <c r="Q136" s="18" t="b">
        <v>0</v>
      </c>
    </row>
    <row r="137" spans="1:17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</v>
      </c>
      <c r="E137" s="20" t="str" cm="1">
        <f t="array" ref="E137">GetValue("Dmn",D137,"Name")</f>
        <v>BigInteger</v>
      </c>
      <c r="F137" s="20">
        <f t="shared" si="11"/>
        <v>5</v>
      </c>
      <c r="G137" s="20" t="str" cm="1">
        <f t="array" ref="G137">GetColumnName(C137,IF(B137=B136,G136,""))</f>
        <v>Id</v>
      </c>
      <c r="H137" s="20" t="s">
        <v>813</v>
      </c>
      <c r="I137" s="20" t="s">
        <v>0</v>
      </c>
      <c r="J137" s="20" t="b">
        <v>1</v>
      </c>
      <c r="K137" s="20" t="b">
        <v>1</v>
      </c>
      <c r="L137" s="20" t="b">
        <v>0</v>
      </c>
      <c r="M137" s="20" t="b">
        <v>0</v>
      </c>
      <c r="N137" s="20"/>
      <c r="O137" s="20"/>
      <c r="P137" s="20" t="b">
        <v>0</v>
      </c>
      <c r="Q137" s="20" t="b">
        <v>0</v>
      </c>
    </row>
    <row r="138" spans="1:17">
      <c r="A138" s="20">
        <f t="shared" si="5"/>
        <v>137</v>
      </c>
      <c r="B138" s="21">
        <v>21</v>
      </c>
      <c r="C138" s="20" t="str" cm="1">
        <f t="array" ref="C138">GetValue("Tbl",B138,"Alias")</f>
        <v>Exp</v>
      </c>
      <c r="D138" s="20">
        <v>1</v>
      </c>
      <c r="E138" s="20" t="str" cm="1">
        <f t="array" ref="E138">GetValue("Dmn",D138,"Name")</f>
        <v>BigInteger</v>
      </c>
      <c r="F138" s="20">
        <f t="shared" ref="F138:F140" si="12">IF(G138="Id",5,F137+5)</f>
        <v>10</v>
      </c>
      <c r="G138" s="20" t="str" cm="1">
        <f t="array" ref="G138">GetColumnName(C138,IF(B138=B137,G137,""))</f>
        <v>TableId</v>
      </c>
      <c r="H138" s="20" t="s">
        <v>596</v>
      </c>
      <c r="I138" s="20" t="s">
        <v>117</v>
      </c>
      <c r="J138" s="20" t="s">
        <v>26</v>
      </c>
      <c r="K138" s="20" t="s">
        <v>26</v>
      </c>
      <c r="L138" s="20" t="s">
        <v>26</v>
      </c>
      <c r="M138" s="20" t="s">
        <v>26</v>
      </c>
      <c r="N138" s="20"/>
      <c r="O138" s="20"/>
      <c r="P138" s="20" t="s">
        <v>26</v>
      </c>
      <c r="Q138" s="20" t="b">
        <v>0</v>
      </c>
    </row>
    <row r="139" spans="1:17">
      <c r="A139" s="20">
        <f t="shared" si="5"/>
        <v>138</v>
      </c>
      <c r="B139" s="21">
        <v>21</v>
      </c>
      <c r="C139" s="20" t="str" cm="1">
        <f t="array" ref="C139">GetValue("Tbl",B139,"Alias")</f>
        <v>Exp</v>
      </c>
      <c r="D139" s="20">
        <v>10</v>
      </c>
      <c r="E139" s="20" t="str" cm="1">
        <f t="array" ref="E139">GetValue("Dmn",D139,"Name")</f>
        <v>Nvarchar(25)</v>
      </c>
      <c r="F139" s="20">
        <f t="shared" si="12"/>
        <v>15</v>
      </c>
      <c r="G139" s="20" t="str" cm="1">
        <f t="array" ref="G139">GetColumnName(C139,IF(B139=B138,G138,""))</f>
        <v>Name</v>
      </c>
      <c r="H139" s="20" t="s">
        <v>814</v>
      </c>
      <c r="I139" s="20" t="s">
        <v>97</v>
      </c>
      <c r="J139" s="20" t="s">
        <v>26</v>
      </c>
      <c r="K139" s="20" t="s">
        <v>26</v>
      </c>
      <c r="L139" s="20" t="s">
        <v>26</v>
      </c>
      <c r="M139" s="20" t="s">
        <v>26</v>
      </c>
      <c r="N139" s="20"/>
      <c r="O139" s="20"/>
      <c r="P139" s="20" t="s">
        <v>26</v>
      </c>
      <c r="Q139" s="20" t="b">
        <v>0</v>
      </c>
    </row>
    <row r="140" spans="1:17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1</v>
      </c>
      <c r="E140" s="18" t="str" cm="1">
        <f t="array" ref="E140">GetValue("Dmn",D140,"Name")</f>
        <v>BigInteger</v>
      </c>
      <c r="F140" s="18">
        <f t="shared" si="12"/>
        <v>5</v>
      </c>
      <c r="G140" s="18" t="str" cm="1">
        <f t="array" ref="G140">GetColumnName(C140,IF(B140=B139,G139,""))</f>
        <v>Id</v>
      </c>
      <c r="H140" s="18" t="s">
        <v>815</v>
      </c>
      <c r="I140" s="18" t="s">
        <v>0</v>
      </c>
      <c r="J140" s="18" t="b">
        <v>1</v>
      </c>
      <c r="K140" s="18" t="b">
        <v>1</v>
      </c>
      <c r="L140" s="18" t="b">
        <v>0</v>
      </c>
      <c r="M140" s="18" t="b">
        <v>0</v>
      </c>
      <c r="N140" s="18"/>
      <c r="O140" s="18"/>
      <c r="P140" s="18" t="s">
        <v>26</v>
      </c>
      <c r="Q140" s="18" t="b">
        <v>0</v>
      </c>
    </row>
    <row r="141" spans="1:17">
      <c r="A141" s="18">
        <f t="shared" si="5"/>
        <v>140</v>
      </c>
      <c r="B141" s="19">
        <v>22</v>
      </c>
      <c r="C141" s="18" t="str" cm="1">
        <f t="array" ref="C141">GetValue("Tbl",B141,"Alias")</f>
        <v>Cnd</v>
      </c>
      <c r="D141" s="18">
        <v>1</v>
      </c>
      <c r="E141" s="18" t="str" cm="1">
        <f t="array" ref="E141">GetValue("Dmn",D141,"Name")</f>
        <v>BigInteger</v>
      </c>
      <c r="F141" s="18">
        <f t="shared" ref="F141:F142" si="13">IF(G141="Id",5,F140+5)</f>
        <v>10</v>
      </c>
      <c r="G141" s="18" t="str" cm="1">
        <f t="array" ref="G141">GetColumnName(C141,IF(B141=B140,G140,""))</f>
        <v>ExpressionId</v>
      </c>
      <c r="H141" s="18" t="s">
        <v>813</v>
      </c>
      <c r="I141" s="18" t="s">
        <v>821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b">
        <v>0</v>
      </c>
      <c r="Q141" s="18" t="b">
        <v>0</v>
      </c>
    </row>
    <row r="142" spans="1:17">
      <c r="A142" s="18">
        <f t="shared" si="5"/>
        <v>141</v>
      </c>
      <c r="B142" s="19">
        <v>22</v>
      </c>
      <c r="C142" s="18" t="str" cm="1">
        <f t="array" ref="C142">GetValue("Tbl",B142,"Alias")</f>
        <v>Cnd</v>
      </c>
      <c r="D142" s="18">
        <v>4</v>
      </c>
      <c r="E142" s="18" t="str" cm="1">
        <f t="array" ref="E142">GetValue("Dmn",D142,"Name")</f>
        <v>SmallInteger</v>
      </c>
      <c r="F142" s="18">
        <f t="shared" si="13"/>
        <v>15</v>
      </c>
      <c r="G142" s="18" t="str" cm="1">
        <f t="array" ref="G142">GetColumnName(C142,IF(B142=B141,G141,""))</f>
        <v>Sequence</v>
      </c>
      <c r="H142" s="18" t="s">
        <v>816</v>
      </c>
      <c r="I142" s="18" t="s">
        <v>111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  <c r="Q142" s="18" t="b">
        <v>0</v>
      </c>
    </row>
    <row r="143" spans="1:17">
      <c r="A143" s="18">
        <f>ROW(A143)-1</f>
        <v>142</v>
      </c>
      <c r="B143" s="19">
        <v>22</v>
      </c>
      <c r="C143" s="18" t="str" cm="1">
        <f t="array" ref="C143">GetValue("Tbl",B143,"Alias")</f>
        <v>Cnd</v>
      </c>
      <c r="D143" s="18">
        <v>8</v>
      </c>
      <c r="E143" s="18" t="str" cm="1">
        <f t="array" ref="E143">GetValue("Dmn",D143,"Name")</f>
        <v>Nvarchar(15)</v>
      </c>
      <c r="F143" s="18">
        <f>IF(G143="Id",5,F142+5)</f>
        <v>20</v>
      </c>
      <c r="G143" s="18" t="str" cm="1">
        <f t="array" ref="G143">GetColumnName(C143,IF(B143=B142,G142,""))</f>
        <v>Connector</v>
      </c>
      <c r="H143" s="18" t="s">
        <v>817</v>
      </c>
      <c r="I143" s="18" t="s">
        <v>810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  <c r="Q143" s="18" t="b">
        <v>0</v>
      </c>
    </row>
    <row r="144" spans="1:17">
      <c r="A144" s="18">
        <f>ROW(A144)-1</f>
        <v>143</v>
      </c>
      <c r="B144" s="19">
        <v>22</v>
      </c>
      <c r="C144" s="18" t="str" cm="1">
        <f t="array" ref="C144">GetValue("Tbl",B144,"Alias")</f>
        <v>Cnd</v>
      </c>
      <c r="D144" s="18">
        <v>14</v>
      </c>
      <c r="E144" s="18" t="str" cm="1">
        <f t="array" ref="E144">GetValue("Dmn",D144,"Name")</f>
        <v>Nchar(1)</v>
      </c>
      <c r="F144" s="18">
        <f>IF(G144="Id",5,F143+5)</f>
        <v>25</v>
      </c>
      <c r="G144" s="18" t="str" cm="1">
        <f t="array" ref="G144">GetColumnName(C144,IF(B144=B143,G143,""))</f>
        <v>LeftParenthesis</v>
      </c>
      <c r="H144" s="18" t="s">
        <v>818</v>
      </c>
      <c r="I144" s="18" t="s">
        <v>822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  <c r="Q144" s="18" t="b">
        <v>0</v>
      </c>
    </row>
    <row r="145" spans="1:17">
      <c r="A145" s="18">
        <f>ROW(A145)-1</f>
        <v>144</v>
      </c>
      <c r="B145" s="19">
        <v>22</v>
      </c>
      <c r="C145" s="18" t="str" cm="1">
        <f t="array" ref="C145">GetValue("Tbl",B145,"Alias")</f>
        <v>Cnd</v>
      </c>
      <c r="D145" s="18">
        <v>8</v>
      </c>
      <c r="E145" s="18" t="str" cm="1">
        <f t="array" ref="E145">GetValue("Dmn",D145,"Name")</f>
        <v>Nvarchar(15)</v>
      </c>
      <c r="F145" s="18">
        <f>IF(G145="Id",5,F144+5)</f>
        <v>30</v>
      </c>
      <c r="G145" s="18" t="str" cm="1">
        <f t="array" ref="G145">GetColumnName(C145,IF(B145=B144,G144,""))</f>
        <v>LeftColumnId</v>
      </c>
      <c r="H145" s="18" t="s">
        <v>807</v>
      </c>
      <c r="I145" s="18" t="s">
        <v>818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  <c r="Q145" s="18" t="b">
        <v>0</v>
      </c>
    </row>
    <row r="146" spans="1:17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1</v>
      </c>
      <c r="E146" s="18" t="str" cm="1">
        <f t="array" ref="E146">GetValue("Dmn",D146,"Name")</f>
        <v>BigInteger</v>
      </c>
      <c r="F146" s="18">
        <f>IF(G146="Id",5,F145+5)</f>
        <v>35</v>
      </c>
      <c r="G146" s="18" t="str" cm="1">
        <f t="array" ref="G146">GetColumnName(C146,IF(B146=B145,G145,""))</f>
        <v>ComparatorId</v>
      </c>
      <c r="H146" s="18" t="s">
        <v>908</v>
      </c>
      <c r="I146" s="18" t="s">
        <v>764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  <c r="Q146" s="18" t="b">
        <v>0</v>
      </c>
    </row>
    <row r="147" spans="1:17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1</v>
      </c>
      <c r="E147" s="18" t="str" cm="1">
        <f t="array" ref="E147">GetValue("Dmn",D147,"Name")</f>
        <v>BigInteger</v>
      </c>
      <c r="F147" s="18">
        <f t="shared" ref="F147:F150" si="14">IF(G147="Id",5,F146+5)</f>
        <v>40</v>
      </c>
      <c r="G147" s="18" t="str" cm="1">
        <f t="array" ref="G147">GetColumnName(C147,IF(B147=B146,G146,""))</f>
        <v>RightColumnId</v>
      </c>
      <c r="H147" s="18" t="s">
        <v>808</v>
      </c>
      <c r="I147" s="18" t="s">
        <v>811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  <c r="Q147" s="18" t="b">
        <v>0</v>
      </c>
    </row>
    <row r="148" spans="1:17">
      <c r="A148" s="18">
        <f t="shared" si="5"/>
        <v>147</v>
      </c>
      <c r="B148" s="19">
        <v>22</v>
      </c>
      <c r="C148" s="18" t="str" cm="1">
        <f t="array" ref="C148">GetValue("Tbl",B148,"Alias")</f>
        <v>Cnd</v>
      </c>
      <c r="D148" s="18">
        <v>42</v>
      </c>
      <c r="E148" s="18" t="str" cm="1">
        <f t="array" ref="E148">GetValue("Dmn",D148,"Name")</f>
        <v>Variant</v>
      </c>
      <c r="F148" s="18">
        <f t="shared" si="14"/>
        <v>45</v>
      </c>
      <c r="G148" s="18" t="str" cm="1">
        <f t="array" ref="G148">GetColumnName(C148,IF(B148=B147,G147,""))</f>
        <v>RightValue</v>
      </c>
      <c r="H148" s="18" t="s">
        <v>819</v>
      </c>
      <c r="I148" s="18" t="s">
        <v>819</v>
      </c>
      <c r="J148" s="18" t="s">
        <v>26</v>
      </c>
      <c r="K148" s="18" t="s">
        <v>26</v>
      </c>
      <c r="L148" s="18" t="s">
        <v>26</v>
      </c>
      <c r="M148" s="18" t="s">
        <v>26</v>
      </c>
      <c r="N148" s="18"/>
      <c r="O148" s="18"/>
      <c r="P148" s="18" t="s">
        <v>26</v>
      </c>
      <c r="Q148" s="18" t="b">
        <v>0</v>
      </c>
    </row>
    <row r="149" spans="1:17">
      <c r="A149" s="18">
        <f t="shared" si="5"/>
        <v>148</v>
      </c>
      <c r="B149" s="19">
        <v>22</v>
      </c>
      <c r="C149" s="18" t="str" cm="1">
        <f t="array" ref="C149">GetValue("Tbl",B149,"Alias")</f>
        <v>Cnd</v>
      </c>
      <c r="D149" s="18">
        <v>8</v>
      </c>
      <c r="E149" s="18" t="str" cm="1">
        <f t="array" ref="E149">GetValue("Dmn",D149,"Name")</f>
        <v>Nvarchar(15)</v>
      </c>
      <c r="F149" s="18">
        <f t="shared" si="14"/>
        <v>50</v>
      </c>
      <c r="G149" s="18" t="str" cm="1">
        <f t="array" ref="G149">GetColumnName(C149,IF(B149=B148,G148,""))</f>
        <v>RightParenthesis</v>
      </c>
      <c r="H149" s="18" t="s">
        <v>820</v>
      </c>
      <c r="I149" s="18" t="s">
        <v>820</v>
      </c>
      <c r="J149" s="18" t="s">
        <v>26</v>
      </c>
      <c r="K149" s="18" t="s">
        <v>26</v>
      </c>
      <c r="L149" s="18" t="s">
        <v>26</v>
      </c>
      <c r="M149" s="18" t="s">
        <v>26</v>
      </c>
      <c r="N149" s="18"/>
      <c r="O149" s="18"/>
      <c r="P149" s="18" t="s">
        <v>26</v>
      </c>
      <c r="Q149" s="18" t="b">
        <v>0</v>
      </c>
    </row>
    <row r="150" spans="1:17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si="14"/>
        <v>5</v>
      </c>
      <c r="G150" s="20" t="str" cm="1">
        <f t="array" ref="G150">GetColumnName(C150,IF(B150=B149,G149,""))</f>
        <v>Id</v>
      </c>
      <c r="H150" s="20" t="s">
        <v>824</v>
      </c>
      <c r="I150" s="20" t="s">
        <v>0</v>
      </c>
      <c r="J150" s="20" t="b">
        <v>1</v>
      </c>
      <c r="K150" s="20" t="b">
        <v>1</v>
      </c>
      <c r="L150" s="20" t="b">
        <v>0</v>
      </c>
      <c r="M150" s="20" t="b">
        <v>0</v>
      </c>
      <c r="N150" s="20"/>
      <c r="O150" s="20"/>
      <c r="P150" s="20" t="b">
        <v>0</v>
      </c>
      <c r="Q150" s="20" t="b">
        <v>0</v>
      </c>
    </row>
    <row r="151" spans="1:17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ref="F151:F154" si="15">IF(G151="Id",5,F150+5)</f>
        <v>10</v>
      </c>
      <c r="G151" s="20" t="str" cm="1">
        <f t="array" ref="G151">GetColumnName(C151,IF(B151=B150,G150,""))</f>
        <v>ColumnId</v>
      </c>
      <c r="H151" s="20" t="s">
        <v>783</v>
      </c>
      <c r="I151" s="20" t="s">
        <v>627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  <c r="Q151" s="20" t="b">
        <v>0</v>
      </c>
    </row>
    <row r="152" spans="1:17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1</v>
      </c>
      <c r="E152" s="20" t="str" cm="1">
        <f t="array" ref="E152">GetValue("Dmn",D152,"Name")</f>
        <v>BigInteger</v>
      </c>
      <c r="F152" s="20">
        <f t="shared" si="15"/>
        <v>15</v>
      </c>
      <c r="G152" s="20" t="str" cm="1">
        <f t="array" ref="G152">GetColumnName(C152,IF(B152=B151,G151,""))</f>
        <v>TableId</v>
      </c>
      <c r="H152" s="20" t="s">
        <v>596</v>
      </c>
      <c r="I152" s="20" t="s">
        <v>117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  <c r="Q152" s="20" t="b">
        <v>0</v>
      </c>
    </row>
    <row r="153" spans="1:17">
      <c r="A153" s="20">
        <f t="shared" si="5"/>
        <v>152</v>
      </c>
      <c r="B153" s="21">
        <v>23</v>
      </c>
      <c r="C153" s="20" t="str" cm="1">
        <f t="array" ref="C153">GetValue("Tbl",B153,"Alias")</f>
        <v>Ref</v>
      </c>
      <c r="D153" s="20">
        <v>1</v>
      </c>
      <c r="E153" s="20" t="str" cm="1">
        <f t="array" ref="E153">GetValue("Dmn",D153,"Name")</f>
        <v>BigInteger</v>
      </c>
      <c r="F153" s="20">
        <f t="shared" si="15"/>
        <v>20</v>
      </c>
      <c r="G153" s="20" t="str" cm="1">
        <f t="array" ref="G153">GetColumnName(C153,IF(B153=B152,G152,""))</f>
        <v>ExpressionId</v>
      </c>
      <c r="H153" s="20" t="s">
        <v>813</v>
      </c>
      <c r="I153" s="20" t="s">
        <v>821</v>
      </c>
      <c r="J153" s="20" t="s">
        <v>26</v>
      </c>
      <c r="K153" s="20" t="s">
        <v>26</v>
      </c>
      <c r="L153" s="20" t="s">
        <v>26</v>
      </c>
      <c r="M153" s="20" t="s">
        <v>26</v>
      </c>
      <c r="N153" s="20"/>
      <c r="O153" s="20"/>
      <c r="P153" s="20" t="s">
        <v>26</v>
      </c>
      <c r="Q153" s="20" t="b">
        <v>0</v>
      </c>
    </row>
    <row r="154" spans="1:17">
      <c r="A154" s="20">
        <f t="shared" si="5"/>
        <v>153</v>
      </c>
      <c r="B154" s="21">
        <v>23</v>
      </c>
      <c r="C154" s="20" t="str" cm="1">
        <f t="array" ref="C154">GetValue("Tbl",B154,"Alias")</f>
        <v>Ref</v>
      </c>
      <c r="D154" s="20">
        <v>9</v>
      </c>
      <c r="E154" s="20" t="str" cm="1">
        <f t="array" ref="E154">GetValue("Dmn",D154,"Name")</f>
        <v>Nvarchar(20)</v>
      </c>
      <c r="F154" s="20">
        <f t="shared" si="15"/>
        <v>25</v>
      </c>
      <c r="G154" s="20" t="str" cm="1">
        <f t="array" ref="G154">GetColumnName(C154,IF(B154=B153,G153,""))</f>
        <v>Alias</v>
      </c>
      <c r="H154" s="20" t="s">
        <v>909</v>
      </c>
      <c r="I154" s="20" t="s">
        <v>83</v>
      </c>
      <c r="J154" s="20" t="s">
        <v>26</v>
      </c>
      <c r="K154" s="20" t="s">
        <v>26</v>
      </c>
      <c r="L154" s="20" t="s">
        <v>26</v>
      </c>
      <c r="M154" s="20" t="s">
        <v>26</v>
      </c>
      <c r="N154" s="20"/>
      <c r="O154" s="20"/>
      <c r="P154" s="20" t="s">
        <v>26</v>
      </c>
      <c r="Q154" s="20" t="b">
        <v>0</v>
      </c>
    </row>
    <row r="155" spans="1:17">
      <c r="A155" s="20">
        <f t="shared" si="5"/>
        <v>154</v>
      </c>
      <c r="B155" s="21">
        <v>23</v>
      </c>
      <c r="C155" s="20" t="str" cm="1">
        <f t="array" ref="C155">GetValue("Tbl",B155,"Alias")</f>
        <v>Ref</v>
      </c>
      <c r="D155" s="20">
        <v>6</v>
      </c>
      <c r="E155" s="20" t="str" cm="1">
        <f t="array" ref="E155">GetValue("Dmn",D155,"Name")</f>
        <v>Boolean</v>
      </c>
      <c r="F155" s="20">
        <f t="shared" ref="F155" si="16">IF(G155="Id",5,F154+5)</f>
        <v>30</v>
      </c>
      <c r="G155" s="20" t="str" cm="1">
        <f t="array" ref="G155">GetColumnName(C155,IF(B155=B154,G154,""))</f>
        <v>IsParentChild</v>
      </c>
      <c r="H155" s="20" t="s">
        <v>809</v>
      </c>
      <c r="I155" s="20" t="s">
        <v>812</v>
      </c>
      <c r="J155" s="20" t="s">
        <v>26</v>
      </c>
      <c r="K155" s="20" t="s">
        <v>26</v>
      </c>
      <c r="L155" s="20" t="s">
        <v>26</v>
      </c>
      <c r="M155" s="20" t="s">
        <v>26</v>
      </c>
      <c r="N155" s="20"/>
      <c r="O155" s="20"/>
      <c r="P155" s="20" t="s">
        <v>26</v>
      </c>
      <c r="Q155" s="20" t="b">
        <v>0</v>
      </c>
    </row>
    <row r="156" spans="1:17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</v>
      </c>
      <c r="E156" s="18" t="str" cm="1">
        <f t="array" ref="E156">GetValue("Dmn",D156,"Name")</f>
        <v>BigInteger</v>
      </c>
      <c r="F156" s="18">
        <f>IF(G156="Id",5,F154+5)</f>
        <v>5</v>
      </c>
      <c r="G156" s="18" t="str" cm="1">
        <f t="array" ref="G156">GetColumnName(C156,IF(B156=B154,G154,""))</f>
        <v>Id</v>
      </c>
      <c r="H156" s="18" t="s">
        <v>825</v>
      </c>
      <c r="I156" s="18" t="s">
        <v>0</v>
      </c>
      <c r="J156" s="18" t="b">
        <v>1</v>
      </c>
      <c r="K156" s="18" t="b">
        <v>1</v>
      </c>
      <c r="L156" s="18" t="b">
        <v>0</v>
      </c>
      <c r="M156" s="18" t="b">
        <v>0</v>
      </c>
      <c r="N156" s="18"/>
      <c r="O156" s="18"/>
      <c r="P156" s="18" t="b">
        <v>0</v>
      </c>
      <c r="Q156" s="18" t="b">
        <v>0</v>
      </c>
    </row>
    <row r="157" spans="1:17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1</v>
      </c>
      <c r="E157" s="18" t="str" cm="1">
        <f t="array" ref="E157">GetValue("Dmn",D157,"Name")</f>
        <v>BigInteger</v>
      </c>
      <c r="F157" s="18">
        <f t="shared" ref="F157:F162" si="17">IF(G157="Id",5,F156+5)</f>
        <v>10</v>
      </c>
      <c r="G157" s="18" t="str" cm="1">
        <f t="array" ref="G157">GetColumnName(C157,IF(B157=B156,G156,""))</f>
        <v>ClientId</v>
      </c>
      <c r="H157" s="18" t="s">
        <v>575</v>
      </c>
      <c r="I157" s="18" t="s">
        <v>576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  <c r="Q157" s="18" t="b">
        <v>0</v>
      </c>
    </row>
    <row r="158" spans="1:17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10</v>
      </c>
      <c r="E158" s="18" t="str" cm="1">
        <f t="array" ref="E158">GetValue("Dmn",D158,"Name")</f>
        <v>Nvarchar(25)</v>
      </c>
      <c r="F158" s="18">
        <f t="shared" si="17"/>
        <v>15</v>
      </c>
      <c r="G158" s="18" t="str" cm="1">
        <f t="array" ref="G158">GetColumnName(C158,IF(B158=B157,G157,""))</f>
        <v>Name</v>
      </c>
      <c r="H158" s="18" t="s">
        <v>97</v>
      </c>
      <c r="I158" s="18" t="s">
        <v>97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  <c r="Q158" s="18" t="b">
        <v>0</v>
      </c>
    </row>
    <row r="159" spans="1:17">
      <c r="A159" s="18">
        <f t="shared" si="5"/>
        <v>158</v>
      </c>
      <c r="B159" s="19">
        <v>24</v>
      </c>
      <c r="C159" s="18" t="str" cm="1">
        <f t="array" ref="C159">GetValue("Tbl",B159,"Alias")</f>
        <v>Usr</v>
      </c>
      <c r="D159" s="18">
        <v>19</v>
      </c>
      <c r="E159" s="18" t="str" cm="1">
        <f t="array" ref="E159">GetValue("Dmn",D159,"Name")</f>
        <v>Varchar(256)</v>
      </c>
      <c r="F159" s="18">
        <f t="shared" si="17"/>
        <v>20</v>
      </c>
      <c r="G159" s="18" t="str" cm="1">
        <f t="array" ref="G159">GetColumnName(C159,IF(B159=B158,G158,""))</f>
        <v>Password</v>
      </c>
      <c r="H159" s="18" t="s">
        <v>826</v>
      </c>
      <c r="I159" s="18" t="s">
        <v>826</v>
      </c>
      <c r="J159" s="18" t="s">
        <v>26</v>
      </c>
      <c r="K159" s="18" t="s">
        <v>26</v>
      </c>
      <c r="L159" s="18" t="s">
        <v>26</v>
      </c>
      <c r="M159" s="18" t="s">
        <v>26</v>
      </c>
      <c r="N159" s="18"/>
      <c r="O159" s="18"/>
      <c r="P159" s="18" t="s">
        <v>26</v>
      </c>
      <c r="Q159" s="18" t="b">
        <v>0</v>
      </c>
    </row>
    <row r="160" spans="1:17">
      <c r="A160" s="18">
        <f t="shared" si="5"/>
        <v>159</v>
      </c>
      <c r="B160" s="19">
        <v>24</v>
      </c>
      <c r="C160" s="18" t="str" cm="1">
        <f t="array" ref="C160">GetValue("Tbl",B160,"Alias")</f>
        <v>Usr</v>
      </c>
      <c r="D160" s="18">
        <v>5</v>
      </c>
      <c r="E160" s="18" t="str" cm="1">
        <f t="array" ref="E160">GetValue("Dmn",D160,"Name")</f>
        <v>TinyInteger</v>
      </c>
      <c r="F160" s="18">
        <f t="shared" si="17"/>
        <v>25</v>
      </c>
      <c r="G160" s="18" t="str" cm="1">
        <f t="array" ref="G160">GetColumnName(C160,IF(B160=B159,G159,""))</f>
        <v>RetryLogins</v>
      </c>
      <c r="H160" s="18" t="s">
        <v>827</v>
      </c>
      <c r="I160" s="18" t="s">
        <v>829</v>
      </c>
      <c r="J160" s="18" t="s">
        <v>26</v>
      </c>
      <c r="K160" s="18" t="s">
        <v>26</v>
      </c>
      <c r="L160" s="18" t="s">
        <v>26</v>
      </c>
      <c r="M160" s="18" t="s">
        <v>26</v>
      </c>
      <c r="N160" s="18"/>
      <c r="O160" s="18"/>
      <c r="P160" s="18" t="s">
        <v>26</v>
      </c>
      <c r="Q160" s="18" t="b">
        <v>0</v>
      </c>
    </row>
    <row r="161" spans="1:17">
      <c r="A161" s="18">
        <f t="shared" si="5"/>
        <v>160</v>
      </c>
      <c r="B161" s="19">
        <v>24</v>
      </c>
      <c r="C161" s="18" t="str" cm="1">
        <f t="array" ref="C161">GetValue("Tbl",B161,"Alias")</f>
        <v>Usr</v>
      </c>
      <c r="D161" s="18">
        <v>6</v>
      </c>
      <c r="E161" s="18" t="str" cm="1">
        <f t="array" ref="E161">GetValue("Dmn",D161,"Name")</f>
        <v>Boolean</v>
      </c>
      <c r="F161" s="18">
        <f t="shared" si="17"/>
        <v>30</v>
      </c>
      <c r="G161" s="18" t="str" cm="1">
        <f t="array" ref="G161">GetColumnName(C161,IF(B161=B160,G160,""))</f>
        <v>IsActive</v>
      </c>
      <c r="H161" s="18" t="s">
        <v>828</v>
      </c>
      <c r="I161" s="18" t="s">
        <v>112</v>
      </c>
      <c r="J161" s="18" t="s">
        <v>26</v>
      </c>
      <c r="K161" s="18" t="s">
        <v>26</v>
      </c>
      <c r="L161" s="18" t="s">
        <v>26</v>
      </c>
      <c r="M161" s="18" t="s">
        <v>26</v>
      </c>
      <c r="N161" s="18"/>
      <c r="O161" s="18"/>
      <c r="P161" s="18" t="s">
        <v>26</v>
      </c>
      <c r="Q161" s="18" t="b">
        <v>0</v>
      </c>
    </row>
    <row r="162" spans="1:17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si="17"/>
        <v>5</v>
      </c>
      <c r="G162" s="20" t="str" cm="1">
        <f t="array" ref="G162">GetColumnName(C162,IF(B162=B161,G161,""))</f>
        <v>Id</v>
      </c>
      <c r="H162" s="20" t="s">
        <v>830</v>
      </c>
      <c r="I162" s="20" t="s">
        <v>0</v>
      </c>
      <c r="J162" s="20" t="b">
        <v>1</v>
      </c>
      <c r="K162" s="20" t="b">
        <v>1</v>
      </c>
      <c r="L162" s="20" t="b">
        <v>0</v>
      </c>
      <c r="M162" s="20" t="b">
        <v>0</v>
      </c>
      <c r="N162" s="20"/>
      <c r="O162" s="20"/>
      <c r="P162" s="20" t="b">
        <v>0</v>
      </c>
      <c r="Q162" s="20" t="b">
        <v>0</v>
      </c>
    </row>
    <row r="163" spans="1:17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1</v>
      </c>
      <c r="E163" s="20" t="str" cm="1">
        <f t="array" ref="E163">GetValue("Dmn",D163,"Name")</f>
        <v>BigInteger</v>
      </c>
      <c r="F163" s="20">
        <f t="shared" ref="F163:F170" si="18">IF(G163="Id",5,F162+5)</f>
        <v>10</v>
      </c>
      <c r="G163" s="20" t="str" cm="1">
        <f t="array" ref="G163">GetColumnName(C163,IF(B163=B162,G162,""))</f>
        <v>SystemId</v>
      </c>
      <c r="H163" s="20" t="s">
        <v>587</v>
      </c>
      <c r="I163" s="20" t="s">
        <v>110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  <c r="Q163" s="20" t="b">
        <v>0</v>
      </c>
    </row>
    <row r="164" spans="1:17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1</v>
      </c>
      <c r="E164" s="20" t="str" cm="1">
        <f t="array" ref="E164">GetValue("Dmn",D164,"Name")</f>
        <v>BigInteger</v>
      </c>
      <c r="F164" s="20">
        <f t="shared" si="18"/>
        <v>15</v>
      </c>
      <c r="G164" s="20" t="str" cm="1">
        <f t="array" ref="G164">GetColumnName(C164,IF(B164=B163,G163,""))</f>
        <v>UserId</v>
      </c>
      <c r="H164" s="20" t="s">
        <v>831</v>
      </c>
      <c r="I164" s="20" t="s">
        <v>836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  <c r="Q164" s="20" t="b">
        <v>0</v>
      </c>
    </row>
    <row r="165" spans="1:17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1</v>
      </c>
      <c r="E165" s="20" t="str" cm="1">
        <f t="array" ref="E165">GetValue("Dmn",D165,"Name")</f>
        <v>BigInteger</v>
      </c>
      <c r="F165" s="20">
        <f t="shared" si="18"/>
        <v>20</v>
      </c>
      <c r="G165" s="20" t="str" cm="1">
        <f t="array" ref="G165">GetColumnName(C165,IF(B165=B164,G164,""))</f>
        <v>TableId</v>
      </c>
      <c r="H165" s="20" t="s">
        <v>596</v>
      </c>
      <c r="I165" s="20" t="s">
        <v>117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  <c r="Q165" s="20" t="b">
        <v>0</v>
      </c>
    </row>
    <row r="166" spans="1:17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6</v>
      </c>
      <c r="E166" s="20" t="str" cm="1">
        <f t="array" ref="E166">GetValue("Dmn",D166,"Name")</f>
        <v>Boolean</v>
      </c>
      <c r="F166" s="20">
        <f t="shared" si="18"/>
        <v>25</v>
      </c>
      <c r="G166" s="20" t="str" cm="1">
        <f t="array" ref="G166">GetColumnName(C166,IF(B166=B165,G165,""))</f>
        <v>CanCreate</v>
      </c>
      <c r="H166" s="20" t="s">
        <v>832</v>
      </c>
      <c r="I166" s="20" t="s">
        <v>837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  <c r="Q166" s="20" t="b">
        <v>0</v>
      </c>
    </row>
    <row r="167" spans="1:17">
      <c r="A167" s="20">
        <f t="shared" si="5"/>
        <v>166</v>
      </c>
      <c r="B167" s="21">
        <v>25</v>
      </c>
      <c r="C167" s="20" t="str" cm="1">
        <f t="array" ref="C167">GetValue("Tbl",B167,"Alias")</f>
        <v>Prm</v>
      </c>
      <c r="D167" s="20">
        <v>6</v>
      </c>
      <c r="E167" s="20" t="str" cm="1">
        <f t="array" ref="E167">GetValue("Dmn",D167,"Name")</f>
        <v>Boolean</v>
      </c>
      <c r="F167" s="20">
        <f t="shared" si="18"/>
        <v>30</v>
      </c>
      <c r="G167" s="20" t="str" cm="1">
        <f t="array" ref="G167">GetColumnName(C167,IF(B167=B166,G166,""))</f>
        <v>CanRead</v>
      </c>
      <c r="H167" s="20" t="s">
        <v>833</v>
      </c>
      <c r="I167" s="20" t="s">
        <v>838</v>
      </c>
      <c r="J167" s="20" t="s">
        <v>26</v>
      </c>
      <c r="K167" s="20" t="s">
        <v>26</v>
      </c>
      <c r="L167" s="20" t="s">
        <v>26</v>
      </c>
      <c r="M167" s="20" t="s">
        <v>26</v>
      </c>
      <c r="N167" s="20"/>
      <c r="O167" s="20"/>
      <c r="P167" s="20" t="s">
        <v>26</v>
      </c>
      <c r="Q167" s="20" t="b">
        <v>0</v>
      </c>
    </row>
    <row r="168" spans="1:17">
      <c r="A168" s="20">
        <f t="shared" si="5"/>
        <v>167</v>
      </c>
      <c r="B168" s="21">
        <v>25</v>
      </c>
      <c r="C168" s="20" t="str" cm="1">
        <f t="array" ref="C168">GetValue("Tbl",B168,"Alias")</f>
        <v>Prm</v>
      </c>
      <c r="D168" s="20">
        <v>6</v>
      </c>
      <c r="E168" s="20" t="str" cm="1">
        <f t="array" ref="E168">GetValue("Dmn",D168,"Name")</f>
        <v>Boolean</v>
      </c>
      <c r="F168" s="20">
        <f t="shared" si="18"/>
        <v>35</v>
      </c>
      <c r="G168" s="20" t="str" cm="1">
        <f t="array" ref="G168">GetColumnName(C168,IF(B168=B167,G167,""))</f>
        <v>CanUpdate</v>
      </c>
      <c r="H168" s="20" t="s">
        <v>834</v>
      </c>
      <c r="I168" s="20" t="s">
        <v>839</v>
      </c>
      <c r="J168" s="20" t="s">
        <v>26</v>
      </c>
      <c r="K168" s="20" t="s">
        <v>26</v>
      </c>
      <c r="L168" s="20" t="s">
        <v>26</v>
      </c>
      <c r="M168" s="20" t="s">
        <v>26</v>
      </c>
      <c r="N168" s="20"/>
      <c r="O168" s="20"/>
      <c r="P168" s="20" t="s">
        <v>26</v>
      </c>
      <c r="Q168" s="20" t="b">
        <v>0</v>
      </c>
    </row>
    <row r="169" spans="1:17">
      <c r="A169" s="20">
        <f t="shared" si="5"/>
        <v>168</v>
      </c>
      <c r="B169" s="21">
        <v>25</v>
      </c>
      <c r="C169" s="20" t="str" cm="1">
        <f t="array" ref="C169">GetValue("Tbl",B169,"Alias")</f>
        <v>Prm</v>
      </c>
      <c r="D169" s="20">
        <v>6</v>
      </c>
      <c r="E169" s="20" t="str" cm="1">
        <f t="array" ref="E169">GetValue("Dmn",D169,"Name")</f>
        <v>Boolean</v>
      </c>
      <c r="F169" s="20">
        <f t="shared" si="18"/>
        <v>40</v>
      </c>
      <c r="G169" s="20" t="str" cm="1">
        <f t="array" ref="G169">GetColumnName(C169,IF(B169=B168,G168,""))</f>
        <v>CanDelete</v>
      </c>
      <c r="H169" s="20" t="s">
        <v>835</v>
      </c>
      <c r="I169" s="20" t="s">
        <v>840</v>
      </c>
      <c r="J169" s="20" t="s">
        <v>26</v>
      </c>
      <c r="K169" s="20" t="s">
        <v>26</v>
      </c>
      <c r="L169" s="20" t="s">
        <v>26</v>
      </c>
      <c r="M169" s="20" t="s">
        <v>26</v>
      </c>
      <c r="N169" s="20"/>
      <c r="O169" s="20"/>
      <c r="P169" s="20" t="s">
        <v>26</v>
      </c>
      <c r="Q169" s="20" t="b">
        <v>0</v>
      </c>
    </row>
    <row r="170" spans="1:17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</v>
      </c>
      <c r="E170" s="18" t="str" cm="1">
        <f t="array" ref="E170">GetValue("Dmn",D170,"Name")</f>
        <v>BigInteger</v>
      </c>
      <c r="F170" s="18">
        <f t="shared" si="18"/>
        <v>5</v>
      </c>
      <c r="G170" s="18" t="str" cm="1">
        <f t="array" ref="G170">GetColumnName(C170,IF(B170=B169,G169,""))</f>
        <v>Id</v>
      </c>
      <c r="H170" s="18" t="s">
        <v>843</v>
      </c>
      <c r="I170" s="18" t="s">
        <v>0</v>
      </c>
      <c r="J170" s="18" t="b">
        <v>1</v>
      </c>
      <c r="K170" s="18" t="b">
        <v>1</v>
      </c>
      <c r="L170" s="18" t="b">
        <v>0</v>
      </c>
      <c r="M170" s="18" t="b">
        <v>0</v>
      </c>
      <c r="N170" s="18"/>
      <c r="O170" s="18"/>
      <c r="P170" s="18" t="b">
        <v>0</v>
      </c>
      <c r="Q170" s="18" t="b">
        <v>0</v>
      </c>
    </row>
    <row r="171" spans="1:17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10</v>
      </c>
      <c r="E171" s="18" t="str" cm="1">
        <f t="array" ref="E171">GetValue("Dmn",D171,"Name")</f>
        <v>Nvarchar(25)</v>
      </c>
      <c r="F171" s="18">
        <f t="shared" ref="F171:F175" si="19">IF(G171="Id",5,F170+5)</f>
        <v>10</v>
      </c>
      <c r="G171" s="18" t="str" cm="1">
        <f t="array" ref="G171">GetColumnName(C171,IF(B171=B170,G170,""))</f>
        <v>Name</v>
      </c>
      <c r="H171" s="18" t="s">
        <v>844</v>
      </c>
      <c r="I171" s="18" t="s">
        <v>97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  <c r="Q171" s="18" t="b">
        <v>0</v>
      </c>
    </row>
    <row r="172" spans="1:17">
      <c r="A172" s="18">
        <f t="shared" si="5"/>
        <v>171</v>
      </c>
      <c r="B172" s="19">
        <v>26</v>
      </c>
      <c r="C172" s="18" t="str" cm="1">
        <f t="array" ref="C172">GetValue("Tbl",B172,"Alias")</f>
        <v>Prp</v>
      </c>
      <c r="D172" s="18">
        <v>5</v>
      </c>
      <c r="E172" s="18" t="str" cm="1">
        <f t="array" ref="E172">GetValue("Dmn",D172,"Name")</f>
        <v>TinyInteger</v>
      </c>
      <c r="F172" s="18">
        <f t="shared" si="19"/>
        <v>15</v>
      </c>
      <c r="G172" s="18" t="str" cm="1">
        <f t="array" ref="G172">GetColumnName(C172,IF(B172=B171,G171,""))</f>
        <v>CategoryId</v>
      </c>
      <c r="H172" s="18" t="s">
        <v>845</v>
      </c>
      <c r="I172" s="18" t="s">
        <v>98</v>
      </c>
      <c r="J172" s="18" t="s">
        <v>26</v>
      </c>
      <c r="K172" s="18" t="s">
        <v>26</v>
      </c>
      <c r="L172" s="18" t="s">
        <v>26</v>
      </c>
      <c r="M172" s="18" t="s">
        <v>26</v>
      </c>
      <c r="N172" s="18"/>
      <c r="O172" s="18"/>
      <c r="P172" s="18" t="s">
        <v>26</v>
      </c>
      <c r="Q172" s="18" t="b">
        <v>0</v>
      </c>
    </row>
    <row r="173" spans="1:17">
      <c r="A173" s="18">
        <f t="shared" si="5"/>
        <v>172</v>
      </c>
      <c r="B173" s="19">
        <v>26</v>
      </c>
      <c r="C173" s="18" t="str" cm="1">
        <f t="array" ref="C173">GetValue("Tbl",B173,"Alias")</f>
        <v>Prp</v>
      </c>
      <c r="D173" s="18">
        <v>11</v>
      </c>
      <c r="E173" s="18" t="str" cm="1">
        <f t="array" ref="E173">GetValue("Dmn",D173,"Name")</f>
        <v>Nvarchar(50)</v>
      </c>
      <c r="F173" s="18">
        <f t="shared" si="19"/>
        <v>20</v>
      </c>
      <c r="G173" s="18" t="str" cm="1">
        <f t="array" ref="G173">GetColumnName(C173,IF(B173=B172,G172,""))</f>
        <v>Description</v>
      </c>
      <c r="H173" s="18" t="s">
        <v>841</v>
      </c>
      <c r="I173" s="18" t="s">
        <v>109</v>
      </c>
      <c r="J173" s="18" t="s">
        <v>26</v>
      </c>
      <c r="K173" s="18" t="s">
        <v>26</v>
      </c>
      <c r="L173" s="18" t="s">
        <v>26</v>
      </c>
      <c r="M173" s="18" t="s">
        <v>26</v>
      </c>
      <c r="N173" s="18"/>
      <c r="O173" s="18"/>
      <c r="P173" s="18" t="s">
        <v>26</v>
      </c>
      <c r="Q173" s="18" t="b">
        <v>0</v>
      </c>
    </row>
    <row r="174" spans="1:17">
      <c r="A174" s="18">
        <f t="shared" si="5"/>
        <v>173</v>
      </c>
      <c r="B174" s="19">
        <v>26</v>
      </c>
      <c r="C174" s="18" t="str" cm="1">
        <f t="array" ref="C174">GetValue("Tbl",B174,"Alias")</f>
        <v>Prp</v>
      </c>
      <c r="D174" s="18">
        <v>6</v>
      </c>
      <c r="E174" s="18" t="str" cm="1">
        <f t="array" ref="E174">GetValue("Dmn",D174,"Name")</f>
        <v>Boolean</v>
      </c>
      <c r="F174" s="18">
        <f t="shared" si="19"/>
        <v>25</v>
      </c>
      <c r="G174" s="18" t="str" cm="1">
        <f t="array" ref="G174">GetColumnName(C174,IF(B174=B173,G173,""))</f>
        <v>IsActive</v>
      </c>
      <c r="H174" s="18" t="s">
        <v>842</v>
      </c>
      <c r="I174" s="18" t="s">
        <v>846</v>
      </c>
      <c r="J174" s="18" t="s">
        <v>26</v>
      </c>
      <c r="K174" s="18" t="s">
        <v>26</v>
      </c>
      <c r="L174" s="18" t="s">
        <v>26</v>
      </c>
      <c r="M174" s="18" t="s">
        <v>26</v>
      </c>
      <c r="N174" s="18"/>
      <c r="O174" s="18"/>
      <c r="P174" s="18" t="s">
        <v>26</v>
      </c>
      <c r="Q174" s="18" t="b">
        <v>0</v>
      </c>
    </row>
    <row r="175" spans="1:17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1</v>
      </c>
      <c r="E175" s="20" t="str" cm="1">
        <f t="array" ref="E175">GetValue("Dmn",D175,"Name")</f>
        <v>BigInteger</v>
      </c>
      <c r="F175" s="20">
        <f t="shared" si="19"/>
        <v>5</v>
      </c>
      <c r="G175" s="20" t="str" cm="1">
        <f t="array" ref="G175">GetColumnName(C175,IF(B175=B174,G174,""))</f>
        <v>Id</v>
      </c>
      <c r="H175" s="20" t="s">
        <v>870</v>
      </c>
      <c r="I175" s="20" t="s">
        <v>0</v>
      </c>
      <c r="J175" s="20" t="b">
        <v>1</v>
      </c>
      <c r="K175" s="20" t="b">
        <v>1</v>
      </c>
      <c r="L175" s="20" t="b">
        <v>0</v>
      </c>
      <c r="M175" s="20" t="b">
        <v>0</v>
      </c>
      <c r="N175" s="20"/>
      <c r="O175" s="20"/>
      <c r="P175" s="20" t="b">
        <v>0</v>
      </c>
      <c r="Q175" s="20" t="b">
        <v>0</v>
      </c>
    </row>
    <row r="176" spans="1:17">
      <c r="A176" s="20">
        <f t="shared" si="5"/>
        <v>175</v>
      </c>
      <c r="B176" s="21">
        <v>27</v>
      </c>
      <c r="C176" s="20" t="str" cm="1">
        <f t="array" ref="C176">GetValue("Tbl",B176,"Alias")</f>
        <v>Bhv</v>
      </c>
      <c r="D176" s="20">
        <v>1</v>
      </c>
      <c r="E176" s="20" t="str" cm="1">
        <f t="array" ref="E176">GetValue("Dmn",D176,"Name")</f>
        <v>BigInteger</v>
      </c>
      <c r="F176" s="20">
        <f t="shared" ref="F176:F179" si="20">IF(G176="Id",5,F175+5)</f>
        <v>10</v>
      </c>
      <c r="G176" s="20" t="str" cm="1">
        <f t="array" ref="G176">GetColumnName(C176,IF(B176=B175,G175,""))</f>
        <v>TableId</v>
      </c>
      <c r="H176" s="20" t="s">
        <v>813</v>
      </c>
      <c r="I176" s="20" t="s">
        <v>821</v>
      </c>
      <c r="J176" s="20" t="s">
        <v>26</v>
      </c>
      <c r="K176" s="20" t="s">
        <v>26</v>
      </c>
      <c r="L176" s="20" t="s">
        <v>26</v>
      </c>
      <c r="M176" s="20" t="s">
        <v>26</v>
      </c>
      <c r="N176" s="20"/>
      <c r="O176" s="20"/>
      <c r="P176" s="20" t="s">
        <v>26</v>
      </c>
      <c r="Q176" s="20" t="b">
        <v>0</v>
      </c>
    </row>
    <row r="177" spans="1:17">
      <c r="A177" s="20">
        <f t="shared" si="5"/>
        <v>176</v>
      </c>
      <c r="B177" s="21">
        <v>27</v>
      </c>
      <c r="C177" s="20" t="str" cm="1">
        <f t="array" ref="C177">GetValue("Tbl",B177,"Alias")</f>
        <v>Bhv</v>
      </c>
      <c r="D177" s="20">
        <v>1</v>
      </c>
      <c r="E177" s="20" t="str" cm="1">
        <f t="array" ref="E177">GetValue("Dmn",D177,"Name")</f>
        <v>BigInteger</v>
      </c>
      <c r="F177" s="20">
        <f t="shared" si="20"/>
        <v>15</v>
      </c>
      <c r="G177" s="20" t="str" cm="1">
        <f t="array" ref="G177">GetColumnName(C177,IF(B177=B176,G176,""))</f>
        <v>ExpressionId</v>
      </c>
      <c r="H177" s="20" t="s">
        <v>843</v>
      </c>
      <c r="I177" s="20" t="s">
        <v>847</v>
      </c>
      <c r="J177" s="20" t="s">
        <v>26</v>
      </c>
      <c r="K177" s="20" t="s">
        <v>26</v>
      </c>
      <c r="L177" s="20" t="s">
        <v>26</v>
      </c>
      <c r="M177" s="20" t="s">
        <v>26</v>
      </c>
      <c r="N177" s="20"/>
      <c r="O177" s="20"/>
      <c r="P177" s="20" t="s">
        <v>26</v>
      </c>
      <c r="Q177" s="20" t="b">
        <v>0</v>
      </c>
    </row>
    <row r="178" spans="1:17">
      <c r="A178" s="20">
        <f t="shared" si="5"/>
        <v>177</v>
      </c>
      <c r="B178" s="21">
        <v>27</v>
      </c>
      <c r="C178" s="20" t="str" cm="1">
        <f t="array" ref="C178">GetValue("Tbl",B178,"Alias")</f>
        <v>Bhv</v>
      </c>
      <c r="D178" s="20">
        <v>42</v>
      </c>
      <c r="E178" s="20" t="str" cm="1">
        <f t="array" ref="E178">GetValue("Dmn",D178,"Name")</f>
        <v>Variant</v>
      </c>
      <c r="F178" s="20">
        <f t="shared" si="20"/>
        <v>20</v>
      </c>
      <c r="G178" s="20" t="str" cm="1">
        <f t="array" ref="G178">GetColumnName(C178,IF(B178=B177,G177,""))</f>
        <v>PropertyId</v>
      </c>
      <c r="H178" s="20" t="s">
        <v>849</v>
      </c>
      <c r="I178" s="20" t="s">
        <v>848</v>
      </c>
      <c r="J178" s="20" t="s">
        <v>26</v>
      </c>
      <c r="K178" s="20" t="s">
        <v>26</v>
      </c>
      <c r="L178" s="20" t="s">
        <v>26</v>
      </c>
      <c r="M178" s="20" t="s">
        <v>26</v>
      </c>
      <c r="N178" s="20"/>
      <c r="O178" s="20"/>
      <c r="P178" s="20" t="s">
        <v>26</v>
      </c>
      <c r="Q178" s="20" t="b">
        <v>0</v>
      </c>
    </row>
    <row r="179" spans="1:17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1</v>
      </c>
      <c r="E179" s="18" t="str" cm="1">
        <f t="array" ref="E179">GetValue("Dmn",D179,"Name")</f>
        <v>BigInteger</v>
      </c>
      <c r="F179" s="18">
        <f t="shared" si="20"/>
        <v>5</v>
      </c>
      <c r="G179" s="18" t="str" cm="1">
        <f t="array" ref="G179">GetColumnName(C179,IF(B179=B178,G178,""))</f>
        <v>Id</v>
      </c>
      <c r="H179" s="18" t="s">
        <v>850</v>
      </c>
      <c r="I179" s="18" t="s">
        <v>0</v>
      </c>
      <c r="J179" s="18" t="b">
        <v>1</v>
      </c>
      <c r="K179" s="18" t="b">
        <v>1</v>
      </c>
      <c r="L179" s="18" t="b">
        <v>0</v>
      </c>
      <c r="M179" s="18" t="b">
        <v>0</v>
      </c>
      <c r="N179" s="18"/>
      <c r="O179" s="18"/>
      <c r="P179" s="18" t="b">
        <v>0</v>
      </c>
      <c r="Q179" s="18" t="b">
        <v>0</v>
      </c>
    </row>
    <row r="180" spans="1:17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1</v>
      </c>
      <c r="E180" s="18" t="str" cm="1">
        <f t="array" ref="E180">GetValue("Dmn",D180,"Name")</f>
        <v>BigInteger</v>
      </c>
      <c r="F180" s="18">
        <f t="shared" ref="F180:F191" si="21">IF(G180="Id",5,F179+5)</f>
        <v>10</v>
      </c>
      <c r="G180" s="18" t="str" cm="1">
        <f t="array" ref="G180">GetColumnName(C180,IF(B180=B179,G179,""))</f>
        <v>ClientId</v>
      </c>
      <c r="H180" s="18" t="s">
        <v>851</v>
      </c>
      <c r="I180" s="18" t="s">
        <v>576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  <c r="Q180" s="18" t="b">
        <v>0</v>
      </c>
    </row>
    <row r="181" spans="1:17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10</v>
      </c>
      <c r="E181" s="18" t="str" cm="1">
        <f t="array" ref="E181">GetValue("Dmn",D181,"Name")</f>
        <v>Nvarchar(25)</v>
      </c>
      <c r="F181" s="18">
        <f t="shared" si="21"/>
        <v>15</v>
      </c>
      <c r="G181" s="18" t="str" cm="1">
        <f t="array" ref="G181">GetColumnName(C181,IF(B181=B180,G180,""))</f>
        <v>Name</v>
      </c>
      <c r="H181" s="18" t="s">
        <v>852</v>
      </c>
      <c r="I181" s="18" t="s">
        <v>97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  <c r="Q181" s="18" t="b">
        <v>0</v>
      </c>
    </row>
    <row r="182" spans="1:17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5</v>
      </c>
      <c r="E182" s="18" t="str" cm="1">
        <f t="array" ref="E182">GetValue("Dmn",D182,"Name")</f>
        <v>TinyInteger</v>
      </c>
      <c r="F182" s="18">
        <f t="shared" si="21"/>
        <v>20</v>
      </c>
      <c r="G182" s="18" t="str" cm="1">
        <f t="array" ref="G182">GetColumnName(C182,IF(B182=B181,G181,""))</f>
        <v>Interval</v>
      </c>
      <c r="H182" s="18" t="s">
        <v>853</v>
      </c>
      <c r="I182" s="18" t="s">
        <v>862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  <c r="Q182" s="18" t="b">
        <v>0</v>
      </c>
    </row>
    <row r="183" spans="1:17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8</v>
      </c>
      <c r="E183" s="18" t="str" cm="1">
        <f t="array" ref="E183">GetValue("Dmn",D183,"Name")</f>
        <v>Nvarchar(15)</v>
      </c>
      <c r="F183" s="18">
        <f t="shared" si="21"/>
        <v>25</v>
      </c>
      <c r="G183" s="18" t="str" cm="1">
        <f t="array" ref="G183">GetColumnName(C183,IF(B183=B182,G182,""))</f>
        <v>Periodicity</v>
      </c>
      <c r="H183" s="18" t="s">
        <v>854</v>
      </c>
      <c r="I183" s="18" t="s">
        <v>863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  <c r="Q183" s="18" t="b">
        <v>0</v>
      </c>
    </row>
    <row r="184" spans="1:17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51</v>
      </c>
      <c r="E184" s="18" t="str" cm="1">
        <f t="array" ref="E184">GetValue("Dmn",D184,"Name")</f>
        <v>TIME</v>
      </c>
      <c r="F184" s="18">
        <f t="shared" si="21"/>
        <v>30</v>
      </c>
      <c r="G184" s="18" t="str" cm="1">
        <f t="array" ref="G184">GetColumnName(C184,IF(B184=B183,G183,""))</f>
        <v>TimeOfDay</v>
      </c>
      <c r="H184" s="18" t="s">
        <v>855</v>
      </c>
      <c r="I184" s="18" t="s">
        <v>864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  <c r="Q184" s="18" t="b">
        <v>0</v>
      </c>
    </row>
    <row r="185" spans="1:17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5</v>
      </c>
      <c r="E185" s="18" t="str" cm="1">
        <f t="array" ref="E185">GetValue("Dmn",D185,"Name")</f>
        <v>TinyInteger</v>
      </c>
      <c r="F185" s="18">
        <f t="shared" si="21"/>
        <v>35</v>
      </c>
      <c r="G185" s="18" t="str" cm="1">
        <f t="array" ref="G185">GetColumnName(C185,IF(B185=B184,G184,""))</f>
        <v>DayOfMonth</v>
      </c>
      <c r="H185" s="18" t="s">
        <v>856</v>
      </c>
      <c r="I185" s="18" t="s">
        <v>865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  <c r="Q185" s="18" t="b">
        <v>0</v>
      </c>
    </row>
    <row r="186" spans="1:17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52</v>
      </c>
      <c r="E186" s="18" t="str" cm="1">
        <f t="array" ref="E186">GetValue("Dmn",D186,"Name")</f>
        <v>DATE</v>
      </c>
      <c r="F186" s="18">
        <f t="shared" si="21"/>
        <v>40</v>
      </c>
      <c r="G186" s="18" t="str" cm="1">
        <f t="array" ref="G186">GetColumnName(C186,IF(B186=B185,G185,""))</f>
        <v>NextRunDate</v>
      </c>
      <c r="H186" s="18" t="s">
        <v>857</v>
      </c>
      <c r="I186" s="18" t="s">
        <v>866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  <c r="Q186" s="18" t="b">
        <v>0</v>
      </c>
    </row>
    <row r="187" spans="1:17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6</v>
      </c>
      <c r="E187" s="18" t="str" cm="1">
        <f t="array" ref="E187">GetValue("Dmn",D187,"Name")</f>
        <v>Boolean</v>
      </c>
      <c r="F187" s="18">
        <f t="shared" si="21"/>
        <v>45</v>
      </c>
      <c r="G187" s="18" t="str" cm="1">
        <f t="array" ref="G187">GetColumnName(C187,IF(B187=B186,G186,""))</f>
        <v>IsFirstOrLastDay</v>
      </c>
      <c r="H187" s="18" t="s">
        <v>861</v>
      </c>
      <c r="I187" s="18" t="s">
        <v>867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  <c r="Q187" s="18" t="b">
        <v>0</v>
      </c>
    </row>
    <row r="188" spans="1:17">
      <c r="A188" s="18">
        <f t="shared" si="5"/>
        <v>187</v>
      </c>
      <c r="B188" s="19">
        <v>28</v>
      </c>
      <c r="C188" s="18" t="str" cm="1">
        <f t="array" ref="C188">GetValue("Tbl",B188,"Alias")</f>
        <v>Sch</v>
      </c>
      <c r="D188" s="18">
        <v>6</v>
      </c>
      <c r="E188" s="18" t="str" cm="1">
        <f t="array" ref="E188">GetValue("Dmn",D188,"Name")</f>
        <v>Boolean</v>
      </c>
      <c r="F188" s="18">
        <f t="shared" si="21"/>
        <v>50</v>
      </c>
      <c r="G188" s="18" t="str" cm="1">
        <f t="array" ref="G188">GetColumnName(C188,IF(B188=B187,G187,""))</f>
        <v>IsBusinessDays</v>
      </c>
      <c r="H188" s="18" t="s">
        <v>858</v>
      </c>
      <c r="I188" s="18" t="s">
        <v>868</v>
      </c>
      <c r="J188" s="18" t="s">
        <v>26</v>
      </c>
      <c r="K188" s="18" t="s">
        <v>26</v>
      </c>
      <c r="L188" s="18" t="s">
        <v>26</v>
      </c>
      <c r="M188" s="18" t="s">
        <v>26</v>
      </c>
      <c r="N188" s="18"/>
      <c r="O188" s="18"/>
      <c r="P188" s="18" t="s">
        <v>26</v>
      </c>
      <c r="Q188" s="18" t="b">
        <v>0</v>
      </c>
    </row>
    <row r="189" spans="1:17">
      <c r="A189" s="18">
        <f t="shared" si="5"/>
        <v>188</v>
      </c>
      <c r="B189" s="19">
        <v>28</v>
      </c>
      <c r="C189" s="18" t="str" cm="1">
        <f t="array" ref="C189">GetValue("Tbl",B189,"Alias")</f>
        <v>Sch</v>
      </c>
      <c r="D189" s="18">
        <v>6</v>
      </c>
      <c r="E189" s="18" t="str" cm="1">
        <f t="array" ref="E189">GetValue("Dmn",D189,"Name")</f>
        <v>Boolean</v>
      </c>
      <c r="F189" s="18">
        <f t="shared" si="21"/>
        <v>55</v>
      </c>
      <c r="G189" s="18" t="str" cm="1">
        <f t="array" ref="G189">GetColumnName(C189,IF(B189=B188,G188,""))</f>
        <v>IsRunOnce</v>
      </c>
      <c r="H189" s="18" t="s">
        <v>860</v>
      </c>
      <c r="I189" s="18" t="s">
        <v>869</v>
      </c>
      <c r="J189" s="18" t="s">
        <v>26</v>
      </c>
      <c r="K189" s="18" t="s">
        <v>26</v>
      </c>
      <c r="L189" s="18" t="s">
        <v>26</v>
      </c>
      <c r="M189" s="18" t="s">
        <v>26</v>
      </c>
      <c r="N189" s="18"/>
      <c r="O189" s="18"/>
      <c r="P189" s="18" t="s">
        <v>26</v>
      </c>
      <c r="Q189" s="18" t="b">
        <v>0</v>
      </c>
    </row>
    <row r="190" spans="1:17">
      <c r="A190" s="18">
        <f t="shared" si="5"/>
        <v>189</v>
      </c>
      <c r="B190" s="19">
        <v>28</v>
      </c>
      <c r="C190" s="18" t="str" cm="1">
        <f t="array" ref="C190">GetValue("Tbl",B190,"Alias")</f>
        <v>Sch</v>
      </c>
      <c r="D190" s="18">
        <v>6</v>
      </c>
      <c r="E190" s="18" t="str" cm="1">
        <f t="array" ref="E190">GetValue("Dmn",D190,"Name")</f>
        <v>Boolean</v>
      </c>
      <c r="F190" s="18">
        <f t="shared" si="21"/>
        <v>60</v>
      </c>
      <c r="G190" s="18" t="str" cm="1">
        <f t="array" ref="G190">GetColumnName(C190,IF(B190=B189,G189,""))</f>
        <v>IsActive</v>
      </c>
      <c r="H190" s="18" t="s">
        <v>859</v>
      </c>
      <c r="I190" s="18" t="s">
        <v>112</v>
      </c>
      <c r="J190" s="18" t="s">
        <v>26</v>
      </c>
      <c r="K190" s="18" t="s">
        <v>26</v>
      </c>
      <c r="L190" s="18" t="s">
        <v>26</v>
      </c>
      <c r="M190" s="18" t="s">
        <v>26</v>
      </c>
      <c r="N190" s="18"/>
      <c r="O190" s="18"/>
      <c r="P190" s="18" t="s">
        <v>26</v>
      </c>
      <c r="Q190" s="18" t="b">
        <v>0</v>
      </c>
    </row>
    <row r="191" spans="1:17">
      <c r="A191" s="20">
        <f t="shared" si="5"/>
        <v>190</v>
      </c>
      <c r="B191" s="21">
        <v>29</v>
      </c>
      <c r="C191" s="20" t="str" cm="1">
        <f t="array" ref="C191">GetValue("Tbl",B191,"Alias")</f>
        <v>Snp</v>
      </c>
      <c r="D191" s="20">
        <v>1</v>
      </c>
      <c r="E191" s="20" t="str" cm="1">
        <f t="array" ref="E191">GetValue("Dmn",D191,"Name")</f>
        <v>BigInteger</v>
      </c>
      <c r="F191" s="20">
        <f t="shared" si="21"/>
        <v>5</v>
      </c>
      <c r="G191" s="20" t="str" cm="1">
        <f t="array" ref="G191">GetColumnName(C191,IF(B191=B190,G190,""))</f>
        <v>Id</v>
      </c>
      <c r="H191" s="20" t="s">
        <v>916</v>
      </c>
      <c r="I191" s="20" t="s">
        <v>0</v>
      </c>
      <c r="J191" s="20" t="b">
        <v>1</v>
      </c>
      <c r="K191" s="20" t="b">
        <v>1</v>
      </c>
      <c r="L191" s="20" t="b">
        <v>0</v>
      </c>
      <c r="M191" s="20" t="b">
        <v>0</v>
      </c>
      <c r="N191" s="20"/>
      <c r="O191" s="20"/>
      <c r="P191" s="20" t="b">
        <v>0</v>
      </c>
      <c r="Q191" s="20" t="b">
        <v>0</v>
      </c>
    </row>
    <row r="192" spans="1:17">
      <c r="A192" s="20">
        <f t="shared" si="5"/>
        <v>191</v>
      </c>
      <c r="B192" s="21">
        <v>29</v>
      </c>
      <c r="C192" s="20" t="str" cm="1">
        <f t="array" ref="C192">GetValue("Tbl",B192,"Alias")</f>
        <v>Snp</v>
      </c>
      <c r="D192" s="20">
        <v>1</v>
      </c>
      <c r="E192" s="20" t="str" cm="1">
        <f t="array" ref="E192">GetValue("Dmn",D192,"Name")</f>
        <v>BigInteger</v>
      </c>
      <c r="F192" s="20">
        <f t="shared" ref="F192:F196" si="22">IF(G192="Id",5,F191+5)</f>
        <v>10</v>
      </c>
      <c r="G192" s="20" t="str" cm="1">
        <f t="array" ref="G192">GetColumnName(C192,IF(B192=B191,G191,""))</f>
        <v>TableId</v>
      </c>
      <c r="H192" s="20" t="s">
        <v>917</v>
      </c>
      <c r="I192" s="20" t="s">
        <v>117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  <c r="Q192" s="20" t="b">
        <v>0</v>
      </c>
    </row>
    <row r="193" spans="1:17">
      <c r="A193" s="20">
        <f t="shared" si="5"/>
        <v>192</v>
      </c>
      <c r="B193" s="21">
        <v>29</v>
      </c>
      <c r="C193" s="20" t="str" cm="1">
        <f t="array" ref="C193">GetValue("Tbl",B193,"Alias")</f>
        <v>Snp</v>
      </c>
      <c r="D193" s="20">
        <v>10</v>
      </c>
      <c r="E193" s="20" t="str" cm="1">
        <f t="array" ref="E193">GetValue("Dmn",D193,"Name")</f>
        <v>Nvarchar(25)</v>
      </c>
      <c r="F193" s="20">
        <f t="shared" si="22"/>
        <v>15</v>
      </c>
      <c r="G193" s="20" t="str" cm="1">
        <f t="array" ref="G193">GetColumnName(C193,IF(B193=B192,G192,""))</f>
        <v>Name</v>
      </c>
      <c r="H193" s="20" t="s">
        <v>918</v>
      </c>
      <c r="I193" s="20" t="s">
        <v>97</v>
      </c>
      <c r="J193" s="20" t="s">
        <v>26</v>
      </c>
      <c r="K193" s="20" t="s">
        <v>26</v>
      </c>
      <c r="L193" s="20" t="s">
        <v>26</v>
      </c>
      <c r="M193" s="20" t="s">
        <v>26</v>
      </c>
      <c r="N193" s="20"/>
      <c r="O193" s="20"/>
      <c r="P193" s="20" t="s">
        <v>26</v>
      </c>
      <c r="Q193" s="20" t="b">
        <v>0</v>
      </c>
    </row>
    <row r="194" spans="1:17">
      <c r="A194" s="20">
        <f t="shared" si="5"/>
        <v>193</v>
      </c>
      <c r="B194" s="21">
        <v>29</v>
      </c>
      <c r="C194" s="20" t="str" cm="1">
        <f t="array" ref="C194">GetValue("Tbl",B194,"Alias")</f>
        <v>Snp</v>
      </c>
      <c r="D194" s="20">
        <v>6</v>
      </c>
      <c r="E194" s="20" t="str" cm="1">
        <f t="array" ref="E194">GetValue("Dmn",D194,"Name")</f>
        <v>Boolean</v>
      </c>
      <c r="F194" s="20">
        <f t="shared" si="22"/>
        <v>20</v>
      </c>
      <c r="G194" s="20" t="str" cm="1">
        <f t="array" ref="G194">GetColumnName(C194,IF(B194=B193,G193,""))</f>
        <v>IsBefore</v>
      </c>
      <c r="H194" s="20" t="s">
        <v>872</v>
      </c>
      <c r="I194" s="20" t="s">
        <v>874</v>
      </c>
      <c r="J194" s="20" t="s">
        <v>26</v>
      </c>
      <c r="K194" s="20" t="s">
        <v>26</v>
      </c>
      <c r="L194" s="20" t="s">
        <v>26</v>
      </c>
      <c r="M194" s="20" t="s">
        <v>26</v>
      </c>
      <c r="N194" s="20"/>
      <c r="O194" s="20"/>
      <c r="P194" s="20" t="s">
        <v>26</v>
      </c>
      <c r="Q194" s="20" t="b">
        <v>0</v>
      </c>
    </row>
    <row r="195" spans="1:17">
      <c r="A195" s="20">
        <f t="shared" si="5"/>
        <v>194</v>
      </c>
      <c r="B195" s="21">
        <v>29</v>
      </c>
      <c r="C195" s="20" t="str" cm="1">
        <f t="array" ref="C195">GetValue("Tbl",B195,"Alias")</f>
        <v>Snp</v>
      </c>
      <c r="D195" s="20">
        <v>6</v>
      </c>
      <c r="E195" s="20" t="str" cm="1">
        <f t="array" ref="E195">GetValue("Dmn",D195,"Name")</f>
        <v>Boolean</v>
      </c>
      <c r="F195" s="20">
        <f t="shared" si="22"/>
        <v>25</v>
      </c>
      <c r="G195" s="20" t="str" cm="1">
        <f t="array" ref="G195">GetColumnName(C195,IF(B195=B194,G194,""))</f>
        <v>IsActive</v>
      </c>
      <c r="H195" s="20" t="s">
        <v>873</v>
      </c>
      <c r="I195" s="20" t="s">
        <v>112</v>
      </c>
      <c r="J195" s="20" t="s">
        <v>26</v>
      </c>
      <c r="K195" s="20" t="s">
        <v>26</v>
      </c>
      <c r="L195" s="20" t="s">
        <v>26</v>
      </c>
      <c r="M195" s="20" t="s">
        <v>26</v>
      </c>
      <c r="N195" s="20"/>
      <c r="O195" s="20"/>
      <c r="P195" s="20" t="s">
        <v>26</v>
      </c>
      <c r="Q195" s="20" t="b">
        <v>0</v>
      </c>
    </row>
    <row r="196" spans="1:17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1</v>
      </c>
      <c r="E196" s="18" t="str" cm="1">
        <f t="array" ref="E196">GetValue("Dmn",D196,"Name")</f>
        <v>BigInteger</v>
      </c>
      <c r="F196" s="18">
        <f t="shared" si="22"/>
        <v>5</v>
      </c>
      <c r="G196" s="18" t="str" cm="1">
        <f t="array" ref="G196">GetColumnName(C196,IF(B196=B195,G195,""))</f>
        <v>Id</v>
      </c>
      <c r="H196" s="18" t="s">
        <v>875</v>
      </c>
      <c r="I196" s="18" t="s">
        <v>0</v>
      </c>
      <c r="J196" s="18" t="b">
        <v>1</v>
      </c>
      <c r="K196" s="18" t="b">
        <v>1</v>
      </c>
      <c r="L196" s="18" t="b">
        <v>0</v>
      </c>
      <c r="M196" s="18" t="b">
        <v>0</v>
      </c>
      <c r="N196" s="18"/>
      <c r="O196" s="18"/>
      <c r="P196" s="18" t="b">
        <v>0</v>
      </c>
      <c r="Q196" s="18" t="b">
        <v>0</v>
      </c>
    </row>
    <row r="197" spans="1:17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</v>
      </c>
      <c r="E197" s="18" t="str" cm="1">
        <f t="array" ref="E197">GetValue("Dmn",D197,"Name")</f>
        <v>BigInteger</v>
      </c>
      <c r="F197" s="18">
        <f t="shared" ref="F197:F201" si="23">IF(G197="Id",5,F196+5)</f>
        <v>10</v>
      </c>
      <c r="G197" s="18" t="str" cm="1">
        <f t="array" ref="G197">GetColumnName(C197,IF(B197=B196,G196,""))</f>
        <v>HookId</v>
      </c>
      <c r="H197" s="18" t="s">
        <v>871</v>
      </c>
      <c r="I197" s="18" t="s">
        <v>876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  <c r="Q197" s="18" t="b">
        <v>0</v>
      </c>
    </row>
    <row r="198" spans="1:17">
      <c r="A198" s="18">
        <f t="shared" si="5"/>
        <v>197</v>
      </c>
      <c r="B198" s="19">
        <v>30</v>
      </c>
      <c r="C198" s="18" t="str" cm="1">
        <f t="array" ref="C198">GetValue("Tbl",B198,"Alias")</f>
        <v>Scr</v>
      </c>
      <c r="D198" s="18">
        <v>1</v>
      </c>
      <c r="E198" s="18" t="str" cm="1">
        <f t="array" ref="E198">GetValue("Dmn",D198,"Name")</f>
        <v>BigInteger</v>
      </c>
      <c r="F198" s="18">
        <f t="shared" si="23"/>
        <v>15</v>
      </c>
      <c r="G198" s="18" t="str" cm="1">
        <f t="array" ref="G198">GetColumnName(C198,IF(B198=B197,G197,""))</f>
        <v>DatabaseId</v>
      </c>
      <c r="H198" s="18" t="s">
        <v>574</v>
      </c>
      <c r="I198" s="18" t="s">
        <v>113</v>
      </c>
      <c r="J198" s="18" t="s">
        <v>26</v>
      </c>
      <c r="K198" s="18" t="s">
        <v>26</v>
      </c>
      <c r="L198" s="18" t="s">
        <v>26</v>
      </c>
      <c r="M198" s="18" t="s">
        <v>26</v>
      </c>
      <c r="N198" s="18"/>
      <c r="O198" s="18"/>
      <c r="P198" s="18" t="s">
        <v>26</v>
      </c>
      <c r="Q198" s="18" t="b">
        <v>0</v>
      </c>
    </row>
    <row r="199" spans="1:17">
      <c r="A199" s="18">
        <f t="shared" si="5"/>
        <v>198</v>
      </c>
      <c r="B199" s="19">
        <v>30</v>
      </c>
      <c r="C199" s="18" t="str" cm="1">
        <f t="array" ref="C199">GetValue("Tbl",B199,"Alias")</f>
        <v>Scr</v>
      </c>
      <c r="D199" s="18">
        <v>4</v>
      </c>
      <c r="E199" s="18" t="str" cm="1">
        <f t="array" ref="E199">GetValue("Dmn",D199,"Name")</f>
        <v>SmallInteger</v>
      </c>
      <c r="F199" s="18">
        <f t="shared" si="23"/>
        <v>20</v>
      </c>
      <c r="G199" s="18" t="str" cm="1">
        <f t="array" ref="G199">GetColumnName(C199,IF(B199=B198,G198,""))</f>
        <v>Sequence</v>
      </c>
      <c r="H199" s="18" t="s">
        <v>879</v>
      </c>
      <c r="I199" s="18" t="s">
        <v>111</v>
      </c>
      <c r="J199" s="18" t="s">
        <v>26</v>
      </c>
      <c r="K199" s="18" t="s">
        <v>26</v>
      </c>
      <c r="L199" s="18" t="s">
        <v>26</v>
      </c>
      <c r="M199" s="18" t="s">
        <v>26</v>
      </c>
      <c r="N199" s="18"/>
      <c r="O199" s="18"/>
      <c r="P199" s="18" t="s">
        <v>26</v>
      </c>
      <c r="Q199" s="18" t="b">
        <v>0</v>
      </c>
    </row>
    <row r="200" spans="1:17">
      <c r="A200" s="18">
        <f t="shared" si="5"/>
        <v>199</v>
      </c>
      <c r="B200" s="19">
        <v>30</v>
      </c>
      <c r="C200" s="18" t="str" cm="1">
        <f t="array" ref="C200">GetValue("Tbl",B200,"Alias")</f>
        <v>Scr</v>
      </c>
      <c r="D200" s="18">
        <v>13</v>
      </c>
      <c r="E200" s="18" t="str" cm="1">
        <f t="array" ref="E200">GetValue("Dmn",D200,"Name")</f>
        <v>Nvarchar(max)</v>
      </c>
      <c r="F200" s="18">
        <f t="shared" si="23"/>
        <v>25</v>
      </c>
      <c r="G200" s="18" t="str" cm="1">
        <f t="array" ref="G200">GetColumnName(C200,IF(B200=B199,G199,""))</f>
        <v>Script</v>
      </c>
      <c r="H200" s="18" t="s">
        <v>503</v>
      </c>
      <c r="I200" s="18" t="s">
        <v>503</v>
      </c>
      <c r="J200" s="18" t="s">
        <v>26</v>
      </c>
      <c r="K200" s="18" t="s">
        <v>26</v>
      </c>
      <c r="L200" s="18" t="s">
        <v>26</v>
      </c>
      <c r="M200" s="18" t="s">
        <v>26</v>
      </c>
      <c r="N200" s="18"/>
      <c r="O200" s="18"/>
      <c r="P200" s="18" t="s">
        <v>26</v>
      </c>
      <c r="Q200" s="18" t="b">
        <v>0</v>
      </c>
    </row>
    <row r="201" spans="1:17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1</v>
      </c>
      <c r="E201" s="20" t="str" cm="1">
        <f t="array" ref="E201">GetValue("Dmn",D201,"Name")</f>
        <v>BigInteger</v>
      </c>
      <c r="F201" s="20">
        <f t="shared" si="23"/>
        <v>5</v>
      </c>
      <c r="G201" s="20" t="str" cm="1">
        <f t="array" ref="G201">GetColumnName(C201,IF(B201=B200,G200,""))</f>
        <v>Id</v>
      </c>
      <c r="H201" s="20" t="s">
        <v>877</v>
      </c>
      <c r="I201" s="20" t="s">
        <v>0</v>
      </c>
      <c r="J201" s="20" t="b">
        <v>1</v>
      </c>
      <c r="K201" s="20" t="b">
        <v>1</v>
      </c>
      <c r="L201" s="20" t="b">
        <v>0</v>
      </c>
      <c r="M201" s="20" t="b">
        <v>0</v>
      </c>
      <c r="N201" s="20"/>
      <c r="O201" s="20"/>
      <c r="P201" s="20" t="b">
        <v>0</v>
      </c>
      <c r="Q201" s="20" t="b">
        <v>0</v>
      </c>
    </row>
    <row r="202" spans="1:17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1</v>
      </c>
      <c r="E202" s="20" t="str" cm="1">
        <f t="array" ref="E202">GetValue("Dmn",D202,"Name")</f>
        <v>BigInteger</v>
      </c>
      <c r="F202" s="20">
        <f t="shared" ref="F202:F206" si="24">IF(G202="Id",5,F201+5)</f>
        <v>10</v>
      </c>
      <c r="G202" s="20" t="str" cm="1">
        <f t="array" ref="G202">GetColumnName(C202,IF(B202=B201,G201,""))</f>
        <v>HookId</v>
      </c>
      <c r="H202" s="20" t="s">
        <v>871</v>
      </c>
      <c r="I202" s="20" t="s">
        <v>876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  <c r="Q202" s="20" t="b">
        <v>0</v>
      </c>
    </row>
    <row r="203" spans="1:17">
      <c r="A203" s="20">
        <f t="shared" si="5"/>
        <v>202</v>
      </c>
      <c r="B203" s="21">
        <v>31</v>
      </c>
      <c r="C203" s="20" t="str" cm="1">
        <f t="array" ref="C203">GetValue("Tbl",B203,"Alias")</f>
        <v>Url</v>
      </c>
      <c r="D203" s="20">
        <v>4</v>
      </c>
      <c r="E203" s="20" t="str" cm="1">
        <f t="array" ref="E203">GetValue("Dmn",D203,"Name")</f>
        <v>SmallInteger</v>
      </c>
      <c r="F203" s="20">
        <f t="shared" si="24"/>
        <v>15</v>
      </c>
      <c r="G203" s="20" t="str" cm="1">
        <f t="array" ref="G203">GetColumnName(C203,IF(B203=B202,G202,""))</f>
        <v>Sequence</v>
      </c>
      <c r="H203" s="20" t="s">
        <v>880</v>
      </c>
      <c r="I203" s="20" t="s">
        <v>111</v>
      </c>
      <c r="J203" s="20" t="s">
        <v>26</v>
      </c>
      <c r="K203" s="20" t="s">
        <v>26</v>
      </c>
      <c r="L203" s="20" t="s">
        <v>26</v>
      </c>
      <c r="M203" s="20" t="s">
        <v>26</v>
      </c>
      <c r="N203" s="20"/>
      <c r="O203" s="20"/>
      <c r="P203" s="20" t="s">
        <v>26</v>
      </c>
      <c r="Q203" s="20" t="b">
        <v>0</v>
      </c>
    </row>
    <row r="204" spans="1:17">
      <c r="A204" s="20">
        <f t="shared" si="5"/>
        <v>203</v>
      </c>
      <c r="B204" s="21">
        <v>31</v>
      </c>
      <c r="C204" s="20" t="str" cm="1">
        <f t="array" ref="C204">GetValue("Tbl",B204,"Alias")</f>
        <v>Url</v>
      </c>
      <c r="D204" s="20">
        <v>8</v>
      </c>
      <c r="E204" s="20" t="str" cm="1">
        <f t="array" ref="E204">GetValue("Dmn",D204,"Name")</f>
        <v>Nvarchar(15)</v>
      </c>
      <c r="F204" s="20">
        <f t="shared" si="24"/>
        <v>20</v>
      </c>
      <c r="G204" s="20" t="str" cm="1">
        <f t="array" ref="G204">GetColumnName(C204,IF(B204=B203,G203,""))</f>
        <v>Method</v>
      </c>
      <c r="H204" s="20" t="s">
        <v>881</v>
      </c>
      <c r="I204" s="20" t="s">
        <v>882</v>
      </c>
      <c r="J204" s="20" t="s">
        <v>26</v>
      </c>
      <c r="K204" s="20" t="s">
        <v>26</v>
      </c>
      <c r="L204" s="20" t="s">
        <v>26</v>
      </c>
      <c r="M204" s="20" t="s">
        <v>26</v>
      </c>
      <c r="N204" s="20"/>
      <c r="O204" s="20"/>
      <c r="P204" s="20" t="s">
        <v>26</v>
      </c>
      <c r="Q204" s="20" t="b">
        <v>0</v>
      </c>
    </row>
    <row r="205" spans="1:17">
      <c r="A205" s="20">
        <f t="shared" si="5"/>
        <v>204</v>
      </c>
      <c r="B205" s="21">
        <v>31</v>
      </c>
      <c r="C205" s="20" t="str" cm="1">
        <f t="array" ref="C205">GetValue("Tbl",B205,"Alias")</f>
        <v>Url</v>
      </c>
      <c r="D205" s="20">
        <v>13</v>
      </c>
      <c r="E205" s="20" t="str" cm="1">
        <f t="array" ref="E205">GetValue("Dmn",D205,"Name")</f>
        <v>Nvarchar(max)</v>
      </c>
      <c r="F205" s="20">
        <f t="shared" si="24"/>
        <v>25</v>
      </c>
      <c r="G205" s="20" t="str" cm="1">
        <f t="array" ref="G205">GetColumnName(C205,IF(B205=B204,G204,""))</f>
        <v>URL</v>
      </c>
      <c r="H205" s="20" t="s">
        <v>877</v>
      </c>
      <c r="I205" s="20" t="s">
        <v>878</v>
      </c>
      <c r="J205" s="20" t="s">
        <v>26</v>
      </c>
      <c r="K205" s="20" t="s">
        <v>26</v>
      </c>
      <c r="L205" s="20" t="s">
        <v>26</v>
      </c>
      <c r="M205" s="20" t="s">
        <v>26</v>
      </c>
      <c r="N205" s="20"/>
      <c r="O205" s="20"/>
      <c r="P205" s="20" t="s">
        <v>26</v>
      </c>
      <c r="Q205" s="20" t="b">
        <v>0</v>
      </c>
    </row>
    <row r="206" spans="1:17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si="24"/>
        <v>5</v>
      </c>
      <c r="G206" s="18" t="str" cm="1">
        <f t="array" ref="G206">GetColumnName(C206,IF(B206=B205,G205,""))</f>
        <v>Id</v>
      </c>
      <c r="H206" s="18" t="s">
        <v>883</v>
      </c>
      <c r="I206" s="18" t="s">
        <v>0</v>
      </c>
      <c r="J206" s="18" t="b">
        <v>1</v>
      </c>
      <c r="K206" s="18" t="b">
        <v>1</v>
      </c>
      <c r="L206" s="18" t="b">
        <v>0</v>
      </c>
      <c r="M206" s="18" t="b">
        <v>0</v>
      </c>
      <c r="N206" s="18"/>
      <c r="O206" s="18"/>
      <c r="P206" s="18" t="b">
        <v>0</v>
      </c>
      <c r="Q206" s="18" t="b">
        <v>0</v>
      </c>
    </row>
    <row r="207" spans="1:17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</v>
      </c>
      <c r="E207" s="18" t="str" cm="1">
        <f t="array" ref="E207">GetValue("Dmn",D207,"Name")</f>
        <v>BigInteger</v>
      </c>
      <c r="F207" s="18">
        <f t="shared" ref="F207:F212" si="25">IF(G207="Id",5,F206+5)</f>
        <v>10</v>
      </c>
      <c r="G207" s="18" t="str" cm="1">
        <f t="array" ref="G207">GetColumnName(C207,IF(B207=B206,G206,""))</f>
        <v>ClientId</v>
      </c>
      <c r="H207" s="18" t="s">
        <v>575</v>
      </c>
      <c r="I207" s="18" t="s">
        <v>576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  <c r="Q207" s="18" t="b">
        <v>0</v>
      </c>
    </row>
    <row r="208" spans="1:17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1</v>
      </c>
      <c r="E208" s="18" t="str" cm="1">
        <f t="array" ref="E208">GetValue("Dmn",D208,"Name")</f>
        <v>BigInteger</v>
      </c>
      <c r="F208" s="18">
        <f t="shared" si="25"/>
        <v>15</v>
      </c>
      <c r="G208" s="18" t="str" cm="1">
        <f t="array" ref="G208">GetColumnName(C208,IF(B208=B207,G207,""))</f>
        <v>SystemId</v>
      </c>
      <c r="H208" s="18" t="s">
        <v>884</v>
      </c>
      <c r="I208" s="18" t="s">
        <v>110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  <c r="Q208" s="18" t="b">
        <v>0</v>
      </c>
    </row>
    <row r="209" spans="1:17">
      <c r="A209" s="18">
        <f t="shared" si="5"/>
        <v>208</v>
      </c>
      <c r="B209" s="19">
        <v>32</v>
      </c>
      <c r="C209" s="18" t="str" cm="1">
        <f t="array" ref="C209">GetValue("Tbl",B209,"Alias")</f>
        <v>Ses</v>
      </c>
      <c r="D209" s="18">
        <v>1</v>
      </c>
      <c r="E209" s="18" t="str" cm="1">
        <f t="array" ref="E209">GetValue("Dmn",D209,"Name")</f>
        <v>BigInteger</v>
      </c>
      <c r="F209" s="18">
        <f t="shared" si="25"/>
        <v>20</v>
      </c>
      <c r="G209" s="18" t="str" cm="1">
        <f t="array" ref="G209">GetColumnName(C209,IF(B209=B208,G208,""))</f>
        <v>UserId</v>
      </c>
      <c r="H209" s="18" t="s">
        <v>825</v>
      </c>
      <c r="I209" s="18" t="s">
        <v>836</v>
      </c>
      <c r="J209" s="18" t="s">
        <v>26</v>
      </c>
      <c r="K209" s="18" t="s">
        <v>26</v>
      </c>
      <c r="L209" s="18" t="s">
        <v>26</v>
      </c>
      <c r="M209" s="18" t="s">
        <v>26</v>
      </c>
      <c r="N209" s="18"/>
      <c r="O209" s="18"/>
      <c r="P209" s="18" t="s">
        <v>26</v>
      </c>
      <c r="Q209" s="18" t="b">
        <v>0</v>
      </c>
    </row>
    <row r="210" spans="1:17">
      <c r="A210" s="18">
        <f t="shared" si="5"/>
        <v>209</v>
      </c>
      <c r="B210" s="19">
        <v>32</v>
      </c>
      <c r="C210" s="18" t="str" cm="1">
        <f t="array" ref="C210">GetValue("Tbl",B210,"Alias")</f>
        <v>Ses</v>
      </c>
      <c r="D210" s="18">
        <v>19</v>
      </c>
      <c r="E210" s="18" t="str" cm="1">
        <f t="array" ref="E210">GetValue("Dmn",D210,"Name")</f>
        <v>Varchar(256)</v>
      </c>
      <c r="F210" s="18">
        <f t="shared" si="25"/>
        <v>25</v>
      </c>
      <c r="G210" s="18" t="str" cm="1">
        <f t="array" ref="G210">GetColumnName(C210,IF(B210=B209,G209,""))</f>
        <v>PublicKey</v>
      </c>
      <c r="H210" s="18" t="s">
        <v>885</v>
      </c>
      <c r="I210" s="18" t="s">
        <v>885</v>
      </c>
      <c r="J210" s="18" t="s">
        <v>26</v>
      </c>
      <c r="K210" s="18" t="s">
        <v>26</v>
      </c>
      <c r="L210" s="18" t="s">
        <v>26</v>
      </c>
      <c r="M210" s="18" t="s">
        <v>26</v>
      </c>
      <c r="N210" s="18"/>
      <c r="O210" s="18"/>
      <c r="P210" s="18" t="s">
        <v>26</v>
      </c>
      <c r="Q210" s="18" t="b">
        <v>0</v>
      </c>
    </row>
    <row r="211" spans="1:17">
      <c r="A211" s="18">
        <f t="shared" si="5"/>
        <v>210</v>
      </c>
      <c r="B211" s="19">
        <v>32</v>
      </c>
      <c r="C211" s="18" t="str" cm="1">
        <f t="array" ref="C211">GetValue("Tbl",B211,"Alias")</f>
        <v>Ses</v>
      </c>
      <c r="D211" s="18">
        <v>6</v>
      </c>
      <c r="E211" s="18" t="str" cm="1">
        <f t="array" ref="E211">GetValue("Dmn",D211,"Name")</f>
        <v>Boolean</v>
      </c>
      <c r="F211" s="18">
        <f t="shared" si="25"/>
        <v>30</v>
      </c>
      <c r="G211" s="18" t="str" cm="1">
        <f t="array" ref="G211">GetColumnName(C211,IF(B211=B210,G210,""))</f>
        <v>IsLogged</v>
      </c>
      <c r="H211" s="18" t="s">
        <v>886</v>
      </c>
      <c r="I211" s="18" t="s">
        <v>887</v>
      </c>
      <c r="J211" s="18" t="s">
        <v>26</v>
      </c>
      <c r="K211" s="18" t="s">
        <v>26</v>
      </c>
      <c r="L211" s="18" t="s">
        <v>26</v>
      </c>
      <c r="M211" s="18" t="s">
        <v>26</v>
      </c>
      <c r="N211" s="18"/>
      <c r="O211" s="18"/>
      <c r="P211" s="18" t="s">
        <v>26</v>
      </c>
      <c r="Q211" s="18" t="b">
        <v>0</v>
      </c>
    </row>
    <row r="212" spans="1:17">
      <c r="A212" s="20">
        <f t="shared" si="5"/>
        <v>211</v>
      </c>
      <c r="B212" s="21">
        <v>33</v>
      </c>
      <c r="C212" s="20" t="str" cm="1">
        <f t="array" ref="C212">GetValue("Tbl",B212,"Alias")</f>
        <v>Trs</v>
      </c>
      <c r="D212" s="20">
        <v>1</v>
      </c>
      <c r="E212" s="20" t="str" cm="1">
        <f t="array" ref="E212">GetValue("Dmn",D212,"Name")</f>
        <v>BigInteger</v>
      </c>
      <c r="F212" s="20">
        <f t="shared" si="25"/>
        <v>5</v>
      </c>
      <c r="G212" s="20" t="str" cm="1">
        <f t="array" ref="G212">GetColumnName(C212,IF(B212=B211,G211,""))</f>
        <v>Id</v>
      </c>
      <c r="H212" s="20" t="s">
        <v>888</v>
      </c>
      <c r="I212" s="20" t="s">
        <v>0</v>
      </c>
      <c r="J212" s="20" t="b">
        <v>1</v>
      </c>
      <c r="K212" s="20" t="b">
        <v>1</v>
      </c>
      <c r="L212" s="20" t="b">
        <v>0</v>
      </c>
      <c r="M212" s="20" t="b">
        <v>0</v>
      </c>
      <c r="N212" s="20"/>
      <c r="O212" s="20"/>
      <c r="P212" s="20" t="b">
        <v>0</v>
      </c>
      <c r="Q212" s="20" t="b">
        <v>0</v>
      </c>
    </row>
    <row r="213" spans="1:17">
      <c r="A213" s="20">
        <f t="shared" si="5"/>
        <v>212</v>
      </c>
      <c r="B213" s="21">
        <v>33</v>
      </c>
      <c r="C213" s="20" t="str" cm="1">
        <f t="array" ref="C213">GetValue("Tbl",B213,"Alias")</f>
        <v>Trs</v>
      </c>
      <c r="D213" s="20">
        <v>1</v>
      </c>
      <c r="E213" s="20" t="str" cm="1">
        <f t="array" ref="E213">GetValue("Dmn",D213,"Name")</f>
        <v>BigInteger</v>
      </c>
      <c r="F213" s="20">
        <f t="shared" ref="F213:F215" si="26">IF(G213="Id",5,F212+5)</f>
        <v>10</v>
      </c>
      <c r="G213" s="20" t="str" cm="1">
        <f t="array" ref="G213">GetColumnName(C213,IF(B213=B212,G212,""))</f>
        <v>SessionId</v>
      </c>
      <c r="H213" s="20" t="s">
        <v>883</v>
      </c>
      <c r="I213" s="20" t="s">
        <v>890</v>
      </c>
      <c r="J213" s="20" t="s">
        <v>26</v>
      </c>
      <c r="K213" s="20" t="s">
        <v>26</v>
      </c>
      <c r="L213" s="20" t="s">
        <v>26</v>
      </c>
      <c r="M213" s="20" t="s">
        <v>26</v>
      </c>
      <c r="N213" s="20"/>
      <c r="O213" s="20"/>
      <c r="P213" s="20" t="s">
        <v>26</v>
      </c>
      <c r="Q213" s="20" t="b">
        <v>0</v>
      </c>
    </row>
    <row r="214" spans="1:17">
      <c r="A214" s="20">
        <f t="shared" si="5"/>
        <v>213</v>
      </c>
      <c r="B214" s="21">
        <v>33</v>
      </c>
      <c r="C214" s="20" t="str" cm="1">
        <f t="array" ref="C214">GetValue("Tbl",B214,"Alias")</f>
        <v>Trs</v>
      </c>
      <c r="D214" s="20">
        <v>6</v>
      </c>
      <c r="E214" s="20" t="str" cm="1">
        <f t="array" ref="E214">GetValue("Dmn",D214,"Name")</f>
        <v>Boolean</v>
      </c>
      <c r="F214" s="20">
        <f t="shared" si="26"/>
        <v>15</v>
      </c>
      <c r="G214" s="20" t="str" cm="1">
        <f t="array" ref="G214">GetColumnName(C214,IF(B214=B213,G213,""))</f>
        <v>IsConfirmed</v>
      </c>
      <c r="H214" s="20" t="s">
        <v>889</v>
      </c>
      <c r="I214" s="20" t="s">
        <v>891</v>
      </c>
      <c r="J214" s="20" t="s">
        <v>26</v>
      </c>
      <c r="K214" s="20" t="s">
        <v>26</v>
      </c>
      <c r="L214" s="20" t="s">
        <v>26</v>
      </c>
      <c r="M214" s="20" t="s">
        <v>26</v>
      </c>
      <c r="N214" s="20"/>
      <c r="O214" s="20"/>
      <c r="P214" s="20" t="s">
        <v>26</v>
      </c>
      <c r="Q214" s="20" t="b">
        <v>0</v>
      </c>
    </row>
    <row r="215" spans="1:17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1</v>
      </c>
      <c r="E215" s="18" t="str" cm="1">
        <f t="array" ref="E215">GetValue("Dmn",D215,"Name")</f>
        <v>BigInteger</v>
      </c>
      <c r="F215" s="18">
        <f t="shared" si="26"/>
        <v>5</v>
      </c>
      <c r="G215" s="18" t="str" cm="1">
        <f t="array" ref="G215">GetColumnName(C215,IF(B215=B214,G214,""))</f>
        <v>Id</v>
      </c>
      <c r="H215" s="18" t="s">
        <v>892</v>
      </c>
      <c r="I215" s="18" t="s">
        <v>0</v>
      </c>
      <c r="J215" s="18" t="b">
        <v>1</v>
      </c>
      <c r="K215" s="18" t="b">
        <v>1</v>
      </c>
      <c r="L215" s="18" t="b">
        <v>0</v>
      </c>
      <c r="M215" s="18" t="b">
        <v>0</v>
      </c>
      <c r="N215" s="18"/>
      <c r="O215" s="18"/>
      <c r="P215" s="18" t="b">
        <v>0</v>
      </c>
      <c r="Q215" s="18" t="b">
        <v>0</v>
      </c>
    </row>
    <row r="216" spans="1:17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</v>
      </c>
      <c r="E216" s="18" t="str" cm="1">
        <f t="array" ref="E216">GetValue("Dmn",D216,"Name")</f>
        <v>BigInteger</v>
      </c>
      <c r="F216" s="18">
        <f t="shared" ref="F216:F222" si="27">IF(G216="Id",5,F215+5)</f>
        <v>10</v>
      </c>
      <c r="G216" s="18" t="str" cm="1">
        <f t="array" ref="G216">GetColumnName(C216,IF(B216=B215,G215,""))</f>
        <v>TransactionId</v>
      </c>
      <c r="H216" s="18" t="s">
        <v>888</v>
      </c>
      <c r="I216" s="18" t="s">
        <v>897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  <c r="Q216" s="18" t="b">
        <v>0</v>
      </c>
    </row>
    <row r="217" spans="1:17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10</v>
      </c>
      <c r="E217" s="18" t="str" cm="1">
        <f t="array" ref="E217">GetValue("Dmn",D217,"Name")</f>
        <v>Nvarchar(25)</v>
      </c>
      <c r="F217" s="18">
        <f t="shared" si="27"/>
        <v>15</v>
      </c>
      <c r="G217" s="18" t="str" cm="1">
        <f t="array" ref="G217">GetColumnName(C217,IF(B217=B216,G216,""))</f>
        <v>TableName</v>
      </c>
      <c r="H217" s="18" t="s">
        <v>114</v>
      </c>
      <c r="I217" s="18" t="s">
        <v>117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  <c r="Q217" s="18" t="b">
        <v>0</v>
      </c>
    </row>
    <row r="218" spans="1:17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8</v>
      </c>
      <c r="E218" s="18" t="str" cm="1">
        <f t="array" ref="E218">GetValue("Dmn",D218,"Name")</f>
        <v>Nvarchar(15)</v>
      </c>
      <c r="F218" s="18">
        <f t="shared" si="27"/>
        <v>20</v>
      </c>
      <c r="G218" s="18" t="str" cm="1">
        <f t="array" ref="G218">GetColumnName(C218,IF(B218=B217,G217,""))</f>
        <v>Action</v>
      </c>
      <c r="H218" s="18" t="s">
        <v>893</v>
      </c>
      <c r="I218" s="18" t="s">
        <v>898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  <c r="Q218" s="18" t="b">
        <v>0</v>
      </c>
    </row>
    <row r="219" spans="1:17">
      <c r="A219" s="18">
        <f t="shared" si="5"/>
        <v>218</v>
      </c>
      <c r="B219" s="19">
        <v>34</v>
      </c>
      <c r="C219" s="18" t="str" cm="1">
        <f t="array" ref="C219">GetValue("Tbl",B219,"Alias")</f>
        <v>Ope</v>
      </c>
      <c r="D219" s="18">
        <v>13</v>
      </c>
      <c r="E219" s="18" t="str" cm="1">
        <f t="array" ref="E219">GetValue("Dmn",D219,"Name")</f>
        <v>Nvarchar(max)</v>
      </c>
      <c r="F219" s="18">
        <f t="shared" si="27"/>
        <v>25</v>
      </c>
      <c r="G219" s="18" t="str" cm="1">
        <f t="array" ref="G219">GetColumnName(C219,IF(B219=B218,G218,""))</f>
        <v>LastRecord</v>
      </c>
      <c r="H219" s="18" t="s">
        <v>894</v>
      </c>
      <c r="I219" s="18" t="s">
        <v>899</v>
      </c>
      <c r="J219" s="18" t="s">
        <v>26</v>
      </c>
      <c r="K219" s="18" t="s">
        <v>26</v>
      </c>
      <c r="L219" s="18" t="s">
        <v>26</v>
      </c>
      <c r="M219" s="18" t="s">
        <v>26</v>
      </c>
      <c r="N219" s="18"/>
      <c r="O219" s="18"/>
      <c r="P219" s="18" t="s">
        <v>26</v>
      </c>
      <c r="Q219" s="18" t="b">
        <v>0</v>
      </c>
    </row>
    <row r="220" spans="1:17">
      <c r="A220" s="18">
        <f t="shared" si="5"/>
        <v>219</v>
      </c>
      <c r="B220" s="19">
        <v>34</v>
      </c>
      <c r="C220" s="18" t="str" cm="1">
        <f t="array" ref="C220">GetValue("Tbl",B220,"Alias")</f>
        <v>Ope</v>
      </c>
      <c r="D220" s="18">
        <v>13</v>
      </c>
      <c r="E220" s="18" t="str" cm="1">
        <f t="array" ref="E220">GetValue("Dmn",D220,"Name")</f>
        <v>Nvarchar(max)</v>
      </c>
      <c r="F220" s="18">
        <f t="shared" si="27"/>
        <v>30</v>
      </c>
      <c r="G220" s="18" t="str" cm="1">
        <f t="array" ref="G220">GetColumnName(C220,IF(B220=B219,G219,""))</f>
        <v>ActualRecord</v>
      </c>
      <c r="H220" s="18" t="s">
        <v>895</v>
      </c>
      <c r="I220" s="18" t="s">
        <v>900</v>
      </c>
      <c r="J220" s="18" t="s">
        <v>26</v>
      </c>
      <c r="K220" s="18" t="s">
        <v>26</v>
      </c>
      <c r="L220" s="18" t="s">
        <v>26</v>
      </c>
      <c r="M220" s="18" t="s">
        <v>26</v>
      </c>
      <c r="N220" s="18"/>
      <c r="O220" s="18"/>
      <c r="P220" s="18" t="s">
        <v>26</v>
      </c>
      <c r="Q220" s="18" t="b">
        <v>0</v>
      </c>
    </row>
    <row r="221" spans="1:17">
      <c r="A221" s="18">
        <f t="shared" si="5"/>
        <v>220</v>
      </c>
      <c r="B221" s="19">
        <v>34</v>
      </c>
      <c r="C221" s="18" t="str" cm="1">
        <f t="array" ref="C221">GetValue("Tbl",B221,"Alias")</f>
        <v>Ope</v>
      </c>
      <c r="D221" s="18">
        <v>6</v>
      </c>
      <c r="E221" s="18" t="str" cm="1">
        <f t="array" ref="E221">GetValue("Dmn",D221,"Name")</f>
        <v>Boolean</v>
      </c>
      <c r="F221" s="18">
        <f t="shared" si="27"/>
        <v>35</v>
      </c>
      <c r="G221" s="18" t="str" cm="1">
        <f t="array" ref="G221">GetColumnName(C221,IF(B221=B220,G220,""))</f>
        <v>IsConfirmed</v>
      </c>
      <c r="H221" s="18" t="s">
        <v>896</v>
      </c>
      <c r="I221" s="18" t="s">
        <v>891</v>
      </c>
      <c r="J221" s="18" t="s">
        <v>26</v>
      </c>
      <c r="K221" s="18" t="s">
        <v>26</v>
      </c>
      <c r="L221" s="18" t="s">
        <v>26</v>
      </c>
      <c r="M221" s="18" t="s">
        <v>26</v>
      </c>
      <c r="N221" s="18"/>
      <c r="O221" s="18"/>
      <c r="P221" s="18" t="s">
        <v>26</v>
      </c>
      <c r="Q221" s="18" t="b">
        <v>0</v>
      </c>
    </row>
    <row r="222" spans="1:17">
      <c r="A222" s="20">
        <f t="shared" si="5"/>
        <v>221</v>
      </c>
      <c r="B222" s="21">
        <v>35</v>
      </c>
      <c r="C222" s="20" t="str" cm="1">
        <f t="array" ref="C222">GetValue("Tbl",B222,"Alias")</f>
        <v>Vrt</v>
      </c>
      <c r="D222" s="20">
        <v>1</v>
      </c>
      <c r="E222" s="20" t="str" cm="1">
        <f t="array" ref="E222">GetValue("Dmn",D222,"Name")</f>
        <v>BigInteger</v>
      </c>
      <c r="F222" s="20">
        <f t="shared" si="27"/>
        <v>5</v>
      </c>
      <c r="G222" s="20" t="str" cm="1">
        <f t="array" ref="G222">GetColumnName(C222,IF(B222=B221,G221,""))</f>
        <v>Id</v>
      </c>
      <c r="H222" s="20" t="s">
        <v>925</v>
      </c>
      <c r="I222" s="20" t="s">
        <v>0</v>
      </c>
      <c r="J222" s="20" t="b">
        <v>1</v>
      </c>
      <c r="K222" s="20" t="b">
        <v>1</v>
      </c>
      <c r="L222" s="20" t="b">
        <v>0</v>
      </c>
      <c r="M222" s="20" t="b">
        <v>0</v>
      </c>
      <c r="N222" s="20"/>
      <c r="O222" s="20"/>
      <c r="P222" s="20"/>
      <c r="Q222" s="20" t="b">
        <v>0</v>
      </c>
    </row>
    <row r="223" spans="1:17">
      <c r="A223" s="20">
        <f t="shared" si="5"/>
        <v>222</v>
      </c>
      <c r="B223" s="21">
        <v>35</v>
      </c>
      <c r="C223" s="20" t="str" cm="1">
        <f t="array" ref="C223">GetValue("Tbl",B223,"Alias")</f>
        <v>Vrt</v>
      </c>
      <c r="D223" s="20">
        <v>1</v>
      </c>
      <c r="E223" s="20" t="str" cm="1">
        <f t="array" ref="E223">GetValue("Dmn",D223,"Name")</f>
        <v>BigInteger</v>
      </c>
      <c r="F223" s="20">
        <f t="shared" ref="F223:F225" si="28">IF(G223="Id",5,F222+5)</f>
        <v>10</v>
      </c>
      <c r="G223" s="20" t="str" cm="1">
        <f t="array" ref="G223">GetColumnName(C223,IF(B223=B222,G222,""))</f>
        <v>TableId</v>
      </c>
      <c r="H223" s="20" t="s">
        <v>596</v>
      </c>
      <c r="I223" s="20" t="s">
        <v>117</v>
      </c>
      <c r="J223" s="20"/>
      <c r="K223" s="20"/>
      <c r="L223" s="20"/>
      <c r="M223" s="20"/>
      <c r="N223" s="20"/>
      <c r="O223" s="20"/>
      <c r="P223" s="20"/>
      <c r="Q223" s="20" t="b">
        <v>0</v>
      </c>
    </row>
    <row r="224" spans="1:17">
      <c r="A224" s="20">
        <f t="shared" si="5"/>
        <v>223</v>
      </c>
      <c r="B224" s="21">
        <v>35</v>
      </c>
      <c r="C224" s="20" t="str" cm="1">
        <f t="array" ref="C224">GetValue("Tbl",B224,"Alias")</f>
        <v>Vrt</v>
      </c>
      <c r="D224" s="20">
        <v>1</v>
      </c>
      <c r="E224" s="20" t="str" cm="1">
        <f t="array" ref="E224">GetValue("Dmn",D224,"Name")</f>
        <v>BigInteger</v>
      </c>
      <c r="F224" s="20">
        <f t="shared" si="28"/>
        <v>15</v>
      </c>
      <c r="G224" s="20" t="str" cm="1">
        <f t="array" ref="G224">GetColumnName(C224,IF(B224=B223,G223,""))</f>
        <v>ColumnId</v>
      </c>
      <c r="H224" s="20" t="s">
        <v>925</v>
      </c>
      <c r="I224" s="20" t="s">
        <v>627</v>
      </c>
      <c r="J224" s="20"/>
      <c r="K224" s="20"/>
      <c r="L224" s="20"/>
      <c r="M224" s="20"/>
      <c r="N224" s="20"/>
      <c r="O224" s="20"/>
      <c r="P224" s="20"/>
      <c r="Q224" s="20" t="b">
        <v>0</v>
      </c>
    </row>
    <row r="225" spans="1:17">
      <c r="A225" s="20">
        <f t="shared" si="5"/>
        <v>224</v>
      </c>
      <c r="B225" s="21">
        <v>35</v>
      </c>
      <c r="C225" s="20" t="str" cm="1">
        <f t="array" ref="C225">GetValue("Tbl",B225,"Alias")</f>
        <v>Vrt</v>
      </c>
      <c r="D225" s="20">
        <v>1</v>
      </c>
      <c r="E225" s="20" t="str" cm="1">
        <f t="array" ref="E225">GetValue("Dmn",D225,"Name")</f>
        <v>BigInteger</v>
      </c>
      <c r="F225" s="20">
        <f t="shared" si="28"/>
        <v>20</v>
      </c>
      <c r="G225" s="20" t="str" cm="1">
        <f t="array" ref="G225">GetColumnName(C225,IF(B225=B224,G224,""))</f>
        <v>ValueId</v>
      </c>
      <c r="H225" s="20" t="s">
        <v>928</v>
      </c>
      <c r="I225" s="20" t="s">
        <v>929</v>
      </c>
      <c r="J225" s="20"/>
      <c r="K225" s="20"/>
      <c r="L225" s="20"/>
      <c r="M225" s="20"/>
      <c r="N225" s="20"/>
      <c r="O225" s="20"/>
      <c r="P225" s="20"/>
      <c r="Q225" s="20" t="b">
        <v>0</v>
      </c>
    </row>
    <row r="226" spans="1:17">
      <c r="A226" s="20">
        <f t="shared" si="5"/>
        <v>225</v>
      </c>
      <c r="B226" s="21">
        <v>35</v>
      </c>
      <c r="C226" s="20" t="str" cm="1">
        <f t="array" ref="C226">GetValue("Tbl",B226,"Alias")</f>
        <v>Vrt</v>
      </c>
      <c r="D226" s="20">
        <v>42</v>
      </c>
      <c r="E226" s="20" t="str" cm="1">
        <f t="array" ref="E226">GetValue("Dmn",D226,"Name")</f>
        <v>Variant</v>
      </c>
      <c r="F226" s="20">
        <f t="shared" ref="F226" si="29">IF(G226="Id",5,F225+5)</f>
        <v>25</v>
      </c>
      <c r="G226" s="20" t="str" cm="1">
        <f t="array" ref="G226">GetColumnName(C226,IF(B226=B225,G225,""))</f>
        <v>Value</v>
      </c>
      <c r="H226" s="20" t="s">
        <v>926</v>
      </c>
      <c r="I226" s="20" t="s">
        <v>848</v>
      </c>
      <c r="J226" s="20"/>
      <c r="K226" s="20"/>
      <c r="L226" s="20"/>
      <c r="M226" s="20"/>
      <c r="N226" s="20"/>
      <c r="O226" s="20"/>
      <c r="P226" s="20"/>
      <c r="Q226" s="20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6:G106 F156:G156 F121:G121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4.4"/>
  <cols>
    <col min="1" max="1" width="3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120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137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129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131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130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132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156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166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133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162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185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134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135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157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184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142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136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158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186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159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160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194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161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164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217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218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195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212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213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213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213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213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213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213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213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213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213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Snipers</v>
      </c>
      <c r="D38" t="s">
        <v>213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213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213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213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4.4"/>
  <cols>
    <col min="1" max="1" width="3" bestFit="1" customWidth="1"/>
    <col min="2" max="2" width="7.6640625" bestFit="1" customWidth="1"/>
    <col min="3" max="3" width="52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  <c r="F1" s="1" t="s">
        <v>69</v>
      </c>
      <c r="G1" s="1" t="s">
        <v>123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IsEditable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4.4"/>
  <cols>
    <col min="1" max="1" width="3" bestFit="1" customWidth="1"/>
    <col min="2" max="2" width="7.6640625" bestFit="1" customWidth="1"/>
    <col min="3" max="3" width="43.554687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IsEditable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4.4"/>
  <cols>
    <col min="1" max="1" width="2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0</v>
      </c>
      <c r="B1" s="1" t="s">
        <v>629</v>
      </c>
      <c r="C1" s="1" t="s">
        <v>802</v>
      </c>
      <c r="D1" s="1" t="s">
        <v>803</v>
      </c>
      <c r="E1" s="1" t="s">
        <v>630</v>
      </c>
      <c r="F1" s="1" t="s">
        <v>801</v>
      </c>
      <c r="G1" s="1" t="s">
        <v>804</v>
      </c>
      <c r="H1" s="1" t="s">
        <v>626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G7" sqref="G7"/>
    </sheetView>
  </sheetViews>
  <sheetFormatPr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12.3320312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0</v>
      </c>
      <c r="B1" s="1" t="s">
        <v>95</v>
      </c>
      <c r="C1" s="1" t="s">
        <v>152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628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1" topLeftCell="A2" activePane="bottomLeft" state="frozen"/>
      <selection pane="bottomLeft" activeCell="C11" sqref="C11"/>
    </sheetView>
  </sheetViews>
  <sheetFormatPr defaultColWidth="5.6640625" defaultRowHeight="14.4"/>
  <cols>
    <col min="1" max="1" width="2.6640625" bestFit="1" customWidth="1"/>
    <col min="2" max="2" width="12.33203125" bestFit="1" customWidth="1"/>
    <col min="3" max="3" width="16" bestFit="1" customWidth="1"/>
    <col min="4" max="4" width="9.6640625" bestFit="1" customWidth="1"/>
    <col min="5" max="5" width="10.109375" style="6" bestFit="1" customWidth="1"/>
    <col min="6" max="6" width="15" style="6" bestFit="1" customWidth="1"/>
    <col min="7" max="7" width="13.109375" bestFit="1" customWidth="1"/>
    <col min="8" max="8" width="22.88671875" bestFit="1" customWidth="1"/>
    <col min="9" max="9" width="13.33203125" style="6" bestFit="1" customWidth="1"/>
    <col min="10" max="10" width="19.33203125" style="6" bestFit="1" customWidth="1"/>
    <col min="11" max="11" width="14.33203125" bestFit="1" customWidth="1"/>
    <col min="12" max="12" width="24" bestFit="1" customWidth="1"/>
    <col min="13" max="13" width="10.6640625" bestFit="1" customWidth="1"/>
    <col min="14" max="14" width="16.109375" style="6" bestFit="1" customWidth="1"/>
  </cols>
  <sheetData>
    <row r="1" spans="1:14" s="6" customFormat="1">
      <c r="A1" s="1" t="s">
        <v>0</v>
      </c>
      <c r="B1" s="1" t="s">
        <v>479</v>
      </c>
      <c r="C1" s="1" t="s">
        <v>492</v>
      </c>
      <c r="D1" s="1" t="s">
        <v>69</v>
      </c>
      <c r="E1" s="1" t="s">
        <v>466</v>
      </c>
      <c r="F1" s="1" t="s">
        <v>520</v>
      </c>
      <c r="G1" s="1" t="s">
        <v>629</v>
      </c>
      <c r="H1" s="1" t="s">
        <v>632</v>
      </c>
      <c r="I1" s="1" t="s">
        <v>670</v>
      </c>
      <c r="J1" s="1" t="s">
        <v>823</v>
      </c>
      <c r="K1" s="16" t="s">
        <v>630</v>
      </c>
      <c r="L1" s="1" t="s">
        <v>631</v>
      </c>
      <c r="M1" s="1" t="s">
        <v>633</v>
      </c>
      <c r="N1" s="1" t="s">
        <v>521</v>
      </c>
    </row>
    <row r="2" spans="1:14">
      <c r="A2">
        <f>ROW(A2)-1</f>
        <v>1</v>
      </c>
      <c r="B2">
        <v>1</v>
      </c>
      <c r="C2" t="str" cm="1">
        <f t="array" ref="C2">GetValue("Exp",B2,"Name")</f>
        <v>Engines 0001</v>
      </c>
      <c r="D2">
        <v>5</v>
      </c>
      <c r="F2" s="6" t="s">
        <v>464</v>
      </c>
      <c r="G2">
        <v>1</v>
      </c>
      <c r="H2" t="str" cm="1">
        <f t="array" ref="H2">GetValue("Col",G2,"#TableAlias")&amp;"-"&amp;GetValue("Col",G2,"Name")</f>
        <v>Cat-Id</v>
      </c>
      <c r="I2" s="6">
        <v>6</v>
      </c>
      <c r="J2" s="6" t="str" cm="1">
        <f t="array" ref="J2">GetValue("Cmp",I2,"Symbol")</f>
        <v>&gt;</v>
      </c>
      <c r="K2">
        <v>2</v>
      </c>
      <c r="L2" t="str" cm="1">
        <f t="array" ref="L2">IF(K2="","",GetValue("Col",K2,"#TableAlias")&amp;"-"&amp;GetValue("Col",K2,"Name"))</f>
        <v>Cat-Name</v>
      </c>
    </row>
    <row r="3" spans="1:14">
      <c r="A3">
        <f t="shared" ref="A3:A4" si="0">ROW(A3)-1</f>
        <v>2</v>
      </c>
      <c r="B3">
        <v>1</v>
      </c>
      <c r="C3" t="str" cm="1">
        <f t="array" ref="C3">GetValue("Exp",B3,"Name")</f>
        <v>Engines 0001</v>
      </c>
      <c r="D3">
        <v>10</v>
      </c>
      <c r="E3" s="6" t="s">
        <v>467</v>
      </c>
      <c r="G3">
        <v>1</v>
      </c>
      <c r="H3" t="str" cm="1">
        <f t="array" ref="H3">GetValue("Col",G3,"#TableAlias")&amp;"-"&amp;GetValue("Col",G3,"Name")</f>
        <v>Cat-Id</v>
      </c>
      <c r="I3" s="6">
        <v>1</v>
      </c>
      <c r="J3" s="6" t="str" cm="1">
        <f t="array" ref="J3">GetValue("Cmp",I3,"Symbol")</f>
        <v>&lt;</v>
      </c>
      <c r="L3" t="str" cm="1">
        <f t="array" ref="L3">IF(K3="","",GetValue("Col",K3,"#TableAlias")&amp;"-"&amp;GetValue("Col",K3,"Name"))</f>
        <v/>
      </c>
      <c r="M3">
        <v>20</v>
      </c>
      <c r="N3" s="6" t="s">
        <v>465</v>
      </c>
    </row>
    <row r="4" spans="1:14">
      <c r="A4">
        <f t="shared" si="0"/>
        <v>3</v>
      </c>
      <c r="B4">
        <v>1</v>
      </c>
      <c r="C4" t="str" cm="1">
        <f t="array" ref="C4">GetValue("Exp",B4,"Name")</f>
        <v>Engines 0001</v>
      </c>
      <c r="D4">
        <v>15</v>
      </c>
      <c r="E4" s="6" t="s">
        <v>468</v>
      </c>
      <c r="F4" s="6" t="s">
        <v>464</v>
      </c>
      <c r="G4">
        <v>1</v>
      </c>
      <c r="H4" t="str" cm="1">
        <f t="array" ref="H4">GetValue("Col",G4,"#TableAlias")&amp;"-"&amp;GetValue("Col",G4,"Name")</f>
        <v>Cat-Id</v>
      </c>
      <c r="I4" s="6">
        <v>3</v>
      </c>
      <c r="J4" s="6" t="str" cm="1">
        <f t="array" ref="J4">GetValue("Cmp",I4,"Symbol")</f>
        <v>=</v>
      </c>
      <c r="L4" t="str" cm="1">
        <f t="array" ref="L4">IF(K4="","",GetValue("Col",K4,"#TableAlias")&amp;"-"&amp;GetValue("Col",K4,"Name"))</f>
        <v/>
      </c>
      <c r="M4">
        <v>100</v>
      </c>
      <c r="N4" s="6" t="s">
        <v>465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O2"/>
  <sheetViews>
    <sheetView workbookViewId="0">
      <pane ySplit="1" topLeftCell="A2" activePane="bottomLeft" state="frozen"/>
      <selection pane="bottomLeft" activeCell="I2" sqref="I2"/>
    </sheetView>
  </sheetViews>
  <sheetFormatPr defaultRowHeight="14.4"/>
  <cols>
    <col min="1" max="1" width="2.6640625" bestFit="1" customWidth="1"/>
    <col min="2" max="2" width="9.33203125" bestFit="1" customWidth="1"/>
    <col min="3" max="3" width="13.6640625" bestFit="1" customWidth="1"/>
    <col min="4" max="4" width="7.33203125" bestFit="1" customWidth="1"/>
    <col min="5" max="5" width="10.44140625" bestFit="1" customWidth="1"/>
    <col min="6" max="6" width="11.5546875" bestFit="1" customWidth="1"/>
    <col min="7" max="7" width="16" bestFit="1" customWidth="1"/>
    <col min="8" max="8" width="6.33203125" bestFit="1" customWidth="1"/>
    <col min="9" max="9" width="12.6640625" bestFit="1" customWidth="1"/>
  </cols>
  <sheetData>
    <row r="1" spans="1:15" s="1" customFormat="1">
      <c r="A1" s="1" t="s">
        <v>0</v>
      </c>
      <c r="B1" s="1" t="s">
        <v>122</v>
      </c>
      <c r="C1" s="1" t="s">
        <v>155</v>
      </c>
      <c r="D1" s="1" t="s">
        <v>95</v>
      </c>
      <c r="E1" s="1" t="s">
        <v>493</v>
      </c>
      <c r="F1" s="1" t="s">
        <v>479</v>
      </c>
      <c r="G1" s="1" t="s">
        <v>492</v>
      </c>
      <c r="H1" s="1" t="s">
        <v>83</v>
      </c>
      <c r="I1" s="1" t="s">
        <v>935</v>
      </c>
      <c r="M1" s="23"/>
      <c r="N1" s="24"/>
      <c r="O1" s="23"/>
    </row>
    <row r="2" spans="1:15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s">
        <v>934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33203125"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433</v>
      </c>
      <c r="C1" s="1" t="s">
        <v>342</v>
      </c>
      <c r="D1" s="1" t="s">
        <v>1</v>
      </c>
      <c r="E1" s="1" t="s">
        <v>79</v>
      </c>
      <c r="F1" s="1" t="s">
        <v>80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141</v>
      </c>
      <c r="E2" t="s">
        <v>141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144</v>
      </c>
      <c r="E3" t="s">
        <v>81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6640625" defaultRowHeight="14.4"/>
  <cols>
    <col min="1" max="1" width="3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0</v>
      </c>
      <c r="B1" s="1" t="s">
        <v>68</v>
      </c>
      <c r="C1" s="1" t="s">
        <v>150</v>
      </c>
      <c r="D1" s="1" t="s">
        <v>82</v>
      </c>
      <c r="E1" s="1" t="s">
        <v>149</v>
      </c>
      <c r="F1" s="1" t="s">
        <v>95</v>
      </c>
      <c r="G1" s="1" t="s">
        <v>152</v>
      </c>
      <c r="H1" s="1" t="s">
        <v>460</v>
      </c>
      <c r="I1" s="1" t="s">
        <v>461</v>
      </c>
      <c r="J1" s="1" t="s">
        <v>462</v>
      </c>
      <c r="K1" s="1" t="s">
        <v>463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E16" sqref="E16"/>
    </sheetView>
  </sheetViews>
  <sheetFormatPr defaultColWidth="93.44140625" defaultRowHeight="14.4"/>
  <cols>
    <col min="1" max="1" width="3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146</v>
      </c>
      <c r="E1" s="8" t="s">
        <v>66</v>
      </c>
      <c r="F1" s="1" t="s">
        <v>24</v>
      </c>
    </row>
    <row r="2" spans="1:6">
      <c r="A2" s="10">
        <f>ROW(A2)-1</f>
        <v>1</v>
      </c>
      <c r="B2" s="10" t="s">
        <v>388</v>
      </c>
      <c r="C2" s="10"/>
      <c r="D2" s="10" t="str" cm="1">
        <f t="array" ref="D2">GetValue("Cat",C2,"Name")</f>
        <v/>
      </c>
      <c r="E2" s="10" t="s">
        <v>417</v>
      </c>
      <c r="F2" t="b">
        <v>1</v>
      </c>
    </row>
    <row r="3" spans="1:6">
      <c r="A3" s="10">
        <f t="shared" ref="A3:A20" si="0">ROW(A3)-1</f>
        <v>2</v>
      </c>
      <c r="B3" s="10" t="s">
        <v>389</v>
      </c>
      <c r="C3" s="10"/>
      <c r="D3" s="10" t="str" cm="1">
        <f t="array" ref="D3">GetValue("Cat",C3,"Name")</f>
        <v/>
      </c>
      <c r="E3" s="10" t="s">
        <v>418</v>
      </c>
      <c r="F3" t="b">
        <v>1</v>
      </c>
    </row>
    <row r="4" spans="1:6">
      <c r="A4" s="10">
        <f t="shared" si="0"/>
        <v>3</v>
      </c>
      <c r="B4" s="10" t="s">
        <v>390</v>
      </c>
      <c r="C4" s="10"/>
      <c r="D4" s="10" t="str" cm="1">
        <f t="array" ref="D4">GetValue("Cat",C4,"Name")</f>
        <v/>
      </c>
      <c r="E4" s="10" t="s">
        <v>419</v>
      </c>
      <c r="F4" t="b">
        <v>1</v>
      </c>
    </row>
    <row r="5" spans="1:6">
      <c r="A5" s="10">
        <f t="shared" si="0"/>
        <v>4</v>
      </c>
      <c r="B5" s="10" t="s">
        <v>391</v>
      </c>
      <c r="C5" s="10"/>
      <c r="D5" s="10" t="str" cm="1">
        <f t="array" ref="D5">GetValue("Cat",C5,"Name")</f>
        <v/>
      </c>
      <c r="E5" s="10" t="s">
        <v>420</v>
      </c>
      <c r="F5" t="b">
        <v>1</v>
      </c>
    </row>
    <row r="6" spans="1:6">
      <c r="A6" s="10">
        <f t="shared" si="0"/>
        <v>5</v>
      </c>
      <c r="B6" s="10" t="s">
        <v>392</v>
      </c>
      <c r="C6" s="10"/>
      <c r="D6" s="10" t="str" cm="1">
        <f t="array" ref="D6">GetValue("Cat",C6,"Name")</f>
        <v/>
      </c>
      <c r="E6" s="10" t="s">
        <v>421</v>
      </c>
      <c r="F6" t="b">
        <v>1</v>
      </c>
    </row>
    <row r="7" spans="1:6">
      <c r="A7" s="10">
        <f t="shared" si="0"/>
        <v>6</v>
      </c>
      <c r="B7" s="10" t="s">
        <v>393</v>
      </c>
      <c r="C7" s="10"/>
      <c r="D7" s="10" t="str" cm="1">
        <f t="array" ref="D7">GetValue("Cat",C7,"Name")</f>
        <v/>
      </c>
      <c r="E7" s="10" t="s">
        <v>422</v>
      </c>
      <c r="F7" t="b">
        <v>1</v>
      </c>
    </row>
    <row r="8" spans="1:6">
      <c r="A8" s="10">
        <f t="shared" si="0"/>
        <v>7</v>
      </c>
      <c r="B8" s="10" t="s">
        <v>394</v>
      </c>
      <c r="C8" s="10">
        <v>10</v>
      </c>
      <c r="D8" s="10" t="str" cm="1">
        <f t="array" ref="D8">GetValue("Cat",C8,"Name")</f>
        <v>undefined</v>
      </c>
      <c r="E8" s="10" t="s">
        <v>423</v>
      </c>
      <c r="F8" t="b">
        <v>1</v>
      </c>
    </row>
    <row r="9" spans="1:6">
      <c r="A9" s="10">
        <f t="shared" si="0"/>
        <v>8</v>
      </c>
      <c r="B9" s="10" t="s">
        <v>395</v>
      </c>
      <c r="C9" s="10">
        <v>1</v>
      </c>
      <c r="D9" s="10" t="str" cm="1">
        <f t="array" ref="D9">GetValue("Cat",C9,"Name")</f>
        <v>string</v>
      </c>
      <c r="E9" s="10" t="s">
        <v>396</v>
      </c>
      <c r="F9" t="b">
        <v>1</v>
      </c>
    </row>
    <row r="10" spans="1:6">
      <c r="A10" s="10">
        <f t="shared" si="0"/>
        <v>9</v>
      </c>
      <c r="B10" s="10" t="s">
        <v>397</v>
      </c>
      <c r="C10" s="10">
        <v>1</v>
      </c>
      <c r="D10" s="10" t="str" cm="1">
        <f t="array" ref="D10">GetValue("Cat",C10,"Name")</f>
        <v>string</v>
      </c>
      <c r="E10" s="10" t="s">
        <v>398</v>
      </c>
      <c r="F10" t="b">
        <v>1</v>
      </c>
    </row>
    <row r="11" spans="1:6">
      <c r="A11" s="10">
        <f t="shared" si="0"/>
        <v>10</v>
      </c>
      <c r="B11" s="10" t="s">
        <v>399</v>
      </c>
      <c r="C11" s="10">
        <v>1</v>
      </c>
      <c r="D11" s="10" t="str" cm="1">
        <f t="array" ref="D11">GetValue("Cat",C11,"Name")</f>
        <v>string</v>
      </c>
      <c r="E11" s="10" t="s">
        <v>400</v>
      </c>
      <c r="F11" t="b">
        <v>1</v>
      </c>
    </row>
    <row r="12" spans="1:6">
      <c r="A12" s="10">
        <f t="shared" si="0"/>
        <v>11</v>
      </c>
      <c r="B12" s="10" t="s">
        <v>401</v>
      </c>
      <c r="C12" s="10">
        <v>1</v>
      </c>
      <c r="D12" s="10" t="str" cm="1">
        <f t="array" ref="D12">GetValue("Cat",C12,"Name")</f>
        <v>string</v>
      </c>
      <c r="E12" s="10" t="s">
        <v>402</v>
      </c>
      <c r="F12" t="b">
        <v>1</v>
      </c>
    </row>
    <row r="13" spans="1:6">
      <c r="A13" s="10">
        <f t="shared" si="0"/>
        <v>12</v>
      </c>
      <c r="B13" s="10" t="s">
        <v>403</v>
      </c>
      <c r="C13" s="10">
        <v>10</v>
      </c>
      <c r="D13" s="10" t="str" cm="1">
        <f t="array" ref="D13">GetValue("Cat",C13,"Name")</f>
        <v>undefined</v>
      </c>
      <c r="E13" s="10" t="s">
        <v>424</v>
      </c>
      <c r="F13" t="b">
        <v>1</v>
      </c>
    </row>
    <row r="14" spans="1:6">
      <c r="A14" s="10">
        <f t="shared" si="0"/>
        <v>13</v>
      </c>
      <c r="B14" s="10" t="s">
        <v>404</v>
      </c>
      <c r="C14" s="10">
        <v>10</v>
      </c>
      <c r="D14" s="10" t="str" cm="1">
        <f t="array" ref="D14">GetValue("Cat",C14,"Name")</f>
        <v>undefined</v>
      </c>
      <c r="E14" s="10" t="s">
        <v>425</v>
      </c>
      <c r="F14" t="b">
        <v>1</v>
      </c>
    </row>
    <row r="15" spans="1:6">
      <c r="A15" s="10">
        <f t="shared" si="0"/>
        <v>14</v>
      </c>
      <c r="B15" s="10" t="s">
        <v>405</v>
      </c>
      <c r="C15" s="10">
        <v>2</v>
      </c>
      <c r="D15" s="10" t="str" cm="1">
        <f t="array" ref="D15">GetValue("Cat",C15,"Name")</f>
        <v>number</v>
      </c>
      <c r="E15" s="10" t="s">
        <v>406</v>
      </c>
      <c r="F15" t="b">
        <v>1</v>
      </c>
    </row>
    <row r="16" spans="1:6">
      <c r="A16" s="10">
        <f t="shared" si="0"/>
        <v>15</v>
      </c>
      <c r="B16" s="10" t="s">
        <v>407</v>
      </c>
      <c r="C16" s="10">
        <v>2</v>
      </c>
      <c r="D16" s="10" t="str" cm="1">
        <f t="array" ref="D16">GetValue("Cat",C16,"Name")</f>
        <v>number</v>
      </c>
      <c r="E16" s="10" t="s">
        <v>408</v>
      </c>
      <c r="F16" t="b">
        <v>1</v>
      </c>
    </row>
    <row r="17" spans="1:6">
      <c r="A17" s="10">
        <f t="shared" si="0"/>
        <v>16</v>
      </c>
      <c r="B17" s="10" t="s">
        <v>409</v>
      </c>
      <c r="C17" s="10">
        <v>2</v>
      </c>
      <c r="D17" s="10" t="str" cm="1">
        <f t="array" ref="D17">GetValue("Cat",C17,"Name")</f>
        <v>number</v>
      </c>
      <c r="E17" s="10" t="s">
        <v>410</v>
      </c>
      <c r="F17" t="b">
        <v>1</v>
      </c>
    </row>
    <row r="18" spans="1:6">
      <c r="A18" s="10">
        <f t="shared" si="0"/>
        <v>17</v>
      </c>
      <c r="B18" s="10" t="s">
        <v>411</v>
      </c>
      <c r="C18" s="10">
        <v>1</v>
      </c>
      <c r="D18" s="10" t="str" cm="1">
        <f t="array" ref="D18">GetValue("Cat",C18,"Name")</f>
        <v>string</v>
      </c>
      <c r="E18" s="10" t="s">
        <v>412</v>
      </c>
      <c r="F18" t="b">
        <v>1</v>
      </c>
    </row>
    <row r="19" spans="1:6">
      <c r="A19" s="10">
        <f t="shared" si="0"/>
        <v>18</v>
      </c>
      <c r="B19" s="10" t="s">
        <v>413</v>
      </c>
      <c r="C19" s="10">
        <v>1</v>
      </c>
      <c r="D19" s="10" t="str" cm="1">
        <f t="array" ref="D19">GetValue("Cat",C19,"Name")</f>
        <v>string</v>
      </c>
      <c r="E19" s="10" t="s">
        <v>414</v>
      </c>
      <c r="F19" t="b">
        <v>1</v>
      </c>
    </row>
    <row r="20" spans="1:6">
      <c r="A20" s="10">
        <f t="shared" si="0"/>
        <v>19</v>
      </c>
      <c r="B20" s="10" t="s">
        <v>415</v>
      </c>
      <c r="C20" s="10">
        <v>1</v>
      </c>
      <c r="D20" s="10" t="str" cm="1">
        <f t="array" ref="D20">GetValue("Cat",C20,"Name")</f>
        <v>string</v>
      </c>
      <c r="E20" s="10" t="s">
        <v>416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H21"/>
  <sheetViews>
    <sheetView workbookViewId="0">
      <pane ySplit="1" topLeftCell="A2" activePane="bottomLeft" state="frozen"/>
      <selection pane="bottomLeft" activeCell="C4" sqref="C4"/>
    </sheetView>
  </sheetViews>
  <sheetFormatPr defaultColWidth="9" defaultRowHeight="14.4"/>
  <cols>
    <col min="1" max="1" width="2.6640625" bestFit="1" customWidth="1"/>
    <col min="2" max="2" width="7.21875" bestFit="1" customWidth="1"/>
    <col min="3" max="4" width="11.5546875" bestFit="1" customWidth="1"/>
    <col min="5" max="5" width="16" bestFit="1" customWidth="1"/>
    <col min="6" max="6" width="10" bestFit="1" customWidth="1"/>
    <col min="7" max="7" width="14.44140625" bestFit="1" customWidth="1"/>
    <col min="8" max="8" width="7.6640625" bestFit="1" customWidth="1"/>
  </cols>
  <sheetData>
    <row r="1" spans="1:8" s="1" customFormat="1">
      <c r="A1" s="8" t="s">
        <v>0</v>
      </c>
      <c r="B1" s="8" t="s">
        <v>95</v>
      </c>
      <c r="C1" s="1" t="s">
        <v>152</v>
      </c>
      <c r="D1" s="1" t="s">
        <v>479</v>
      </c>
      <c r="E1" s="1" t="s">
        <v>492</v>
      </c>
      <c r="F1" s="1" t="s">
        <v>480</v>
      </c>
      <c r="G1" s="1" t="s">
        <v>428</v>
      </c>
      <c r="H1" s="1" t="s">
        <v>319</v>
      </c>
    </row>
    <row r="2" spans="1:8">
      <c r="A2" s="10">
        <f>ROW(A2)-1</f>
        <v>1</v>
      </c>
      <c r="B2" s="10">
        <v>1</v>
      </c>
      <c r="C2" t="str" cm="1">
        <f t="array" ref="C2">GetValue("Tbl",B2,"Name")</f>
        <v>Categories</v>
      </c>
      <c r="D2">
        <v>1</v>
      </c>
      <c r="E2" t="str" cm="1">
        <f t="array" ref="E2">GetValue("Exp",D2,"Name")</f>
        <v>Engines 0001</v>
      </c>
      <c r="F2">
        <v>2</v>
      </c>
      <c r="G2" s="14" t="str" cm="1">
        <f t="array" ref="G2">GetValue("Prp",F2,"Name")</f>
        <v>enabled</v>
      </c>
      <c r="H2" t="s">
        <v>388</v>
      </c>
    </row>
    <row r="3" spans="1:8">
      <c r="A3" s="10"/>
      <c r="B3" s="10"/>
    </row>
    <row r="4" spans="1:8">
      <c r="A4" s="10"/>
      <c r="B4" s="10"/>
    </row>
    <row r="5" spans="1:8">
      <c r="A5" s="10"/>
      <c r="B5" s="10"/>
    </row>
    <row r="6" spans="1:8">
      <c r="A6" s="10"/>
      <c r="B6" s="10"/>
    </row>
    <row r="7" spans="1:8">
      <c r="A7" s="10"/>
      <c r="B7" s="10"/>
    </row>
    <row r="8" spans="1:8">
      <c r="A8" s="10"/>
      <c r="B8" s="10"/>
    </row>
    <row r="9" spans="1:8">
      <c r="A9" s="10"/>
      <c r="B9" s="10"/>
    </row>
    <row r="10" spans="1:8">
      <c r="A10" s="10"/>
      <c r="B10" s="10"/>
    </row>
    <row r="11" spans="1:8">
      <c r="A11" s="10"/>
      <c r="B11" s="10"/>
    </row>
    <row r="12" spans="1:8">
      <c r="A12" s="10"/>
      <c r="B12" s="10"/>
    </row>
    <row r="13" spans="1:8">
      <c r="A13" s="10"/>
      <c r="B13" s="10"/>
    </row>
    <row r="14" spans="1:8">
      <c r="A14" s="10"/>
      <c r="B14" s="10"/>
    </row>
    <row r="15" spans="1:8">
      <c r="A15" s="10"/>
      <c r="B15" s="10"/>
    </row>
    <row r="16" spans="1:8">
      <c r="A16" s="10"/>
      <c r="B16" s="10"/>
    </row>
    <row r="17" spans="1:2">
      <c r="A17" s="10"/>
      <c r="B17" s="10"/>
    </row>
    <row r="18" spans="1:2">
      <c r="A18" s="10"/>
      <c r="B18" s="10"/>
    </row>
    <row r="19" spans="1:2">
      <c r="A19" s="10"/>
      <c r="B19" s="10"/>
    </row>
    <row r="20" spans="1:2">
      <c r="A20" s="10"/>
      <c r="B20" s="10"/>
    </row>
    <row r="21" spans="1:2">
      <c r="A21" s="10"/>
      <c r="B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I21" sqref="I21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" bestFit="1" customWidth="1"/>
    <col min="5" max="5" width="7.88671875" bestFit="1" customWidth="1"/>
    <col min="6" max="6" width="10.5546875" bestFit="1" customWidth="1"/>
    <col min="7" max="7" width="10.88671875" bestFit="1" customWidth="1"/>
    <col min="8" max="8" width="12.44140625" bestFit="1" customWidth="1"/>
    <col min="9" max="9" width="12.88671875" bestFit="1" customWidth="1"/>
    <col min="10" max="10" width="15.33203125" bestFit="1" customWidth="1"/>
    <col min="11" max="11" width="14.44140625" bestFit="1" customWidth="1"/>
    <col min="12" max="12" width="10.44140625" bestFit="1" customWidth="1"/>
    <col min="13" max="13" width="12.44140625" bestFit="1" customWidth="1"/>
  </cols>
  <sheetData>
    <row r="1" spans="1:13" s="1" customFormat="1">
      <c r="A1" s="1" t="s">
        <v>0</v>
      </c>
      <c r="B1" s="1" t="s">
        <v>433</v>
      </c>
      <c r="C1" s="1" t="s">
        <v>342</v>
      </c>
      <c r="D1" s="1" t="s">
        <v>1</v>
      </c>
      <c r="E1" s="1" t="s">
        <v>496</v>
      </c>
      <c r="F1" s="1" t="s">
        <v>432</v>
      </c>
      <c r="G1" s="1" t="s">
        <v>497</v>
      </c>
      <c r="H1" s="1" t="s">
        <v>498</v>
      </c>
      <c r="I1" s="1" t="s">
        <v>499</v>
      </c>
      <c r="J1" s="1" t="s">
        <v>500</v>
      </c>
      <c r="K1" s="1" t="s">
        <v>501</v>
      </c>
      <c r="L1" s="1" t="s">
        <v>502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695</v>
      </c>
      <c r="E2">
        <v>1</v>
      </c>
      <c r="F2" t="s">
        <v>696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H8" sqref="H8"/>
    </sheetView>
  </sheetViews>
  <sheetFormatPr defaultColWidth="9"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504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697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2.6640625" bestFit="1" customWidth="1"/>
    <col min="2" max="2" width="7.33203125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0</v>
      </c>
      <c r="B1" s="1" t="s">
        <v>736</v>
      </c>
      <c r="C1" s="1" t="s">
        <v>737</v>
      </c>
      <c r="D1" s="1" t="s">
        <v>84</v>
      </c>
      <c r="E1" s="1" t="s">
        <v>151</v>
      </c>
      <c r="F1" s="1" t="s">
        <v>69</v>
      </c>
      <c r="G1" s="1" t="s">
        <v>503</v>
      </c>
    </row>
    <row r="2" spans="1:7">
      <c r="A2" s="10">
        <f>ROW(A2)-1</f>
        <v>1</v>
      </c>
      <c r="B2" s="10">
        <v>1</v>
      </c>
      <c r="C2" s="10" t="e" cm="1">
        <f t="array" ref="C2">GetValue("Hok",B2,"Name")</f>
        <v>#VALUE!</v>
      </c>
      <c r="D2">
        <v>1</v>
      </c>
      <c r="E2" t="str" cm="1">
        <f t="array" ref="E2">GetValue("Db",D2,"Name")</f>
        <v>crudex</v>
      </c>
      <c r="F2">
        <v>5</v>
      </c>
      <c r="G2" t="s">
        <v>698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F2" sqref="F2"/>
    </sheetView>
  </sheetViews>
  <sheetFormatPr defaultRowHeight="14.4"/>
  <cols>
    <col min="1" max="1" width="2.6640625" bestFit="1" customWidth="1"/>
    <col min="2" max="2" width="7.33203125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0</v>
      </c>
      <c r="B1" s="1" t="s">
        <v>736</v>
      </c>
      <c r="C1" s="1" t="s">
        <v>737</v>
      </c>
      <c r="D1" s="1" t="s">
        <v>69</v>
      </c>
      <c r="E1" s="1" t="s">
        <v>702</v>
      </c>
      <c r="F1" s="1" t="s">
        <v>878</v>
      </c>
    </row>
    <row r="2" spans="1:6">
      <c r="A2" s="10">
        <f>ROW(A2)-1</f>
        <v>1</v>
      </c>
      <c r="B2" s="10">
        <v>1</v>
      </c>
      <c r="C2" s="10" t="e" cm="1">
        <f t="array" ref="C2">GetValue("Hok",B2,"Name")</f>
        <v>#VALUE!</v>
      </c>
      <c r="D2">
        <v>10</v>
      </c>
      <c r="E2" t="s">
        <v>703</v>
      </c>
      <c r="F2" s="28" t="s">
        <v>701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sqref="A1:C2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9.109375" bestFit="1" customWidth="1"/>
    <col min="5" max="5" width="13.88671875" bestFit="1" customWidth="1"/>
    <col min="6" max="6" width="6.88671875" bestFit="1" customWidth="1"/>
    <col min="7" max="7" width="11.44140625" bestFit="1" customWidth="1"/>
    <col min="8" max="8" width="9.6640625" bestFit="1" customWidth="1"/>
    <col min="9" max="9" width="8.6640625" bestFit="1" customWidth="1"/>
  </cols>
  <sheetData>
    <row r="1" spans="1:9" s="1" customFormat="1">
      <c r="A1" s="1" t="s">
        <v>0</v>
      </c>
      <c r="B1" s="1" t="s">
        <v>433</v>
      </c>
      <c r="C1" s="1" t="s">
        <v>342</v>
      </c>
      <c r="D1" s="1" t="s">
        <v>68</v>
      </c>
      <c r="E1" s="1" t="s">
        <v>150</v>
      </c>
      <c r="F1" s="1" t="s">
        <v>82</v>
      </c>
      <c r="G1" s="1" t="s">
        <v>149</v>
      </c>
      <c r="H1" s="1" t="s">
        <v>143</v>
      </c>
      <c r="I1" s="1" t="s">
        <v>145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4.4"/>
  <cols>
    <col min="1" max="1" width="2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0</v>
      </c>
      <c r="B1" s="1" t="s">
        <v>211</v>
      </c>
      <c r="C1" s="1" t="s">
        <v>189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B6" sqref="B6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0</v>
      </c>
      <c r="B1" s="1" t="s">
        <v>190</v>
      </c>
      <c r="C1" s="1" t="s">
        <v>191</v>
      </c>
      <c r="D1" s="1" t="s">
        <v>72</v>
      </c>
      <c r="E1" s="1" t="s">
        <v>196</v>
      </c>
      <c r="F1" s="1" t="s">
        <v>192</v>
      </c>
      <c r="G1" s="1" t="s">
        <v>189</v>
      </c>
    </row>
    <row r="2" spans="1:7">
      <c r="A2" s="10">
        <f>ROW(A2)-1</f>
        <v>1</v>
      </c>
      <c r="B2">
        <v>1</v>
      </c>
      <c r="C2" t="s">
        <v>91</v>
      </c>
      <c r="D2" t="s">
        <v>699</v>
      </c>
      <c r="E2" t="s">
        <v>700</v>
      </c>
      <c r="F2" t="s">
        <v>700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8C39E-9F14-41C6-8089-FDA690294E45}">
  <sheetPr codeName="Planilha31"/>
  <dimension ref="A1:G2"/>
  <sheetViews>
    <sheetView workbookViewId="0">
      <selection activeCell="K16" sqref="K16"/>
    </sheetView>
  </sheetViews>
  <sheetFormatPr defaultRowHeight="14.4"/>
  <cols>
    <col min="1" max="1" width="2.6640625" bestFit="1" customWidth="1"/>
    <col min="2" max="2" width="7.44140625" bestFit="1" customWidth="1"/>
    <col min="3" max="3" width="11.77734375" bestFit="1" customWidth="1"/>
    <col min="5" max="5" width="13.6640625" bestFit="1" customWidth="1"/>
    <col min="6" max="6" width="7.44140625" bestFit="1" customWidth="1"/>
    <col min="7" max="7" width="5.77734375" bestFit="1" customWidth="1"/>
  </cols>
  <sheetData>
    <row r="1" spans="1:7">
      <c r="A1" s="1" t="s">
        <v>0</v>
      </c>
      <c r="B1" s="1" t="s">
        <v>95</v>
      </c>
      <c r="C1" s="1" t="s">
        <v>152</v>
      </c>
      <c r="D1" s="1" t="s">
        <v>122</v>
      </c>
      <c r="E1" s="1" t="s">
        <v>155</v>
      </c>
      <c r="F1" s="1" t="s">
        <v>927</v>
      </c>
      <c r="G1" s="1" t="s">
        <v>319</v>
      </c>
    </row>
    <row r="2" spans="1:7">
      <c r="A2" s="10">
        <f>ROW(A2)-1</f>
        <v>1</v>
      </c>
      <c r="B2">
        <v>1</v>
      </c>
      <c r="C2" t="str" cm="1">
        <f t="array" ref="C2">GetValue("Tbl",B2,"Name")</f>
        <v>Categories</v>
      </c>
      <c r="D2">
        <v>1</v>
      </c>
      <c r="E2" t="str" cm="1">
        <f t="array" ref="E2">GetValue("Col",D2,"Name")</f>
        <v>Id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35</vt:i4>
      </vt:variant>
    </vt:vector>
  </HeadingPairs>
  <TitlesOfParts>
    <vt:vector size="35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  <vt:lpstr>Vrt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2026-03-13T21:51:54Z</dcterms:modified>
</cp:coreProperties>
</file>