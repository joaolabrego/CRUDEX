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EE0DA257-FD60-4E65-9545-8BE40EF66578}" xr6:coauthVersionLast="47" xr6:coauthVersionMax="47" xr10:uidLastSave="{00000000-0000-0000-0000-000000000000}"/>
  <bookViews>
    <workbookView xWindow="-108" yWindow="-108" windowWidth="23256" windowHeight="13176" tabRatio="969" activeTab="1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Own" sheetId="28" r:id="rId7"/>
    <sheet name="Dmn" sheetId="4" r:id="rId8"/>
    <sheet name="Msk" sheetId="3" r:id="rId9"/>
    <sheet name="Mkg" sheetId="31" r:id="rId10"/>
    <sheet name="Db" sheetId="9" r:id="rId11"/>
    <sheet name="Env" sheetId="56" r:id="rId12"/>
    <sheet name="Con" sheetId="33" r:id="rId13"/>
    <sheet name="Str" sheetId="57" r:id="rId14"/>
    <sheet name="Sys" sheetId="5" r:id="rId15"/>
    <sheet name="Mnu" sheetId="6" r:id="rId16"/>
    <sheet name="Tbl" sheetId="11" r:id="rId17"/>
    <sheet name="Col" sheetId="12" r:id="rId18"/>
    <sheet name="Idx" sheetId="13" r:id="rId19"/>
    <sheet name="Idk" sheetId="14" r:id="rId20"/>
    <sheet name="Inc" sheetId="42" r:id="rId21"/>
    <sheet name="Uni" sheetId="22" r:id="rId22"/>
    <sheet name="Exp" sheetId="41" r:id="rId23"/>
    <sheet name="Cnd" sheetId="34" r:id="rId24"/>
    <sheet name="Ref" sheetId="46" r:id="rId25"/>
    <sheet name="Rfk" sheetId="55" r:id="rId26"/>
    <sheet name="Usr" sheetId="7" r:id="rId27"/>
    <sheet name="Prm" sheetId="40" r:id="rId28"/>
    <sheet name="Prp" sheetId="37" r:id="rId29"/>
    <sheet name="Bhv" sheetId="38" r:id="rId30"/>
    <sheet name="Sch" sheetId="47" r:id="rId31"/>
    <sheet name="Snp" sheetId="49" r:id="rId32"/>
    <sheet name="Scr" sheetId="50" r:id="rId33"/>
    <sheet name="Url" sheetId="54" r:id="rId34"/>
    <sheet name="Ses" sheetId="15" r:id="rId35"/>
    <sheet name="Trs" sheetId="19" r:id="rId36"/>
    <sheet name="Ope" sheetId="20" r:id="rId37"/>
  </sheets>
  <functionGroups builtInGroupCount="19"/>
  <definedNames>
    <definedName name="_xlnm._FilterDatabase" localSheetId="17" hidden="1">Col!$A$1:$U$237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3" i="12" l="1"/>
  <c r="A92" i="12"/>
  <c r="A91" i="12"/>
  <c r="A93" i="12"/>
  <c r="A94" i="12" l="1"/>
  <c r="A15" i="11" l="1"/>
  <c r="A4" i="57"/>
  <c r="A3" i="57"/>
  <c r="A2" i="57"/>
  <c r="A2" i="12"/>
  <c r="A13" i="12" l="1"/>
  <c r="A27" i="12"/>
  <c r="A130" i="12"/>
  <c r="A128" i="12"/>
  <c r="A54" i="4" l="1"/>
  <c r="A17" i="6"/>
  <c r="C17" i="6" a="1"/>
  <c r="C17" i="6" l="1"/>
  <c r="A237" i="12" l="1"/>
  <c r="A95" i="12" l="1"/>
  <c r="A96" i="12"/>
  <c r="A97" i="12"/>
  <c r="A98" i="12"/>
  <c r="A99" i="12"/>
  <c r="A39" i="12"/>
  <c r="A38" i="12"/>
  <c r="A37" i="12"/>
  <c r="A36" i="12"/>
  <c r="A168" i="12"/>
  <c r="A169" i="12" l="1"/>
  <c r="A139" i="12" l="1"/>
  <c r="A138" i="12"/>
  <c r="A115" i="12" l="1"/>
  <c r="A116" i="12" l="1"/>
  <c r="A123" i="12" l="1"/>
  <c r="A124" i="12" l="1"/>
  <c r="A125" i="12" l="1"/>
  <c r="A126" i="12" l="1"/>
  <c r="A127" i="12" l="1"/>
  <c r="A129" i="12" l="1"/>
  <c r="A131" i="12" l="1"/>
  <c r="A132" i="12" l="1"/>
  <c r="A133" i="12" l="1"/>
  <c r="A41" i="6" l="1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F3" i="6"/>
  <c r="F4" i="6" s="1"/>
  <c r="F5" i="6" s="1"/>
  <c r="F6" i="6" s="1"/>
  <c r="F7" i="6" s="1"/>
  <c r="F8" i="6" s="1"/>
  <c r="F9" i="6" s="1"/>
  <c r="F10" i="6" s="1"/>
  <c r="F11" i="6" s="1"/>
  <c r="F12" i="6" s="1"/>
  <c r="F13" i="6" s="1"/>
  <c r="F14" i="6" s="1"/>
  <c r="F15" i="6" s="1"/>
  <c r="C12" i="6" a="1"/>
  <c r="C5" i="6" a="1"/>
  <c r="C16" i="6" a="1"/>
  <c r="C21" i="6" a="1"/>
  <c r="C19" i="6" a="1"/>
  <c r="C31" i="6" a="1"/>
  <c r="C25" i="6" a="1"/>
  <c r="C27" i="6" a="1"/>
  <c r="C11" i="6" a="1"/>
  <c r="C33" i="6" a="1"/>
  <c r="C7" i="6" a="1"/>
  <c r="C32" i="6" a="1"/>
  <c r="C30" i="6" a="1"/>
  <c r="C29" i="6" a="1"/>
  <c r="C8" i="6" a="1"/>
  <c r="C35" i="6" a="1"/>
  <c r="C24" i="6" a="1"/>
  <c r="C14" i="6" a="1"/>
  <c r="C23" i="6" a="1"/>
  <c r="C40" i="6" a="1"/>
  <c r="C13" i="6" a="1"/>
  <c r="C6" i="6" a="1"/>
  <c r="C38" i="6" a="1"/>
  <c r="C26" i="6" a="1"/>
  <c r="C3" i="6" a="1"/>
  <c r="C41" i="6" a="1"/>
  <c r="C4" i="6" a="1"/>
  <c r="C37" i="6" a="1"/>
  <c r="C28" i="6" a="1"/>
  <c r="C34" i="6" a="1"/>
  <c r="C22" i="6" a="1"/>
  <c r="C36" i="6" a="1"/>
  <c r="C10" i="6" a="1"/>
  <c r="C15" i="6" a="1"/>
  <c r="C39" i="6" a="1"/>
  <c r="C18" i="6" a="1"/>
  <c r="C9" i="6" a="1"/>
  <c r="C20" i="6" a="1"/>
  <c r="F16" i="6" l="1"/>
  <c r="F18" i="6" s="1"/>
  <c r="F19" i="6" s="1"/>
  <c r="F20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17" i="6"/>
  <c r="C32" i="6"/>
  <c r="C19" i="6"/>
  <c r="C39" i="6"/>
  <c r="C26" i="6"/>
  <c r="C13" i="6"/>
  <c r="C15" i="6"/>
  <c r="C35" i="6"/>
  <c r="C22" i="6"/>
  <c r="C9" i="6"/>
  <c r="C29" i="6"/>
  <c r="C16" i="6"/>
  <c r="C36" i="6"/>
  <c r="C3" i="6"/>
  <c r="C23" i="6"/>
  <c r="C10" i="6"/>
  <c r="C30" i="6"/>
  <c r="C18" i="6"/>
  <c r="C37" i="6"/>
  <c r="C4" i="6"/>
  <c r="C24" i="6"/>
  <c r="C11" i="6"/>
  <c r="C31" i="6"/>
  <c r="C38" i="6"/>
  <c r="C5" i="6"/>
  <c r="C25" i="6"/>
  <c r="C12" i="6"/>
  <c r="C6" i="6"/>
  <c r="C33" i="6"/>
  <c r="C20" i="6"/>
  <c r="C40" i="6"/>
  <c r="C7" i="6"/>
  <c r="C27" i="6"/>
  <c r="C14" i="6"/>
  <c r="C34" i="6"/>
  <c r="C21" i="6"/>
  <c r="C41" i="6"/>
  <c r="C8" i="6"/>
  <c r="C28" i="6"/>
  <c r="E5" i="6" a="1"/>
  <c r="E5" i="6" l="1"/>
  <c r="A13" i="11"/>
  <c r="A90" i="12"/>
  <c r="A89" i="12"/>
  <c r="A88" i="12"/>
  <c r="A87" i="12"/>
  <c r="A86" i="12"/>
  <c r="A85" i="12"/>
  <c r="A4" i="56"/>
  <c r="A3" i="56"/>
  <c r="A2" i="56"/>
  <c r="A51" i="12"/>
  <c r="E4" i="56" a="1"/>
  <c r="E2" i="56" a="1"/>
  <c r="E2" i="57" a="1"/>
  <c r="E3" i="56" a="1"/>
  <c r="E3" i="57" a="1"/>
  <c r="E4" i="57" a="1"/>
  <c r="E4" i="57" l="1"/>
  <c r="E3" i="57"/>
  <c r="E2" i="57"/>
  <c r="E3" i="56"/>
  <c r="E4" i="56"/>
  <c r="E2" i="56"/>
  <c r="A63" i="12" l="1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4" i="55"/>
  <c r="A3" i="55"/>
  <c r="A2" i="55"/>
  <c r="E2" i="15" a="1"/>
  <c r="C10" i="40" a="1"/>
  <c r="C31" i="40" a="1"/>
  <c r="C45" i="40" a="1"/>
  <c r="C40" i="40" a="1"/>
  <c r="D6" i="37" a="1"/>
  <c r="C33" i="40" a="1"/>
  <c r="D7" i="37" a="1"/>
  <c r="C11" i="40" a="1"/>
  <c r="C19" i="40" a="1"/>
  <c r="C44" i="40" a="1"/>
  <c r="C29" i="40" a="1"/>
  <c r="C2" i="40" a="1"/>
  <c r="C4" i="40" a="1"/>
  <c r="C36" i="40" a="1"/>
  <c r="C37" i="40" a="1"/>
  <c r="C39" i="40" a="1"/>
  <c r="C24" i="40" a="1"/>
  <c r="D3" i="37" a="1"/>
  <c r="C54" i="40" a="1"/>
  <c r="C55" i="40" a="1"/>
  <c r="C32" i="40" a="1"/>
  <c r="D4" i="37" a="1"/>
  <c r="C42" i="40" a="1"/>
  <c r="C49" i="40" a="1"/>
  <c r="C14" i="40" a="1"/>
  <c r="C38" i="40" a="1"/>
  <c r="C26" i="40" a="1"/>
  <c r="C50" i="40" a="1"/>
  <c r="E2" i="6" a="1"/>
  <c r="C27" i="40" a="1"/>
  <c r="C23" i="40" a="1"/>
  <c r="C46" i="40" a="1"/>
  <c r="C53" i="40" a="1"/>
  <c r="C20" i="40" a="1"/>
  <c r="C3" i="40" a="1"/>
  <c r="C15" i="40" a="1"/>
  <c r="C28" i="40" a="1"/>
  <c r="C34" i="40" a="1"/>
  <c r="C21" i="40" a="1"/>
  <c r="C13" i="40" a="1"/>
  <c r="C30" i="40" a="1"/>
  <c r="C43" i="40" a="1"/>
  <c r="C2" i="6" a="1"/>
  <c r="C8" i="40" a="1"/>
  <c r="C5" i="40" a="1"/>
  <c r="C52" i="40" a="1"/>
  <c r="D2" i="37" a="1"/>
  <c r="C6" i="40" a="1"/>
  <c r="C48" i="40" a="1"/>
  <c r="C47" i="40" a="1"/>
  <c r="C25" i="40" a="1"/>
  <c r="C51" i="40" a="1"/>
  <c r="C16" i="40" a="1"/>
  <c r="C35" i="40" a="1"/>
  <c r="C22" i="40" a="1"/>
  <c r="C7" i="40" a="1"/>
  <c r="C18" i="40" a="1"/>
  <c r="C41" i="40" a="1"/>
  <c r="D5" i="37" a="1"/>
  <c r="C9" i="40" a="1"/>
  <c r="C12" i="40" a="1"/>
  <c r="C17" i="40" a="1"/>
  <c r="E2" i="15" l="1"/>
  <c r="D3" i="37"/>
  <c r="D4" i="37"/>
  <c r="D5" i="37"/>
  <c r="D6" i="37"/>
  <c r="D7" i="37"/>
  <c r="D2" i="37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2" i="40"/>
  <c r="C2" i="6"/>
  <c r="E2" i="6"/>
  <c r="A15" i="52" l="1"/>
  <c r="A14" i="52"/>
  <c r="A13" i="52"/>
  <c r="A12" i="52"/>
  <c r="A11" i="52"/>
  <c r="A10" i="52"/>
  <c r="A9" i="52"/>
  <c r="A8" i="52"/>
  <c r="A7" i="52"/>
  <c r="A6" i="52"/>
  <c r="A5" i="52"/>
  <c r="A4" i="52"/>
  <c r="A3" i="52"/>
  <c r="A2" i="52"/>
  <c r="F28" i="53" a="1"/>
  <c r="F13" i="53" a="1"/>
  <c r="F3" i="53" a="1"/>
  <c r="F18" i="53" a="1"/>
  <c r="E2" i="53" a="1"/>
  <c r="F29" i="53" a="1"/>
  <c r="E54" i="53" a="1"/>
  <c r="F26" i="53" a="1"/>
  <c r="F66" i="53" a="1"/>
  <c r="F19" i="53" a="1"/>
  <c r="F6" i="53" a="1"/>
  <c r="F14" i="53" a="1"/>
  <c r="F20" i="53" a="1"/>
  <c r="E60" i="53" a="1"/>
  <c r="E3" i="53" a="1"/>
  <c r="F31" i="53" a="1"/>
  <c r="F69" i="53" a="1"/>
  <c r="F34" i="53" a="1"/>
  <c r="E5" i="53" a="1"/>
  <c r="E51" i="53" a="1"/>
  <c r="F58" i="53" a="1"/>
  <c r="F59" i="53" a="1"/>
  <c r="E4" i="53" a="1"/>
  <c r="E32" i="53" a="1"/>
  <c r="E36" i="53" a="1"/>
  <c r="F8" i="53" a="1"/>
  <c r="F16" i="53" a="1"/>
  <c r="E30" i="53" a="1"/>
  <c r="E46" i="53" a="1"/>
  <c r="E7" i="53" a="1"/>
  <c r="E55" i="53" a="1"/>
  <c r="E29" i="53" a="1"/>
  <c r="F12" i="53" a="1"/>
  <c r="F65" i="53" a="1"/>
  <c r="E13" i="53" a="1"/>
  <c r="E12" i="53" a="1"/>
  <c r="F45" i="53" a="1"/>
  <c r="E41" i="53" a="1"/>
  <c r="F17" i="53" a="1"/>
  <c r="F40" i="53" a="1"/>
  <c r="E37" i="53" a="1"/>
  <c r="E22" i="53" a="1"/>
  <c r="E21" i="53" a="1"/>
  <c r="F50" i="53" a="1"/>
  <c r="E35" i="53" a="1"/>
  <c r="E20" i="53" a="1"/>
  <c r="F62" i="53" a="1"/>
  <c r="F39" i="53" a="1"/>
  <c r="F41" i="53" a="1"/>
  <c r="E44" i="53" a="1"/>
  <c r="F56" i="53" a="1"/>
  <c r="E69" i="53" a="1"/>
  <c r="E34" i="53" a="1"/>
  <c r="E18" i="53" a="1"/>
  <c r="E61" i="53" a="1"/>
  <c r="F30" i="53" a="1"/>
  <c r="E49" i="53" a="1"/>
  <c r="F27" i="53" a="1"/>
  <c r="E23" i="53" a="1"/>
  <c r="E9" i="53" a="1"/>
  <c r="E38" i="53" a="1"/>
  <c r="F2" i="53" a="1"/>
  <c r="E59" i="53" a="1"/>
  <c r="F33" i="53" a="1"/>
  <c r="E52" i="53" a="1"/>
  <c r="E11" i="53" a="1"/>
  <c r="F37" i="53" a="1"/>
  <c r="F5" i="53" a="1"/>
  <c r="F22" i="53" a="1"/>
  <c r="F9" i="53" a="1"/>
  <c r="E6" i="53" a="1"/>
  <c r="F57" i="53" a="1"/>
  <c r="E19" i="53" a="1"/>
  <c r="F4" i="53" a="1"/>
  <c r="E27" i="53" a="1"/>
  <c r="F21" i="53" a="1"/>
  <c r="E33" i="53" a="1"/>
  <c r="F43" i="53" a="1"/>
  <c r="E66" i="53" a="1"/>
  <c r="F42" i="53" a="1"/>
  <c r="F25" i="53" a="1"/>
  <c r="F10" i="53" a="1"/>
  <c r="E45" i="53" a="1"/>
  <c r="E62" i="53" a="1"/>
  <c r="E58" i="53" a="1"/>
  <c r="E47" i="53" a="1"/>
  <c r="E64" i="53" a="1"/>
  <c r="E43" i="53" a="1"/>
  <c r="F11" i="53" a="1"/>
  <c r="F7" i="53" a="1"/>
  <c r="E50" i="53" a="1"/>
  <c r="E15" i="53" a="1"/>
  <c r="E53" i="53" a="1"/>
  <c r="F68" i="53" a="1"/>
  <c r="F44" i="53" a="1"/>
  <c r="F63" i="53" a="1"/>
  <c r="F32" i="53" a="1"/>
  <c r="F38" i="53" a="1"/>
  <c r="F49" i="53" a="1"/>
  <c r="E42" i="53" a="1"/>
  <c r="F35" i="53" a="1"/>
  <c r="E10" i="53" a="1"/>
  <c r="E8" i="53" a="1"/>
  <c r="E24" i="53" a="1"/>
  <c r="F36" i="53" a="1"/>
  <c r="F24" i="53" a="1"/>
  <c r="E67" i="53" a="1"/>
  <c r="F64" i="53" a="1"/>
  <c r="F67" i="53" a="1"/>
  <c r="E56" i="53" a="1"/>
  <c r="F54" i="53" a="1"/>
  <c r="F51" i="53" a="1"/>
  <c r="E68" i="53" a="1"/>
  <c r="E26" i="53" a="1"/>
  <c r="F61" i="53" a="1"/>
  <c r="E14" i="53" a="1"/>
  <c r="E65" i="53" a="1"/>
  <c r="F48" i="53" a="1"/>
  <c r="E48" i="53" a="1"/>
  <c r="E63" i="53" a="1"/>
  <c r="E25" i="53" a="1"/>
  <c r="E39" i="53" a="1"/>
  <c r="F47" i="53" a="1"/>
  <c r="F46" i="53" a="1"/>
  <c r="E28" i="53" a="1"/>
  <c r="E16" i="53" a="1"/>
  <c r="F53" i="53" a="1"/>
  <c r="E17" i="53" a="1"/>
  <c r="F52" i="53" a="1"/>
  <c r="E31" i="53" a="1"/>
  <c r="F23" i="53" a="1"/>
  <c r="F60" i="53" a="1"/>
  <c r="E40" i="53" a="1"/>
  <c r="E57" i="53" a="1"/>
  <c r="F15" i="53" a="1"/>
  <c r="F55" i="53" a="1"/>
  <c r="F69" i="53" l="1"/>
  <c r="F59" i="53"/>
  <c r="F49" i="53"/>
  <c r="F39" i="53"/>
  <c r="F29" i="53"/>
  <c r="F19" i="53"/>
  <c r="F9" i="53"/>
  <c r="F68" i="53"/>
  <c r="F58" i="53"/>
  <c r="F48" i="53"/>
  <c r="F38" i="53"/>
  <c r="F28" i="53"/>
  <c r="F18" i="53"/>
  <c r="F8" i="53"/>
  <c r="F67" i="53"/>
  <c r="F57" i="53"/>
  <c r="F47" i="53"/>
  <c r="F37" i="53"/>
  <c r="F27" i="53"/>
  <c r="F17" i="53"/>
  <c r="F7" i="53"/>
  <c r="F66" i="53"/>
  <c r="F56" i="53"/>
  <c r="F46" i="53"/>
  <c r="F36" i="53"/>
  <c r="F26" i="53"/>
  <c r="F16" i="53"/>
  <c r="F6" i="53"/>
  <c r="F55" i="53"/>
  <c r="F45" i="53"/>
  <c r="F35" i="53"/>
  <c r="F25" i="53"/>
  <c r="F15" i="53"/>
  <c r="F5" i="53"/>
  <c r="F64" i="53"/>
  <c r="F54" i="53"/>
  <c r="F44" i="53"/>
  <c r="F34" i="53"/>
  <c r="F24" i="53"/>
  <c r="F14" i="53"/>
  <c r="F4" i="53"/>
  <c r="F63" i="53"/>
  <c r="F53" i="53"/>
  <c r="F43" i="53"/>
  <c r="F33" i="53"/>
  <c r="F23" i="53"/>
  <c r="F13" i="53"/>
  <c r="F3" i="53"/>
  <c r="F65" i="53"/>
  <c r="F62" i="53"/>
  <c r="F22" i="53"/>
  <c r="F61" i="53"/>
  <c r="F21" i="53"/>
  <c r="F60" i="53"/>
  <c r="F52" i="53"/>
  <c r="F20" i="53"/>
  <c r="F12" i="53"/>
  <c r="F51" i="53"/>
  <c r="F11" i="53"/>
  <c r="F42" i="53"/>
  <c r="F10" i="53"/>
  <c r="F41" i="53"/>
  <c r="F40" i="53"/>
  <c r="F32" i="53"/>
  <c r="F31" i="53"/>
  <c r="F30" i="53"/>
  <c r="F50" i="53"/>
  <c r="F2" i="53"/>
  <c r="E69" i="53"/>
  <c r="E59" i="53"/>
  <c r="E49" i="53"/>
  <c r="E39" i="53"/>
  <c r="E29" i="53"/>
  <c r="E19" i="53"/>
  <c r="E9" i="53"/>
  <c r="E68" i="53"/>
  <c r="E58" i="53"/>
  <c r="E48" i="53"/>
  <c r="E38" i="53"/>
  <c r="E28" i="53"/>
  <c r="E18" i="53"/>
  <c r="E8" i="53"/>
  <c r="E67" i="53"/>
  <c r="E57" i="53"/>
  <c r="E47" i="53"/>
  <c r="E37" i="53"/>
  <c r="E27" i="53"/>
  <c r="E17" i="53"/>
  <c r="E7" i="53"/>
  <c r="E66" i="53"/>
  <c r="E56" i="53"/>
  <c r="E46" i="53"/>
  <c r="E36" i="53"/>
  <c r="E26" i="53"/>
  <c r="E16" i="53"/>
  <c r="E6" i="53"/>
  <c r="E65" i="53"/>
  <c r="E55" i="53"/>
  <c r="E45" i="53"/>
  <c r="E35" i="53"/>
  <c r="E25" i="53"/>
  <c r="E15" i="53"/>
  <c r="E5" i="53"/>
  <c r="E64" i="53"/>
  <c r="E54" i="53"/>
  <c r="E44" i="53"/>
  <c r="E34" i="53"/>
  <c r="E24" i="53"/>
  <c r="E14" i="53"/>
  <c r="E4" i="53"/>
  <c r="E63" i="53"/>
  <c r="E53" i="53"/>
  <c r="E43" i="53"/>
  <c r="E33" i="53"/>
  <c r="E23" i="53"/>
  <c r="E13" i="53"/>
  <c r="E3" i="53"/>
  <c r="E50" i="53"/>
  <c r="E42" i="53"/>
  <c r="E11" i="53"/>
  <c r="E41" i="53"/>
  <c r="E10" i="53"/>
  <c r="E40" i="53"/>
  <c r="E32" i="53"/>
  <c r="E31" i="53"/>
  <c r="E62" i="53"/>
  <c r="E30" i="53"/>
  <c r="E61" i="53"/>
  <c r="E22" i="53"/>
  <c r="E60" i="53"/>
  <c r="E21" i="53"/>
  <c r="E52" i="53"/>
  <c r="E20" i="53"/>
  <c r="E51" i="53"/>
  <c r="E12" i="53"/>
  <c r="E2" i="53"/>
  <c r="A13" i="46" l="1"/>
  <c r="A12" i="46"/>
  <c r="A11" i="46"/>
  <c r="A10" i="46"/>
  <c r="A9" i="46"/>
  <c r="A8" i="46"/>
  <c r="A7" i="46"/>
  <c r="A6" i="46"/>
  <c r="A5" i="46"/>
  <c r="A4" i="46"/>
  <c r="A3" i="46"/>
  <c r="A2" i="46"/>
  <c r="A28" i="11" l="1"/>
  <c r="A109" i="12" l="1"/>
  <c r="A53" i="4" l="1"/>
  <c r="A52" i="4"/>
  <c r="A51" i="4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14" i="12"/>
  <c r="A35" i="12" l="1"/>
  <c r="A144" i="12"/>
  <c r="A143" i="12"/>
  <c r="A142" i="12"/>
  <c r="A15" i="4" l="1"/>
  <c r="A11" i="12"/>
  <c r="A12" i="12" l="1"/>
  <c r="A22" i="4" l="1"/>
  <c r="A50" i="12"/>
  <c r="A46" i="12"/>
  <c r="A49" i="12"/>
  <c r="A48" i="12"/>
  <c r="A47" i="12"/>
  <c r="A22" i="12"/>
  <c r="A45" i="4"/>
  <c r="A50" i="4"/>
  <c r="A19" i="12" l="1"/>
  <c r="A18" i="12"/>
  <c r="A16" i="12" l="1"/>
  <c r="A17" i="12"/>
  <c r="A15" i="12"/>
  <c r="A14" i="12"/>
  <c r="A26" i="12"/>
  <c r="A49" i="4"/>
  <c r="A2" i="54"/>
  <c r="A35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2" i="50" a="1"/>
  <c r="H2" i="38" a="1"/>
  <c r="C2" i="54" a="1"/>
  <c r="H2" i="38" l="1"/>
  <c r="C2" i="54"/>
  <c r="C2" i="50"/>
  <c r="A5" i="11"/>
  <c r="A145" i="12" l="1"/>
  <c r="A146" i="12"/>
  <c r="A147" i="12"/>
  <c r="A106" i="12" l="1"/>
  <c r="A101" i="12" l="1"/>
  <c r="A78" i="12" l="1"/>
  <c r="A77" i="12"/>
  <c r="A67" i="12"/>
  <c r="A60" i="12" l="1"/>
  <c r="A62" i="12"/>
  <c r="A61" i="12"/>
  <c r="A59" i="12"/>
  <c r="A58" i="12"/>
  <c r="A54" i="12"/>
  <c r="A48" i="4" l="1"/>
  <c r="A47" i="4"/>
  <c r="A24" i="12" l="1"/>
  <c r="A23" i="12"/>
  <c r="A34" i="11"/>
  <c r="A33" i="11"/>
  <c r="A32" i="11"/>
  <c r="A46" i="4"/>
  <c r="A26" i="11"/>
  <c r="A55" i="40" l="1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2" i="6" l="1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2" i="11"/>
  <c r="A25" i="11"/>
  <c r="A2" i="41"/>
  <c r="E28" i="6" a="1"/>
  <c r="E33" i="6" a="1"/>
  <c r="E38" i="6" a="1"/>
  <c r="E22" i="6" a="1"/>
  <c r="E15" i="6" a="1"/>
  <c r="E30" i="6" a="1"/>
  <c r="E7" i="6" a="1"/>
  <c r="E36" i="6" a="1"/>
  <c r="E8" i="6" a="1"/>
  <c r="E18" i="6" a="1"/>
  <c r="E34" i="6" a="1"/>
  <c r="E19" i="6" a="1"/>
  <c r="E10" i="6" a="1"/>
  <c r="E40" i="6" a="1"/>
  <c r="E16" i="6" a="1"/>
  <c r="E12" i="6" a="1"/>
  <c r="E20" i="6" a="1"/>
  <c r="E37" i="6" a="1"/>
  <c r="E35" i="6" a="1"/>
  <c r="E24" i="6" a="1"/>
  <c r="E27" i="6" a="1"/>
  <c r="F2" i="38" a="1"/>
  <c r="E9" i="6" a="1"/>
  <c r="E14" i="6" a="1"/>
  <c r="E39" i="6" a="1"/>
  <c r="E26" i="6" a="1"/>
  <c r="E29" i="6" a="1"/>
  <c r="E17" i="6" a="1"/>
  <c r="E11" i="6" a="1"/>
  <c r="E23" i="6" a="1"/>
  <c r="E3" i="6" a="1"/>
  <c r="E41" i="6" a="1"/>
  <c r="E6" i="6" a="1"/>
  <c r="E31" i="6" a="1"/>
  <c r="E4" i="6" a="1"/>
  <c r="E13" i="6" a="1"/>
  <c r="E32" i="6" a="1"/>
  <c r="E21" i="6" a="1"/>
  <c r="E25" i="6" a="1"/>
  <c r="E17" i="6" l="1"/>
  <c r="E6" i="6"/>
  <c r="H6" i="6" s="1"/>
  <c r="E7" i="6"/>
  <c r="H7" i="6" s="1"/>
  <c r="E8" i="6"/>
  <c r="H8" i="6" s="1"/>
  <c r="E9" i="6"/>
  <c r="H9" i="6" s="1"/>
  <c r="E10" i="6"/>
  <c r="H10" i="6" s="1"/>
  <c r="E11" i="6"/>
  <c r="H11" i="6" s="1"/>
  <c r="E12" i="6"/>
  <c r="H12" i="6" s="1"/>
  <c r="E13" i="6"/>
  <c r="H13" i="6" s="1"/>
  <c r="E14" i="6"/>
  <c r="H14" i="6" s="1"/>
  <c r="E15" i="6"/>
  <c r="H15" i="6" s="1"/>
  <c r="E16" i="6"/>
  <c r="H16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31" i="6"/>
  <c r="H31" i="6" s="1"/>
  <c r="E32" i="6"/>
  <c r="H32" i="6" s="1"/>
  <c r="E33" i="6"/>
  <c r="H33" i="6" s="1"/>
  <c r="E34" i="6"/>
  <c r="H34" i="6" s="1"/>
  <c r="E35" i="6"/>
  <c r="H35" i="6" s="1"/>
  <c r="E36" i="6"/>
  <c r="H36" i="6" s="1"/>
  <c r="E37" i="6"/>
  <c r="H37" i="6" s="1"/>
  <c r="E38" i="6"/>
  <c r="H38" i="6" s="1"/>
  <c r="E39" i="6"/>
  <c r="H39" i="6" s="1"/>
  <c r="E40" i="6"/>
  <c r="H40" i="6" s="1"/>
  <c r="E41" i="6"/>
  <c r="H41" i="6" s="1"/>
  <c r="F2" i="38"/>
  <c r="E3" i="6"/>
  <c r="E4" i="6"/>
  <c r="A27" i="11" l="1"/>
  <c r="A36" i="4" l="1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C5" i="31" a="1"/>
  <c r="C15" i="31" a="1"/>
  <c r="C6" i="31" a="1"/>
  <c r="C16" i="31" a="1"/>
  <c r="C12" i="31" a="1"/>
  <c r="C3" i="31" a="1"/>
  <c r="C7" i="31" a="1"/>
  <c r="C17" i="31" a="1"/>
  <c r="C8" i="31" a="1"/>
  <c r="C18" i="31" a="1"/>
  <c r="C9" i="31" a="1"/>
  <c r="C19" i="31" a="1"/>
  <c r="C10" i="31" a="1"/>
  <c r="C20" i="31" a="1"/>
  <c r="C11" i="31" a="1"/>
  <c r="C13" i="31" a="1"/>
  <c r="C4" i="31" a="1"/>
  <c r="C14" i="31" a="1"/>
  <c r="E176" i="12" a="1"/>
  <c r="E214" i="12" a="1"/>
  <c r="E9" i="12" a="1"/>
  <c r="E62" i="12" a="1"/>
  <c r="E59" i="12" a="1"/>
  <c r="E118" i="12" a="1"/>
  <c r="E75" i="12" a="1"/>
  <c r="E43" i="12" a="1"/>
  <c r="E63" i="12" a="1"/>
  <c r="E8" i="12" a="1"/>
  <c r="E33" i="12" a="1"/>
  <c r="E81" i="12" a="1"/>
  <c r="E71" i="12" a="1"/>
  <c r="E145" i="12" a="1"/>
  <c r="E73" i="12" a="1"/>
  <c r="C2" i="31" a="1"/>
  <c r="E13" i="12" a="1"/>
  <c r="E128" i="12" a="1"/>
  <c r="E97" i="12" a="1"/>
  <c r="E232" i="12" a="1"/>
  <c r="E140" i="12" a="1"/>
  <c r="E226" i="12" a="1"/>
  <c r="E227" i="12" a="1"/>
  <c r="E179" i="12" a="1"/>
  <c r="E220" i="12" a="1"/>
  <c r="E76" i="12" a="1"/>
  <c r="E184" i="12" a="1"/>
  <c r="E130" i="12" a="1"/>
  <c r="E120" i="12" a="1"/>
  <c r="E213" i="12" a="1"/>
  <c r="E88" i="12" a="1"/>
  <c r="E106" i="12" a="1"/>
  <c r="E121" i="12" a="1"/>
  <c r="E74" i="12" a="1"/>
  <c r="E22" i="12" a="1"/>
  <c r="E78" i="12" a="1"/>
  <c r="E86" i="12" a="1"/>
  <c r="E231" i="12" a="1"/>
  <c r="E178" i="12" a="1"/>
  <c r="E41" i="12" a="1"/>
  <c r="E182" i="12" a="1"/>
  <c r="E20" i="12" a="1"/>
  <c r="E52" i="12" a="1"/>
  <c r="E56" i="12" a="1"/>
  <c r="E27" i="12" a="1"/>
  <c r="E112" i="12" a="1"/>
  <c r="E126" i="12" a="1"/>
  <c r="E191" i="12" a="1"/>
  <c r="E216" i="12" a="1"/>
  <c r="E234" i="12" a="1"/>
  <c r="E165" i="12" a="1"/>
  <c r="E183" i="12" a="1"/>
  <c r="E129" i="12" a="1"/>
  <c r="E151" i="12" a="1"/>
  <c r="E211" i="12" a="1"/>
  <c r="E223" i="12" a="1"/>
  <c r="E51" i="12" a="1"/>
  <c r="E4" i="12" a="1"/>
  <c r="E210" i="12" a="1"/>
  <c r="E100" i="12" a="1"/>
  <c r="E10" i="12" a="1"/>
  <c r="E34" i="12" a="1"/>
  <c r="E167" i="12" a="1"/>
  <c r="E115" i="12" a="1"/>
  <c r="E44" i="12" a="1"/>
  <c r="E236" i="12" a="1"/>
  <c r="E180" i="12" a="1"/>
  <c r="E49" i="12" a="1"/>
  <c r="E30" i="12" a="1"/>
  <c r="E237" i="12" a="1"/>
  <c r="E195" i="12" a="1"/>
  <c r="E25" i="12" a="1"/>
  <c r="E139" i="12" a="1"/>
  <c r="E156" i="12" a="1"/>
  <c r="E172" i="12" a="1"/>
  <c r="E15" i="12" a="1"/>
  <c r="E202" i="12" a="1"/>
  <c r="E79" i="12" a="1"/>
  <c r="E39" i="12" a="1"/>
  <c r="E209" i="12" a="1"/>
  <c r="E114" i="12" a="1"/>
  <c r="E162" i="12" a="1"/>
  <c r="E82" i="12" a="1"/>
  <c r="E143" i="12" a="1"/>
  <c r="E29" i="12" a="1"/>
  <c r="E7" i="12" a="1"/>
  <c r="E11" i="12" a="1"/>
  <c r="E109" i="12" a="1"/>
  <c r="E204" i="12" a="1"/>
  <c r="E23" i="12" a="1"/>
  <c r="E91" i="12" a="1"/>
  <c r="E132" i="12" a="1"/>
  <c r="E141" i="12" a="1"/>
  <c r="E103" i="12" a="1"/>
  <c r="E186" i="12" a="1"/>
  <c r="E196" i="12" a="1"/>
  <c r="E200" i="12" a="1"/>
  <c r="E174" i="12" a="1"/>
  <c r="E105" i="12" a="1"/>
  <c r="E199" i="12" a="1"/>
  <c r="E80" i="12" a="1"/>
  <c r="E158" i="12" a="1"/>
  <c r="E161" i="12" a="1"/>
  <c r="E218" i="12" a="1"/>
  <c r="E215" i="12" a="1"/>
  <c r="E219" i="12" a="1"/>
  <c r="E65" i="12" a="1"/>
  <c r="E136" i="12" a="1"/>
  <c r="E142" i="12" a="1"/>
  <c r="E185" i="12" a="1"/>
  <c r="E159" i="12" a="1"/>
  <c r="E175" i="12" a="1"/>
  <c r="E111" i="12" a="1"/>
  <c r="E83" i="12" a="1"/>
  <c r="E163" i="12" a="1"/>
  <c r="E222" i="12" a="1"/>
  <c r="E95" i="12" a="1"/>
  <c r="E45" i="12" a="1"/>
  <c r="E12" i="12" a="1"/>
  <c r="E135" i="12" a="1"/>
  <c r="E19" i="12" a="1"/>
  <c r="E70" i="12" a="1"/>
  <c r="E32" i="12" a="1"/>
  <c r="E138" i="12" a="1"/>
  <c r="E102" i="12" a="1"/>
  <c r="E90" i="12" a="1"/>
  <c r="E212" i="12" a="1"/>
  <c r="E170" i="12" a="1"/>
  <c r="E98" i="12" a="1"/>
  <c r="E134" i="12" a="1"/>
  <c r="E54" i="12" a="1"/>
  <c r="E122" i="12" a="1"/>
  <c r="E77" i="12" a="1"/>
  <c r="E101" i="12" a="1"/>
  <c r="E155" i="12" a="1"/>
  <c r="E47" i="12" a="1"/>
  <c r="E221" i="12" a="1"/>
  <c r="E197" i="12" a="1"/>
  <c r="E89" i="12" a="1"/>
  <c r="E150" i="12" a="1"/>
  <c r="E46" i="12" a="1"/>
  <c r="E110" i="12" a="1"/>
  <c r="E173" i="12" a="1"/>
  <c r="E194" i="12" a="1"/>
  <c r="E166" i="12" a="1"/>
  <c r="E84" i="12" a="1"/>
  <c r="E18" i="12" a="1"/>
  <c r="E61" i="12" a="1"/>
  <c r="E58" i="12" a="1"/>
  <c r="E164" i="12" a="1"/>
  <c r="E55" i="12" a="1"/>
  <c r="E57" i="12" a="1"/>
  <c r="E104" i="12" a="1"/>
  <c r="E108" i="12" a="1"/>
  <c r="E6" i="12" a="1"/>
  <c r="E3" i="12" a="1"/>
  <c r="E31" i="12" a="1"/>
  <c r="E50" i="12" a="1"/>
  <c r="E188" i="12" a="1"/>
  <c r="E187" i="12" a="1"/>
  <c r="E67" i="12" a="1"/>
  <c r="E160" i="12" a="1"/>
  <c r="E38" i="12" a="1"/>
  <c r="E148" i="12" a="1"/>
  <c r="E35" i="12" a="1"/>
  <c r="E228" i="12" a="1"/>
  <c r="E119" i="12" a="1"/>
  <c r="E169" i="12" a="1"/>
  <c r="E127" i="12" a="1"/>
  <c r="E40" i="12" a="1"/>
  <c r="E144" i="12" a="1"/>
  <c r="E230" i="12" a="1"/>
  <c r="E146" i="12" a="1"/>
  <c r="E147" i="12" a="1"/>
  <c r="E201" i="12" a="1"/>
  <c r="E235" i="12" a="1"/>
  <c r="E92" i="12" a="1"/>
  <c r="E17" i="12" a="1"/>
  <c r="E5" i="12" a="1"/>
  <c r="E137" i="12" a="1"/>
  <c r="E149" i="12" a="1"/>
  <c r="E171" i="12" a="1"/>
  <c r="E217" i="12" a="1"/>
  <c r="E153" i="12" a="1"/>
  <c r="E116" i="12" a="1"/>
  <c r="E190" i="12" a="1"/>
  <c r="E96" i="12" a="1"/>
  <c r="E123" i="12" a="1"/>
  <c r="E133" i="12" a="1"/>
  <c r="E93" i="12" a="1"/>
  <c r="E42" i="12" a="1"/>
  <c r="E113" i="12" a="1"/>
  <c r="E36" i="12" a="1"/>
  <c r="E207" i="12" a="1"/>
  <c r="E205" i="12" a="1"/>
  <c r="E72" i="12" a="1"/>
  <c r="E16" i="12" a="1"/>
  <c r="E152" i="12" a="1"/>
  <c r="E14" i="12" a="1"/>
  <c r="E66" i="12" a="1"/>
  <c r="E181" i="12" a="1"/>
  <c r="E203" i="12" a="1"/>
  <c r="E64" i="12" a="1"/>
  <c r="E85" i="12" a="1"/>
  <c r="E229" i="12" a="1"/>
  <c r="E208" i="12" a="1"/>
  <c r="E154" i="12" a="1"/>
  <c r="E99" i="12" a="1"/>
  <c r="E2" i="12" a="1"/>
  <c r="E53" i="12" a="1"/>
  <c r="E124" i="12" a="1"/>
  <c r="E125" i="12" a="1"/>
  <c r="E107" i="12" a="1"/>
  <c r="E69" i="12" a="1"/>
  <c r="E189" i="12" a="1"/>
  <c r="E21" i="12" a="1"/>
  <c r="E157" i="12" a="1"/>
  <c r="E198" i="12" a="1"/>
  <c r="E233" i="12" a="1"/>
  <c r="E131" i="12" a="1"/>
  <c r="E117" i="12" a="1"/>
  <c r="E192" i="12" a="1"/>
  <c r="E48" i="12" a="1"/>
  <c r="E37" i="12" a="1"/>
  <c r="E68" i="12" a="1"/>
  <c r="E26" i="12" a="1"/>
  <c r="E193" i="12" a="1"/>
  <c r="E60" i="12" a="1"/>
  <c r="E224" i="12" a="1"/>
  <c r="E206" i="12" a="1"/>
  <c r="E177" i="12" a="1"/>
  <c r="E94" i="12" a="1"/>
  <c r="E87" i="12" a="1"/>
  <c r="E225" i="12" a="1"/>
  <c r="E168" i="12" a="1"/>
  <c r="E28" i="12" a="1"/>
  <c r="E24" i="12" a="1"/>
  <c r="C14" i="31" l="1"/>
  <c r="C4" i="31"/>
  <c r="C13" i="31"/>
  <c r="C11" i="31"/>
  <c r="C20" i="31"/>
  <c r="C10" i="31"/>
  <c r="C19" i="31"/>
  <c r="C9" i="31"/>
  <c r="C18" i="31"/>
  <c r="C8" i="31"/>
  <c r="C17" i="31"/>
  <c r="C7" i="31"/>
  <c r="C3" i="31"/>
  <c r="C12" i="31"/>
  <c r="C16" i="31"/>
  <c r="C6" i="31"/>
  <c r="C15" i="31"/>
  <c r="C5" i="31"/>
  <c r="E92" i="12"/>
  <c r="E91" i="12"/>
  <c r="E193" i="12"/>
  <c r="E93" i="12"/>
  <c r="E94" i="12"/>
  <c r="E26" i="12"/>
  <c r="E25" i="12"/>
  <c r="E23" i="12"/>
  <c r="E22" i="12"/>
  <c r="E24" i="12"/>
  <c r="E13" i="12"/>
  <c r="E27" i="12"/>
  <c r="E128" i="12"/>
  <c r="E130" i="12"/>
  <c r="E38" i="12"/>
  <c r="E28" i="12"/>
  <c r="E37" i="12"/>
  <c r="E36" i="12"/>
  <c r="E35" i="12"/>
  <c r="E34" i="12"/>
  <c r="E33" i="12"/>
  <c r="E32" i="12"/>
  <c r="E31" i="12"/>
  <c r="E30" i="12"/>
  <c r="E29" i="12"/>
  <c r="E237" i="12"/>
  <c r="E39" i="12"/>
  <c r="E98" i="12"/>
  <c r="E95" i="12"/>
  <c r="E99" i="12"/>
  <c r="E96" i="12"/>
  <c r="E97" i="12"/>
  <c r="E168" i="12"/>
  <c r="E169" i="12"/>
  <c r="E139" i="12"/>
  <c r="E138" i="12"/>
  <c r="E115" i="12"/>
  <c r="E116" i="12"/>
  <c r="E123" i="12"/>
  <c r="E124" i="12"/>
  <c r="E125" i="12"/>
  <c r="E126" i="12"/>
  <c r="E127" i="12"/>
  <c r="E129" i="12"/>
  <c r="E131" i="12"/>
  <c r="E132" i="12"/>
  <c r="E133" i="12"/>
  <c r="E88" i="12"/>
  <c r="E89" i="12"/>
  <c r="E86" i="12"/>
  <c r="E90" i="12"/>
  <c r="E51" i="12"/>
  <c r="E87" i="12"/>
  <c r="E85" i="12"/>
  <c r="E50" i="12"/>
  <c r="E45" i="12"/>
  <c r="E225" i="12"/>
  <c r="E215" i="12"/>
  <c r="E205" i="12"/>
  <c r="E195" i="12"/>
  <c r="E184" i="12"/>
  <c r="E174" i="12"/>
  <c r="E165" i="12"/>
  <c r="E155" i="12"/>
  <c r="E145" i="12"/>
  <c r="E121" i="12"/>
  <c r="E111" i="12"/>
  <c r="E101" i="12"/>
  <c r="E83" i="12"/>
  <c r="E74" i="12"/>
  <c r="E65" i="12"/>
  <c r="E55" i="12"/>
  <c r="E44" i="12"/>
  <c r="E9" i="12"/>
  <c r="E236" i="12"/>
  <c r="E226" i="12"/>
  <c r="E216" i="12"/>
  <c r="E206" i="12"/>
  <c r="E196" i="12"/>
  <c r="E185" i="12"/>
  <c r="E175" i="12"/>
  <c r="E166" i="12"/>
  <c r="E156" i="12"/>
  <c r="E146" i="12"/>
  <c r="E134" i="12"/>
  <c r="E122" i="12"/>
  <c r="E112" i="12"/>
  <c r="E102" i="12"/>
  <c r="E84" i="12"/>
  <c r="E75" i="12"/>
  <c r="E66" i="12"/>
  <c r="E56" i="12"/>
  <c r="E21" i="12"/>
  <c r="E10" i="12"/>
  <c r="E20" i="12"/>
  <c r="E235" i="12"/>
  <c r="E234" i="12"/>
  <c r="E224" i="12"/>
  <c r="E214" i="12"/>
  <c r="E204" i="12"/>
  <c r="E194" i="12"/>
  <c r="E183" i="12"/>
  <c r="E173" i="12"/>
  <c r="E164" i="12"/>
  <c r="E154" i="12"/>
  <c r="E144" i="12"/>
  <c r="E120" i="12"/>
  <c r="E110" i="12"/>
  <c r="E100" i="12"/>
  <c r="E82" i="12"/>
  <c r="E73" i="12"/>
  <c r="E64" i="12"/>
  <c r="E54" i="12"/>
  <c r="E43" i="12"/>
  <c r="E19" i="12"/>
  <c r="E8" i="12"/>
  <c r="E182" i="12"/>
  <c r="E153" i="12"/>
  <c r="E119" i="12"/>
  <c r="E109" i="12"/>
  <c r="E72" i="12"/>
  <c r="E63" i="12"/>
  <c r="E53" i="12"/>
  <c r="E42" i="12"/>
  <c r="E18" i="12"/>
  <c r="E7" i="12"/>
  <c r="E231" i="12"/>
  <c r="E211" i="12"/>
  <c r="E170" i="12"/>
  <c r="E151" i="12"/>
  <c r="E107" i="12"/>
  <c r="E79" i="12"/>
  <c r="E61" i="12"/>
  <c r="E40" i="12"/>
  <c r="E16" i="12"/>
  <c r="E230" i="12"/>
  <c r="E200" i="12"/>
  <c r="E179" i="12"/>
  <c r="E160" i="12"/>
  <c r="E233" i="12"/>
  <c r="E223" i="12"/>
  <c r="E213" i="12"/>
  <c r="E203" i="12"/>
  <c r="E192" i="12"/>
  <c r="E172" i="12"/>
  <c r="E163" i="12"/>
  <c r="E143" i="12"/>
  <c r="E81" i="12"/>
  <c r="E190" i="12"/>
  <c r="E232" i="12"/>
  <c r="E222" i="12"/>
  <c r="E212" i="12"/>
  <c r="E202" i="12"/>
  <c r="E191" i="12"/>
  <c r="E181" i="12"/>
  <c r="E171" i="12"/>
  <c r="E162" i="12"/>
  <c r="E152" i="12"/>
  <c r="E142" i="12"/>
  <c r="E118" i="12"/>
  <c r="E108" i="12"/>
  <c r="E80" i="12"/>
  <c r="E71" i="12"/>
  <c r="E62" i="12"/>
  <c r="E52" i="12"/>
  <c r="E41" i="12"/>
  <c r="E17" i="12"/>
  <c r="E6" i="12"/>
  <c r="E221" i="12"/>
  <c r="E201" i="12"/>
  <c r="E180" i="12"/>
  <c r="E161" i="12"/>
  <c r="E141" i="12"/>
  <c r="E117" i="12"/>
  <c r="E70" i="12"/>
  <c r="E5" i="12"/>
  <c r="E220" i="12"/>
  <c r="E210" i="12"/>
  <c r="E189" i="12"/>
  <c r="E150" i="12"/>
  <c r="E199" i="12"/>
  <c r="E114" i="12"/>
  <c r="E58" i="12"/>
  <c r="E229" i="12"/>
  <c r="E140" i="12"/>
  <c r="E198" i="12"/>
  <c r="E113" i="12"/>
  <c r="E78" i="12"/>
  <c r="E57" i="12"/>
  <c r="E228" i="12"/>
  <c r="E137" i="12"/>
  <c r="E197" i="12"/>
  <c r="E106" i="12"/>
  <c r="E77" i="12"/>
  <c r="E49" i="12"/>
  <c r="E227" i="12"/>
  <c r="E167" i="12"/>
  <c r="E136" i="12"/>
  <c r="E105" i="12"/>
  <c r="E76" i="12"/>
  <c r="E48" i="12"/>
  <c r="E188" i="12"/>
  <c r="E135" i="12"/>
  <c r="E159" i="12"/>
  <c r="E104" i="12"/>
  <c r="E69" i="12"/>
  <c r="E47" i="12"/>
  <c r="E15" i="12"/>
  <c r="E218" i="12"/>
  <c r="E187" i="12"/>
  <c r="E158" i="12"/>
  <c r="E46" i="12"/>
  <c r="E217" i="12"/>
  <c r="E157" i="12"/>
  <c r="E68" i="12"/>
  <c r="E14" i="12"/>
  <c r="E103" i="12"/>
  <c r="E186" i="12"/>
  <c r="E12" i="12"/>
  <c r="E209" i="12"/>
  <c r="E219" i="12"/>
  <c r="E208" i="12"/>
  <c r="E11" i="12"/>
  <c r="E4" i="12"/>
  <c r="E67" i="12"/>
  <c r="E60" i="12"/>
  <c r="E148" i="12"/>
  <c r="E147" i="12"/>
  <c r="E207" i="12"/>
  <c r="E3" i="12"/>
  <c r="E178" i="12"/>
  <c r="E177" i="12"/>
  <c r="E176" i="12"/>
  <c r="E59" i="12"/>
  <c r="E149" i="12"/>
  <c r="E2" i="12"/>
  <c r="C2" i="31"/>
  <c r="A31" i="11"/>
  <c r="A30" i="11"/>
  <c r="A24" i="11" l="1"/>
  <c r="A23" i="11"/>
  <c r="A38" i="11"/>
  <c r="A37" i="11"/>
  <c r="A36" i="11"/>
  <c r="A21" i="11"/>
  <c r="A20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C3" i="3" a="1"/>
  <c r="C20" i="3" a="1"/>
  <c r="C2" i="3" a="1"/>
  <c r="C12" i="3" a="1"/>
  <c r="C4" i="3" a="1"/>
  <c r="C5" i="3" a="1"/>
  <c r="C17" i="3" a="1"/>
  <c r="C19" i="3" a="1"/>
  <c r="C11" i="3" a="1"/>
  <c r="C13" i="3" a="1"/>
  <c r="C14" i="3" a="1"/>
  <c r="C15" i="3" a="1"/>
  <c r="C6" i="3" a="1"/>
  <c r="C16" i="3" a="1"/>
  <c r="C7" i="3" a="1"/>
  <c r="C8" i="3" a="1"/>
  <c r="C18" i="3" a="1"/>
  <c r="C9" i="3" a="1"/>
  <c r="C10" i="3" a="1"/>
  <c r="C2" i="9" a="1"/>
  <c r="C2" i="56" a="1"/>
  <c r="C2" i="47" a="1"/>
  <c r="C18" i="4" a="1"/>
  <c r="C40" i="4" a="1"/>
  <c r="C26" i="4" a="1"/>
  <c r="C4" i="56" a="1"/>
  <c r="C49" i="4" a="1"/>
  <c r="C3" i="56" a="1"/>
  <c r="C35" i="4" a="1"/>
  <c r="C17" i="4" a="1"/>
  <c r="C54" i="4" a="1"/>
  <c r="C2" i="4" a="1"/>
  <c r="C32" i="4" a="1"/>
  <c r="C3" i="4" a="1"/>
  <c r="C52" i="4" a="1"/>
  <c r="C10" i="4" a="1"/>
  <c r="C21" i="4" a="1"/>
  <c r="C27" i="4" a="1"/>
  <c r="C3" i="7" a="1"/>
  <c r="C15" i="4" a="1"/>
  <c r="C31" i="4" a="1"/>
  <c r="C2" i="7" a="1"/>
  <c r="C28" i="4" a="1"/>
  <c r="C23" i="4" a="1"/>
  <c r="C47" i="4" a="1"/>
  <c r="C39" i="4" a="1"/>
  <c r="C12" i="4" a="1"/>
  <c r="C30" i="4" a="1"/>
  <c r="C45" i="4" a="1"/>
  <c r="C24" i="4" a="1"/>
  <c r="C33" i="4" a="1"/>
  <c r="C43" i="4" a="1"/>
  <c r="C8" i="4" a="1"/>
  <c r="C53" i="4" a="1"/>
  <c r="C44" i="4" a="1"/>
  <c r="C36" i="4" a="1"/>
  <c r="C29" i="4" a="1"/>
  <c r="C19" i="4" a="1"/>
  <c r="C50" i="4" a="1"/>
  <c r="C38" i="4" a="1"/>
  <c r="C7" i="4" a="1"/>
  <c r="C5" i="4" a="1"/>
  <c r="C22" i="4" a="1"/>
  <c r="C4" i="4" a="1"/>
  <c r="C37" i="4" a="1"/>
  <c r="C16" i="4" a="1"/>
  <c r="C42" i="4" a="1"/>
  <c r="C9" i="4" a="1"/>
  <c r="C48" i="4" a="1"/>
  <c r="C34" i="4" a="1"/>
  <c r="C51" i="4" a="1"/>
  <c r="C13" i="4" a="1"/>
  <c r="C14" i="4" a="1"/>
  <c r="C2" i="15" a="1"/>
  <c r="C6" i="4" a="1"/>
  <c r="C20" i="4" a="1"/>
  <c r="C25" i="4" a="1"/>
  <c r="C46" i="4" a="1"/>
  <c r="C11" i="4" a="1"/>
  <c r="C41" i="4" a="1"/>
  <c r="C2" i="56" l="1"/>
  <c r="C2" i="9"/>
  <c r="C10" i="3"/>
  <c r="C9" i="3"/>
  <c r="C18" i="3"/>
  <c r="C8" i="3"/>
  <c r="C7" i="3"/>
  <c r="C16" i="3"/>
  <c r="C6" i="3"/>
  <c r="C15" i="3"/>
  <c r="C14" i="3"/>
  <c r="C13" i="3"/>
  <c r="C11" i="3"/>
  <c r="C19" i="3"/>
  <c r="C17" i="3"/>
  <c r="C5" i="3"/>
  <c r="C4" i="3"/>
  <c r="C12" i="3"/>
  <c r="C2" i="3"/>
  <c r="C20" i="3"/>
  <c r="C3" i="3"/>
  <c r="C54" i="4"/>
  <c r="C3" i="56"/>
  <c r="C4" i="56"/>
  <c r="C2" i="15"/>
  <c r="C2" i="47"/>
  <c r="C3" i="7"/>
  <c r="C2" i="7"/>
  <c r="C3" i="4"/>
  <c r="C51" i="4"/>
  <c r="C31" i="4"/>
  <c r="C21" i="4"/>
  <c r="C27" i="4"/>
  <c r="C36" i="4"/>
  <c r="C46" i="4"/>
  <c r="C17" i="4"/>
  <c r="C24" i="4"/>
  <c r="C4" i="4"/>
  <c r="C26" i="4"/>
  <c r="C5" i="4"/>
  <c r="C32" i="4"/>
  <c r="C34" i="4"/>
  <c r="C22" i="4"/>
  <c r="C53" i="4"/>
  <c r="C12" i="4"/>
  <c r="C43" i="4"/>
  <c r="C40" i="4"/>
  <c r="C23" i="4"/>
  <c r="C10" i="4"/>
  <c r="C13" i="4"/>
  <c r="C39" i="4"/>
  <c r="C30" i="4"/>
  <c r="C8" i="4"/>
  <c r="C20" i="4"/>
  <c r="C37" i="4"/>
  <c r="C29" i="4"/>
  <c r="C45" i="4"/>
  <c r="C28" i="4"/>
  <c r="C44" i="4"/>
  <c r="C14" i="4"/>
  <c r="C47" i="4"/>
  <c r="C7" i="4"/>
  <c r="C52" i="4"/>
  <c r="C19" i="4"/>
  <c r="C42" i="4"/>
  <c r="C35" i="4"/>
  <c r="C6" i="4"/>
  <c r="C33" i="4"/>
  <c r="C25" i="4"/>
  <c r="C2" i="4"/>
  <c r="C50" i="4"/>
  <c r="C49" i="4"/>
  <c r="C9" i="4"/>
  <c r="C15" i="4"/>
  <c r="C48" i="4"/>
  <c r="C18" i="4"/>
  <c r="C11" i="4"/>
  <c r="C38" i="4"/>
  <c r="C16" i="4"/>
  <c r="C41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E319" i="27" a="1"/>
  <c r="C68" i="27" a="1"/>
  <c r="C164" i="27" a="1"/>
  <c r="C176" i="27" a="1"/>
  <c r="C242" i="27" a="1"/>
  <c r="E291" i="27" a="1"/>
  <c r="E207" i="27" a="1"/>
  <c r="E287" i="27" a="1"/>
  <c r="C157" i="27" a="1"/>
  <c r="E144" i="27" a="1"/>
  <c r="E5" i="28" a="1"/>
  <c r="E91" i="27" a="1"/>
  <c r="C255" i="27" a="1"/>
  <c r="C53" i="27" a="1"/>
  <c r="E23" i="27" a="1"/>
  <c r="E185" i="27" a="1"/>
  <c r="C77" i="27" a="1"/>
  <c r="E29" i="4" a="1"/>
  <c r="E165" i="27" a="1"/>
  <c r="E134" i="27" a="1"/>
  <c r="C20" i="27" a="1"/>
  <c r="C88" i="27" a="1"/>
  <c r="E202" i="27" a="1"/>
  <c r="C230" i="27" a="1"/>
  <c r="E223" i="27" a="1"/>
  <c r="E181" i="27" a="1"/>
  <c r="C114" i="27" a="1"/>
  <c r="E146" i="27" a="1"/>
  <c r="C204" i="27" a="1"/>
  <c r="E250" i="27" a="1"/>
  <c r="E301" i="27" a="1"/>
  <c r="C37" i="27" a="1"/>
  <c r="C189" i="27" a="1"/>
  <c r="C134" i="27" a="1"/>
  <c r="E121" i="27" a="1"/>
  <c r="C205" i="27" a="1"/>
  <c r="E242" i="27" a="1"/>
  <c r="C107" i="27" a="1"/>
  <c r="C281" i="27" a="1"/>
  <c r="E65" i="27" a="1"/>
  <c r="C233" i="27" a="1"/>
  <c r="C180" i="27" a="1"/>
  <c r="C182" i="27" a="1"/>
  <c r="C175" i="27" a="1"/>
  <c r="E42" i="4" a="1"/>
  <c r="E5" i="27" a="1"/>
  <c r="E15" i="4" a="1"/>
  <c r="C39" i="27" a="1"/>
  <c r="E189" i="27" a="1"/>
  <c r="E339" i="27" a="1"/>
  <c r="C45" i="27" a="1"/>
  <c r="E77" i="27" a="1"/>
  <c r="E376" i="27" a="1"/>
  <c r="E237" i="27" a="1"/>
  <c r="C264" i="27" a="1"/>
  <c r="E372" i="27" a="1"/>
  <c r="E348" i="27" a="1"/>
  <c r="C365" i="27" a="1"/>
  <c r="C190" i="27" a="1"/>
  <c r="E356" i="27" a="1"/>
  <c r="C47" i="27" a="1"/>
  <c r="C304" i="27" a="1"/>
  <c r="E297" i="27" a="1"/>
  <c r="E66" i="27" a="1"/>
  <c r="C63" i="27" a="1"/>
  <c r="E338" i="27" a="1"/>
  <c r="C244" i="27" a="1"/>
  <c r="E52" i="27" a="1"/>
  <c r="C292" i="27" a="1"/>
  <c r="E38" i="4" a="1"/>
  <c r="E191" i="27" a="1"/>
  <c r="C7" i="27" a="1"/>
  <c r="E197" i="27" a="1"/>
  <c r="C217" i="27" a="1"/>
  <c r="C298" i="27" a="1"/>
  <c r="E38" i="27" a="1"/>
  <c r="E278" i="27" a="1"/>
  <c r="E39" i="27" a="1"/>
  <c r="C261" i="27" a="1"/>
  <c r="E8" i="27" a="1"/>
  <c r="C311" i="27" a="1"/>
  <c r="E215" i="27" a="1"/>
  <c r="C120" i="27" a="1"/>
  <c r="C381" i="27" a="1"/>
  <c r="C44" i="27" a="1"/>
  <c r="C196" i="27" a="1"/>
  <c r="C36" i="27" a="1"/>
  <c r="E132" i="27" a="1"/>
  <c r="C142" i="27" a="1"/>
  <c r="C240" i="27" a="1"/>
  <c r="C328" i="27" a="1"/>
  <c r="E6" i="27" a="1"/>
  <c r="C339" i="27" a="1"/>
  <c r="C173" i="27" a="1"/>
  <c r="C209" i="27" a="1"/>
  <c r="C92" i="27" a="1"/>
  <c r="C213" i="27" a="1"/>
  <c r="E70" i="27" a="1"/>
  <c r="E193" i="27" a="1"/>
  <c r="E21" i="27" a="1"/>
  <c r="E51" i="27" a="1"/>
  <c r="E222" i="27" a="1"/>
  <c r="C377" i="27" a="1"/>
  <c r="E25" i="4" a="1"/>
  <c r="C51" i="27" a="1"/>
  <c r="E53" i="27" a="1"/>
  <c r="E303" i="27" a="1"/>
  <c r="E55" i="27" a="1"/>
  <c r="C34" i="27" a="1"/>
  <c r="E59" i="27" a="1"/>
  <c r="E28" i="27" a="1"/>
  <c r="C168" i="27" a="1"/>
  <c r="C129" i="27" a="1"/>
  <c r="C49" i="27" a="1"/>
  <c r="C355" i="27" a="1"/>
  <c r="C310" i="27" a="1"/>
  <c r="E84" i="27" a="1"/>
  <c r="E227" i="27" a="1"/>
  <c r="E94" i="27" a="1"/>
  <c r="E370" i="27" a="1"/>
  <c r="E244" i="27" a="1"/>
  <c r="E118" i="27" a="1"/>
  <c r="C349" i="27" a="1"/>
  <c r="E200" i="27" a="1"/>
  <c r="C297" i="27" a="1"/>
  <c r="E109" i="27" a="1"/>
  <c r="C376" i="27" a="1"/>
  <c r="E4" i="27" a="1"/>
  <c r="E225" i="27" a="1"/>
  <c r="E5" i="4" a="1"/>
  <c r="C104" i="27" a="1"/>
  <c r="C113" i="27" a="1"/>
  <c r="C327" i="27" a="1"/>
  <c r="C295" i="27" a="1"/>
  <c r="C132" i="27" a="1"/>
  <c r="E341" i="27" a="1"/>
  <c r="C308" i="27" a="1"/>
  <c r="C283" i="27" a="1"/>
  <c r="C212" i="27" a="1"/>
  <c r="C126" i="27" a="1"/>
  <c r="C268" i="27" a="1"/>
  <c r="C313" i="27" a="1"/>
  <c r="E255" i="27" a="1"/>
  <c r="E124" i="27" a="1"/>
  <c r="E182" i="27" a="1"/>
  <c r="E6" i="4" a="1"/>
  <c r="C35" i="27" a="1"/>
  <c r="C130" i="27" a="1"/>
  <c r="C90" i="27" a="1"/>
  <c r="E72" i="27" a="1"/>
  <c r="E290" i="27" a="1"/>
  <c r="E106" i="27" a="1"/>
  <c r="C323" i="27" a="1"/>
  <c r="C243" i="27" a="1"/>
  <c r="C300" i="27" a="1"/>
  <c r="E42" i="27" a="1"/>
  <c r="C226" i="27" a="1"/>
  <c r="E179" i="27" a="1"/>
  <c r="E20" i="27" a="1"/>
  <c r="C82" i="27" a="1"/>
  <c r="E81" i="27" a="1"/>
  <c r="E22" i="4" a="1"/>
  <c r="E272" i="27" a="1"/>
  <c r="C163" i="27" a="1"/>
  <c r="E293" i="27" a="1"/>
  <c r="C235" i="27" a="1"/>
  <c r="C11" i="27" a="1"/>
  <c r="E97" i="27" a="1"/>
  <c r="C203" i="27" a="1"/>
  <c r="C256" i="27" a="1"/>
  <c r="E324" i="27" a="1"/>
  <c r="C200" i="27" a="1"/>
  <c r="E47" i="27" a="1"/>
  <c r="C344" i="27" a="1"/>
  <c r="E127" i="27" a="1"/>
  <c r="E123" i="27" a="1"/>
  <c r="E37" i="27" a="1"/>
  <c r="C13" i="27" a="1"/>
  <c r="C197" i="27" a="1"/>
  <c r="E236" i="27" a="1"/>
  <c r="C208" i="27" a="1"/>
  <c r="E307" i="27" a="1"/>
  <c r="C159" i="27" a="1"/>
  <c r="C10" i="27" a="1"/>
  <c r="E214" i="27" a="1"/>
  <c r="E107" i="27" a="1"/>
  <c r="E116" i="27" a="1"/>
  <c r="E213" i="27" a="1"/>
  <c r="C335" i="27" a="1"/>
  <c r="C253" i="27" a="1"/>
  <c r="C143" i="27" a="1"/>
  <c r="C299" i="27" a="1"/>
  <c r="E112" i="27" a="1"/>
  <c r="E142" i="27" a="1"/>
  <c r="C254" i="27" a="1"/>
  <c r="C341" i="27" a="1"/>
  <c r="C207" i="27" a="1"/>
  <c r="C362" i="27" a="1"/>
  <c r="C155" i="27" a="1"/>
  <c r="E331" i="27" a="1"/>
  <c r="E381" i="27" a="1"/>
  <c r="E362" i="27" a="1"/>
  <c r="E51" i="4" a="1"/>
  <c r="E208" i="27" a="1"/>
  <c r="E148" i="27" a="1"/>
  <c r="C2" i="27" a="1"/>
  <c r="C94" i="27" a="1"/>
  <c r="C248" i="27" a="1"/>
  <c r="E154" i="27" a="1"/>
  <c r="E57" i="27" a="1"/>
  <c r="C81" i="27" a="1"/>
  <c r="C89" i="27" a="1"/>
  <c r="C110" i="27" a="1"/>
  <c r="C278" i="27" a="1"/>
  <c r="E380" i="27" a="1"/>
  <c r="E152" i="27" a="1"/>
  <c r="E52" i="4" a="1"/>
  <c r="E276" i="27" a="1"/>
  <c r="E41" i="27" a="1"/>
  <c r="E328" i="27" a="1"/>
  <c r="C361" i="27" a="1"/>
  <c r="C96" i="27" a="1"/>
  <c r="E88" i="27" a="1"/>
  <c r="C154" i="27" a="1"/>
  <c r="E357" i="27" a="1"/>
  <c r="E115" i="27" a="1"/>
  <c r="E238" i="27" a="1"/>
  <c r="C351" i="27" a="1"/>
  <c r="C332" i="27" a="1"/>
  <c r="C257" i="27" a="1"/>
  <c r="E98" i="27" a="1"/>
  <c r="C131" i="27" a="1"/>
  <c r="E3" i="27" a="1"/>
  <c r="E62" i="27" a="1"/>
  <c r="C340" i="27" a="1"/>
  <c r="E29" i="27" a="1"/>
  <c r="C229" i="27" a="1"/>
  <c r="C69" i="27" a="1"/>
  <c r="C378" i="27" a="1"/>
  <c r="E137" i="27" a="1"/>
  <c r="C112" i="27" a="1"/>
  <c r="E377" i="27" a="1"/>
  <c r="E170" i="27" a="1"/>
  <c r="E312" i="27" a="1"/>
  <c r="E173" i="27" a="1"/>
  <c r="C100" i="27" a="1"/>
  <c r="E320" i="27" a="1"/>
  <c r="E168" i="27" a="1"/>
  <c r="C331" i="27" a="1"/>
  <c r="C228" i="27" a="1"/>
  <c r="E69" i="27" a="1"/>
  <c r="C326" i="27" a="1"/>
  <c r="C66" i="27" a="1"/>
  <c r="C319" i="27" a="1"/>
  <c r="C62" i="27" a="1"/>
  <c r="C87" i="27" a="1"/>
  <c r="C330" i="27" a="1"/>
  <c r="C108" i="27" a="1"/>
  <c r="E9" i="27" a="1"/>
  <c r="C121" i="27" a="1"/>
  <c r="C60" i="27" a="1"/>
  <c r="E119" i="27" a="1"/>
  <c r="E71" i="27" a="1"/>
  <c r="E49" i="4" a="1"/>
  <c r="E283" i="27" a="1"/>
  <c r="E313" i="27" a="1"/>
  <c r="E247" i="27" a="1"/>
  <c r="C97" i="27" a="1"/>
  <c r="E230" i="27" a="1"/>
  <c r="C55" i="27" a="1"/>
  <c r="E22" i="27" a="1"/>
  <c r="E32" i="4" a="1"/>
  <c r="E140" i="27" a="1"/>
  <c r="E83" i="27" a="1"/>
  <c r="C75" i="27" a="1"/>
  <c r="E27" i="27" a="1"/>
  <c r="E114" i="27" a="1"/>
  <c r="C315" i="27" a="1"/>
  <c r="E2" i="27" a="1"/>
  <c r="C128" i="27" a="1"/>
  <c r="C238" i="27" a="1"/>
  <c r="C223" i="27" a="1"/>
  <c r="E201" i="27" a="1"/>
  <c r="C222" i="27" a="1"/>
  <c r="E326" i="27" a="1"/>
  <c r="C350" i="27" a="1"/>
  <c r="C42" i="27" a="1"/>
  <c r="E133" i="27" a="1"/>
  <c r="C241" i="27" a="1"/>
  <c r="C218" i="27" a="1"/>
  <c r="C27" i="27" a="1"/>
  <c r="E110" i="27" a="1"/>
  <c r="E355" i="27" a="1"/>
  <c r="E195" i="27" a="1"/>
  <c r="E271" i="27" a="1"/>
  <c r="C160" i="27" a="1"/>
  <c r="E342" i="27" a="1"/>
  <c r="C290" i="27" a="1"/>
  <c r="E354" i="27" a="1"/>
  <c r="E373" i="27" a="1"/>
  <c r="E87" i="27" a="1"/>
  <c r="E28" i="4" a="1"/>
  <c r="E321" i="27" a="1"/>
  <c r="E21" i="4" a="1"/>
  <c r="C80" i="27" a="1"/>
  <c r="E130" i="27" a="1"/>
  <c r="E155" i="27" a="1"/>
  <c r="E23" i="4" a="1"/>
  <c r="C26" i="27" a="1"/>
  <c r="E262" i="27" a="1"/>
  <c r="E46" i="4" a="1"/>
  <c r="E129" i="27" a="1"/>
  <c r="E275" i="27" a="1"/>
  <c r="E347" i="27" a="1"/>
  <c r="E371" i="27" a="1"/>
  <c r="C149" i="27" a="1"/>
  <c r="C291" i="27" a="1"/>
  <c r="E108" i="27" a="1"/>
  <c r="C262" i="27" a="1"/>
  <c r="E367" i="27" a="1"/>
  <c r="C324" i="27" a="1"/>
  <c r="C199" i="27" a="1"/>
  <c r="C374" i="27" a="1"/>
  <c r="E12" i="4" a="1"/>
  <c r="C309" i="27" a="1"/>
  <c r="E43" i="27" a="1"/>
  <c r="E217" i="27" a="1"/>
  <c r="E216" i="27" a="1"/>
  <c r="E239" i="27" a="1"/>
  <c r="C118" i="27" a="1"/>
  <c r="C70" i="27" a="1"/>
  <c r="E288" i="27" a="1"/>
  <c r="C245" i="27" a="1"/>
  <c r="E4" i="28" a="1"/>
  <c r="C105" i="27" a="1"/>
  <c r="E274" i="27" a="1"/>
  <c r="C38" i="27" a="1"/>
  <c r="E240" i="27" a="1"/>
  <c r="E18" i="4" a="1"/>
  <c r="E374" i="27" a="1"/>
  <c r="C85" i="27" a="1"/>
  <c r="E61" i="27" a="1"/>
  <c r="E379" i="27" a="1"/>
  <c r="E80" i="27" a="1"/>
  <c r="E162" i="27" a="1"/>
  <c r="C102" i="27" a="1"/>
  <c r="C54" i="27" a="1"/>
  <c r="E309" i="27" a="1"/>
  <c r="C74" i="27" a="1"/>
  <c r="E111" i="27" a="1"/>
  <c r="E149" i="27" a="1"/>
  <c r="E273" i="27" a="1"/>
  <c r="E74" i="27" a="1"/>
  <c r="E169" i="27" a="1"/>
  <c r="E13" i="4" a="1"/>
  <c r="C206" i="27" a="1"/>
  <c r="E54" i="27" a="1"/>
  <c r="E325" i="27" a="1"/>
  <c r="E211" i="27" a="1"/>
  <c r="E183" i="27" a="1"/>
  <c r="C170" i="27" a="1"/>
  <c r="C56" i="27" a="1"/>
  <c r="C84" i="27" a="1"/>
  <c r="C174" i="27" a="1"/>
  <c r="C86" i="27" a="1"/>
  <c r="E31" i="4" a="1"/>
  <c r="E329" i="27" a="1"/>
  <c r="C289" i="27" a="1"/>
  <c r="E122" i="27" a="1"/>
  <c r="C83" i="27" a="1"/>
  <c r="E19" i="4" a="1"/>
  <c r="E251" i="27" a="1"/>
  <c r="E289" i="27" a="1"/>
  <c r="C317" i="27" a="1"/>
  <c r="C366" i="27" a="1"/>
  <c r="C162" i="27" a="1"/>
  <c r="C12" i="27" a="1"/>
  <c r="E317" i="27" a="1"/>
  <c r="E156" i="27" a="1"/>
  <c r="E36" i="27" a="1"/>
  <c r="E32" i="27" a="1"/>
  <c r="E368" i="27" a="1"/>
  <c r="C343" i="27" a="1"/>
  <c r="E231" i="27" a="1"/>
  <c r="E157" i="27" a="1"/>
  <c r="C46" i="27" a="1"/>
  <c r="E337" i="27" a="1"/>
  <c r="E104" i="27" a="1"/>
  <c r="C58" i="27" a="1"/>
  <c r="E89" i="27" a="1"/>
  <c r="E143" i="27" a="1"/>
  <c r="C336" i="27" a="1"/>
  <c r="C287" i="27" a="1"/>
  <c r="E53" i="4" a="1"/>
  <c r="C252" i="27" a="1"/>
  <c r="C125" i="27" a="1"/>
  <c r="E333" i="27" a="1"/>
  <c r="C337" i="27" a="1"/>
  <c r="C177" i="27" a="1"/>
  <c r="C153" i="27" a="1"/>
  <c r="E18" i="27" a="1"/>
  <c r="E105" i="27" a="1"/>
  <c r="E184" i="27" a="1"/>
  <c r="E261" i="27" a="1"/>
  <c r="C144" i="27" a="1"/>
  <c r="E11" i="27" a="1"/>
  <c r="E292" i="27" a="1"/>
  <c r="E254" i="27" a="1"/>
  <c r="C150" i="27" a="1"/>
  <c r="C307" i="27" a="1"/>
  <c r="C306" i="27" a="1"/>
  <c r="E158" i="27" a="1"/>
  <c r="E85" i="27" a="1"/>
  <c r="C122" i="27" a="1"/>
  <c r="C270" i="27" a="1"/>
  <c r="C318" i="27" a="1"/>
  <c r="C274" i="27" a="1"/>
  <c r="E36" i="4" a="1"/>
  <c r="E258" i="27" a="1"/>
  <c r="C359" i="27" a="1"/>
  <c r="E284" i="27" a="1"/>
  <c r="C43" i="27" a="1"/>
  <c r="E171" i="27" a="1"/>
  <c r="E82" i="27" a="1"/>
  <c r="E281" i="27" a="1"/>
  <c r="C346" i="27" a="1"/>
  <c r="E40" i="27" a="1"/>
  <c r="C127" i="27" a="1"/>
  <c r="E31" i="27" a="1"/>
  <c r="C221" i="27" a="1"/>
  <c r="C167" i="27" a="1"/>
  <c r="C152" i="27" a="1"/>
  <c r="C184" i="27" a="1"/>
  <c r="E10" i="4" a="1"/>
  <c r="C303" i="27" a="1"/>
  <c r="E45" i="4" a="1"/>
  <c r="E167" i="27" a="1"/>
  <c r="E30" i="27" a="1"/>
  <c r="C178" i="27" a="1"/>
  <c r="E336" i="27" a="1"/>
  <c r="C251" i="27" a="1"/>
  <c r="E60" i="27" a="1"/>
  <c r="C14" i="27" a="1"/>
  <c r="C216" i="27" a="1"/>
  <c r="C275" i="27" a="1"/>
  <c r="C345" i="27" a="1"/>
  <c r="C360" i="27" a="1"/>
  <c r="C267" i="27" a="1"/>
  <c r="C23" i="27" a="1"/>
  <c r="C52" i="27" a="1"/>
  <c r="E332" i="27" a="1"/>
  <c r="E90" i="27" a="1"/>
  <c r="C137" i="27" a="1"/>
  <c r="E221" i="27" a="1"/>
  <c r="C369" i="27" a="1"/>
  <c r="C50" i="27" a="1"/>
  <c r="C156" i="27" a="1"/>
  <c r="E153" i="27" a="1"/>
  <c r="E365" i="27" a="1"/>
  <c r="C141" i="27" a="1"/>
  <c r="E248" i="27" a="1"/>
  <c r="C8" i="27" a="1"/>
  <c r="E343" i="27" a="1"/>
  <c r="E295" i="27" a="1"/>
  <c r="E43" i="4" a="1"/>
  <c r="C4" i="27" a="1"/>
  <c r="E46" i="27" a="1"/>
  <c r="C181" i="27" a="1"/>
  <c r="C148" i="27" a="1"/>
  <c r="E330" i="27" a="1"/>
  <c r="E141" i="27" a="1"/>
  <c r="E299" i="27" a="1"/>
  <c r="C183" i="27" a="1"/>
  <c r="C191" i="27" a="1"/>
  <c r="C61" i="27" a="1"/>
  <c r="C258" i="27" a="1"/>
  <c r="E219" i="27" a="1"/>
  <c r="E34" i="27" a="1"/>
  <c r="E308" i="27" a="1"/>
  <c r="E11" i="4" a="1"/>
  <c r="E364" i="27" a="1"/>
  <c r="C224" i="27" a="1"/>
  <c r="E375" i="27" a="1"/>
  <c r="C294" i="27" a="1"/>
  <c r="C348" i="27" a="1"/>
  <c r="E256" i="27" a="1"/>
  <c r="C260" i="27" a="1"/>
  <c r="C151" i="27" a="1"/>
  <c r="C91" i="27" a="1"/>
  <c r="C124" i="27" a="1"/>
  <c r="C25" i="27" a="1"/>
  <c r="C320" i="27" a="1"/>
  <c r="C198" i="27" a="1"/>
  <c r="E176" i="27" a="1"/>
  <c r="E188" i="27" a="1"/>
  <c r="C322" i="27" a="1"/>
  <c r="C288" i="27" a="1"/>
  <c r="E30" i="4" a="1"/>
  <c r="C195" i="27" a="1"/>
  <c r="C259" i="27" a="1"/>
  <c r="E24" i="27" a="1"/>
  <c r="C72" i="27" a="1"/>
  <c r="C188" i="27" a="1"/>
  <c r="C18" i="27" a="1"/>
  <c r="E2" i="4" a="1"/>
  <c r="C22" i="27" a="1"/>
  <c r="E249" i="27" a="1"/>
  <c r="C192" i="27" a="1"/>
  <c r="C249" i="27" a="1"/>
  <c r="C269" i="27" a="1"/>
  <c r="C31" i="27" a="1"/>
  <c r="C59" i="27" a="1"/>
  <c r="C211" i="27" a="1"/>
  <c r="E268" i="27" a="1"/>
  <c r="E100" i="27" a="1"/>
  <c r="E210" i="27" a="1"/>
  <c r="C6" i="27" a="1"/>
  <c r="E27" i="4" a="1"/>
  <c r="C202" i="27" a="1"/>
  <c r="E125" i="27" a="1"/>
  <c r="E12" i="27" a="1"/>
  <c r="E40" i="4" a="1"/>
  <c r="C265" i="27" a="1"/>
  <c r="C78" i="27" a="1"/>
  <c r="C379" i="27" a="1"/>
  <c r="C247" i="27" a="1"/>
  <c r="E198" i="27" a="1"/>
  <c r="E359" i="27" a="1"/>
  <c r="C227" i="27" a="1"/>
  <c r="E296" i="27" a="1"/>
  <c r="E378" i="27" a="1"/>
  <c r="E117" i="27" a="1"/>
  <c r="E266" i="27" a="1"/>
  <c r="E44" i="27" a="1"/>
  <c r="C48" i="27" a="1"/>
  <c r="E48" i="27" a="1"/>
  <c r="E277" i="27" a="1"/>
  <c r="E318" i="27" a="1"/>
  <c r="C338" i="27" a="1"/>
  <c r="C363" i="27" a="1"/>
  <c r="E243" i="27" a="1"/>
  <c r="C333" i="27" a="1"/>
  <c r="C187" i="27" a="1"/>
  <c r="E344" i="27" a="1"/>
  <c r="E212" i="27" a="1"/>
  <c r="C342" i="27" a="1"/>
  <c r="C117" i="27" a="1"/>
  <c r="E17" i="4" a="1"/>
  <c r="E315" i="27" a="1"/>
  <c r="C364" i="27" a="1"/>
  <c r="E209" i="27" a="1"/>
  <c r="C276" i="27" a="1"/>
  <c r="C21" i="27" a="1"/>
  <c r="E322" i="27" a="1"/>
  <c r="C220" i="27" a="1"/>
  <c r="E68" i="27" a="1"/>
  <c r="E96" i="27" a="1"/>
  <c r="E10" i="27" a="1"/>
  <c r="E196" i="27" a="1"/>
  <c r="E187" i="27" a="1"/>
  <c r="C371" i="27" a="1"/>
  <c r="E199" i="27" a="1"/>
  <c r="E264" i="27" a="1"/>
  <c r="C282" i="27" a="1"/>
  <c r="C19" i="27" a="1"/>
  <c r="E310" i="27" a="1"/>
  <c r="E54" i="4" a="1"/>
  <c r="C334" i="27" a="1"/>
  <c r="C28" i="27" a="1"/>
  <c r="C111" i="27" a="1"/>
  <c r="E101" i="27" a="1"/>
  <c r="C139" i="27" a="1"/>
  <c r="E177" i="27" a="1"/>
  <c r="E35" i="4" a="1"/>
  <c r="E349" i="27" a="1"/>
  <c r="E75" i="27" a="1"/>
  <c r="C272" i="27" a="1"/>
  <c r="E269" i="27" a="1"/>
  <c r="C368" i="27" a="1"/>
  <c r="E2" i="28" a="1"/>
  <c r="E233" i="27" a="1"/>
  <c r="C136" i="27" a="1"/>
  <c r="C358" i="27" a="1"/>
  <c r="E7" i="4" a="1"/>
  <c r="C250" i="27" a="1"/>
  <c r="C329" i="27" a="1"/>
  <c r="C93" i="27" a="1"/>
  <c r="E327" i="27" a="1"/>
  <c r="C79" i="27" a="1"/>
  <c r="E64" i="27" a="1"/>
  <c r="E45" i="27" a="1"/>
  <c r="C65" i="27" a="1"/>
  <c r="C161" i="27" a="1"/>
  <c r="C15" i="27" a="1"/>
  <c r="C73" i="27" a="1"/>
  <c r="E17" i="27" a="1"/>
  <c r="E95" i="27" a="1"/>
  <c r="C305" i="27" a="1"/>
  <c r="C236" i="27" a="1"/>
  <c r="E335" i="27" a="1"/>
  <c r="E180" i="27" a="1"/>
  <c r="C263" i="27" a="1"/>
  <c r="E86" i="27" a="1"/>
  <c r="E8" i="4" a="1"/>
  <c r="E205" i="27" a="1"/>
  <c r="E286" i="27" a="1"/>
  <c r="E311" i="27" a="1"/>
  <c r="C32" i="27" a="1"/>
  <c r="E245" i="27" a="1"/>
  <c r="C99" i="27" a="1"/>
  <c r="C286" i="27" a="1"/>
  <c r="C316" i="27" a="1"/>
  <c r="E49" i="27" a="1"/>
  <c r="E260" i="27" a="1"/>
  <c r="E363" i="27" a="1"/>
  <c r="E235" i="27" a="1"/>
  <c r="E26" i="4" a="1"/>
  <c r="E99" i="27" a="1"/>
  <c r="E3" i="4" a="1"/>
  <c r="C271" i="27" a="1"/>
  <c r="E369" i="27" a="1"/>
  <c r="E306" i="27" a="1"/>
  <c r="E113" i="27" a="1"/>
  <c r="E67" i="27" a="1"/>
  <c r="E282" i="27" a="1"/>
  <c r="E352" i="27" a="1"/>
  <c r="C239" i="27" a="1"/>
  <c r="E120" i="27" a="1"/>
  <c r="E334" i="27" a="1"/>
  <c r="C277" i="27" a="1"/>
  <c r="C194" i="27" a="1"/>
  <c r="C234" i="27" a="1"/>
  <c r="E302" i="27" a="1"/>
  <c r="E13" i="27" a="1"/>
  <c r="C133" i="27" a="1"/>
  <c r="E316" i="27" a="1"/>
  <c r="E136" i="27" a="1"/>
  <c r="E33" i="4" a="1"/>
  <c r="C284" i="27" a="1"/>
  <c r="E14" i="4" a="1"/>
  <c r="C312" i="27" a="1"/>
  <c r="E304" i="27" a="1"/>
  <c r="E190" i="27" a="1"/>
  <c r="E151" i="27" a="1"/>
  <c r="C71" i="27" a="1"/>
  <c r="E76" i="27" a="1"/>
  <c r="E39" i="4" a="1"/>
  <c r="E150" i="27" a="1"/>
  <c r="E16" i="4" a="1"/>
  <c r="C145" i="27" a="1"/>
  <c r="C296" i="27" a="1"/>
  <c r="C214" i="27" a="1"/>
  <c r="C64" i="27" a="1"/>
  <c r="C123" i="27" a="1"/>
  <c r="C273" i="27" a="1"/>
  <c r="C95" i="27" a="1"/>
  <c r="E358" i="27" a="1"/>
  <c r="E6" i="28" a="1"/>
  <c r="E164" i="27" a="1"/>
  <c r="E203" i="27" a="1"/>
  <c r="C185" i="27" a="1"/>
  <c r="C210" i="27" a="1"/>
  <c r="C146" i="27" a="1"/>
  <c r="E323" i="27" a="1"/>
  <c r="E15" i="27" a="1"/>
  <c r="E50" i="27" a="1"/>
  <c r="C106" i="27" a="1"/>
  <c r="C352" i="27" a="1"/>
  <c r="E265" i="27" a="1"/>
  <c r="C103" i="27" a="1"/>
  <c r="C3" i="27" a="1"/>
  <c r="E226" i="27" a="1"/>
  <c r="E241" i="27" a="1"/>
  <c r="C372" i="27" a="1"/>
  <c r="E259" i="27" a="1"/>
  <c r="C5" i="27" a="1"/>
  <c r="E160" i="27" a="1"/>
  <c r="E20" i="4" a="1"/>
  <c r="E350" i="27" a="1"/>
  <c r="E139" i="27" a="1"/>
  <c r="C101" i="27" a="1"/>
  <c r="E257" i="27" a="1"/>
  <c r="C140" i="27" a="1"/>
  <c r="C347" i="27" a="1"/>
  <c r="C375" i="27" a="1"/>
  <c r="E232" i="27" a="1"/>
  <c r="C201" i="27" a="1"/>
  <c r="E33" i="27" a="1"/>
  <c r="C302" i="27" a="1"/>
  <c r="C279" i="27" a="1"/>
  <c r="C380" i="27" a="1"/>
  <c r="E351" i="27" a="1"/>
  <c r="E56" i="27" a="1"/>
  <c r="E44" i="4" a="1"/>
  <c r="E192" i="27" a="1"/>
  <c r="C215" i="27" a="1"/>
  <c r="E345" i="27" a="1"/>
  <c r="E37" i="4" a="1"/>
  <c r="C367" i="27" a="1"/>
  <c r="C165" i="27" a="1"/>
  <c r="E24" i="4" a="1"/>
  <c r="E7" i="27" a="1"/>
  <c r="C166" i="27" a="1"/>
  <c r="E194" i="27" a="1"/>
  <c r="E63" i="27" a="1"/>
  <c r="E246" i="27" a="1"/>
  <c r="C373" i="27" a="1"/>
  <c r="E204" i="27" a="1"/>
  <c r="C33" i="27" a="1"/>
  <c r="E360" i="27" a="1"/>
  <c r="E4" i="4" a="1"/>
  <c r="E206" i="27" a="1"/>
  <c r="C115" i="27" a="1"/>
  <c r="C232" i="27" a="1"/>
  <c r="E305" i="27" a="1"/>
  <c r="C17" i="27" a="1"/>
  <c r="E131" i="27" a="1"/>
  <c r="E163" i="27" a="1"/>
  <c r="C231" i="27" a="1"/>
  <c r="E253" i="27" a="1"/>
  <c r="E47" i="4" a="1"/>
  <c r="C16" i="27" a="1"/>
  <c r="C237" i="27" a="1"/>
  <c r="E159" i="27" a="1"/>
  <c r="C370" i="27" a="1"/>
  <c r="E285" i="27" a="1"/>
  <c r="E270" i="27" a="1"/>
  <c r="E314" i="27" a="1"/>
  <c r="E166" i="27" a="1"/>
  <c r="C356" i="27" a="1"/>
  <c r="E16" i="27" a="1"/>
  <c r="E34" i="4" a="1"/>
  <c r="E252" i="27" a="1"/>
  <c r="C314" i="27" a="1"/>
  <c r="E138" i="27" a="1"/>
  <c r="C57" i="27" a="1"/>
  <c r="E48" i="4" a="1"/>
  <c r="E172" i="27" a="1"/>
  <c r="E353" i="27" a="1"/>
  <c r="E366" i="27" a="1"/>
  <c r="E263" i="27" a="1"/>
  <c r="E79" i="27" a="1"/>
  <c r="E9" i="4" a="1"/>
  <c r="E19" i="27" a="1"/>
  <c r="C266" i="27" a="1"/>
  <c r="C193" i="27" a="1"/>
  <c r="E267" i="27" a="1"/>
  <c r="E186" i="27" a="1"/>
  <c r="C9" i="27" a="1"/>
  <c r="E218" i="27" a="1"/>
  <c r="E93" i="27" a="1"/>
  <c r="C138" i="27" a="1"/>
  <c r="E128" i="27" a="1"/>
  <c r="C172" i="27" a="1"/>
  <c r="E174" i="27" a="1"/>
  <c r="E346" i="27" a="1"/>
  <c r="E58" i="27" a="1"/>
  <c r="E279" i="27" a="1"/>
  <c r="E126" i="27" a="1"/>
  <c r="C67" i="27" a="1"/>
  <c r="E41" i="4" a="1"/>
  <c r="C354" i="27" a="1"/>
  <c r="C29" i="27" a="1"/>
  <c r="C41" i="27" a="1"/>
  <c r="C40" i="27" a="1"/>
  <c r="C158" i="27" a="1"/>
  <c r="C219" i="27" a="1"/>
  <c r="E224" i="27" a="1"/>
  <c r="C109" i="27" a="1"/>
  <c r="E26" i="27" a="1"/>
  <c r="E14" i="27" a="1"/>
  <c r="C147" i="27" a="1"/>
  <c r="C169" i="27" a="1"/>
  <c r="E220" i="27" a="1"/>
  <c r="E175" i="27" a="1"/>
  <c r="E300" i="27" a="1"/>
  <c r="E3" i="28" a="1"/>
  <c r="E229" i="27" a="1"/>
  <c r="C357" i="27" a="1"/>
  <c r="E234" i="27" a="1"/>
  <c r="E294" i="27" a="1"/>
  <c r="C293" i="27" a="1"/>
  <c r="C116" i="27" a="1"/>
  <c r="C321" i="27" a="1"/>
  <c r="C301" i="27" a="1"/>
  <c r="E361" i="27" a="1"/>
  <c r="C353" i="27" a="1"/>
  <c r="C24" i="27" a="1"/>
  <c r="E135" i="27" a="1"/>
  <c r="E340" i="27" a="1"/>
  <c r="E280" i="27" a="1"/>
  <c r="E73" i="27" a="1"/>
  <c r="E145" i="27" a="1"/>
  <c r="E103" i="27" a="1"/>
  <c r="E228" i="27" a="1"/>
  <c r="C280" i="27" a="1"/>
  <c r="E50" i="4" a="1"/>
  <c r="C76" i="27" a="1"/>
  <c r="C225" i="27" a="1"/>
  <c r="C119" i="27" a="1"/>
  <c r="C135" i="27" a="1"/>
  <c r="E147" i="27" a="1"/>
  <c r="C186" i="27" a="1"/>
  <c r="E178" i="27" a="1"/>
  <c r="E298" i="27" a="1"/>
  <c r="C325" i="27" a="1"/>
  <c r="E25" i="27" a="1"/>
  <c r="C98" i="27" a="1"/>
  <c r="E78" i="27" a="1"/>
  <c r="C246" i="27" a="1"/>
  <c r="E92" i="27" a="1"/>
  <c r="C30" i="27" a="1"/>
  <c r="C179" i="27" a="1"/>
  <c r="E102" i="27" a="1"/>
  <c r="E35" i="27" a="1"/>
  <c r="C171" i="27" a="1"/>
  <c r="C285" i="27" a="1"/>
  <c r="E161" i="27" a="1"/>
  <c r="E54" i="4" l="1"/>
  <c r="C42" i="27"/>
  <c r="C260" i="27"/>
  <c r="C342" i="27"/>
  <c r="C176" i="27"/>
  <c r="C27" i="27"/>
  <c r="C55" i="27"/>
  <c r="C296" i="27"/>
  <c r="C266" i="27"/>
  <c r="C370" i="27"/>
  <c r="C152" i="27"/>
  <c r="C46" i="27"/>
  <c r="C381" i="27"/>
  <c r="C80" i="27"/>
  <c r="C245" i="27"/>
  <c r="C6" i="27"/>
  <c r="C340" i="27"/>
  <c r="C213" i="27"/>
  <c r="C335" i="27"/>
  <c r="C265" i="27"/>
  <c r="C146" i="27"/>
  <c r="C314" i="27"/>
  <c r="C93" i="27"/>
  <c r="C312" i="27"/>
  <c r="C75" i="27"/>
  <c r="C165" i="27"/>
  <c r="C74" i="27"/>
  <c r="E2" i="28"/>
  <c r="C201" i="27"/>
  <c r="C124" i="27"/>
  <c r="C20" i="27"/>
  <c r="C371" i="27"/>
  <c r="C366" i="27"/>
  <c r="C356" i="27"/>
  <c r="C47" i="27"/>
  <c r="C154" i="27"/>
  <c r="C274" i="27"/>
  <c r="C319" i="27"/>
  <c r="C326" i="27"/>
  <c r="C214" i="27"/>
  <c r="C288" i="27"/>
  <c r="C373" i="27"/>
  <c r="C99" i="27"/>
  <c r="C253" i="27"/>
  <c r="C246" i="27"/>
  <c r="C109" i="27"/>
  <c r="C41" i="27"/>
  <c r="C287" i="27"/>
  <c r="C76" i="27"/>
  <c r="C65" i="27"/>
  <c r="C120" i="27"/>
  <c r="C77" i="27"/>
  <c r="C261" i="27"/>
  <c r="C104" i="27"/>
  <c r="C339" i="27"/>
  <c r="E3" i="28"/>
  <c r="C53" i="27"/>
  <c r="C299" i="27"/>
  <c r="C256" i="27"/>
  <c r="C26" i="27"/>
  <c r="C301" i="27"/>
  <c r="C58" i="27"/>
  <c r="C73" i="27"/>
  <c r="C234" i="27"/>
  <c r="C160" i="27"/>
  <c r="C150" i="27"/>
  <c r="C282" i="27"/>
  <c r="C278" i="27"/>
  <c r="C292" i="27"/>
  <c r="C239" i="27"/>
  <c r="C361" i="27"/>
  <c r="C308" i="27"/>
  <c r="C101" i="27"/>
  <c r="C72" i="27"/>
  <c r="C332" i="27"/>
  <c r="C18" i="27"/>
  <c r="C250" i="27"/>
  <c r="C224" i="27"/>
  <c r="C333" i="27"/>
  <c r="C376" i="27"/>
  <c r="C352" i="27"/>
  <c r="C350" i="27"/>
  <c r="C158" i="27"/>
  <c r="C4" i="27"/>
  <c r="C178" i="27"/>
  <c r="C270" i="27"/>
  <c r="C364" i="27"/>
  <c r="E6" i="28"/>
  <c r="C328" i="27"/>
  <c r="C225" i="27"/>
  <c r="C59" i="27"/>
  <c r="C34" i="27"/>
  <c r="C112" i="27"/>
  <c r="C48" i="27"/>
  <c r="C177" i="27"/>
  <c r="C199" i="27"/>
  <c r="C369" i="27"/>
  <c r="C267" i="27"/>
  <c r="C251" i="27"/>
  <c r="C135" i="27"/>
  <c r="C198" i="27"/>
  <c r="C45" i="27"/>
  <c r="C5" i="27"/>
  <c r="C172" i="27"/>
  <c r="C305" i="27"/>
  <c r="C336" i="27"/>
  <c r="C345" i="27"/>
  <c r="C130" i="27"/>
  <c r="C117" i="27"/>
  <c r="C302" i="27"/>
  <c r="C279" i="27"/>
  <c r="C194" i="27"/>
  <c r="C242" i="27"/>
  <c r="C323" i="27"/>
  <c r="C95" i="27"/>
  <c r="C87" i="27"/>
  <c r="C210" i="27"/>
  <c r="C228" i="27"/>
  <c r="C233" i="27"/>
  <c r="C202" i="27"/>
  <c r="C235" i="27"/>
  <c r="C110" i="27"/>
  <c r="C331" i="27"/>
  <c r="C149" i="27"/>
  <c r="C62" i="27"/>
  <c r="C13" i="27"/>
  <c r="C311" i="27"/>
  <c r="C263" i="27"/>
  <c r="C377" i="27"/>
  <c r="C129" i="27"/>
  <c r="C166" i="27"/>
  <c r="C208" i="27"/>
  <c r="C207" i="27"/>
  <c r="C79" i="27"/>
  <c r="C91" i="27"/>
  <c r="C367" i="27"/>
  <c r="C293" i="27"/>
  <c r="C67" i="27"/>
  <c r="C372" i="27"/>
  <c r="C115" i="27"/>
  <c r="C179" i="27"/>
  <c r="C170" i="27"/>
  <c r="C163" i="27"/>
  <c r="C204" i="27"/>
  <c r="C37" i="27"/>
  <c r="C108" i="27"/>
  <c r="C51" i="27"/>
  <c r="C295" i="27"/>
  <c r="C183" i="27"/>
  <c r="C313" i="27"/>
  <c r="C40" i="27"/>
  <c r="C290" i="27"/>
  <c r="C337" i="27"/>
  <c r="C232" i="27"/>
  <c r="C220" i="27"/>
  <c r="C357" i="27"/>
  <c r="C127" i="27"/>
  <c r="C92" i="27"/>
  <c r="C100" i="27"/>
  <c r="C151" i="27"/>
  <c r="C191" i="27"/>
  <c r="C106" i="27"/>
  <c r="C219" i="27"/>
  <c r="E4" i="28"/>
  <c r="C105" i="27"/>
  <c r="C83" i="27"/>
  <c r="C19" i="27"/>
  <c r="C122" i="27"/>
  <c r="C206" i="27"/>
  <c r="C174" i="27"/>
  <c r="C258" i="27"/>
  <c r="C68" i="27"/>
  <c r="C249" i="27"/>
  <c r="C259" i="27"/>
  <c r="C222" i="27"/>
  <c r="C237" i="27"/>
  <c r="C304" i="27"/>
  <c r="C315" i="27"/>
  <c r="C17" i="27"/>
  <c r="C346" i="27"/>
  <c r="C171" i="27"/>
  <c r="C11" i="27"/>
  <c r="C116" i="27"/>
  <c r="C141" i="27"/>
  <c r="C161" i="27"/>
  <c r="C280" i="27"/>
  <c r="C181" i="27"/>
  <c r="C156" i="27"/>
  <c r="C277" i="27"/>
  <c r="C182" i="27"/>
  <c r="C276" i="27"/>
  <c r="C264" i="27"/>
  <c r="C32" i="27"/>
  <c r="C153" i="27"/>
  <c r="C218" i="27"/>
  <c r="C164" i="27"/>
  <c r="C132" i="27"/>
  <c r="C10" i="27"/>
  <c r="C375" i="27"/>
  <c r="C195" i="27"/>
  <c r="C143" i="27"/>
  <c r="C200" i="27"/>
  <c r="C96" i="27"/>
  <c r="C90" i="27"/>
  <c r="C54" i="27"/>
  <c r="C103" i="27"/>
  <c r="C2" i="27"/>
  <c r="C197" i="27"/>
  <c r="C94" i="27"/>
  <c r="C321" i="27"/>
  <c r="C310" i="27"/>
  <c r="C126" i="27"/>
  <c r="C358" i="27"/>
  <c r="C168" i="27"/>
  <c r="C184" i="27"/>
  <c r="C193" i="27"/>
  <c r="C162" i="27"/>
  <c r="C52" i="27"/>
  <c r="C226" i="27"/>
  <c r="C66" i="27"/>
  <c r="C9" i="27"/>
  <c r="C344" i="27"/>
  <c r="C223" i="27"/>
  <c r="C136" i="27"/>
  <c r="C134" i="27"/>
  <c r="C255" i="27"/>
  <c r="C229" i="27"/>
  <c r="C14" i="27"/>
  <c r="C281" i="27"/>
  <c r="C216" i="27"/>
  <c r="C231" i="27"/>
  <c r="C188" i="27"/>
  <c r="C24" i="27"/>
  <c r="C169" i="27"/>
  <c r="C196" i="27"/>
  <c r="C84" i="27"/>
  <c r="C238" i="27"/>
  <c r="C22" i="27"/>
  <c r="C327" i="27"/>
  <c r="C7" i="27"/>
  <c r="E5" i="28"/>
  <c r="C123" i="27"/>
  <c r="C215" i="27"/>
  <c r="C307" i="27"/>
  <c r="C139" i="27"/>
  <c r="C30" i="27"/>
  <c r="C365" i="27"/>
  <c r="C341" i="27"/>
  <c r="C351" i="27"/>
  <c r="C89" i="27"/>
  <c r="C248" i="27"/>
  <c r="C82" i="27"/>
  <c r="C39" i="27"/>
  <c r="C378" i="27"/>
  <c r="C185" i="27"/>
  <c r="C133" i="27"/>
  <c r="C137" i="27"/>
  <c r="C347" i="27"/>
  <c r="C140" i="27"/>
  <c r="C50" i="27"/>
  <c r="C284" i="27"/>
  <c r="C23" i="27"/>
  <c r="C81" i="27"/>
  <c r="C318" i="27"/>
  <c r="C316" i="27"/>
  <c r="C187" i="27"/>
  <c r="C36" i="27"/>
  <c r="C289" i="27"/>
  <c r="C125" i="27"/>
  <c r="C374" i="27"/>
  <c r="C144" i="27"/>
  <c r="C244" i="27"/>
  <c r="C118" i="27"/>
  <c r="C368" i="27"/>
  <c r="C241" i="27"/>
  <c r="C343" i="27"/>
  <c r="C180" i="27"/>
  <c r="C359" i="27"/>
  <c r="C363" i="27"/>
  <c r="C348" i="27"/>
  <c r="C138" i="27"/>
  <c r="C142" i="27"/>
  <c r="C31" i="27"/>
  <c r="C380" i="27"/>
  <c r="C119" i="27"/>
  <c r="C189" i="27"/>
  <c r="C111" i="27"/>
  <c r="C217" i="27"/>
  <c r="C275" i="27"/>
  <c r="C148" i="27"/>
  <c r="C271" i="27"/>
  <c r="C298" i="27"/>
  <c r="C155" i="27"/>
  <c r="C49" i="27"/>
  <c r="C173" i="27"/>
  <c r="C44" i="27"/>
  <c r="C294" i="27"/>
  <c r="C354" i="27"/>
  <c r="C175" i="27"/>
  <c r="C330" i="27"/>
  <c r="C252" i="27"/>
  <c r="C64" i="27"/>
  <c r="C159" i="27"/>
  <c r="C283" i="27"/>
  <c r="C212" i="27"/>
  <c r="C57" i="27"/>
  <c r="C221" i="27"/>
  <c r="C211" i="27"/>
  <c r="C257" i="27"/>
  <c r="C360" i="27"/>
  <c r="C262" i="27"/>
  <c r="C114" i="27"/>
  <c r="C131" i="27"/>
  <c r="C60" i="27"/>
  <c r="C227" i="27"/>
  <c r="C28" i="27"/>
  <c r="C243" i="27"/>
  <c r="C334" i="27"/>
  <c r="C38" i="27"/>
  <c r="C145" i="27"/>
  <c r="C349" i="27"/>
  <c r="C268" i="27"/>
  <c r="C25" i="27"/>
  <c r="C254" i="27"/>
  <c r="C86" i="27"/>
  <c r="C362" i="27"/>
  <c r="C338" i="27"/>
  <c r="C203" i="27"/>
  <c r="C205" i="27"/>
  <c r="C43" i="27"/>
  <c r="C128" i="27"/>
  <c r="C29" i="27"/>
  <c r="C21" i="27"/>
  <c r="C167" i="27"/>
  <c r="C325" i="27"/>
  <c r="C63" i="27"/>
  <c r="C240" i="27"/>
  <c r="C192" i="27"/>
  <c r="C353" i="27"/>
  <c r="C306" i="27"/>
  <c r="C85" i="27"/>
  <c r="C300" i="27"/>
  <c r="C285" i="27"/>
  <c r="C121" i="27"/>
  <c r="C12" i="27"/>
  <c r="C309" i="27"/>
  <c r="C269" i="27"/>
  <c r="C71" i="27"/>
  <c r="C186" i="27"/>
  <c r="C272" i="27"/>
  <c r="C273" i="27"/>
  <c r="C324" i="27"/>
  <c r="C320" i="27"/>
  <c r="C56" i="27"/>
  <c r="C98" i="27"/>
  <c r="C236" i="27"/>
  <c r="C113" i="27"/>
  <c r="C33" i="27"/>
  <c r="C157" i="27"/>
  <c r="C297" i="27"/>
  <c r="C8" i="27"/>
  <c r="C329" i="27"/>
  <c r="C97" i="27"/>
  <c r="C322" i="27"/>
  <c r="C317" i="27"/>
  <c r="C102" i="27"/>
  <c r="C379" i="27"/>
  <c r="C78" i="27"/>
  <c r="C107" i="27"/>
  <c r="C70" i="27"/>
  <c r="C190" i="27"/>
  <c r="C88" i="27"/>
  <c r="C286" i="27"/>
  <c r="C247" i="27"/>
  <c r="C16" i="27"/>
  <c r="C15" i="27"/>
  <c r="C230" i="27"/>
  <c r="C291" i="27"/>
  <c r="C209" i="27"/>
  <c r="C69" i="27"/>
  <c r="C303" i="27"/>
  <c r="C61" i="27"/>
  <c r="C355" i="27"/>
  <c r="C3" i="27"/>
  <c r="C147" i="27"/>
  <c r="C35" i="27"/>
  <c r="E107" i="27"/>
  <c r="E76" i="27"/>
  <c r="E336" i="27"/>
  <c r="E219" i="27"/>
  <c r="E283" i="27"/>
  <c r="E174" i="27"/>
  <c r="E46" i="4"/>
  <c r="E36" i="4"/>
  <c r="E203" i="27"/>
  <c r="E270" i="27"/>
  <c r="E250" i="27"/>
  <c r="E243" i="27"/>
  <c r="E118" i="27"/>
  <c r="E299" i="27"/>
  <c r="E98" i="27"/>
  <c r="E25" i="27"/>
  <c r="E239" i="27"/>
  <c r="E182" i="27"/>
  <c r="E22" i="27"/>
  <c r="E57" i="27"/>
  <c r="E171" i="27"/>
  <c r="E177" i="27"/>
  <c r="E74" i="27"/>
  <c r="E357" i="27"/>
  <c r="E47" i="4"/>
  <c r="E20" i="27"/>
  <c r="E288" i="27"/>
  <c r="E207" i="27"/>
  <c r="E313" i="27"/>
  <c r="E3" i="4"/>
  <c r="E52" i="4"/>
  <c r="E2" i="27"/>
  <c r="E75" i="27"/>
  <c r="E65" i="27"/>
  <c r="E119" i="27"/>
  <c r="E85" i="27"/>
  <c r="E353" i="27"/>
  <c r="E193" i="27"/>
  <c r="E162" i="27"/>
  <c r="E78" i="27"/>
  <c r="E19" i="4"/>
  <c r="E9" i="4"/>
  <c r="E46" i="27"/>
  <c r="E173" i="27"/>
  <c r="E148" i="27"/>
  <c r="E242" i="27"/>
  <c r="E38" i="4"/>
  <c r="E282" i="27"/>
  <c r="E28" i="4"/>
  <c r="E53" i="4"/>
  <c r="E50" i="4"/>
  <c r="E369" i="27"/>
  <c r="E153" i="27"/>
  <c r="E8" i="4"/>
  <c r="E40" i="4"/>
  <c r="E261" i="27"/>
  <c r="E251" i="27"/>
  <c r="E66" i="27"/>
  <c r="E27" i="4"/>
  <c r="E300" i="27"/>
  <c r="E364" i="27"/>
  <c r="E370" i="27"/>
  <c r="E358" i="27"/>
  <c r="E376" i="27"/>
  <c r="E311" i="27"/>
  <c r="E195" i="27"/>
  <c r="E154" i="27"/>
  <c r="E97" i="27"/>
  <c r="E291" i="27"/>
  <c r="E294" i="27"/>
  <c r="E253" i="27"/>
  <c r="E20" i="4"/>
  <c r="E281" i="27"/>
  <c r="E53" i="27"/>
  <c r="E37" i="4"/>
  <c r="E163" i="27"/>
  <c r="E33" i="4"/>
  <c r="E95" i="27"/>
  <c r="E268" i="27"/>
  <c r="E245" i="27"/>
  <c r="E233" i="27"/>
  <c r="E305" i="27"/>
  <c r="E35" i="4"/>
  <c r="E332" i="27"/>
  <c r="E302" i="27"/>
  <c r="E377" i="27"/>
  <c r="E363" i="27"/>
  <c r="E101" i="27"/>
  <c r="E352" i="27"/>
  <c r="E91" i="27"/>
  <c r="E335" i="27"/>
  <c r="E108" i="27"/>
  <c r="E61" i="27"/>
  <c r="E88" i="27"/>
  <c r="E256" i="27"/>
  <c r="E43" i="4"/>
  <c r="E234" i="27"/>
  <c r="E362" i="27"/>
  <c r="E82" i="27"/>
  <c r="E227" i="27"/>
  <c r="E134" i="27"/>
  <c r="E232" i="27"/>
  <c r="E161" i="27"/>
  <c r="E197" i="27"/>
  <c r="E80" i="27"/>
  <c r="E260" i="27"/>
  <c r="E321" i="27"/>
  <c r="E185" i="27"/>
  <c r="E42" i="4"/>
  <c r="E112" i="27"/>
  <c r="E166" i="27"/>
  <c r="E338" i="27"/>
  <c r="E319" i="27"/>
  <c r="E83" i="27"/>
  <c r="E139" i="27"/>
  <c r="E2" i="4"/>
  <c r="E231" i="27"/>
  <c r="E215" i="27"/>
  <c r="E346" i="27"/>
  <c r="E126" i="27"/>
  <c r="E213" i="27"/>
  <c r="E47" i="27"/>
  <c r="E135" i="27"/>
  <c r="E272" i="27"/>
  <c r="E13" i="27"/>
  <c r="E149" i="27"/>
  <c r="E10" i="27"/>
  <c r="E212" i="27"/>
  <c r="E236" i="27"/>
  <c r="E128" i="27"/>
  <c r="E123" i="27"/>
  <c r="E39" i="4"/>
  <c r="E19" i="27"/>
  <c r="E306" i="27"/>
  <c r="E122" i="27"/>
  <c r="E230" i="27"/>
  <c r="E27" i="27"/>
  <c r="E290" i="27"/>
  <c r="E41" i="27"/>
  <c r="E333" i="27"/>
  <c r="E304" i="27"/>
  <c r="E337" i="27"/>
  <c r="E194" i="27"/>
  <c r="E316" i="27"/>
  <c r="E26" i="4"/>
  <c r="E106" i="27"/>
  <c r="E331" i="27"/>
  <c r="E49" i="27"/>
  <c r="E87" i="27"/>
  <c r="E381" i="27"/>
  <c r="E44" i="27"/>
  <c r="E32" i="4"/>
  <c r="E254" i="27"/>
  <c r="E4" i="27"/>
  <c r="E188" i="27"/>
  <c r="E71" i="27"/>
  <c r="E73" i="27"/>
  <c r="E295" i="27"/>
  <c r="E11" i="27"/>
  <c r="E296" i="27"/>
  <c r="E104" i="27"/>
  <c r="E371" i="27"/>
  <c r="E144" i="27"/>
  <c r="E133" i="27"/>
  <c r="E90" i="27"/>
  <c r="E34" i="4"/>
  <c r="E18" i="4"/>
  <c r="E293" i="27"/>
  <c r="E339" i="27"/>
  <c r="E21" i="27"/>
  <c r="E13" i="4"/>
  <c r="E186" i="27"/>
  <c r="E190" i="27"/>
  <c r="E208" i="27"/>
  <c r="E372" i="27"/>
  <c r="E5" i="27"/>
  <c r="E14" i="4"/>
  <c r="E278" i="27"/>
  <c r="E280" i="27"/>
  <c r="E14" i="27"/>
  <c r="E168" i="27"/>
  <c r="E199" i="27"/>
  <c r="E328" i="27"/>
  <c r="E16" i="27"/>
  <c r="E158" i="27"/>
  <c r="E25" i="4"/>
  <c r="E21" i="4"/>
  <c r="E99" i="27"/>
  <c r="E146" i="27"/>
  <c r="E192" i="27"/>
  <c r="E96" i="27"/>
  <c r="E368" i="27"/>
  <c r="E303" i="27"/>
  <c r="E9" i="27"/>
  <c r="E200" i="27"/>
  <c r="E157" i="27"/>
  <c r="E301" i="27"/>
  <c r="E237" i="27"/>
  <c r="E380" i="27"/>
  <c r="E356" i="27"/>
  <c r="E248" i="27"/>
  <c r="E15" i="27"/>
  <c r="E45" i="27"/>
  <c r="E62" i="27"/>
  <c r="E51" i="4"/>
  <c r="E196" i="27"/>
  <c r="E117" i="27"/>
  <c r="E172" i="27"/>
  <c r="E77" i="27"/>
  <c r="E274" i="27"/>
  <c r="E298" i="27"/>
  <c r="E16" i="4"/>
  <c r="E34" i="27"/>
  <c r="E94" i="27"/>
  <c r="E287" i="27"/>
  <c r="E150" i="27"/>
  <c r="E347" i="27"/>
  <c r="E323" i="27"/>
  <c r="E354" i="27"/>
  <c r="E315" i="27"/>
  <c r="E115" i="27"/>
  <c r="E15" i="4"/>
  <c r="E137" i="27"/>
  <c r="E18" i="27"/>
  <c r="E48" i="27"/>
  <c r="E24" i="4"/>
  <c r="E325" i="27"/>
  <c r="E189" i="27"/>
  <c r="E351" i="27"/>
  <c r="E216" i="27"/>
  <c r="E42" i="27"/>
  <c r="E29" i="27"/>
  <c r="E235" i="27"/>
  <c r="E31" i="4"/>
  <c r="E292" i="27"/>
  <c r="E41" i="4"/>
  <c r="E38" i="27"/>
  <c r="E309" i="27"/>
  <c r="E373" i="27"/>
  <c r="E6" i="27"/>
  <c r="E24" i="27"/>
  <c r="E374" i="27"/>
  <c r="E191" i="27"/>
  <c r="E220" i="27"/>
  <c r="E223" i="27"/>
  <c r="E127" i="27"/>
  <c r="E310" i="27"/>
  <c r="E330" i="27"/>
  <c r="E50" i="27"/>
  <c r="E275" i="27"/>
  <c r="E79" i="27"/>
  <c r="E63" i="27"/>
  <c r="E10" i="4"/>
  <c r="E160" i="27"/>
  <c r="E37" i="27"/>
  <c r="E113" i="27"/>
  <c r="E48" i="4"/>
  <c r="E181" i="27"/>
  <c r="E28" i="27"/>
  <c r="E228" i="27"/>
  <c r="E267" i="27"/>
  <c r="E131" i="27"/>
  <c r="E116" i="27"/>
  <c r="E175" i="27"/>
  <c r="E32" i="27"/>
  <c r="E8" i="27"/>
  <c r="E69" i="27"/>
  <c r="E241" i="27"/>
  <c r="E205" i="27"/>
  <c r="E179" i="27"/>
  <c r="E152" i="27"/>
  <c r="E198" i="27"/>
  <c r="E349" i="27"/>
  <c r="E5" i="4"/>
  <c r="E342" i="27"/>
  <c r="E72" i="27"/>
  <c r="E277" i="27"/>
  <c r="E64" i="27"/>
  <c r="E307" i="27"/>
  <c r="E103" i="27"/>
  <c r="E102" i="27"/>
  <c r="E238" i="27"/>
  <c r="E244" i="27"/>
  <c r="E360" i="27"/>
  <c r="E7" i="4"/>
  <c r="E201" i="27"/>
  <c r="E329" i="27"/>
  <c r="E225" i="27"/>
  <c r="E375" i="27"/>
  <c r="E92" i="27"/>
  <c r="E211" i="27"/>
  <c r="E334" i="27"/>
  <c r="E100" i="27"/>
  <c r="E31" i="27"/>
  <c r="E167" i="27"/>
  <c r="E68" i="27"/>
  <c r="E109" i="27"/>
  <c r="E340" i="27"/>
  <c r="E206" i="27"/>
  <c r="E11" i="4"/>
  <c r="E105" i="27"/>
  <c r="E22" i="4"/>
  <c r="E257" i="27"/>
  <c r="E355" i="27"/>
  <c r="E252" i="27"/>
  <c r="E204" i="27"/>
  <c r="E246" i="27"/>
  <c r="E140" i="27"/>
  <c r="E210" i="27"/>
  <c r="E40" i="27"/>
  <c r="E60" i="27"/>
  <c r="E136" i="27"/>
  <c r="E378" i="27"/>
  <c r="E308" i="27"/>
  <c r="E7" i="27"/>
  <c r="E184" i="27"/>
  <c r="E151" i="27"/>
  <c r="E209" i="27"/>
  <c r="E285" i="27"/>
  <c r="E176" i="27"/>
  <c r="E247" i="27"/>
  <c r="E214" i="27"/>
  <c r="E145" i="27"/>
  <c r="E70" i="27"/>
  <c r="E314" i="27"/>
  <c r="E23" i="4"/>
  <c r="E56" i="27"/>
  <c r="E142" i="27"/>
  <c r="E222" i="27"/>
  <c r="E322" i="27"/>
  <c r="E81" i="27"/>
  <c r="E379" i="27"/>
  <c r="E344" i="27"/>
  <c r="E45" i="4"/>
  <c r="E273" i="27"/>
  <c r="E258" i="27"/>
  <c r="E279" i="27"/>
  <c r="E110" i="27"/>
  <c r="E52" i="27"/>
  <c r="E147" i="27"/>
  <c r="E318" i="27"/>
  <c r="E120" i="27"/>
  <c r="E327" i="27"/>
  <c r="E59" i="27"/>
  <c r="E35" i="27"/>
  <c r="E33" i="27"/>
  <c r="E265" i="27"/>
  <c r="E320" i="27"/>
  <c r="E54" i="27"/>
  <c r="E93" i="27"/>
  <c r="E326" i="27"/>
  <c r="E170" i="27"/>
  <c r="E266" i="27"/>
  <c r="E226" i="27"/>
  <c r="E12" i="4"/>
  <c r="E111" i="27"/>
  <c r="E129" i="27"/>
  <c r="E43" i="27"/>
  <c r="E39" i="27"/>
  <c r="E132" i="27"/>
  <c r="E359" i="27"/>
  <c r="E255" i="27"/>
  <c r="E276" i="27"/>
  <c r="E156" i="27"/>
  <c r="E141" i="27"/>
  <c r="E169" i="27"/>
  <c r="E317" i="27"/>
  <c r="E121" i="27"/>
  <c r="E178" i="27"/>
  <c r="E159" i="27"/>
  <c r="E286" i="27"/>
  <c r="E297" i="27"/>
  <c r="E49" i="4"/>
  <c r="E12" i="27"/>
  <c r="E138" i="27"/>
  <c r="E26" i="27"/>
  <c r="E343" i="27"/>
  <c r="E365" i="27"/>
  <c r="E30" i="4"/>
  <c r="E4" i="4"/>
  <c r="E29" i="4"/>
  <c r="E249" i="27"/>
  <c r="E51" i="27"/>
  <c r="E180" i="27"/>
  <c r="E271" i="27"/>
  <c r="E366" i="27"/>
  <c r="E17" i="4"/>
  <c r="E284" i="27"/>
  <c r="E263" i="27"/>
  <c r="E348" i="27"/>
  <c r="E183" i="27"/>
  <c r="E202" i="27"/>
  <c r="E221" i="27"/>
  <c r="E259" i="27"/>
  <c r="E229" i="27"/>
  <c r="E218" i="27"/>
  <c r="E345" i="27"/>
  <c r="E367" i="27"/>
  <c r="E114" i="27"/>
  <c r="E224" i="27"/>
  <c r="E6" i="4"/>
  <c r="E155" i="27"/>
  <c r="E30" i="27"/>
  <c r="E130" i="27"/>
  <c r="E312" i="27"/>
  <c r="E269" i="27"/>
  <c r="E264" i="27"/>
  <c r="E89" i="27"/>
  <c r="E36" i="27"/>
  <c r="E341" i="27"/>
  <c r="E164" i="27"/>
  <c r="E17" i="27"/>
  <c r="E350" i="27"/>
  <c r="E240" i="27"/>
  <c r="E289" i="27"/>
  <c r="E361" i="27"/>
  <c r="E55" i="27"/>
  <c r="E124" i="27"/>
  <c r="E58" i="27"/>
  <c r="E165" i="27"/>
  <c r="E187" i="27"/>
  <c r="E44" i="4"/>
  <c r="E67" i="27"/>
  <c r="E3" i="27"/>
  <c r="E86" i="27"/>
  <c r="E217" i="27"/>
  <c r="E324" i="27"/>
  <c r="E23" i="27"/>
  <c r="E143" i="27"/>
  <c r="E262" i="27"/>
  <c r="E125" i="27"/>
  <c r="E84" i="27"/>
  <c r="A79" i="12"/>
  <c r="A80" i="12"/>
  <c r="A74" i="12" l="1"/>
  <c r="A104" i="12" l="1"/>
  <c r="A141" i="12" l="1"/>
  <c r="A140" i="12"/>
  <c r="A29" i="11"/>
  <c r="A17" i="11"/>
  <c r="A122" i="12" l="1"/>
  <c r="A6" i="12"/>
  <c r="A45" i="12" l="1"/>
  <c r="A3" i="7" l="1"/>
  <c r="A136" i="12"/>
  <c r="A110" i="12"/>
  <c r="A84" i="12"/>
  <c r="A72" i="12"/>
  <c r="A108" i="12"/>
  <c r="A107" i="12"/>
  <c r="A12" i="11"/>
  <c r="A2" i="7"/>
  <c r="A137" i="12"/>
  <c r="A135" i="12"/>
  <c r="A134" i="12"/>
  <c r="A7" i="12"/>
  <c r="A5" i="12"/>
  <c r="A4" i="12"/>
  <c r="A8" i="12"/>
  <c r="A3" i="12"/>
  <c r="A25" i="12"/>
  <c r="A21" i="12"/>
  <c r="A20" i="12"/>
  <c r="A121" i="12"/>
  <c r="A120" i="12"/>
  <c r="A119" i="12"/>
  <c r="A118" i="12"/>
  <c r="A117" i="12"/>
  <c r="A102" i="12"/>
  <c r="A105" i="12"/>
  <c r="A103" i="12"/>
  <c r="A100" i="12"/>
  <c r="A113" i="12"/>
  <c r="A112" i="12"/>
  <c r="A111" i="12"/>
  <c r="A83" i="12"/>
  <c r="A82" i="12"/>
  <c r="A81" i="12"/>
  <c r="A76" i="12"/>
  <c r="A75" i="12"/>
  <c r="A73" i="12"/>
  <c r="A71" i="12"/>
  <c r="A70" i="12"/>
  <c r="A69" i="12"/>
  <c r="A68" i="12"/>
  <c r="A66" i="12"/>
  <c r="A65" i="12"/>
  <c r="A64" i="12"/>
  <c r="A57" i="12"/>
  <c r="A56" i="12"/>
  <c r="A55" i="12"/>
  <c r="A53" i="12"/>
  <c r="A52" i="12"/>
  <c r="A44" i="12"/>
  <c r="A43" i="12"/>
  <c r="A42" i="12"/>
  <c r="A41" i="12"/>
  <c r="A40" i="12"/>
  <c r="A28" i="12"/>
  <c r="A34" i="12"/>
  <c r="A33" i="12"/>
  <c r="A32" i="12"/>
  <c r="A31" i="12"/>
  <c r="A30" i="12"/>
  <c r="A29" i="12"/>
  <c r="A9" i="12"/>
  <c r="A10" i="12"/>
  <c r="A19" i="11"/>
  <c r="A8" i="11"/>
  <c r="A18" i="11"/>
  <c r="A16" i="11"/>
  <c r="A14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G23" i="11" a="1"/>
  <c r="G34" i="11" a="1"/>
  <c r="G10" i="11" a="1"/>
  <c r="G30" i="11" a="1"/>
  <c r="G11" i="11" a="1"/>
  <c r="G16" i="11" a="1"/>
  <c r="G32" i="11" a="1"/>
  <c r="G3" i="11" a="1"/>
  <c r="G13" i="11" a="1"/>
  <c r="G7" i="11" a="1"/>
  <c r="G15" i="11" a="1"/>
  <c r="G27" i="11" a="1"/>
  <c r="G38" i="11" a="1"/>
  <c r="G37" i="11" a="1"/>
  <c r="G29" i="11" a="1"/>
  <c r="G20" i="11" a="1"/>
  <c r="G21" i="11" a="1"/>
  <c r="G22" i="11" a="1"/>
  <c r="G8" i="11" a="1"/>
  <c r="G18" i="11" a="1"/>
  <c r="G4" i="11" a="1"/>
  <c r="G28" i="11" a="1"/>
  <c r="G14" i="11" a="1"/>
  <c r="G9" i="11" a="1"/>
  <c r="G24" i="11" a="1"/>
  <c r="G19" i="11" a="1"/>
  <c r="G5" i="11" a="1"/>
  <c r="G25" i="11" a="1"/>
  <c r="G35" i="11" a="1"/>
  <c r="G31" i="11" a="1"/>
  <c r="G6" i="11" a="1"/>
  <c r="G12" i="11" a="1"/>
  <c r="G26" i="11" a="1"/>
  <c r="G36" i="11" a="1"/>
  <c r="G33" i="11" a="1"/>
  <c r="G17" i="11" a="1"/>
  <c r="E32" i="40" a="1"/>
  <c r="C108" i="12" a="1"/>
  <c r="C66" i="12" a="1"/>
  <c r="C2" i="5" a="1"/>
  <c r="G31" i="40" a="1"/>
  <c r="C42" i="53" a="1"/>
  <c r="G2" i="40" a="1"/>
  <c r="E33" i="40" a="1"/>
  <c r="C24" i="11" a="1"/>
  <c r="C80" i="12" a="1"/>
  <c r="C33" i="2" a="1"/>
  <c r="C34" i="11" a="1"/>
  <c r="E30" i="40" a="1"/>
  <c r="C125" i="12" a="1"/>
  <c r="E8" i="40" a="1"/>
  <c r="C172" i="12" a="1"/>
  <c r="C112" i="12" a="1"/>
  <c r="E15" i="40" a="1"/>
  <c r="D15" i="37" a="1"/>
  <c r="C36" i="12" a="1"/>
  <c r="E6" i="40" a="1"/>
  <c r="E34" i="40" a="1"/>
  <c r="C53" i="12" a="1"/>
  <c r="C6" i="11" a="1"/>
  <c r="C51" i="53" a="1"/>
  <c r="C237" i="12" a="1"/>
  <c r="C11" i="2" a="1"/>
  <c r="G12" i="40" a="1"/>
  <c r="C70" i="12" a="1"/>
  <c r="E52" i="40" a="1"/>
  <c r="C169" i="12" a="1"/>
  <c r="C32" i="53" a="1"/>
  <c r="C15" i="53" a="1"/>
  <c r="E36" i="40" a="1"/>
  <c r="G51" i="40" a="1"/>
  <c r="C39" i="2" a="1"/>
  <c r="E10" i="31" a="1"/>
  <c r="C194" i="12" a="1"/>
  <c r="C96" i="12" a="1"/>
  <c r="E49" i="40" a="1"/>
  <c r="C98" i="12" a="1"/>
  <c r="C71" i="12" a="1"/>
  <c r="C60" i="12" a="1"/>
  <c r="C33" i="11" a="1"/>
  <c r="C48" i="12" a="1"/>
  <c r="C50" i="12" a="1"/>
  <c r="C12" i="53" a="1"/>
  <c r="E55" i="40" a="1"/>
  <c r="C228" i="12" a="1"/>
  <c r="C46" i="53" a="1"/>
  <c r="C21" i="2" a="1"/>
  <c r="C116" i="12" a="1"/>
  <c r="C55" i="53" a="1"/>
  <c r="C132" i="12" a="1"/>
  <c r="C22" i="2" a="1"/>
  <c r="C16" i="53" a="1"/>
  <c r="D20" i="37" a="1"/>
  <c r="C167" i="12" a="1"/>
  <c r="G39" i="40" a="1"/>
  <c r="C191" i="12" a="1"/>
  <c r="C27" i="12" a="1"/>
  <c r="C103" i="12" a="1"/>
  <c r="C27" i="2" a="1"/>
  <c r="C213" i="12" a="1"/>
  <c r="C2" i="49" a="1"/>
  <c r="C11" i="12" a="1"/>
  <c r="E13" i="31" a="1"/>
  <c r="C226" i="12" a="1"/>
  <c r="C14" i="2" a="1"/>
  <c r="C3" i="46" a="1"/>
  <c r="E9" i="46" a="1"/>
  <c r="C4" i="53" a="1"/>
  <c r="C8" i="11" a="1"/>
  <c r="E11" i="46" a="1"/>
  <c r="E35" i="40" a="1"/>
  <c r="C137" i="12" a="1"/>
  <c r="C10" i="53" a="1"/>
  <c r="C183" i="12" a="1"/>
  <c r="C17" i="11" a="1"/>
  <c r="C22" i="11" a="1"/>
  <c r="C177" i="12" a="1"/>
  <c r="G40" i="40" a="1"/>
  <c r="C2" i="33" a="1"/>
  <c r="C28" i="53" a="1"/>
  <c r="C155" i="12" a="1"/>
  <c r="C43" i="53" a="1"/>
  <c r="G53" i="40" a="1"/>
  <c r="C35" i="53" a="1"/>
  <c r="C114" i="12" a="1"/>
  <c r="C2" i="53" a="1"/>
  <c r="C93" i="12" a="1"/>
  <c r="C49" i="53" a="1"/>
  <c r="C9" i="53" a="1"/>
  <c r="C56" i="53" a="1"/>
  <c r="C179" i="12" a="1"/>
  <c r="C34" i="2" a="1"/>
  <c r="C65" i="12" a="1"/>
  <c r="C25" i="53" a="1"/>
  <c r="E3" i="40" a="1"/>
  <c r="C201" i="12" a="1"/>
  <c r="C143" i="12" a="1"/>
  <c r="E11" i="40" a="1"/>
  <c r="E43" i="40" a="1"/>
  <c r="C4" i="46" a="1"/>
  <c r="C63" i="53" a="1"/>
  <c r="G23" i="40" a="1"/>
  <c r="C94" i="12" a="1"/>
  <c r="G6" i="40" a="1"/>
  <c r="C61" i="12" a="1"/>
  <c r="C8" i="53" a="1"/>
  <c r="G20" i="40" a="1"/>
  <c r="G27" i="40" a="1"/>
  <c r="E5" i="46" a="1"/>
  <c r="C217" i="12" a="1"/>
  <c r="E20" i="40" a="1"/>
  <c r="C66" i="53" a="1"/>
  <c r="C24" i="2" a="1"/>
  <c r="C8" i="46" a="1"/>
  <c r="C128" i="12" a="1"/>
  <c r="C206" i="12" a="1"/>
  <c r="E31" i="40" a="1"/>
  <c r="D9" i="37" a="1"/>
  <c r="C193" i="12" a="1"/>
  <c r="C2" i="2" a="1"/>
  <c r="G46" i="40" a="1"/>
  <c r="C31" i="53" a="1"/>
  <c r="C101" i="12" a="1"/>
  <c r="C196" i="12" a="1"/>
  <c r="C16" i="11" a="1"/>
  <c r="C55" i="12" a="1"/>
  <c r="C23" i="53" a="1"/>
  <c r="C205" i="12" a="1"/>
  <c r="C19" i="53" a="1"/>
  <c r="C107" i="12" a="1"/>
  <c r="C174" i="12" a="1"/>
  <c r="C37" i="53" a="1"/>
  <c r="C225" i="12" a="1"/>
  <c r="E54" i="40" a="1"/>
  <c r="D12" i="37" a="1"/>
  <c r="E6" i="31" a="1"/>
  <c r="C18" i="12" a="1"/>
  <c r="D11" i="37" a="1"/>
  <c r="E15" i="31" a="1"/>
  <c r="C45" i="53" a="1"/>
  <c r="E28" i="40" a="1"/>
  <c r="C7" i="2" a="1"/>
  <c r="C4" i="2" a="1"/>
  <c r="G28" i="40" a="1"/>
  <c r="G49" i="40" a="1"/>
  <c r="C44" i="12" a="1"/>
  <c r="C22" i="12" a="1"/>
  <c r="C175" i="12" a="1"/>
  <c r="C165" i="12" a="1"/>
  <c r="E2" i="50" a="1"/>
  <c r="C36" i="2" a="1"/>
  <c r="E42" i="40" a="1"/>
  <c r="C30" i="2" a="1"/>
  <c r="C13" i="12" a="1"/>
  <c r="E3" i="46" a="1"/>
  <c r="E48" i="40" a="1"/>
  <c r="C26" i="53" a="1"/>
  <c r="G45" i="40" a="1"/>
  <c r="C16" i="2" a="1"/>
  <c r="C151" i="12" a="1"/>
  <c r="C113" i="12" a="1"/>
  <c r="C208" i="12" a="1"/>
  <c r="C69" i="12" a="1"/>
  <c r="C77" i="12" a="1"/>
  <c r="C231" i="12" a="1"/>
  <c r="C73" i="12" a="1"/>
  <c r="E45" i="40" a="1"/>
  <c r="C34" i="53" a="1"/>
  <c r="C47" i="53" a="1"/>
  <c r="C3" i="2" a="1"/>
  <c r="C10" i="11" a="1"/>
  <c r="C62" i="12" a="1"/>
  <c r="C7" i="53" a="1"/>
  <c r="C176" i="12" a="1"/>
  <c r="C35" i="2" a="1"/>
  <c r="C54" i="53" a="1"/>
  <c r="C11" i="53" a="1"/>
  <c r="C20" i="53" a="1"/>
  <c r="C31" i="2" a="1"/>
  <c r="E10" i="46" a="1"/>
  <c r="C50" i="53" a="1"/>
  <c r="C3" i="12" a="1"/>
  <c r="C8" i="2" a="1"/>
  <c r="C59" i="53" a="1"/>
  <c r="C18" i="2" a="1"/>
  <c r="C68" i="12" a="1"/>
  <c r="C37" i="11" a="1"/>
  <c r="C57" i="53" a="1"/>
  <c r="C204" i="12" a="1"/>
  <c r="C58" i="12" a="1"/>
  <c r="C16" i="12" a="1"/>
  <c r="D18" i="37" a="1"/>
  <c r="C13" i="11" a="1"/>
  <c r="C221" i="12" a="1"/>
  <c r="C160" i="12" a="1"/>
  <c r="C144" i="12" a="1"/>
  <c r="G17" i="40" a="1"/>
  <c r="C9" i="46" a="1"/>
  <c r="C145" i="12" a="1"/>
  <c r="C154" i="12" a="1"/>
  <c r="C198" i="12" a="1"/>
  <c r="C33" i="12" a="1"/>
  <c r="C58" i="53" a="1"/>
  <c r="G11" i="40" a="1"/>
  <c r="C235" i="12" a="1"/>
  <c r="C20" i="2" a="1"/>
  <c r="E37" i="40" a="1"/>
  <c r="C38" i="53" a="1"/>
  <c r="G30" i="40" a="1"/>
  <c r="C158" i="12" a="1"/>
  <c r="C41" i="53" a="1"/>
  <c r="E18" i="31" a="1"/>
  <c r="C11" i="46" a="1"/>
  <c r="G44" i="40" a="1"/>
  <c r="G43" i="40" a="1"/>
  <c r="C32" i="11" a="1"/>
  <c r="E22" i="40" a="1"/>
  <c r="C120" i="12" a="1"/>
  <c r="C12" i="11" a="1"/>
  <c r="C168" i="12" a="1"/>
  <c r="G48" i="40" a="1"/>
  <c r="C28" i="11" a="1"/>
  <c r="C159" i="12" a="1"/>
  <c r="E27" i="40" a="1"/>
  <c r="C214" i="12" a="1"/>
  <c r="C14" i="11" a="1"/>
  <c r="E14" i="31" a="1"/>
  <c r="C78" i="12" a="1"/>
  <c r="E11" i="31" a="1"/>
  <c r="E46" i="40" a="1"/>
  <c r="E14" i="40" a="1"/>
  <c r="C21" i="53" a="1"/>
  <c r="C59" i="12" a="1"/>
  <c r="C162" i="12" a="1"/>
  <c r="C5" i="12" a="1"/>
  <c r="C190" i="12" a="1"/>
  <c r="E13" i="40" a="1"/>
  <c r="C25" i="12" a="1"/>
  <c r="C13" i="2" a="1"/>
  <c r="D14" i="37" a="1"/>
  <c r="E17" i="40" a="1"/>
  <c r="C32" i="2" a="1"/>
  <c r="C67" i="53" a="1"/>
  <c r="C10" i="2" a="1"/>
  <c r="C53" i="53" a="1"/>
  <c r="D17" i="37" a="1"/>
  <c r="C23" i="2" a="1"/>
  <c r="C28" i="2" a="1"/>
  <c r="C173" i="12" a="1"/>
  <c r="C5" i="2" a="1"/>
  <c r="D16" i="37" a="1"/>
  <c r="C2" i="46" a="1"/>
  <c r="C8" i="12" a="1"/>
  <c r="C18" i="11" a="1"/>
  <c r="C4" i="11" a="1"/>
  <c r="E4" i="31" a="1"/>
  <c r="C109" i="12" a="1"/>
  <c r="C111" i="12" a="1"/>
  <c r="C2" i="41" a="1"/>
  <c r="C35" i="11" a="1"/>
  <c r="C29" i="12" a="1"/>
  <c r="C187" i="12" a="1"/>
  <c r="C126" i="12" a="1"/>
  <c r="C30" i="53" a="1"/>
  <c r="C224" i="12" a="1"/>
  <c r="E17" i="31" a="1"/>
  <c r="C92" i="12" a="1"/>
  <c r="C133" i="12" a="1"/>
  <c r="C7" i="46" a="1"/>
  <c r="G36" i="40" a="1"/>
  <c r="C215" i="12" a="1"/>
  <c r="C34" i="12" a="1"/>
  <c r="G41" i="40" a="1"/>
  <c r="C119" i="12" a="1"/>
  <c r="G8" i="40" a="1"/>
  <c r="C12" i="46" a="1"/>
  <c r="C29" i="2" a="1"/>
  <c r="C166" i="12" a="1"/>
  <c r="G32" i="40" a="1"/>
  <c r="C26" i="11" a="1"/>
  <c r="C117" i="12" a="1"/>
  <c r="C135" i="12" a="1"/>
  <c r="C24" i="12" a="1"/>
  <c r="D10" i="37" a="1"/>
  <c r="C85" i="12" a="1"/>
  <c r="C232" i="12" a="1"/>
  <c r="C87" i="12" a="1"/>
  <c r="E3" i="31" a="1"/>
  <c r="C37" i="12" a="1"/>
  <c r="E12" i="46" a="1"/>
  <c r="C20" i="11" a="1"/>
  <c r="E47" i="40" a="1"/>
  <c r="C10" i="12" a="1"/>
  <c r="C13" i="53" a="1"/>
  <c r="C6" i="12" a="1"/>
  <c r="C184" i="12" a="1"/>
  <c r="C142" i="12" a="1"/>
  <c r="G37" i="40" a="1"/>
  <c r="C6" i="46" a="1"/>
  <c r="C189" i="12" a="1"/>
  <c r="G14" i="40" a="1"/>
  <c r="C2" i="12" a="1"/>
  <c r="C75" i="12" a="1"/>
  <c r="G21" i="40" a="1"/>
  <c r="C164" i="12" a="1"/>
  <c r="C21" i="12" a="1"/>
  <c r="C15" i="2" a="1"/>
  <c r="C12" i="2" a="1"/>
  <c r="G35" i="40" a="1"/>
  <c r="E8" i="31" a="1"/>
  <c r="E21" i="40" a="1"/>
  <c r="E5" i="31" a="1"/>
  <c r="G25" i="40" a="1"/>
  <c r="C29" i="53" a="1"/>
  <c r="E29" i="40" a="1"/>
  <c r="C30" i="11" a="1"/>
  <c r="C25" i="2" a="1"/>
  <c r="C33" i="53" a="1"/>
  <c r="C105" i="12" a="1"/>
  <c r="E19" i="40" a="1"/>
  <c r="C14" i="12" a="1"/>
  <c r="C52" i="53" a="1"/>
  <c r="G13" i="40" a="1"/>
  <c r="C91" i="12" a="1"/>
  <c r="G50" i="40" a="1"/>
  <c r="C31" i="12" a="1"/>
  <c r="C17" i="53" a="1"/>
  <c r="D19" i="37" a="1"/>
  <c r="C64" i="12" a="1"/>
  <c r="C28" i="12" a="1"/>
  <c r="C131" i="12" a="1"/>
  <c r="E7" i="46" a="1"/>
  <c r="C23" i="12" a="1"/>
  <c r="E12" i="40" a="1"/>
  <c r="C7" i="11" a="1"/>
  <c r="E13" i="46" a="1"/>
  <c r="C38" i="11" a="1"/>
  <c r="C234" i="12" a="1"/>
  <c r="C45" i="12" a="1"/>
  <c r="C42" i="12" a="1"/>
  <c r="C26" i="12" a="1"/>
  <c r="C90" i="12" a="1"/>
  <c r="G18" i="40" a="1"/>
  <c r="C67" i="12" a="1"/>
  <c r="E2" i="46" a="1"/>
  <c r="E4" i="40" a="1"/>
  <c r="E41" i="40" a="1"/>
  <c r="G55" i="40" a="1"/>
  <c r="C230" i="12" a="1"/>
  <c r="C72" i="12" a="1"/>
  <c r="E12" i="31" a="1"/>
  <c r="C170" i="12" a="1"/>
  <c r="C6" i="2" a="1"/>
  <c r="C110" i="12" a="1"/>
  <c r="C51" i="12" a="1"/>
  <c r="C36" i="11" a="1"/>
  <c r="C222" i="12" a="1"/>
  <c r="C37" i="2" a="1"/>
  <c r="E23" i="40" a="1"/>
  <c r="C141" i="12" a="1"/>
  <c r="C74" i="12" a="1"/>
  <c r="C41" i="12" a="1"/>
  <c r="E8" i="46" a="1"/>
  <c r="G10" i="40" a="1"/>
  <c r="D13" i="37" a="1"/>
  <c r="C5" i="46" a="1"/>
  <c r="C65" i="53" a="1"/>
  <c r="C209" i="12" a="1"/>
  <c r="C207" i="12" a="1"/>
  <c r="C47" i="12" a="1"/>
  <c r="C227" i="12" a="1"/>
  <c r="C10" i="46" a="1"/>
  <c r="E44" i="40" a="1"/>
  <c r="G16" i="40" a="1"/>
  <c r="C130" i="12" a="1"/>
  <c r="E4" i="46" a="1"/>
  <c r="C19" i="11" a="1"/>
  <c r="C31" i="11" a="1"/>
  <c r="C3" i="11" a="1"/>
  <c r="C49" i="12" a="1"/>
  <c r="C26" i="2" a="1"/>
  <c r="C202" i="12" a="1"/>
  <c r="C171" i="12" a="1"/>
  <c r="C139" i="12" a="1"/>
  <c r="C19" i="2" a="1"/>
  <c r="C39" i="12" a="1"/>
  <c r="C9" i="11" a="1"/>
  <c r="C84" i="12" a="1"/>
  <c r="C54" i="12" a="1"/>
  <c r="C216" i="12" a="1"/>
  <c r="C52" i="12" a="1"/>
  <c r="C32" i="12" a="1"/>
  <c r="C100" i="12" a="1"/>
  <c r="C148" i="12" a="1"/>
  <c r="C36" i="53" a="1"/>
  <c r="C203" i="12" a="1"/>
  <c r="C180" i="12" a="1"/>
  <c r="C11" i="11" a="1"/>
  <c r="E50" i="40" a="1"/>
  <c r="E40" i="40" a="1"/>
  <c r="C7" i="12" a="1"/>
  <c r="C146" i="12" a="1"/>
  <c r="G42" i="40" a="1"/>
  <c r="C6" i="53" a="1"/>
  <c r="C195" i="12" a="1"/>
  <c r="C150" i="12" a="1"/>
  <c r="E2" i="31" a="1"/>
  <c r="E38" i="40" a="1"/>
  <c r="C3" i="53" a="1"/>
  <c r="C12" i="12" a="1"/>
  <c r="C38" i="12" a="1"/>
  <c r="G52" i="40" a="1"/>
  <c r="G24" i="40" a="1"/>
  <c r="G47" i="40" a="1"/>
  <c r="C127" i="12" a="1"/>
  <c r="C147" i="12" a="1"/>
  <c r="C82" i="12" a="1"/>
  <c r="E6" i="46" a="1"/>
  <c r="C123" i="12" a="1"/>
  <c r="C236" i="12" a="1"/>
  <c r="C149" i="12" a="1"/>
  <c r="C181" i="12" a="1"/>
  <c r="C9" i="12" a="1"/>
  <c r="G33" i="40" a="1"/>
  <c r="E26" i="40" a="1"/>
  <c r="G5" i="40" a="1"/>
  <c r="C27" i="11" a="1"/>
  <c r="G4" i="40" a="1"/>
  <c r="C24" i="53" a="1"/>
  <c r="C182" i="12" a="1"/>
  <c r="C188" i="12" a="1"/>
  <c r="C197" i="12" a="1"/>
  <c r="E10" i="40" a="1"/>
  <c r="C15" i="12" a="1"/>
  <c r="C161" i="12" a="1"/>
  <c r="C81" i="12" a="1"/>
  <c r="G7" i="40" a="1"/>
  <c r="C23" i="11" a="1"/>
  <c r="C9" i="2" a="1"/>
  <c r="C218" i="12" a="1"/>
  <c r="C27" i="53" a="1"/>
  <c r="G54" i="40" a="1"/>
  <c r="G34" i="40" a="1"/>
  <c r="C14" i="53" a="1"/>
  <c r="C30" i="12" a="1"/>
  <c r="C89" i="12" a="1"/>
  <c r="G38" i="40" a="1"/>
  <c r="C156" i="12" a="1"/>
  <c r="C56" i="12" a="1"/>
  <c r="E16" i="40" a="1"/>
  <c r="C76" i="12" a="1"/>
  <c r="C136" i="12" a="1"/>
  <c r="E9" i="40" a="1"/>
  <c r="C68" i="53" a="1"/>
  <c r="C192" i="12" a="1"/>
  <c r="C212" i="12" a="1"/>
  <c r="C2" i="11" a="1"/>
  <c r="C99" i="12" a="1"/>
  <c r="E19" i="31" a="1"/>
  <c r="C18" i="53" a="1"/>
  <c r="C15" i="11" a="1"/>
  <c r="E25" i="40" a="1"/>
  <c r="C40" i="53" a="1"/>
  <c r="C29" i="11" a="1"/>
  <c r="C118" i="12" a="1"/>
  <c r="G2" i="11" a="1"/>
  <c r="C220" i="12" a="1"/>
  <c r="C46" i="12" a="1"/>
  <c r="C43" i="12" a="1"/>
  <c r="C138" i="12" a="1"/>
  <c r="E16" i="31" a="1"/>
  <c r="C186" i="12" a="1"/>
  <c r="C163" i="12" a="1"/>
  <c r="C20" i="12" a="1"/>
  <c r="G3" i="40" a="1"/>
  <c r="C57" i="12" a="1"/>
  <c r="C106" i="12" a="1"/>
  <c r="C35" i="12" a="1"/>
  <c r="C40" i="12" a="1"/>
  <c r="C44" i="53" a="1"/>
  <c r="C5" i="11" a="1"/>
  <c r="C129" i="12" a="1"/>
  <c r="E24" i="40" a="1"/>
  <c r="C4" i="12" a="1"/>
  <c r="C124" i="12" a="1"/>
  <c r="C152" i="12" a="1"/>
  <c r="C104" i="12" a="1"/>
  <c r="C140" i="12" a="1"/>
  <c r="C19" i="12" a="1"/>
  <c r="E51" i="40" a="1"/>
  <c r="C17" i="2" a="1"/>
  <c r="E18" i="40" a="1"/>
  <c r="G29" i="40" a="1"/>
  <c r="C69" i="53" a="1"/>
  <c r="C122" i="12" a="1"/>
  <c r="C229" i="12" a="1"/>
  <c r="E39" i="40" a="1"/>
  <c r="G22" i="40" a="1"/>
  <c r="C64" i="53" a="1"/>
  <c r="C13" i="46" a="1"/>
  <c r="C61" i="53" a="1"/>
  <c r="G19" i="40" a="1"/>
  <c r="C60" i="53" a="1"/>
  <c r="C121" i="12" a="1"/>
  <c r="C223" i="12" a="1"/>
  <c r="C97" i="12" a="1"/>
  <c r="C115" i="12" a="1"/>
  <c r="E7" i="31" a="1"/>
  <c r="C211" i="12" a="1"/>
  <c r="D8" i="37" a="1"/>
  <c r="C153" i="12" a="1"/>
  <c r="C5" i="53" a="1"/>
  <c r="C22" i="53" a="1"/>
  <c r="G15" i="40" a="1"/>
  <c r="C17" i="12" a="1"/>
  <c r="C79" i="12" a="1"/>
  <c r="C21" i="11" a="1"/>
  <c r="C88" i="12" a="1"/>
  <c r="G9" i="40" a="1"/>
  <c r="C200" i="12" a="1"/>
  <c r="C48" i="53" a="1"/>
  <c r="E7" i="40" a="1"/>
  <c r="C38" i="2" a="1"/>
  <c r="C210" i="12" a="1"/>
  <c r="C95" i="12" a="1"/>
  <c r="G2" i="15" a="1"/>
  <c r="C25" i="11" a="1"/>
  <c r="C134" i="12" a="1"/>
  <c r="E2" i="40" a="1"/>
  <c r="E53" i="40" a="1"/>
  <c r="C39" i="53" a="1"/>
  <c r="C178" i="12" a="1"/>
  <c r="E5" i="40" a="1"/>
  <c r="C219" i="12" a="1"/>
  <c r="C102" i="12" a="1"/>
  <c r="C233" i="12" a="1"/>
  <c r="C62" i="53" a="1"/>
  <c r="G26" i="40" a="1"/>
  <c r="C83" i="12" a="1"/>
  <c r="C199" i="12" a="1"/>
  <c r="C86" i="12" a="1"/>
  <c r="C185" i="12" a="1"/>
  <c r="C157" i="12" a="1"/>
  <c r="E20" i="31" a="1"/>
  <c r="E9" i="31" a="1"/>
  <c r="C63" i="12" a="1"/>
  <c r="G17" i="11" l="1"/>
  <c r="G33" i="11"/>
  <c r="G36" i="11"/>
  <c r="G26" i="11"/>
  <c r="G12" i="11"/>
  <c r="G6" i="11"/>
  <c r="G31" i="11"/>
  <c r="G35" i="11"/>
  <c r="G25" i="11"/>
  <c r="G5" i="11"/>
  <c r="G19" i="11"/>
  <c r="G24" i="11"/>
  <c r="G9" i="11"/>
  <c r="G14" i="11"/>
  <c r="G28" i="11"/>
  <c r="G4" i="11"/>
  <c r="G18" i="11"/>
  <c r="G8" i="11"/>
  <c r="G22" i="11"/>
  <c r="G21" i="11"/>
  <c r="G20" i="11"/>
  <c r="G29" i="11"/>
  <c r="G37" i="11"/>
  <c r="G38" i="11"/>
  <c r="G27" i="11"/>
  <c r="G15" i="11"/>
  <c r="G7" i="11"/>
  <c r="G13" i="11"/>
  <c r="G3" i="11"/>
  <c r="G32" i="11"/>
  <c r="G16" i="11"/>
  <c r="G11" i="11"/>
  <c r="G30" i="11"/>
  <c r="G10" i="11"/>
  <c r="G34" i="11"/>
  <c r="G23" i="11"/>
  <c r="C193" i="12"/>
  <c r="C92" i="12"/>
  <c r="C91" i="12"/>
  <c r="C93" i="12"/>
  <c r="C94" i="12"/>
  <c r="C15" i="11"/>
  <c r="C2" i="33"/>
  <c r="D2" i="33" s="1"/>
  <c r="C27" i="12"/>
  <c r="C13" i="12"/>
  <c r="C128" i="12"/>
  <c r="C130" i="12"/>
  <c r="C2" i="12"/>
  <c r="C13" i="11"/>
  <c r="C237" i="12"/>
  <c r="C98" i="12"/>
  <c r="C39" i="12"/>
  <c r="C38" i="12"/>
  <c r="C37" i="12"/>
  <c r="C95" i="12"/>
  <c r="C99" i="12"/>
  <c r="C36" i="12"/>
  <c r="C168" i="12"/>
  <c r="C96" i="12"/>
  <c r="C97" i="12"/>
  <c r="C169" i="12"/>
  <c r="C139" i="12"/>
  <c r="C138" i="12"/>
  <c r="C115" i="12"/>
  <c r="C116" i="12"/>
  <c r="C123" i="12"/>
  <c r="C124" i="12"/>
  <c r="C125" i="12"/>
  <c r="C126" i="12"/>
  <c r="C127" i="12"/>
  <c r="C129" i="12"/>
  <c r="C131" i="12"/>
  <c r="C132" i="12"/>
  <c r="C133" i="12"/>
  <c r="C87" i="12"/>
  <c r="C86" i="12"/>
  <c r="C89" i="12"/>
  <c r="C90" i="12"/>
  <c r="C88" i="12"/>
  <c r="C51" i="12"/>
  <c r="C85" i="12"/>
  <c r="G2" i="15"/>
  <c r="E55" i="40"/>
  <c r="E35" i="40"/>
  <c r="E25" i="40"/>
  <c r="E15" i="40"/>
  <c r="E5" i="40"/>
  <c r="E54" i="40"/>
  <c r="E44" i="40"/>
  <c r="E34" i="40"/>
  <c r="E24" i="40"/>
  <c r="E14" i="40"/>
  <c r="E4" i="40"/>
  <c r="E53" i="40"/>
  <c r="E43" i="40"/>
  <c r="E33" i="40"/>
  <c r="E23" i="40"/>
  <c r="E13" i="40"/>
  <c r="E3" i="40"/>
  <c r="E52" i="40"/>
  <c r="E42" i="40"/>
  <c r="E32" i="40"/>
  <c r="E22" i="40"/>
  <c r="E12" i="40"/>
  <c r="E51" i="40"/>
  <c r="E41" i="40"/>
  <c r="E31" i="40"/>
  <c r="E21" i="40"/>
  <c r="E11" i="40"/>
  <c r="E50" i="40"/>
  <c r="E40" i="40"/>
  <c r="E30" i="40"/>
  <c r="E20" i="40"/>
  <c r="E10" i="40"/>
  <c r="E49" i="40"/>
  <c r="E39" i="40"/>
  <c r="E29" i="40"/>
  <c r="E19" i="40"/>
  <c r="E9" i="40"/>
  <c r="E48" i="40"/>
  <c r="E38" i="40"/>
  <c r="E18" i="40"/>
  <c r="E8" i="40"/>
  <c r="E47" i="40"/>
  <c r="E37" i="40"/>
  <c r="E27" i="40"/>
  <c r="E17" i="40"/>
  <c r="E7" i="40"/>
  <c r="E46" i="40"/>
  <c r="E36" i="40"/>
  <c r="E26" i="40"/>
  <c r="E45" i="40"/>
  <c r="E28" i="40"/>
  <c r="E16" i="40"/>
  <c r="E6" i="40"/>
  <c r="E2" i="40"/>
  <c r="E2" i="50"/>
  <c r="C2" i="49"/>
  <c r="G55" i="40"/>
  <c r="G45" i="40"/>
  <c r="G35" i="40"/>
  <c r="G25" i="40"/>
  <c r="G15" i="40"/>
  <c r="G5" i="40"/>
  <c r="G54" i="40"/>
  <c r="G44" i="40"/>
  <c r="G34" i="40"/>
  <c r="G24" i="40"/>
  <c r="G14" i="40"/>
  <c r="G4" i="40"/>
  <c r="G53" i="40"/>
  <c r="G43" i="40"/>
  <c r="G33" i="40"/>
  <c r="G23" i="40"/>
  <c r="G13" i="40"/>
  <c r="G3" i="40"/>
  <c r="G52" i="40"/>
  <c r="G42" i="40"/>
  <c r="G32" i="40"/>
  <c r="G22" i="40"/>
  <c r="G12" i="40"/>
  <c r="G51" i="40"/>
  <c r="G41" i="40"/>
  <c r="G31" i="40"/>
  <c r="G21" i="40"/>
  <c r="G11" i="40"/>
  <c r="G50" i="40"/>
  <c r="G40" i="40"/>
  <c r="G30" i="40"/>
  <c r="G20" i="40"/>
  <c r="G10" i="40"/>
  <c r="G49" i="40"/>
  <c r="G39" i="40"/>
  <c r="G29" i="40"/>
  <c r="G19" i="40"/>
  <c r="G9" i="40"/>
  <c r="G48" i="40"/>
  <c r="G38" i="40"/>
  <c r="G28" i="40"/>
  <c r="G18" i="40"/>
  <c r="G8" i="40"/>
  <c r="G37" i="40"/>
  <c r="G27" i="40"/>
  <c r="G17" i="40"/>
  <c r="G7" i="40"/>
  <c r="G46" i="40"/>
  <c r="G26" i="40"/>
  <c r="G47" i="40"/>
  <c r="G36" i="40"/>
  <c r="G16" i="40"/>
  <c r="G6" i="40"/>
  <c r="G2" i="40"/>
  <c r="C13" i="46"/>
  <c r="C3" i="46"/>
  <c r="C12" i="46"/>
  <c r="C11" i="46"/>
  <c r="C10" i="46"/>
  <c r="C9" i="46"/>
  <c r="C8" i="46"/>
  <c r="C7" i="46"/>
  <c r="C6" i="46"/>
  <c r="C5" i="46"/>
  <c r="C4" i="46"/>
  <c r="E7" i="46"/>
  <c r="E6" i="46"/>
  <c r="E5" i="46"/>
  <c r="E4" i="46"/>
  <c r="E13" i="46"/>
  <c r="E3" i="46"/>
  <c r="E12" i="46"/>
  <c r="E11" i="46"/>
  <c r="E10" i="46"/>
  <c r="E9" i="46"/>
  <c r="E8" i="46"/>
  <c r="E2" i="46"/>
  <c r="D12" i="37"/>
  <c r="D11" i="37"/>
  <c r="D20" i="37"/>
  <c r="D10" i="37"/>
  <c r="D19" i="37"/>
  <c r="D9" i="37"/>
  <c r="D18" i="37"/>
  <c r="D8" i="37"/>
  <c r="D17" i="37"/>
  <c r="D16" i="37"/>
  <c r="D15" i="37"/>
  <c r="D14" i="37"/>
  <c r="D13" i="37"/>
  <c r="E16" i="31"/>
  <c r="E6" i="31"/>
  <c r="E15" i="31"/>
  <c r="E9" i="31"/>
  <c r="E8" i="31"/>
  <c r="E7" i="31"/>
  <c r="E5" i="31"/>
  <c r="E17" i="31"/>
  <c r="E14" i="31"/>
  <c r="E18" i="31"/>
  <c r="E4" i="31"/>
  <c r="E13" i="31"/>
  <c r="E3" i="31"/>
  <c r="E12" i="31"/>
  <c r="E11" i="31"/>
  <c r="E20" i="31"/>
  <c r="E10" i="31"/>
  <c r="E19" i="31"/>
  <c r="E2" i="31"/>
  <c r="C35" i="11"/>
  <c r="C7" i="11"/>
  <c r="C34" i="11"/>
  <c r="C37" i="11"/>
  <c r="C38" i="11"/>
  <c r="C3" i="11"/>
  <c r="C18" i="11"/>
  <c r="C11" i="11"/>
  <c r="C23" i="11"/>
  <c r="C22" i="11"/>
  <c r="C9" i="11"/>
  <c r="C27" i="11"/>
  <c r="C17" i="11"/>
  <c r="C5" i="11"/>
  <c r="C36" i="11"/>
  <c r="C16" i="11"/>
  <c r="C33" i="11"/>
  <c r="C14" i="11"/>
  <c r="C30" i="11"/>
  <c r="C29" i="11"/>
  <c r="C28" i="11"/>
  <c r="C6" i="11"/>
  <c r="C8" i="11"/>
  <c r="C21" i="11"/>
  <c r="C32" i="11"/>
  <c r="C26" i="11"/>
  <c r="C20" i="11"/>
  <c r="C4" i="11"/>
  <c r="C25" i="11"/>
  <c r="C24" i="11"/>
  <c r="C19" i="11"/>
  <c r="C12" i="11"/>
  <c r="C10" i="11"/>
  <c r="C2" i="11"/>
  <c r="C31" i="11"/>
  <c r="C2" i="5"/>
  <c r="C2" i="41"/>
  <c r="C236" i="12"/>
  <c r="C21" i="12"/>
  <c r="C145" i="12"/>
  <c r="C164" i="12"/>
  <c r="C163" i="12"/>
  <c r="C17" i="12"/>
  <c r="C34" i="12"/>
  <c r="C149" i="12"/>
  <c r="C227" i="12"/>
  <c r="C158" i="12"/>
  <c r="C59" i="12"/>
  <c r="C107" i="12"/>
  <c r="C22" i="12"/>
  <c r="C204" i="12"/>
  <c r="C114" i="12"/>
  <c r="C105" i="12"/>
  <c r="C4" i="12"/>
  <c r="C174" i="12"/>
  <c r="C165" i="12"/>
  <c r="C192" i="12"/>
  <c r="C48" i="12"/>
  <c r="C172" i="12"/>
  <c r="C226" i="12"/>
  <c r="C10" i="12"/>
  <c r="C154" i="12"/>
  <c r="C143" i="12"/>
  <c r="C50" i="12"/>
  <c r="C16" i="12"/>
  <c r="C218" i="12"/>
  <c r="C5" i="12"/>
  <c r="C197" i="12"/>
  <c r="C216" i="12"/>
  <c r="C223" i="12"/>
  <c r="C121" i="12"/>
  <c r="C144" i="12"/>
  <c r="C119" i="12"/>
  <c r="C220" i="12"/>
  <c r="C222" i="12"/>
  <c r="C177" i="12"/>
  <c r="C103" i="12"/>
  <c r="C142" i="12"/>
  <c r="C206" i="12"/>
  <c r="C182" i="12"/>
  <c r="C148" i="12"/>
  <c r="C232" i="12"/>
  <c r="C63" i="12"/>
  <c r="C73" i="12"/>
  <c r="C113" i="12"/>
  <c r="C199" i="12"/>
  <c r="C117" i="12"/>
  <c r="C233" i="12"/>
  <c r="C160" i="12"/>
  <c r="C213" i="12"/>
  <c r="C71" i="12"/>
  <c r="C6" i="12"/>
  <c r="C111" i="12"/>
  <c r="C32" i="12"/>
  <c r="C55" i="12"/>
  <c r="C106" i="12"/>
  <c r="C41" i="12"/>
  <c r="C219" i="12"/>
  <c r="C140" i="12"/>
  <c r="C221" i="12"/>
  <c r="C214" i="12"/>
  <c r="C202" i="12"/>
  <c r="C137" i="12"/>
  <c r="C147" i="12"/>
  <c r="C203" i="12"/>
  <c r="C61" i="12"/>
  <c r="C198" i="12"/>
  <c r="C31" i="12"/>
  <c r="C57" i="12"/>
  <c r="C11" i="12"/>
  <c r="C60" i="12"/>
  <c r="C196" i="12"/>
  <c r="C153" i="12"/>
  <c r="C101" i="12"/>
  <c r="C120" i="12"/>
  <c r="C72" i="12"/>
  <c r="C68" i="12"/>
  <c r="C207" i="12"/>
  <c r="C14" i="12"/>
  <c r="C77" i="12"/>
  <c r="C190" i="12"/>
  <c r="C141" i="12"/>
  <c r="C53" i="12"/>
  <c r="C187" i="12"/>
  <c r="C201" i="12"/>
  <c r="C46" i="12"/>
  <c r="C109" i="12"/>
  <c r="C200" i="12"/>
  <c r="C171" i="12"/>
  <c r="C205" i="12"/>
  <c r="C195" i="12"/>
  <c r="C135" i="12"/>
  <c r="C66" i="12"/>
  <c r="C185" i="12"/>
  <c r="C83" i="12"/>
  <c r="C110" i="12"/>
  <c r="C12" i="12"/>
  <c r="C25" i="12"/>
  <c r="C100" i="12"/>
  <c r="C179" i="12"/>
  <c r="C157" i="12"/>
  <c r="C136" i="12"/>
  <c r="C58" i="12"/>
  <c r="C155" i="12"/>
  <c r="C175" i="12"/>
  <c r="C74" i="12"/>
  <c r="C28" i="12"/>
  <c r="C181" i="12"/>
  <c r="C62" i="12"/>
  <c r="C224" i="12"/>
  <c r="C75" i="12"/>
  <c r="C184" i="12"/>
  <c r="C210" i="12"/>
  <c r="C56" i="12"/>
  <c r="C108" i="12"/>
  <c r="C70" i="12"/>
  <c r="C173" i="12"/>
  <c r="C104" i="12"/>
  <c r="C166" i="12"/>
  <c r="C81" i="12"/>
  <c r="C65" i="12"/>
  <c r="C82" i="12"/>
  <c r="C7" i="12"/>
  <c r="C180" i="12"/>
  <c r="C150" i="12"/>
  <c r="C212" i="12"/>
  <c r="C230" i="12"/>
  <c r="C229" i="12"/>
  <c r="C156" i="12"/>
  <c r="C146" i="12"/>
  <c r="C42" i="12"/>
  <c r="C44" i="12"/>
  <c r="C64" i="12"/>
  <c r="C228" i="12"/>
  <c r="C67" i="12"/>
  <c r="C167" i="12"/>
  <c r="C118" i="12"/>
  <c r="C40" i="12"/>
  <c r="C191" i="12"/>
  <c r="C134" i="12"/>
  <c r="C18" i="12"/>
  <c r="C30" i="12"/>
  <c r="C54" i="12"/>
  <c r="C209" i="12"/>
  <c r="C26" i="12"/>
  <c r="C69" i="12"/>
  <c r="C80" i="12"/>
  <c r="C76" i="12"/>
  <c r="C217" i="12"/>
  <c r="C47" i="12"/>
  <c r="C122" i="12"/>
  <c r="C235" i="12"/>
  <c r="C20" i="12"/>
  <c r="C43" i="12"/>
  <c r="C189" i="12"/>
  <c r="C208" i="12"/>
  <c r="C52" i="12"/>
  <c r="C49" i="12"/>
  <c r="C24" i="12"/>
  <c r="C176" i="12"/>
  <c r="C231" i="12"/>
  <c r="C112" i="12"/>
  <c r="C225" i="12"/>
  <c r="C9" i="12"/>
  <c r="C29" i="12"/>
  <c r="C170" i="12"/>
  <c r="C188" i="12"/>
  <c r="C33" i="12"/>
  <c r="C211" i="12"/>
  <c r="C161" i="12"/>
  <c r="C3" i="12"/>
  <c r="C102" i="12"/>
  <c r="C215" i="12"/>
  <c r="C234" i="12"/>
  <c r="C19" i="12"/>
  <c r="C152" i="12"/>
  <c r="C15" i="12"/>
  <c r="C84" i="12"/>
  <c r="C8" i="12"/>
  <c r="C151" i="12"/>
  <c r="C162" i="12"/>
  <c r="C23" i="12"/>
  <c r="C178" i="12"/>
  <c r="C194" i="12"/>
  <c r="C79" i="12"/>
  <c r="C78" i="12"/>
  <c r="C45" i="12"/>
  <c r="C183" i="12"/>
  <c r="C186" i="12"/>
  <c r="C159" i="12"/>
  <c r="C35" i="12"/>
  <c r="G2" i="11"/>
  <c r="C2" i="46"/>
  <c r="C39" i="2"/>
  <c r="C29" i="2"/>
  <c r="C19" i="2"/>
  <c r="C9" i="2"/>
  <c r="C38" i="2"/>
  <c r="C28" i="2"/>
  <c r="C18" i="2"/>
  <c r="C8" i="2"/>
  <c r="C37" i="2"/>
  <c r="C27" i="2"/>
  <c r="C17" i="2"/>
  <c r="C7" i="2"/>
  <c r="C36" i="2"/>
  <c r="C26" i="2"/>
  <c r="C16" i="2"/>
  <c r="C6" i="2"/>
  <c r="C35" i="2"/>
  <c r="C25" i="2"/>
  <c r="C15" i="2"/>
  <c r="C5" i="2"/>
  <c r="C34" i="2"/>
  <c r="C24" i="2"/>
  <c r="C14" i="2"/>
  <c r="C4" i="2"/>
  <c r="C33" i="2"/>
  <c r="C23" i="2"/>
  <c r="C13" i="2"/>
  <c r="C3" i="2"/>
  <c r="C32" i="2"/>
  <c r="C22" i="2"/>
  <c r="C12" i="2"/>
  <c r="C31" i="2"/>
  <c r="C21" i="2"/>
  <c r="C11" i="2"/>
  <c r="C30" i="2"/>
  <c r="C20" i="2"/>
  <c r="C10" i="2"/>
  <c r="C2" i="2"/>
  <c r="C69" i="53"/>
  <c r="C59" i="53"/>
  <c r="C49" i="53"/>
  <c r="C39" i="53"/>
  <c r="C29" i="53"/>
  <c r="C19" i="53"/>
  <c r="C9" i="53"/>
  <c r="C68" i="53"/>
  <c r="C58" i="53"/>
  <c r="C48" i="53"/>
  <c r="C38" i="53"/>
  <c r="C28" i="53"/>
  <c r="C18" i="53"/>
  <c r="C8" i="53"/>
  <c r="C67" i="53"/>
  <c r="C57" i="53"/>
  <c r="C47" i="53"/>
  <c r="C37" i="53"/>
  <c r="C27" i="53"/>
  <c r="C17" i="53"/>
  <c r="C7" i="53"/>
  <c r="C66" i="53"/>
  <c r="C56" i="53"/>
  <c r="C46" i="53"/>
  <c r="C36" i="53"/>
  <c r="C26" i="53"/>
  <c r="C16" i="53"/>
  <c r="C6" i="53"/>
  <c r="C65" i="53"/>
  <c r="C55" i="53"/>
  <c r="C45" i="53"/>
  <c r="C35" i="53"/>
  <c r="C25" i="53"/>
  <c r="C15" i="53"/>
  <c r="C5" i="53"/>
  <c r="C64" i="53"/>
  <c r="C54" i="53"/>
  <c r="C44" i="53"/>
  <c r="C34" i="53"/>
  <c r="C24" i="53"/>
  <c r="C14" i="53"/>
  <c r="C4" i="53"/>
  <c r="C63" i="53"/>
  <c r="C53" i="53"/>
  <c r="C43" i="53"/>
  <c r="C33" i="53"/>
  <c r="C23" i="53"/>
  <c r="C13" i="53"/>
  <c r="C3" i="53"/>
  <c r="C62" i="53"/>
  <c r="C52" i="53"/>
  <c r="C42" i="53"/>
  <c r="C32" i="53"/>
  <c r="C22" i="53"/>
  <c r="C12" i="53"/>
  <c r="C61" i="53"/>
  <c r="C60" i="53"/>
  <c r="C20" i="53"/>
  <c r="C51" i="53"/>
  <c r="C11" i="53"/>
  <c r="C50" i="53"/>
  <c r="C10" i="53"/>
  <c r="C41" i="53"/>
  <c r="C40" i="53"/>
  <c r="C31" i="53"/>
  <c r="C30" i="53"/>
  <c r="C21" i="53"/>
  <c r="C2" i="53"/>
  <c r="F23" i="4" a="1"/>
  <c r="F7" i="4" a="1"/>
  <c r="F20" i="4" a="1"/>
  <c r="C3" i="57" a="1"/>
  <c r="F9" i="4" a="1"/>
  <c r="F46" i="4" a="1"/>
  <c r="F25" i="4" a="1"/>
  <c r="H18" i="12" a="1"/>
  <c r="F41" i="4" a="1"/>
  <c r="F15" i="4" a="1"/>
  <c r="C4" i="57" a="1"/>
  <c r="C2" i="38" a="1"/>
  <c r="H194" i="12" a="1"/>
  <c r="H2" i="12" a="1"/>
  <c r="F50" i="4" a="1"/>
  <c r="F19" i="4" a="1"/>
  <c r="F12" i="4" a="1"/>
  <c r="H21" i="12" a="1"/>
  <c r="F44" i="4" a="1"/>
  <c r="F48" i="4" a="1"/>
  <c r="F27" i="4" a="1"/>
  <c r="F49" i="4" a="1"/>
  <c r="F4" i="4" a="1"/>
  <c r="C2" i="57" a="1"/>
  <c r="F53" i="4" a="1"/>
  <c r="H52" i="12" a="1"/>
  <c r="F37" i="4" a="1"/>
  <c r="F31" i="4" a="1"/>
  <c r="F28" i="4" a="1"/>
  <c r="F8" i="4" a="1"/>
  <c r="F35" i="4" a="1"/>
  <c r="H40" i="12" a="1"/>
  <c r="F30" i="4" a="1"/>
  <c r="H64" i="12" a="1"/>
  <c r="H84" i="12" a="1"/>
  <c r="F11" i="4" a="1"/>
  <c r="F33" i="4" a="1"/>
  <c r="F45" i="4" a="1"/>
  <c r="F16" i="4" a="1"/>
  <c r="F14" i="4" a="1"/>
  <c r="F51" i="4" a="1"/>
  <c r="F42" i="4" a="1"/>
  <c r="F6" i="4" a="1"/>
  <c r="H46" i="12" a="1"/>
  <c r="F47" i="4" a="1"/>
  <c r="F36" i="4" a="1"/>
  <c r="H14" i="12" a="1"/>
  <c r="F22" i="4" a="1"/>
  <c r="F38" i="4" a="1"/>
  <c r="F54" i="4" a="1"/>
  <c r="F43" i="4" a="1"/>
  <c r="F13" i="4" a="1"/>
  <c r="F34" i="4" a="1"/>
  <c r="F40" i="4" a="1"/>
  <c r="H69" i="12" a="1"/>
  <c r="F10" i="4" a="1"/>
  <c r="F5" i="4" a="1"/>
  <c r="H75" i="12" a="1"/>
  <c r="F52" i="4" a="1"/>
  <c r="F39" i="4" a="1"/>
  <c r="F26" i="4" a="1"/>
  <c r="F3" i="4" a="1"/>
  <c r="F32" i="4" a="1"/>
  <c r="F2" i="4" a="1"/>
  <c r="H93" i="12" a="1"/>
  <c r="F29" i="4" a="1"/>
  <c r="F18" i="4" a="1"/>
  <c r="F21" i="4" a="1"/>
  <c r="F24" i="4" a="1"/>
  <c r="H79" i="12" a="1"/>
  <c r="F17" i="4" a="1"/>
  <c r="H28" i="12" a="1"/>
  <c r="H93" i="12" l="1"/>
  <c r="F10" i="46"/>
  <c r="H194" i="12"/>
  <c r="G194" i="12" s="1"/>
  <c r="H14" i="12"/>
  <c r="C2" i="57"/>
  <c r="C3" i="57"/>
  <c r="C4" i="57"/>
  <c r="F11" i="46"/>
  <c r="H28" i="12"/>
  <c r="G28" i="12" s="1"/>
  <c r="F13" i="46"/>
  <c r="F54" i="4"/>
  <c r="F12" i="46"/>
  <c r="F3" i="46"/>
  <c r="F8" i="46"/>
  <c r="H79" i="12"/>
  <c r="G79" i="12" s="1"/>
  <c r="H84" i="12"/>
  <c r="H40" i="12"/>
  <c r="H52" i="12"/>
  <c r="F4" i="46"/>
  <c r="F5" i="46"/>
  <c r="F2" i="46"/>
  <c r="F6" i="46"/>
  <c r="C2" i="38"/>
  <c r="F9" i="46"/>
  <c r="F7" i="46"/>
  <c r="H2" i="12"/>
  <c r="H75" i="12"/>
  <c r="H69" i="12"/>
  <c r="H18" i="12"/>
  <c r="H21" i="12"/>
  <c r="H46" i="12"/>
  <c r="H64" i="12"/>
  <c r="F12" i="4"/>
  <c r="F13" i="4"/>
  <c r="F32" i="4"/>
  <c r="F29" i="4"/>
  <c r="F27" i="4"/>
  <c r="F31" i="4"/>
  <c r="F11" i="4"/>
  <c r="F48" i="4"/>
  <c r="F9" i="4"/>
  <c r="F30" i="4"/>
  <c r="F33" i="4"/>
  <c r="F10" i="4"/>
  <c r="F28" i="4"/>
  <c r="F49" i="4"/>
  <c r="F47" i="4"/>
  <c r="F26" i="4"/>
  <c r="F43" i="4"/>
  <c r="F46" i="4"/>
  <c r="F50" i="4"/>
  <c r="F45" i="4"/>
  <c r="F14" i="4"/>
  <c r="F44" i="4"/>
  <c r="F4" i="4"/>
  <c r="F3" i="4"/>
  <c r="F20" i="4"/>
  <c r="F16" i="4"/>
  <c r="F18" i="4"/>
  <c r="F19" i="4"/>
  <c r="F17" i="4"/>
  <c r="F23" i="4"/>
  <c r="F15" i="4"/>
  <c r="F34" i="4"/>
  <c r="F41" i="4"/>
  <c r="F38" i="4"/>
  <c r="F40" i="4"/>
  <c r="F39" i="4"/>
  <c r="F24" i="4"/>
  <c r="F36" i="4"/>
  <c r="F37" i="4"/>
  <c r="F25" i="4"/>
  <c r="F35" i="4"/>
  <c r="F51" i="4"/>
  <c r="F2" i="4"/>
  <c r="F5" i="4"/>
  <c r="F42" i="4"/>
  <c r="F53" i="4"/>
  <c r="F52" i="4"/>
  <c r="F22" i="4"/>
  <c r="F8" i="4"/>
  <c r="F6" i="4"/>
  <c r="F21" i="4"/>
  <c r="F7" i="4"/>
  <c r="F167" i="12" a="1"/>
  <c r="F44" i="12" a="1"/>
  <c r="F101" i="12" a="1"/>
  <c r="F154" i="12" a="1"/>
  <c r="F19" i="12" a="1"/>
  <c r="F211" i="12" a="1"/>
  <c r="F148" i="12" a="1"/>
  <c r="F85" i="12" a="1"/>
  <c r="F63" i="12" a="1"/>
  <c r="C19" i="55" a="1"/>
  <c r="H47" i="12" a="1"/>
  <c r="F122" i="12" a="1"/>
  <c r="F180" i="12" a="1"/>
  <c r="C3" i="55" a="1"/>
  <c r="F237" i="12" a="1"/>
  <c r="F12" i="12" a="1"/>
  <c r="F47" i="12" a="1"/>
  <c r="F25" i="12" a="1"/>
  <c r="F225" i="12" a="1"/>
  <c r="F79" i="12" a="1"/>
  <c r="F82" i="12" a="1"/>
  <c r="F185" i="12" a="1"/>
  <c r="F49" i="12" a="1"/>
  <c r="F131" i="12" a="1"/>
  <c r="F84" i="12" a="1"/>
  <c r="F91" i="12" a="1"/>
  <c r="F228" i="12" a="1"/>
  <c r="F153" i="12" a="1"/>
  <c r="F201" i="12" a="1"/>
  <c r="F92" i="12" a="1"/>
  <c r="F192" i="12" a="1"/>
  <c r="F78" i="12" a="1"/>
  <c r="F139" i="12" a="1"/>
  <c r="F116" i="12" a="1"/>
  <c r="C14" i="55" a="1"/>
  <c r="F35" i="12" a="1"/>
  <c r="F163" i="12" a="1"/>
  <c r="F205" i="12" a="1"/>
  <c r="F229" i="12" a="1"/>
  <c r="F126" i="12" a="1"/>
  <c r="F17" i="12" a="1"/>
  <c r="F104" i="12" a="1"/>
  <c r="F236" i="12" a="1"/>
  <c r="F20" i="12" a="1"/>
  <c r="F72" i="12" a="1"/>
  <c r="F117" i="12" a="1"/>
  <c r="F65" i="12" a="1"/>
  <c r="F193" i="12" a="1"/>
  <c r="H85" i="12" a="1"/>
  <c r="H65" i="12" a="1"/>
  <c r="F206" i="12" a="1"/>
  <c r="F170" i="12" a="1"/>
  <c r="F124" i="12" a="1"/>
  <c r="F41" i="12" a="1"/>
  <c r="F40" i="12" a="1"/>
  <c r="F107" i="12" a="1"/>
  <c r="C15" i="55" a="1"/>
  <c r="F18" i="12" a="1"/>
  <c r="F51" i="12" a="1"/>
  <c r="F120" i="12" a="1"/>
  <c r="F58" i="12" a="1"/>
  <c r="F204" i="12" a="1"/>
  <c r="F165" i="12" a="1"/>
  <c r="F31" i="12" a="1"/>
  <c r="F161" i="12" a="1"/>
  <c r="F160" i="12" a="1"/>
  <c r="F108" i="12" a="1"/>
  <c r="F138" i="12" a="1"/>
  <c r="C21" i="55" a="1"/>
  <c r="F60" i="12" a="1"/>
  <c r="F121" i="12" a="1"/>
  <c r="F175" i="12" a="1"/>
  <c r="F155" i="12" a="1"/>
  <c r="F132" i="12" a="1"/>
  <c r="F142" i="12" a="1"/>
  <c r="F88" i="12" a="1"/>
  <c r="F186" i="12" a="1"/>
  <c r="F9" i="12" a="1"/>
  <c r="H22" i="12" a="1"/>
  <c r="H76" i="12" a="1"/>
  <c r="F209" i="12" a="1"/>
  <c r="F13" i="12" a="1"/>
  <c r="F54" i="12" a="1"/>
  <c r="F57" i="12" a="1"/>
  <c r="F173" i="12" a="1"/>
  <c r="F52" i="12" a="1"/>
  <c r="C2" i="55" a="1"/>
  <c r="F23" i="12" a="1"/>
  <c r="F141" i="12" a="1"/>
  <c r="C16" i="55" a="1"/>
  <c r="C18" i="55" a="1"/>
  <c r="F6" i="12" a="1"/>
  <c r="F29" i="12" a="1"/>
  <c r="F156" i="12" a="1"/>
  <c r="F80" i="12" a="1"/>
  <c r="F137" i="12" a="1"/>
  <c r="F150" i="12" a="1"/>
  <c r="F46" i="12" a="1"/>
  <c r="F76" i="12" a="1"/>
  <c r="F105" i="12" a="1"/>
  <c r="F21" i="12" a="1"/>
  <c r="F216" i="12" a="1"/>
  <c r="C10" i="55" a="1"/>
  <c r="F219" i="12" a="1"/>
  <c r="F113" i="12" a="1"/>
  <c r="C27" i="55" a="1"/>
  <c r="C11" i="55" a="1"/>
  <c r="F135" i="12" a="1"/>
  <c r="F109" i="12" a="1"/>
  <c r="F172" i="12" a="1"/>
  <c r="F39" i="12" a="1"/>
  <c r="F69" i="12" a="1"/>
  <c r="F134" i="12" a="1"/>
  <c r="F55" i="12" a="1"/>
  <c r="F162" i="12" a="1"/>
  <c r="F83" i="12" a="1"/>
  <c r="F217" i="12" a="1"/>
  <c r="F64" i="12" a="1"/>
  <c r="F223" i="12" a="1"/>
  <c r="F93" i="12" a="1"/>
  <c r="F106" i="12" a="1"/>
  <c r="F119" i="12" a="1"/>
  <c r="F231" i="12" a="1"/>
  <c r="F90" i="12" a="1"/>
  <c r="F27" i="12" a="1"/>
  <c r="F62" i="12" a="1"/>
  <c r="F176" i="12" a="1"/>
  <c r="F152" i="12" a="1"/>
  <c r="F96" i="12" a="1"/>
  <c r="F86" i="12" a="1"/>
  <c r="F183" i="12" a="1"/>
  <c r="F10" i="12" a="1"/>
  <c r="F3" i="12" a="1"/>
  <c r="F114" i="12" a="1"/>
  <c r="F151" i="12" a="1"/>
  <c r="F164" i="12" a="1"/>
  <c r="F48" i="12" a="1"/>
  <c r="F15" i="12" a="1"/>
  <c r="F177" i="12" a="1"/>
  <c r="F226" i="12" a="1"/>
  <c r="F45" i="12" a="1"/>
  <c r="H70" i="12" a="1"/>
  <c r="C5" i="55" a="1"/>
  <c r="F214" i="12" a="1"/>
  <c r="F24" i="12" a="1"/>
  <c r="F202" i="12" a="1"/>
  <c r="F81" i="12" a="1"/>
  <c r="F199" i="12" a="1"/>
  <c r="F196" i="12" a="1"/>
  <c r="F16" i="12" a="1"/>
  <c r="D2" i="38" a="1"/>
  <c r="F87" i="12" a="1"/>
  <c r="F28" i="12" a="1"/>
  <c r="C12" i="55" a="1"/>
  <c r="F14" i="12" a="1"/>
  <c r="F168" i="12" a="1"/>
  <c r="C26" i="55" a="1"/>
  <c r="F77" i="12" a="1"/>
  <c r="F112" i="12" a="1"/>
  <c r="F38" i="12" a="1"/>
  <c r="F2" i="12" a="1"/>
  <c r="F102" i="12" a="1"/>
  <c r="F127" i="12" a="1"/>
  <c r="F234" i="12" a="1"/>
  <c r="F178" i="12" a="1"/>
  <c r="F30" i="12" a="1"/>
  <c r="F190" i="12" a="1"/>
  <c r="F100" i="12" a="1"/>
  <c r="F42" i="12" a="1"/>
  <c r="F197" i="12" a="1"/>
  <c r="F5" i="12" a="1"/>
  <c r="F194" i="12" a="1"/>
  <c r="F59" i="12" a="1"/>
  <c r="F147" i="12" a="1"/>
  <c r="F22" i="12" a="1"/>
  <c r="F171" i="12" a="1"/>
  <c r="F66" i="12" a="1"/>
  <c r="F222" i="12" a="1"/>
  <c r="C9" i="55" a="1"/>
  <c r="F220" i="12" a="1"/>
  <c r="F67" i="12" a="1"/>
  <c r="F233" i="12" a="1"/>
  <c r="H53" i="12" a="1"/>
  <c r="F110" i="12" a="1"/>
  <c r="C25" i="55" a="1"/>
  <c r="F198" i="12" a="1"/>
  <c r="F181" i="12" a="1"/>
  <c r="C7" i="55" a="1"/>
  <c r="C4" i="55" a="1"/>
  <c r="F143" i="12" a="1"/>
  <c r="F34" i="12" a="1"/>
  <c r="F99" i="12" a="1"/>
  <c r="F68" i="12" a="1"/>
  <c r="F215" i="12" a="1"/>
  <c r="F174" i="12" a="1"/>
  <c r="F73" i="12" a="1"/>
  <c r="F37" i="12" a="1"/>
  <c r="F210" i="12" a="1"/>
  <c r="F56" i="12" a="1"/>
  <c r="C24" i="55" a="1"/>
  <c r="F115" i="12" a="1"/>
  <c r="F166" i="12" a="1"/>
  <c r="F26" i="12" a="1"/>
  <c r="F95" i="12" a="1"/>
  <c r="F140" i="12" a="1"/>
  <c r="F103" i="12" a="1"/>
  <c r="F61" i="12" a="1"/>
  <c r="F207" i="12" a="1"/>
  <c r="F227" i="12" a="1"/>
  <c r="F184" i="12" a="1"/>
  <c r="F203" i="12" a="1"/>
  <c r="C22" i="55" a="1"/>
  <c r="H80" i="12" a="1"/>
  <c r="F53" i="12" a="1"/>
  <c r="F50" i="12" a="1"/>
  <c r="F94" i="12" a="1"/>
  <c r="F129" i="12" a="1"/>
  <c r="F221" i="12" a="1"/>
  <c r="F74" i="12" a="1"/>
  <c r="C17" i="55" a="1"/>
  <c r="F144" i="12" a="1"/>
  <c r="H3" i="12" a="1"/>
  <c r="F11" i="12" a="1"/>
  <c r="F224" i="12" a="1"/>
  <c r="F212" i="12" a="1"/>
  <c r="F213" i="12" a="1"/>
  <c r="F123" i="12" a="1"/>
  <c r="F169" i="12" a="1"/>
  <c r="F195" i="12" a="1"/>
  <c r="F146" i="12" a="1"/>
  <c r="F182" i="12" a="1"/>
  <c r="F128" i="12" a="1"/>
  <c r="F230" i="12" a="1"/>
  <c r="F118" i="12" a="1"/>
  <c r="F43" i="12" a="1"/>
  <c r="F75" i="12" a="1"/>
  <c r="F218" i="12" a="1"/>
  <c r="F157" i="12" a="1"/>
  <c r="F4" i="12" a="1"/>
  <c r="F191" i="12" a="1"/>
  <c r="C20" i="55" a="1"/>
  <c r="F235" i="12" a="1"/>
  <c r="F145" i="12" a="1"/>
  <c r="F71" i="12" a="1"/>
  <c r="H15" i="12" a="1"/>
  <c r="C23" i="55" a="1"/>
  <c r="H29" i="12" a="1"/>
  <c r="F130" i="12" a="1"/>
  <c r="F33" i="12" a="1"/>
  <c r="F97" i="12" a="1"/>
  <c r="F158" i="12" a="1"/>
  <c r="F70" i="12" a="1"/>
  <c r="H41" i="12" a="1"/>
  <c r="C6" i="55" a="1"/>
  <c r="F188" i="12" a="1"/>
  <c r="F89" i="12" a="1"/>
  <c r="F7" i="12" a="1"/>
  <c r="F136" i="12" a="1"/>
  <c r="F187" i="12" a="1"/>
  <c r="F98" i="12" a="1"/>
  <c r="F111" i="12" a="1"/>
  <c r="F32" i="12" a="1"/>
  <c r="F200" i="12" a="1"/>
  <c r="F133" i="12" a="1"/>
  <c r="F179" i="12" a="1"/>
  <c r="F36" i="12" a="1"/>
  <c r="C13" i="55" a="1"/>
  <c r="F232" i="12" a="1"/>
  <c r="C8" i="55" a="1"/>
  <c r="F125" i="12" a="1"/>
  <c r="H94" i="12" a="1"/>
  <c r="F208" i="12" a="1"/>
  <c r="F159" i="12" a="1"/>
  <c r="H19" i="12" a="1"/>
  <c r="F8" i="12" a="1"/>
  <c r="F189" i="12" a="1"/>
  <c r="F149" i="12" a="1"/>
  <c r="C10" i="55" l="1"/>
  <c r="H94" i="12"/>
  <c r="G93" i="12"/>
  <c r="I93" i="12"/>
  <c r="J93" i="12"/>
  <c r="F93" i="12"/>
  <c r="F94" i="12"/>
  <c r="F91" i="12"/>
  <c r="F92" i="12"/>
  <c r="F193" i="12"/>
  <c r="C21" i="55"/>
  <c r="C20" i="55"/>
  <c r="F27" i="12"/>
  <c r="F13" i="12"/>
  <c r="C11" i="55"/>
  <c r="H15" i="12"/>
  <c r="G14" i="12"/>
  <c r="F31" i="12"/>
  <c r="F32" i="12"/>
  <c r="F192" i="12"/>
  <c r="F163" i="12"/>
  <c r="F151" i="12"/>
  <c r="F132" i="12"/>
  <c r="F10" i="12"/>
  <c r="F229" i="12"/>
  <c r="F237" i="12"/>
  <c r="F180" i="12"/>
  <c r="F121" i="12"/>
  <c r="F226" i="12"/>
  <c r="F236" i="12"/>
  <c r="F4" i="12"/>
  <c r="F181" i="12"/>
  <c r="F122" i="12"/>
  <c r="F183" i="12"/>
  <c r="F202" i="12"/>
  <c r="F144" i="12"/>
  <c r="F5" i="12"/>
  <c r="F182" i="12"/>
  <c r="F127" i="12"/>
  <c r="F12" i="12"/>
  <c r="F11" i="12"/>
  <c r="F7" i="12"/>
  <c r="F33" i="12"/>
  <c r="F39" i="12"/>
  <c r="F133" i="12"/>
  <c r="F51" i="12"/>
  <c r="F175" i="12"/>
  <c r="F204" i="12"/>
  <c r="F126" i="12"/>
  <c r="F24" i="12"/>
  <c r="F6" i="12"/>
  <c r="F188" i="12"/>
  <c r="F203" i="12"/>
  <c r="F205" i="12"/>
  <c r="F38" i="12"/>
  <c r="F124" i="12"/>
  <c r="F125" i="12"/>
  <c r="F123" i="12"/>
  <c r="F8" i="12"/>
  <c r="F9" i="12"/>
  <c r="F34" i="12"/>
  <c r="F50" i="12"/>
  <c r="F129" i="12"/>
  <c r="F36" i="12"/>
  <c r="F210" i="12"/>
  <c r="F35" i="12"/>
  <c r="F106" i="12"/>
  <c r="F209" i="12"/>
  <c r="F131" i="12"/>
  <c r="F37" i="12"/>
  <c r="F128" i="12"/>
  <c r="F130" i="12"/>
  <c r="F120" i="12"/>
  <c r="F82" i="12"/>
  <c r="F96" i="12"/>
  <c r="F111" i="12"/>
  <c r="F169" i="12"/>
  <c r="F87" i="12"/>
  <c r="F48" i="12"/>
  <c r="F26" i="12"/>
  <c r="F158" i="12"/>
  <c r="F164" i="12"/>
  <c r="F233" i="12"/>
  <c r="F219" i="12"/>
  <c r="F198" i="12"/>
  <c r="F160" i="12"/>
  <c r="F74" i="12"/>
  <c r="F15" i="12"/>
  <c r="F159" i="12"/>
  <c r="F21" i="12"/>
  <c r="F200" i="12"/>
  <c r="F197" i="12"/>
  <c r="F41" i="12"/>
  <c r="F57" i="12"/>
  <c r="F49" i="12"/>
  <c r="F2" i="12"/>
  <c r="F90" i="12"/>
  <c r="F54" i="12"/>
  <c r="F42" i="12"/>
  <c r="F14" i="12"/>
  <c r="F186" i="12"/>
  <c r="F17" i="12"/>
  <c r="F72" i="12"/>
  <c r="F77" i="12"/>
  <c r="F45" i="12"/>
  <c r="F18" i="12"/>
  <c r="F20" i="12"/>
  <c r="F29" i="12"/>
  <c r="F19" i="12"/>
  <c r="F99" i="12"/>
  <c r="F174" i="12"/>
  <c r="F199" i="12"/>
  <c r="F66" i="12"/>
  <c r="F55" i="12"/>
  <c r="F232" i="12"/>
  <c r="F47" i="12"/>
  <c r="F97" i="12"/>
  <c r="F118" i="12"/>
  <c r="F185" i="12"/>
  <c r="F30" i="12"/>
  <c r="F172" i="12"/>
  <c r="F28" i="12"/>
  <c r="F78" i="12"/>
  <c r="F25" i="12"/>
  <c r="F88" i="12"/>
  <c r="F208" i="12"/>
  <c r="F43" i="12"/>
  <c r="F136" i="12"/>
  <c r="F154" i="12"/>
  <c r="F3" i="12"/>
  <c r="F196" i="12"/>
  <c r="F22" i="12"/>
  <c r="F110" i="12"/>
  <c r="F201" i="12"/>
  <c r="F173" i="12"/>
  <c r="F225" i="12"/>
  <c r="F138" i="12"/>
  <c r="F218" i="12"/>
  <c r="F157" i="12"/>
  <c r="F139" i="12"/>
  <c r="F117" i="12"/>
  <c r="F76" i="12"/>
  <c r="F103" i="12"/>
  <c r="F214" i="12"/>
  <c r="F143" i="12"/>
  <c r="F137" i="12"/>
  <c r="F80" i="12"/>
  <c r="F44" i="12"/>
  <c r="F56" i="12"/>
  <c r="F40" i="12"/>
  <c r="F115" i="12"/>
  <c r="F65" i="12"/>
  <c r="F171" i="12"/>
  <c r="F149" i="12"/>
  <c r="F176" i="12"/>
  <c r="F156" i="12"/>
  <c r="F85" i="12"/>
  <c r="F161" i="12"/>
  <c r="F142" i="12"/>
  <c r="F216" i="12"/>
  <c r="F53" i="12"/>
  <c r="F190" i="12"/>
  <c r="F70" i="12"/>
  <c r="F102" i="12"/>
  <c r="F191" i="12"/>
  <c r="F177" i="12"/>
  <c r="F230" i="12"/>
  <c r="F108" i="12"/>
  <c r="F105" i="12"/>
  <c r="F71" i="12"/>
  <c r="F222" i="12"/>
  <c r="F166" i="12"/>
  <c r="F167" i="12"/>
  <c r="F224" i="12"/>
  <c r="F64" i="12"/>
  <c r="F146" i="12"/>
  <c r="F168" i="12"/>
  <c r="F145" i="12"/>
  <c r="F86" i="12"/>
  <c r="F109" i="12"/>
  <c r="F212" i="12"/>
  <c r="F162" i="12"/>
  <c r="F135" i="12"/>
  <c r="F211" i="12"/>
  <c r="F152" i="12"/>
  <c r="F227" i="12"/>
  <c r="F75" i="12"/>
  <c r="F221" i="12"/>
  <c r="F228" i="12"/>
  <c r="F95" i="12"/>
  <c r="F231" i="12"/>
  <c r="F52" i="12"/>
  <c r="F107" i="12"/>
  <c r="F147" i="12"/>
  <c r="F184" i="12"/>
  <c r="F148" i="12"/>
  <c r="F81" i="12"/>
  <c r="F213" i="12"/>
  <c r="F223" i="12"/>
  <c r="F113" i="12"/>
  <c r="F207" i="12"/>
  <c r="F194" i="12"/>
  <c r="F114" i="12"/>
  <c r="F155" i="12"/>
  <c r="F69" i="12"/>
  <c r="F165" i="12"/>
  <c r="F153" i="12"/>
  <c r="F178" i="12"/>
  <c r="F140" i="12"/>
  <c r="F79" i="12"/>
  <c r="F134" i="12"/>
  <c r="F189" i="12"/>
  <c r="F150" i="12"/>
  <c r="F101" i="12"/>
  <c r="F217" i="12"/>
  <c r="F179" i="12"/>
  <c r="F100" i="12"/>
  <c r="F116" i="12"/>
  <c r="F170" i="12"/>
  <c r="F141" i="12"/>
  <c r="F195" i="12"/>
  <c r="F206" i="12"/>
  <c r="F46" i="12"/>
  <c r="F84" i="12"/>
  <c r="F83" i="12"/>
  <c r="F215" i="12"/>
  <c r="F67" i="12"/>
  <c r="F60" i="12"/>
  <c r="F58" i="12"/>
  <c r="F220" i="12"/>
  <c r="F62" i="12"/>
  <c r="F61" i="12"/>
  <c r="F63" i="12"/>
  <c r="F73" i="12"/>
  <c r="F68" i="12"/>
  <c r="F235" i="12"/>
  <c r="F59" i="12"/>
  <c r="F234" i="12"/>
  <c r="F104" i="12"/>
  <c r="F187" i="12"/>
  <c r="F23" i="12"/>
  <c r="F16" i="12"/>
  <c r="F98" i="12"/>
  <c r="F112" i="12"/>
  <c r="F119" i="12"/>
  <c r="F89" i="12"/>
  <c r="C13" i="55"/>
  <c r="C16" i="55"/>
  <c r="C22" i="55"/>
  <c r="C3" i="55"/>
  <c r="C12" i="55"/>
  <c r="C8" i="55"/>
  <c r="H29" i="12"/>
  <c r="J79" i="12"/>
  <c r="I79" i="12"/>
  <c r="I64" i="12"/>
  <c r="J64" i="12"/>
  <c r="J46" i="12"/>
  <c r="I46" i="12"/>
  <c r="J21" i="12"/>
  <c r="I21" i="12"/>
  <c r="J18" i="12"/>
  <c r="I18" i="12"/>
  <c r="G69" i="12"/>
  <c r="J69" i="12"/>
  <c r="I69" i="12"/>
  <c r="J14" i="12"/>
  <c r="I14" i="12"/>
  <c r="I75" i="12"/>
  <c r="J75" i="12"/>
  <c r="J2" i="12"/>
  <c r="I2" i="12"/>
  <c r="G52" i="12"/>
  <c r="J52" i="12"/>
  <c r="I52" i="12"/>
  <c r="G40" i="12"/>
  <c r="I40" i="12"/>
  <c r="J40" i="12"/>
  <c r="I84" i="12"/>
  <c r="J84" i="12"/>
  <c r="H85" i="12"/>
  <c r="H80" i="12"/>
  <c r="H41" i="12"/>
  <c r="H53" i="12"/>
  <c r="C6" i="55"/>
  <c r="C25" i="55"/>
  <c r="C23" i="55"/>
  <c r="C15" i="55"/>
  <c r="C2" i="55"/>
  <c r="C5" i="55"/>
  <c r="C24" i="55"/>
  <c r="C14" i="55"/>
  <c r="C4" i="55"/>
  <c r="C19" i="55"/>
  <c r="C17" i="55"/>
  <c r="D2" i="38"/>
  <c r="C7" i="55"/>
  <c r="C9" i="55"/>
  <c r="C18" i="55"/>
  <c r="C27" i="55"/>
  <c r="C26" i="55"/>
  <c r="H76" i="12"/>
  <c r="H22" i="12"/>
  <c r="H3" i="12"/>
  <c r="H19" i="12"/>
  <c r="H70" i="12"/>
  <c r="H65" i="12"/>
  <c r="H47" i="12"/>
  <c r="G2" i="12"/>
  <c r="H20" i="12" a="1"/>
  <c r="H48" i="12" a="1"/>
  <c r="E2" i="55" a="1"/>
  <c r="H71" i="12" a="1"/>
  <c r="H30" i="12" a="1"/>
  <c r="H66" i="12" a="1"/>
  <c r="H77" i="12" a="1"/>
  <c r="H81" i="12" a="1"/>
  <c r="H4" i="12" a="1"/>
  <c r="H86" i="12" a="1"/>
  <c r="H54" i="12" a="1"/>
  <c r="H23" i="12" a="1"/>
  <c r="H42" i="12" a="1"/>
  <c r="G94" i="12" l="1"/>
  <c r="J94" i="12"/>
  <c r="I94" i="12"/>
  <c r="H30" i="12"/>
  <c r="G29" i="12"/>
  <c r="I70" i="12"/>
  <c r="J70" i="12"/>
  <c r="J19" i="12"/>
  <c r="I19" i="12"/>
  <c r="J3" i="12"/>
  <c r="I3" i="12"/>
  <c r="I22" i="12"/>
  <c r="J22" i="12"/>
  <c r="J76" i="12"/>
  <c r="I76" i="12"/>
  <c r="J53" i="12"/>
  <c r="I53" i="12"/>
  <c r="I41" i="12"/>
  <c r="J41" i="12"/>
  <c r="I80" i="12"/>
  <c r="J80" i="12"/>
  <c r="I85" i="12"/>
  <c r="J85" i="12"/>
  <c r="J47" i="12"/>
  <c r="I47" i="12"/>
  <c r="I65" i="12"/>
  <c r="J65" i="12"/>
  <c r="H81" i="12"/>
  <c r="H86" i="12"/>
  <c r="H42" i="12"/>
  <c r="H54" i="12"/>
  <c r="E2" i="55"/>
  <c r="H4" i="12"/>
  <c r="H71" i="12"/>
  <c r="H23" i="12"/>
  <c r="H77" i="12"/>
  <c r="H48" i="12"/>
  <c r="H20" i="12"/>
  <c r="H66" i="12"/>
  <c r="G3" i="12"/>
  <c r="G70" i="12"/>
  <c r="H49" i="12" a="1"/>
  <c r="H31" i="12" a="1"/>
  <c r="H87" i="12" a="1"/>
  <c r="H82" i="12" a="1"/>
  <c r="H78" i="12" a="1"/>
  <c r="H5" i="12" a="1"/>
  <c r="H43" i="12" a="1"/>
  <c r="H55" i="12" a="1"/>
  <c r="H24" i="12" a="1"/>
  <c r="H67" i="12" a="1"/>
  <c r="E9" i="55" a="1"/>
  <c r="H72" i="12" a="1"/>
  <c r="E9" i="55" l="1"/>
  <c r="H31" i="12"/>
  <c r="G30" i="12"/>
  <c r="I20" i="12"/>
  <c r="J20" i="12"/>
  <c r="J48" i="12"/>
  <c r="I48" i="12"/>
  <c r="J77" i="12"/>
  <c r="I77" i="12"/>
  <c r="J28" i="12"/>
  <c r="I28" i="12"/>
  <c r="I86" i="12"/>
  <c r="J86" i="12"/>
  <c r="I81" i="12"/>
  <c r="J81" i="12"/>
  <c r="I23" i="12"/>
  <c r="J23" i="12"/>
  <c r="J71" i="12"/>
  <c r="I71" i="12"/>
  <c r="J4" i="12"/>
  <c r="I4" i="12"/>
  <c r="I66" i="12"/>
  <c r="J66" i="12"/>
  <c r="J54" i="12"/>
  <c r="I54" i="12"/>
  <c r="J42" i="12"/>
  <c r="I42" i="12"/>
  <c r="H82" i="12"/>
  <c r="H87" i="12"/>
  <c r="H43" i="12"/>
  <c r="H55" i="12"/>
  <c r="H78" i="12"/>
  <c r="H72" i="12"/>
  <c r="H49" i="12"/>
  <c r="H67" i="12"/>
  <c r="H5" i="12"/>
  <c r="H24" i="12"/>
  <c r="G71" i="12"/>
  <c r="G4" i="12"/>
  <c r="H88" i="12" a="1"/>
  <c r="H50" i="12" a="1"/>
  <c r="H73" i="12" a="1"/>
  <c r="E10" i="55" a="1"/>
  <c r="H56" i="12" a="1"/>
  <c r="H32" i="12" a="1"/>
  <c r="H83" i="12" a="1"/>
  <c r="H6" i="12" a="1"/>
  <c r="H68" i="12" a="1"/>
  <c r="H44" i="12" a="1"/>
  <c r="H25" i="12" a="1"/>
  <c r="H32" i="12" l="1"/>
  <c r="G31" i="12"/>
  <c r="J72" i="12"/>
  <c r="I72" i="12"/>
  <c r="I24" i="12"/>
  <c r="J24" i="12"/>
  <c r="I78" i="12"/>
  <c r="J78" i="12"/>
  <c r="I55" i="12"/>
  <c r="J55" i="12"/>
  <c r="I43" i="12"/>
  <c r="J43" i="12"/>
  <c r="J49" i="12"/>
  <c r="I49" i="12"/>
  <c r="J29" i="12"/>
  <c r="I29" i="12"/>
  <c r="J87" i="12"/>
  <c r="I87" i="12"/>
  <c r="I82" i="12"/>
  <c r="J82" i="12"/>
  <c r="J5" i="12"/>
  <c r="I5" i="12"/>
  <c r="J67" i="12"/>
  <c r="I67" i="12"/>
  <c r="H88" i="12"/>
  <c r="H83" i="12"/>
  <c r="H44" i="12"/>
  <c r="H56" i="12"/>
  <c r="H50" i="12"/>
  <c r="G72" i="12"/>
  <c r="E10" i="55"/>
  <c r="H6" i="12"/>
  <c r="H68" i="12"/>
  <c r="H25" i="12"/>
  <c r="H73" i="12"/>
  <c r="G5" i="12"/>
  <c r="H45" i="12" a="1"/>
  <c r="H74" i="12" a="1"/>
  <c r="H7" i="12" a="1"/>
  <c r="H26" i="12" a="1"/>
  <c r="E11" i="55" a="1"/>
  <c r="H57" i="12" a="1"/>
  <c r="H51" i="12" a="1"/>
  <c r="H89" i="12" a="1"/>
  <c r="H33" i="12" a="1"/>
  <c r="H33" i="12" l="1"/>
  <c r="G32" i="12"/>
  <c r="I50" i="12"/>
  <c r="J50" i="12"/>
  <c r="J6" i="12"/>
  <c r="I6" i="12"/>
  <c r="J56" i="12"/>
  <c r="I56" i="12"/>
  <c r="J73" i="12"/>
  <c r="I73" i="12"/>
  <c r="J44" i="12"/>
  <c r="I44" i="12"/>
  <c r="J25" i="12"/>
  <c r="I25" i="12"/>
  <c r="I30" i="12"/>
  <c r="J30" i="12"/>
  <c r="J83" i="12"/>
  <c r="I83" i="12"/>
  <c r="I88" i="12"/>
  <c r="J88" i="12"/>
  <c r="I68" i="12"/>
  <c r="J68" i="12"/>
  <c r="H89" i="12"/>
  <c r="H45" i="12"/>
  <c r="H26" i="12"/>
  <c r="H57" i="12"/>
  <c r="H51" i="12"/>
  <c r="G73" i="12"/>
  <c r="E11" i="55"/>
  <c r="H74" i="12"/>
  <c r="H7" i="12"/>
  <c r="G6" i="12"/>
  <c r="H58" i="12" a="1"/>
  <c r="E13" i="55" a="1"/>
  <c r="E6" i="55" a="1"/>
  <c r="H8" i="12" a="1"/>
  <c r="H34" i="12" a="1"/>
  <c r="H27" i="12" a="1"/>
  <c r="H90" i="12" a="1"/>
  <c r="H27" i="12" l="1"/>
  <c r="E13" i="55"/>
  <c r="E6" i="55"/>
  <c r="H34" i="12"/>
  <c r="G33" i="12"/>
  <c r="J89" i="12"/>
  <c r="I89" i="12"/>
  <c r="J7" i="12"/>
  <c r="I7" i="12"/>
  <c r="I74" i="12"/>
  <c r="J74" i="12"/>
  <c r="J51" i="12"/>
  <c r="I51" i="12"/>
  <c r="J57" i="12"/>
  <c r="I57" i="12"/>
  <c r="J26" i="12"/>
  <c r="I26" i="12"/>
  <c r="I45" i="12"/>
  <c r="J45" i="12"/>
  <c r="J31" i="12"/>
  <c r="I31" i="12"/>
  <c r="H90" i="12"/>
  <c r="G74" i="12"/>
  <c r="G75" i="12" s="1"/>
  <c r="G76" i="12" s="1"/>
  <c r="G77" i="12" s="1"/>
  <c r="G78" i="12" s="1"/>
  <c r="H58" i="12"/>
  <c r="H8" i="12"/>
  <c r="G7" i="12"/>
  <c r="G84" i="12"/>
  <c r="G85" i="12" s="1"/>
  <c r="H59" i="12" a="1"/>
  <c r="H35" i="12" a="1"/>
  <c r="H91" i="12" a="1"/>
  <c r="H9" i="12" a="1"/>
  <c r="E12" i="55" a="1"/>
  <c r="H91" i="12" l="1"/>
  <c r="J27" i="12"/>
  <c r="I27" i="12"/>
  <c r="H35" i="12"/>
  <c r="G34" i="12"/>
  <c r="I58" i="12"/>
  <c r="J58" i="12"/>
  <c r="I32" i="12"/>
  <c r="J32" i="12"/>
  <c r="I90" i="12"/>
  <c r="J90" i="12"/>
  <c r="J8" i="12"/>
  <c r="I8" i="12"/>
  <c r="G80" i="12"/>
  <c r="G81" i="12" s="1"/>
  <c r="G82" i="12" s="1"/>
  <c r="G83" i="12" s="1"/>
  <c r="G86" i="12"/>
  <c r="G87" i="12" s="1"/>
  <c r="G88" i="12" s="1"/>
  <c r="G89" i="12" s="1"/>
  <c r="G90" i="12" s="1"/>
  <c r="H59" i="12"/>
  <c r="E12" i="55"/>
  <c r="H9" i="12"/>
  <c r="G8" i="12"/>
  <c r="E3" i="55" a="1"/>
  <c r="H36" i="12" a="1"/>
  <c r="H60" i="12" a="1"/>
  <c r="H10" i="12" a="1"/>
  <c r="H92" i="12" a="1"/>
  <c r="H92" i="12" l="1"/>
  <c r="J91" i="12"/>
  <c r="I91" i="12"/>
  <c r="G91" i="12"/>
  <c r="H36" i="12"/>
  <c r="G35" i="12"/>
  <c r="I9" i="12"/>
  <c r="J9" i="12"/>
  <c r="J59" i="12"/>
  <c r="I59" i="12"/>
  <c r="I33" i="12"/>
  <c r="J33" i="12"/>
  <c r="H60" i="12"/>
  <c r="E3" i="55"/>
  <c r="H10" i="12"/>
  <c r="G9" i="12"/>
  <c r="H11" i="12" a="1"/>
  <c r="E14" i="55" a="1"/>
  <c r="E5" i="55" a="1"/>
  <c r="H37" i="12" a="1"/>
  <c r="E4" i="55" a="1"/>
  <c r="H95" i="12" a="1"/>
  <c r="H61" i="12" a="1"/>
  <c r="J92" i="12" l="1"/>
  <c r="I92" i="12"/>
  <c r="G92" i="12"/>
  <c r="E14" i="55"/>
  <c r="H37" i="12"/>
  <c r="G36" i="12"/>
  <c r="J10" i="12"/>
  <c r="I10" i="12"/>
  <c r="I60" i="12"/>
  <c r="J60" i="12"/>
  <c r="J34" i="12"/>
  <c r="I34" i="12"/>
  <c r="H95" i="12"/>
  <c r="H61" i="12"/>
  <c r="E5" i="55"/>
  <c r="E4" i="55"/>
  <c r="H11" i="12"/>
  <c r="G10" i="12"/>
  <c r="H38" i="12" a="1"/>
  <c r="H96" i="12" a="1"/>
  <c r="H62" i="12" a="1"/>
  <c r="H12" i="12" a="1"/>
  <c r="H38" i="12" l="1"/>
  <c r="G37" i="12"/>
  <c r="I11" i="12"/>
  <c r="J11" i="12"/>
  <c r="I61" i="12"/>
  <c r="J61" i="12"/>
  <c r="J35" i="12"/>
  <c r="I35" i="12"/>
  <c r="J95" i="12"/>
  <c r="I95" i="12"/>
  <c r="H96" i="12"/>
  <c r="G95" i="12"/>
  <c r="H62" i="12"/>
  <c r="H12" i="12"/>
  <c r="G11" i="12"/>
  <c r="H97" i="12" a="1"/>
  <c r="H63" i="12" a="1"/>
  <c r="E7" i="55" a="1"/>
  <c r="E15" i="55" a="1"/>
  <c r="H13" i="12" a="1"/>
  <c r="H39" i="12" a="1"/>
  <c r="E7" i="55" l="1"/>
  <c r="H13" i="12"/>
  <c r="E15" i="55"/>
  <c r="H39" i="12"/>
  <c r="G38" i="12"/>
  <c r="I12" i="12"/>
  <c r="J12" i="12"/>
  <c r="J62" i="12"/>
  <c r="I62" i="12"/>
  <c r="J36" i="12"/>
  <c r="I36" i="12"/>
  <c r="J96" i="12"/>
  <c r="I96" i="12"/>
  <c r="H97" i="12"/>
  <c r="G96" i="12"/>
  <c r="H63" i="12"/>
  <c r="G12" i="12"/>
  <c r="H98" i="12" a="1"/>
  <c r="E8" i="55" a="1"/>
  <c r="E8" i="55" l="1"/>
  <c r="J13" i="12"/>
  <c r="I13" i="12"/>
  <c r="G13" i="12"/>
  <c r="G41" i="12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39" i="12"/>
  <c r="J63" i="12"/>
  <c r="I63" i="12"/>
  <c r="J37" i="12"/>
  <c r="I37" i="12"/>
  <c r="I97" i="12"/>
  <c r="J97" i="12"/>
  <c r="H98" i="12"/>
  <c r="G97" i="12"/>
  <c r="G53" i="12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G66" i="12" s="1"/>
  <c r="G67" i="12" s="1"/>
  <c r="G68" i="12" s="1"/>
  <c r="H99" i="12" a="1"/>
  <c r="I38" i="12" l="1"/>
  <c r="J38" i="12"/>
  <c r="J98" i="12"/>
  <c r="I98" i="12"/>
  <c r="H99" i="12"/>
  <c r="G98" i="12"/>
  <c r="H100" i="12" a="1"/>
  <c r="H100" i="12" l="1"/>
  <c r="J39" i="12"/>
  <c r="I39" i="12"/>
  <c r="J99" i="12"/>
  <c r="I99" i="12"/>
  <c r="G99" i="12"/>
  <c r="H101" i="12" a="1"/>
  <c r="H101" i="12" l="1"/>
  <c r="G100" i="12"/>
  <c r="H102" i="12" a="1"/>
  <c r="H102" i="12" l="1"/>
  <c r="G101" i="12"/>
  <c r="J100" i="12"/>
  <c r="I100" i="12"/>
  <c r="H103" i="12" a="1"/>
  <c r="H103" i="12" l="1"/>
  <c r="G102" i="12"/>
  <c r="I101" i="12"/>
  <c r="J101" i="12"/>
  <c r="H104" i="12" a="1"/>
  <c r="H104" i="12" l="1"/>
  <c r="G103" i="12"/>
  <c r="J102" i="12"/>
  <c r="I102" i="12"/>
  <c r="H105" i="12" a="1"/>
  <c r="H105" i="12" l="1"/>
  <c r="G104" i="12"/>
  <c r="I103" i="12"/>
  <c r="J103" i="12"/>
  <c r="H106" i="12" a="1"/>
  <c r="H106" i="12" l="1"/>
  <c r="G105" i="12"/>
  <c r="I104" i="12"/>
  <c r="J104" i="12"/>
  <c r="H107" i="12" a="1"/>
  <c r="H107" i="12" l="1"/>
  <c r="G106" i="12"/>
  <c r="J105" i="12"/>
  <c r="I105" i="12"/>
  <c r="G107" i="12" l="1"/>
  <c r="J106" i="12"/>
  <c r="I106" i="12"/>
  <c r="H108" i="12" a="1"/>
  <c r="J107" i="12" l="1"/>
  <c r="I107" i="12"/>
  <c r="H108" i="12"/>
  <c r="G108" i="12"/>
  <c r="H109" i="12" a="1"/>
  <c r="J108" i="12" l="1"/>
  <c r="I108" i="12"/>
  <c r="H109" i="12"/>
  <c r="H110" i="12" a="1"/>
  <c r="J109" i="12" l="1"/>
  <c r="I109" i="12"/>
  <c r="H110" i="12"/>
  <c r="G109" i="12"/>
  <c r="H111" i="12" a="1"/>
  <c r="G110" i="12" l="1"/>
  <c r="J110" i="12"/>
  <c r="I110" i="12"/>
  <c r="H111" i="12"/>
  <c r="H112" i="12" a="1"/>
  <c r="I111" i="12" l="1"/>
  <c r="J111" i="12"/>
  <c r="G111" i="12"/>
  <c r="H112" i="12"/>
  <c r="H113" i="12" a="1"/>
  <c r="J112" i="12" l="1"/>
  <c r="I112" i="12"/>
  <c r="G112" i="12"/>
  <c r="H113" i="12"/>
  <c r="H114" i="12" a="1"/>
  <c r="J113" i="12" l="1"/>
  <c r="I113" i="12"/>
  <c r="G113" i="12"/>
  <c r="H114" i="12"/>
  <c r="H115" i="12" a="1"/>
  <c r="H115" i="12" l="1"/>
  <c r="J114" i="12"/>
  <c r="I114" i="12"/>
  <c r="G114" i="12"/>
  <c r="H116" i="12" a="1"/>
  <c r="E16" i="55" a="1"/>
  <c r="G115" i="12" l="1"/>
  <c r="H116" i="12"/>
  <c r="E16" i="55"/>
  <c r="J115" i="12"/>
  <c r="I115" i="12"/>
  <c r="H117" i="12" a="1"/>
  <c r="G116" i="12" l="1"/>
  <c r="H117" i="12"/>
  <c r="I116" i="12"/>
  <c r="J116" i="12"/>
  <c r="H118" i="12" a="1"/>
  <c r="G117" i="12" l="1"/>
  <c r="H118" i="12"/>
  <c r="J117" i="12"/>
  <c r="I117" i="12"/>
  <c r="H119" i="12" a="1"/>
  <c r="G118" i="12" l="1"/>
  <c r="H119" i="12"/>
  <c r="G119" i="12" s="1"/>
  <c r="J118" i="12"/>
  <c r="I118" i="12"/>
  <c r="E17" i="55" a="1"/>
  <c r="H120" i="12" a="1"/>
  <c r="H120" i="12" l="1"/>
  <c r="G120" i="12" s="1"/>
  <c r="E17" i="55"/>
  <c r="I119" i="12"/>
  <c r="J119" i="12"/>
  <c r="H121" i="12" a="1"/>
  <c r="H121" i="12" l="1"/>
  <c r="G121" i="12" s="1"/>
  <c r="J120" i="12"/>
  <c r="I120" i="12"/>
  <c r="H122" i="12" a="1"/>
  <c r="E18" i="55" a="1"/>
  <c r="H122" i="12" l="1"/>
  <c r="G122" i="12" s="1"/>
  <c r="E18" i="55"/>
  <c r="I121" i="12"/>
  <c r="J121" i="12"/>
  <c r="H123" i="12" a="1"/>
  <c r="H123" i="12" l="1"/>
  <c r="G123" i="12" s="1"/>
  <c r="I122" i="12"/>
  <c r="J122" i="12"/>
  <c r="H124" i="12" a="1"/>
  <c r="H124" i="12" l="1"/>
  <c r="G124" i="12" s="1"/>
  <c r="J123" i="12"/>
  <c r="I123" i="12"/>
  <c r="H125" i="12" a="1"/>
  <c r="E19" i="55" a="1"/>
  <c r="H125" i="12" l="1"/>
  <c r="G125" i="12" s="1"/>
  <c r="E19" i="55"/>
  <c r="J124" i="12"/>
  <c r="I124" i="12"/>
  <c r="E20" i="55" a="1"/>
  <c r="H126" i="12" a="1"/>
  <c r="H126" i="12" l="1"/>
  <c r="G126" i="12" s="1"/>
  <c r="E20" i="55"/>
  <c r="J125" i="12"/>
  <c r="I125" i="12"/>
  <c r="H127" i="12" a="1"/>
  <c r="H127" i="12" l="1"/>
  <c r="G127" i="12" s="1"/>
  <c r="J126" i="12"/>
  <c r="I126" i="12"/>
  <c r="H128" i="12" a="1"/>
  <c r="H128" i="12" l="1"/>
  <c r="I128" i="12" s="1"/>
  <c r="I127" i="12"/>
  <c r="J127" i="12"/>
  <c r="H129" i="12" a="1"/>
  <c r="J128" i="12" l="1"/>
  <c r="G128" i="12"/>
  <c r="H129" i="12"/>
  <c r="H130" i="12" a="1"/>
  <c r="G129" i="12" l="1"/>
  <c r="I129" i="12"/>
  <c r="J129" i="12"/>
  <c r="H130" i="12"/>
  <c r="H131" i="12" a="1"/>
  <c r="E21" i="55" a="1"/>
  <c r="G130" i="12" l="1"/>
  <c r="H131" i="12"/>
  <c r="J130" i="12"/>
  <c r="I130" i="12"/>
  <c r="E21" i="55"/>
  <c r="H132" i="12" a="1"/>
  <c r="H132" i="12" l="1"/>
  <c r="G131" i="12"/>
  <c r="I131" i="12"/>
  <c r="J131" i="12"/>
  <c r="H133" i="12" a="1"/>
  <c r="H133" i="12" l="1"/>
  <c r="J132" i="12"/>
  <c r="I132" i="12"/>
  <c r="G132" i="12"/>
  <c r="E22" i="55" a="1"/>
  <c r="H134" i="12" a="1"/>
  <c r="H134" i="12" l="1"/>
  <c r="I133" i="12"/>
  <c r="J133" i="12"/>
  <c r="G133" i="12"/>
  <c r="E22" i="55"/>
  <c r="H135" i="12" a="1"/>
  <c r="H135" i="12" l="1"/>
  <c r="J134" i="12"/>
  <c r="I134" i="12"/>
  <c r="G134" i="12"/>
  <c r="H136" i="12" a="1"/>
  <c r="H136" i="12" l="1"/>
  <c r="J135" i="12"/>
  <c r="I135" i="12"/>
  <c r="G135" i="12"/>
  <c r="H137" i="12" a="1"/>
  <c r="H137" i="12" l="1"/>
  <c r="I136" i="12"/>
  <c r="J136" i="12"/>
  <c r="G136" i="12"/>
  <c r="H138" i="12" a="1"/>
  <c r="H138" i="12" l="1"/>
  <c r="J137" i="12"/>
  <c r="I137" i="12"/>
  <c r="G137" i="12"/>
  <c r="H139" i="12" a="1"/>
  <c r="H139" i="12" l="1"/>
  <c r="I138" i="12"/>
  <c r="J138" i="12"/>
  <c r="G138" i="12"/>
  <c r="H140" i="12" a="1"/>
  <c r="H140" i="12" l="1"/>
  <c r="J139" i="12"/>
  <c r="I139" i="12"/>
  <c r="G139" i="12"/>
  <c r="H141" i="12" a="1"/>
  <c r="E23" i="55" a="1"/>
  <c r="H141" i="12" l="1"/>
  <c r="J140" i="12"/>
  <c r="I140" i="12"/>
  <c r="G140" i="12"/>
  <c r="E23" i="55"/>
  <c r="H142" i="12" a="1"/>
  <c r="E24" i="55" a="1"/>
  <c r="H142" i="12" l="1"/>
  <c r="I141" i="12"/>
  <c r="J141" i="12"/>
  <c r="G141" i="12"/>
  <c r="E24" i="55"/>
  <c r="H143" i="12" a="1"/>
  <c r="H143" i="12" l="1"/>
  <c r="I142" i="12"/>
  <c r="G142" i="12"/>
  <c r="J142" i="12"/>
  <c r="H144" i="12" a="1"/>
  <c r="H144" i="12" l="1"/>
  <c r="I143" i="12"/>
  <c r="J143" i="12"/>
  <c r="G143" i="12"/>
  <c r="H145" i="12" a="1"/>
  <c r="H145" i="12" l="1"/>
  <c r="I144" i="12"/>
  <c r="J144" i="12"/>
  <c r="G144" i="12"/>
  <c r="H146" i="12" a="1"/>
  <c r="H146" i="12" l="1"/>
  <c r="J145" i="12"/>
  <c r="I145" i="12"/>
  <c r="G145" i="12"/>
  <c r="H147" i="12" a="1"/>
  <c r="H147" i="12" l="1"/>
  <c r="J146" i="12"/>
  <c r="I146" i="12"/>
  <c r="G146" i="12"/>
  <c r="H148" i="12" a="1"/>
  <c r="H148" i="12" l="1"/>
  <c r="J147" i="12"/>
  <c r="G147" i="12"/>
  <c r="I147" i="12"/>
  <c r="E25" i="55" a="1"/>
  <c r="H149" i="12" a="1"/>
  <c r="H149" i="12" l="1"/>
  <c r="J148" i="12"/>
  <c r="I148" i="12"/>
  <c r="G148" i="12"/>
  <c r="E25" i="55"/>
  <c r="E26" i="55" a="1"/>
  <c r="H150" i="12" a="1"/>
  <c r="H150" i="12" l="1"/>
  <c r="I149" i="12"/>
  <c r="J149" i="12"/>
  <c r="G149" i="12"/>
  <c r="E26" i="55"/>
  <c r="H151" i="12" a="1"/>
  <c r="H151" i="12" l="1"/>
  <c r="J150" i="12"/>
  <c r="I150" i="12"/>
  <c r="G150" i="12"/>
  <c r="H152" i="12" a="1"/>
  <c r="H152" i="12" l="1"/>
  <c r="I151" i="12"/>
  <c r="J151" i="12"/>
  <c r="G151" i="12"/>
  <c r="H153" i="12" a="1"/>
  <c r="H153" i="12" l="1"/>
  <c r="G152" i="12"/>
  <c r="J152" i="12"/>
  <c r="I152" i="12"/>
  <c r="H154" i="12" a="1"/>
  <c r="H154" i="12" l="1"/>
  <c r="I153" i="12"/>
  <c r="J153" i="12"/>
  <c r="G153" i="12"/>
  <c r="H155" i="12" a="1"/>
  <c r="H155" i="12" l="1"/>
  <c r="G154" i="12"/>
  <c r="I154" i="12"/>
  <c r="J154" i="12"/>
  <c r="H156" i="12" a="1"/>
  <c r="H156" i="12" l="1"/>
  <c r="J155" i="12"/>
  <c r="I155" i="12"/>
  <c r="G155" i="12"/>
  <c r="H157" i="12" a="1"/>
  <c r="H157" i="12" l="1"/>
  <c r="J156" i="12"/>
  <c r="I156" i="12"/>
  <c r="G156" i="12"/>
  <c r="H158" i="12" a="1"/>
  <c r="H158" i="12" l="1"/>
  <c r="J157" i="12"/>
  <c r="I157" i="12"/>
  <c r="G157" i="12"/>
  <c r="H159" i="12" a="1"/>
  <c r="E27" i="55" a="1"/>
  <c r="H159" i="12" l="1"/>
  <c r="G158" i="12"/>
  <c r="J158" i="12"/>
  <c r="I158" i="12"/>
  <c r="E27" i="55"/>
  <c r="H160" i="12" a="1"/>
  <c r="H160" i="12" l="1"/>
  <c r="G159" i="12"/>
  <c r="I159" i="12"/>
  <c r="J159" i="12"/>
  <c r="H161" i="12" a="1"/>
  <c r="H161" i="12" l="1"/>
  <c r="G160" i="12"/>
  <c r="I160" i="12"/>
  <c r="J160" i="12"/>
  <c r="H162" i="12" a="1"/>
  <c r="H162" i="12" l="1"/>
  <c r="G161" i="12"/>
  <c r="I161" i="12"/>
  <c r="J161" i="12"/>
  <c r="H163" i="12" a="1"/>
  <c r="H163" i="12" l="1"/>
  <c r="G162" i="12"/>
  <c r="J162" i="12"/>
  <c r="I162" i="12"/>
  <c r="H164" i="12" a="1"/>
  <c r="H164" i="12" l="1"/>
  <c r="G163" i="12"/>
  <c r="I163" i="12"/>
  <c r="J163" i="12"/>
  <c r="H165" i="12" a="1"/>
  <c r="H165" i="12" l="1"/>
  <c r="G164" i="12"/>
  <c r="J164" i="12"/>
  <c r="I164" i="12"/>
  <c r="H166" i="12" a="1"/>
  <c r="H166" i="12" l="1"/>
  <c r="G165" i="12"/>
  <c r="I165" i="12"/>
  <c r="J165" i="12"/>
  <c r="H167" i="12" a="1"/>
  <c r="H167" i="12" l="1"/>
  <c r="G166" i="12"/>
  <c r="J166" i="12"/>
  <c r="I166" i="12"/>
  <c r="H168" i="12" a="1"/>
  <c r="H168" i="12" l="1"/>
  <c r="G167" i="12"/>
  <c r="J167" i="12"/>
  <c r="I167" i="12"/>
  <c r="H169" i="12" a="1"/>
  <c r="H169" i="12" l="1"/>
  <c r="G168" i="12"/>
  <c r="I168" i="12"/>
  <c r="J168" i="12"/>
  <c r="H170" i="12" a="1"/>
  <c r="H170" i="12" l="1"/>
  <c r="I169" i="12"/>
  <c r="J169" i="12"/>
  <c r="G169" i="12"/>
  <c r="H171" i="12" a="1"/>
  <c r="H171" i="12" l="1"/>
  <c r="J170" i="12"/>
  <c r="I170" i="12"/>
  <c r="G170" i="12"/>
  <c r="G171" i="12" s="1"/>
  <c r="H172" i="12" a="1"/>
  <c r="H172" i="12" l="1"/>
  <c r="I171" i="12"/>
  <c r="J171" i="12"/>
  <c r="H173" i="12" a="1"/>
  <c r="H173" i="12" l="1"/>
  <c r="G172" i="12"/>
  <c r="J172" i="12"/>
  <c r="I172" i="12"/>
  <c r="H174" i="12" a="1"/>
  <c r="H174" i="12" l="1"/>
  <c r="G173" i="12"/>
  <c r="I173" i="12"/>
  <c r="J173" i="12"/>
  <c r="H175" i="12" a="1"/>
  <c r="H175" i="12" l="1"/>
  <c r="G174" i="12"/>
  <c r="J174" i="12"/>
  <c r="I174" i="12"/>
  <c r="H176" i="12" a="1"/>
  <c r="H176" i="12" l="1"/>
  <c r="G175" i="12"/>
  <c r="I175" i="12"/>
  <c r="J175" i="12"/>
  <c r="H177" i="12" a="1"/>
  <c r="H177" i="12" l="1"/>
  <c r="G176" i="12"/>
  <c r="J176" i="12"/>
  <c r="I176" i="12"/>
  <c r="H178" i="12" a="1"/>
  <c r="H178" i="12" l="1"/>
  <c r="G177" i="12"/>
  <c r="I177" i="12"/>
  <c r="J177" i="12"/>
  <c r="H179" i="12" a="1"/>
  <c r="H179" i="12" l="1"/>
  <c r="G178" i="12"/>
  <c r="J178" i="12"/>
  <c r="I178" i="12"/>
  <c r="H180" i="12" a="1"/>
  <c r="H180" i="12" l="1"/>
  <c r="J179" i="12"/>
  <c r="I179" i="12"/>
  <c r="G179" i="12"/>
  <c r="H181" i="12" a="1"/>
  <c r="H181" i="12" l="1"/>
  <c r="J180" i="12"/>
  <c r="I180" i="12"/>
  <c r="G180" i="12"/>
  <c r="H182" i="12" a="1"/>
  <c r="H182" i="12" l="1"/>
  <c r="G181" i="12"/>
  <c r="I181" i="12"/>
  <c r="J181" i="12"/>
  <c r="H183" i="12" a="1"/>
  <c r="H183" i="12" l="1"/>
  <c r="J182" i="12"/>
  <c r="I182" i="12"/>
  <c r="G182" i="12"/>
  <c r="H184" i="12" a="1"/>
  <c r="H184" i="12" l="1"/>
  <c r="I183" i="12"/>
  <c r="J183" i="12"/>
  <c r="G183" i="12"/>
  <c r="H185" i="12" a="1"/>
  <c r="H185" i="12" l="1"/>
  <c r="J184" i="12"/>
  <c r="I184" i="12"/>
  <c r="G184" i="12"/>
  <c r="H186" i="12" a="1"/>
  <c r="H186" i="12" l="1"/>
  <c r="G185" i="12"/>
  <c r="J185" i="12"/>
  <c r="I185" i="12"/>
  <c r="H187" i="12" a="1"/>
  <c r="H187" i="12" l="1"/>
  <c r="G186" i="12"/>
  <c r="J186" i="12"/>
  <c r="I186" i="12"/>
  <c r="H188" i="12" a="1"/>
  <c r="H188" i="12" l="1"/>
  <c r="G187" i="12"/>
  <c r="I187" i="12"/>
  <c r="J187" i="12"/>
  <c r="H189" i="12" a="1"/>
  <c r="H189" i="12" l="1"/>
  <c r="G188" i="12"/>
  <c r="J188" i="12"/>
  <c r="I188" i="12"/>
  <c r="H190" i="12" a="1"/>
  <c r="H190" i="12" l="1"/>
  <c r="I189" i="12"/>
  <c r="J189" i="12"/>
  <c r="G189" i="12"/>
  <c r="H191" i="12" a="1"/>
  <c r="H191" i="12" l="1"/>
  <c r="G190" i="12"/>
  <c r="J190" i="12"/>
  <c r="I190" i="12"/>
  <c r="H192" i="12" a="1"/>
  <c r="H192" i="12" l="1"/>
  <c r="I191" i="12"/>
  <c r="J191" i="12"/>
  <c r="G191" i="12"/>
  <c r="H193" i="12" a="1"/>
  <c r="H193" i="12" l="1"/>
  <c r="J192" i="12"/>
  <c r="I192" i="12"/>
  <c r="G192" i="12"/>
  <c r="H195" i="12" a="1"/>
  <c r="J193" i="12" l="1"/>
  <c r="I193" i="12"/>
  <c r="G193" i="12"/>
  <c r="H195" i="12"/>
  <c r="J194" i="12"/>
  <c r="I194" i="12"/>
  <c r="H196" i="12" a="1"/>
  <c r="H196" i="12" l="1"/>
  <c r="J195" i="12"/>
  <c r="I195" i="12"/>
  <c r="G195" i="12"/>
  <c r="H197" i="12" a="1"/>
  <c r="H197" i="12" l="1"/>
  <c r="I196" i="12"/>
  <c r="G196" i="12"/>
  <c r="J196" i="12"/>
  <c r="H198" i="12" a="1"/>
  <c r="H198" i="12" l="1"/>
  <c r="J197" i="12"/>
  <c r="I197" i="12"/>
  <c r="G197" i="12"/>
  <c r="H199" i="12" a="1"/>
  <c r="H199" i="12" l="1"/>
  <c r="G198" i="12"/>
  <c r="I198" i="12"/>
  <c r="J198" i="12"/>
  <c r="H200" i="12" a="1"/>
  <c r="H200" i="12" l="1"/>
  <c r="I199" i="12"/>
  <c r="J199" i="12"/>
  <c r="G199" i="12"/>
  <c r="H201" i="12" a="1"/>
  <c r="H201" i="12" l="1"/>
  <c r="J200" i="12"/>
  <c r="I200" i="12"/>
  <c r="G200" i="12"/>
  <c r="H202" i="12" a="1"/>
  <c r="H202" i="12" l="1"/>
  <c r="J201" i="12"/>
  <c r="I201" i="12"/>
  <c r="G201" i="12"/>
  <c r="H203" i="12" a="1"/>
  <c r="H203" i="12" l="1"/>
  <c r="J202" i="12"/>
  <c r="I202" i="12"/>
  <c r="G202" i="12"/>
  <c r="H204" i="12" a="1"/>
  <c r="H204" i="12" l="1"/>
  <c r="I203" i="12"/>
  <c r="G203" i="12"/>
  <c r="J203" i="12"/>
  <c r="H205" i="12" a="1"/>
  <c r="H205" i="12" l="1"/>
  <c r="I204" i="12"/>
  <c r="J204" i="12"/>
  <c r="G204" i="12"/>
  <c r="H206" i="12" a="1"/>
  <c r="H206" i="12" l="1"/>
  <c r="J205" i="12"/>
  <c r="I205" i="12"/>
  <c r="G205" i="12"/>
  <c r="H207" i="12" a="1"/>
  <c r="H207" i="12" l="1"/>
  <c r="I206" i="12"/>
  <c r="J206" i="12"/>
  <c r="G206" i="12"/>
  <c r="H208" i="12" a="1"/>
  <c r="H208" i="12" l="1"/>
  <c r="J207" i="12"/>
  <c r="I207" i="12"/>
  <c r="G207" i="12"/>
  <c r="H209" i="12" a="1"/>
  <c r="H209" i="12" l="1"/>
  <c r="J208" i="12"/>
  <c r="I208" i="12"/>
  <c r="G208" i="12"/>
  <c r="H210" i="12" a="1"/>
  <c r="H210" i="12" l="1"/>
  <c r="I209" i="12"/>
  <c r="J209" i="12"/>
  <c r="G209" i="12"/>
  <c r="H211" i="12" a="1"/>
  <c r="H211" i="12" l="1"/>
  <c r="J210" i="12"/>
  <c r="G210" i="12"/>
  <c r="I210" i="12"/>
  <c r="H212" i="12" a="1"/>
  <c r="H212" i="12" l="1"/>
  <c r="J211" i="12"/>
  <c r="I211" i="12"/>
  <c r="G211" i="12"/>
  <c r="H213" i="12" a="1"/>
  <c r="H213" i="12" l="1"/>
  <c r="J212" i="12"/>
  <c r="I212" i="12"/>
  <c r="G212" i="12"/>
  <c r="H214" i="12" a="1"/>
  <c r="H214" i="12" l="1"/>
  <c r="J213" i="12"/>
  <c r="I213" i="12"/>
  <c r="G213" i="12"/>
  <c r="H215" i="12" a="1"/>
  <c r="H215" i="12" l="1"/>
  <c r="J214" i="12"/>
  <c r="I214" i="12"/>
  <c r="G214" i="12"/>
  <c r="H216" i="12" a="1"/>
  <c r="H216" i="12" l="1"/>
  <c r="J215" i="12"/>
  <c r="I215" i="12"/>
  <c r="G215" i="12"/>
  <c r="H217" i="12" a="1"/>
  <c r="H217" i="12" l="1"/>
  <c r="I216" i="12"/>
  <c r="G216" i="12"/>
  <c r="J216" i="12"/>
  <c r="H218" i="12" a="1"/>
  <c r="H218" i="12" l="1"/>
  <c r="I217" i="12"/>
  <c r="J217" i="12"/>
  <c r="G217" i="12"/>
  <c r="H219" i="12" a="1"/>
  <c r="H219" i="12" l="1"/>
  <c r="J218" i="12"/>
  <c r="G218" i="12"/>
  <c r="I218" i="12"/>
  <c r="H220" i="12" a="1"/>
  <c r="H220" i="12" l="1"/>
  <c r="J219" i="12"/>
  <c r="I219" i="12"/>
  <c r="G219" i="12"/>
  <c r="H221" i="12" a="1"/>
  <c r="H221" i="12" l="1"/>
  <c r="J220" i="12"/>
  <c r="I220" i="12"/>
  <c r="G220" i="12"/>
  <c r="H222" i="12" a="1"/>
  <c r="H222" i="12" l="1"/>
  <c r="I221" i="12"/>
  <c r="J221" i="12"/>
  <c r="G221" i="12"/>
  <c r="H223" i="12" a="1"/>
  <c r="H223" i="12" l="1"/>
  <c r="J222" i="12"/>
  <c r="I222" i="12"/>
  <c r="G222" i="12"/>
  <c r="H224" i="12" a="1"/>
  <c r="H224" i="12" l="1"/>
  <c r="J223" i="12"/>
  <c r="I223" i="12"/>
  <c r="G223" i="12"/>
  <c r="H225" i="12" a="1"/>
  <c r="H225" i="12" l="1"/>
  <c r="I224" i="12"/>
  <c r="G224" i="12"/>
  <c r="J224" i="12"/>
  <c r="H226" i="12" a="1"/>
  <c r="H226" i="12" l="1"/>
  <c r="J225" i="12"/>
  <c r="I225" i="12"/>
  <c r="G225" i="12"/>
  <c r="H227" i="12" a="1"/>
  <c r="H227" i="12" l="1"/>
  <c r="J226" i="12"/>
  <c r="I226" i="12"/>
  <c r="G226" i="12"/>
  <c r="H228" i="12" a="1"/>
  <c r="H228" i="12" l="1"/>
  <c r="I227" i="12"/>
  <c r="J227" i="12"/>
  <c r="G227" i="12"/>
  <c r="H229" i="12" a="1"/>
  <c r="H229" i="12" l="1"/>
  <c r="I228" i="12"/>
  <c r="G228" i="12"/>
  <c r="J228" i="12"/>
  <c r="H230" i="12" a="1"/>
  <c r="H230" i="12" l="1"/>
  <c r="I229" i="12"/>
  <c r="G229" i="12"/>
  <c r="J229" i="12"/>
  <c r="H231" i="12" a="1"/>
  <c r="H231" i="12" l="1"/>
  <c r="I230" i="12"/>
  <c r="G230" i="12"/>
  <c r="J230" i="12"/>
  <c r="H232" i="12" a="1"/>
  <c r="H232" i="12" l="1"/>
  <c r="J231" i="12"/>
  <c r="I231" i="12"/>
  <c r="G231" i="12"/>
  <c r="H233" i="12" a="1"/>
  <c r="H233" i="12" l="1"/>
  <c r="J232" i="12"/>
  <c r="I232" i="12"/>
  <c r="G232" i="12"/>
  <c r="H234" i="12" a="1"/>
  <c r="H234" i="12" l="1"/>
  <c r="J233" i="12"/>
  <c r="I233" i="12"/>
  <c r="G233" i="12"/>
  <c r="H235" i="12" a="1"/>
  <c r="H235" i="12" l="1"/>
  <c r="J234" i="12"/>
  <c r="I234" i="12"/>
  <c r="G234" i="12"/>
  <c r="H236" i="12" a="1"/>
  <c r="H236" i="12" l="1"/>
  <c r="J235" i="12"/>
  <c r="G235" i="12"/>
  <c r="I235" i="12"/>
  <c r="H237" i="12" a="1"/>
  <c r="H237" i="12" l="1"/>
  <c r="I236" i="12"/>
  <c r="J236" i="12"/>
  <c r="G236" i="12"/>
  <c r="G21" i="12"/>
  <c r="G22" i="12" s="1"/>
  <c r="G23" i="12" s="1"/>
  <c r="G24" i="12" s="1"/>
  <c r="G25" i="12" s="1"/>
  <c r="G26" i="12" s="1"/>
  <c r="G27" i="12" s="1"/>
  <c r="G18" i="12"/>
  <c r="G19" i="12" s="1"/>
  <c r="G20" i="12" s="1"/>
  <c r="J15" i="12"/>
  <c r="G15" i="12"/>
  <c r="I15" i="12"/>
  <c r="H16" i="12" a="1"/>
  <c r="J237" i="12" l="1"/>
  <c r="I237" i="12"/>
  <c r="G237" i="12"/>
  <c r="H16" i="12"/>
  <c r="H17" i="12" a="1"/>
  <c r="H17" i="12" l="1"/>
  <c r="G16" i="12"/>
  <c r="J16" i="12"/>
  <c r="I16" i="12"/>
  <c r="G17" i="12" l="1"/>
  <c r="J17" i="12"/>
  <c r="I17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<sst xmlns="http://schemas.openxmlformats.org/spreadsheetml/2006/main" count="1220" uniqueCount="673">
  <si>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</si>
  <si>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</si>
  <si>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</si>
  <si>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</si>
  <si>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</si>
  <si>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</si>
  <si>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</si>
  <si>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</si>
  <si>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</si>
  <si>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</si>
  <si>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</si>
  <si>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</si>
  <si>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</si>
  <si>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</si>
  <si>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</si>
  <si>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</si>
  <si>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</si>
  <si>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</si>
  <si>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</si>
  <si>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</si>
  <si>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</si>
  <si>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</si>
  <si>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</si>
  <si>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</si>
  <si>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</si>
  <si>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</si>
  <si>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</si>
  <si>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</si>
  <si>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</si>
  <si>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</si>
  <si>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</si>
  <si>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</si>
  <si>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</si>
  <si>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</si>
  <si>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</si>
  <si>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</si>
  <si>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</si>
  <si>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</si>
  <si>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</si>
  <si>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</si>
  <si>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</si>
  <si>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</si>
  <si>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</si>
  <si>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</si>
  <si>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</si>
  <si>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</si>
  <si>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</si>
  <si>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</si>
  <si>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</si>
  <si>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</si>
  <si>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</si>
  <si>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</si>
  <si>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</si>
  <si>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</si>
  <si>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</si>
  <si>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</si>
  <si>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</si>
  <si>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</si>
  <si>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</si>
  <si>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</si>
  <si>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</si>
  <si>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</si>
  <si>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</si>
  <si>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</si>
  <si>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</si>
  <si>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</si>
  <si>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</si>
  <si>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</si>
  <si>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</si>
  <si>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</si>
  <si>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</si>
  <si>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</si>
  <si>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</si>
  <si>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</si>
  <si>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</si>
  <si>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</si>
  <si>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</si>
  <si>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</si>
  <si>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</si>
  <si>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</si>
  <si>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</si>
  <si>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</si>
  <si>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</si>
  <si>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</si>
  <si>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</si>
  <si>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</si>
  <si>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</si>
  <si>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</si>
  <si>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</si>
  <si>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</si>
  <si>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</si>
  <si>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</si>
  <si>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</si>
  <si>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</si>
  <si>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</si>
  <si>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</si>
  <si>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</si>
  <si>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</si>
  <si>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</si>
  <si>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</si>
  <si>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</si>
  <si>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</si>
  <si>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</si>
  <si>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</si>
  <si>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</si>
  <si>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</si>
  <si>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</si>
  <si>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</si>
  <si>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</si>
  <si>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</si>
  <si>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</si>
  <si>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</si>
  <si>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</si>
  <si>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</si>
  <si>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</si>
  <si>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</si>
  <si>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#ParentMenuCaption</t>
  </si>
  <si>
    <t>AskGridable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</si>
  <si>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</si>
  <si>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</si>
  <si>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</si>
  <si>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</si>
  <si>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</si>
  <si>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</si>
  <si>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</si>
  <si>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</si>
  <si>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</si>
  <si>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</si>
  <si>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</si>
  <si>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</si>
  <si>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</si>
  <si>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</si>
  <si>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</si>
  <si>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</si>
  <si>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</si>
  <si>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</si>
  <si>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</si>
  <si>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</si>
  <si>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</si>
  <si>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</si>
  <si>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</si>
  <si>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</si>
  <si>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</si>
  <si>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</si>
  <si>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</si>
  <si>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</si>
  <si>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</si>
  <si>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</si>
  <si>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</si>
  <si>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</si>
  <si>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</si>
  <si>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</si>
  <si>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</si>
  <si>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</si>
  <si>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</si>
  <si>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</si>
  <si>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</si>
  <si>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</si>
  <si>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</si>
  <si>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</si>
  <si>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</si>
  <si>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</si>
  <si>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</si>
  <si>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</si>
  <si>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</si>
  <si>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</si>
  <si>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</si>
  <si>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</si>
  <si>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</si>
  <si>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</si>
  <si>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</si>
  <si>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</si>
  <si>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</si>
  <si>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</si>
  <si>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</si>
  <si>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</si>
  <si>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</si>
  <si>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</si>
  <si>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</si>
  <si>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</si>
  <si>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</si>
  <si>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</si>
  <si>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</si>
  <si>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</si>
  <si>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</si>
  <si>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</si>
  <si>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</si>
  <si>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</si>
  <si>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</si>
  <si>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</si>
  <si>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</si>
  <si>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</si>
  <si>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</si>
  <si>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</si>
  <si>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</si>
  <si>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</si>
  <si>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</si>
  <si>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</si>
  <si>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</si>
  <si>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</si>
  <si>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</si>
  <si>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</si>
  <si>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</si>
  <si>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</si>
  <si>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</si>
  <si>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</si>
  <si>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</si>
  <si>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</si>
  <si>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</si>
  <si>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</si>
  <si>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</si>
  <si>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</si>
  <si>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</si>
  <si>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</si>
  <si>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</si>
  <si>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</si>
  <si>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</si>
  <si>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</si>
  <si>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</si>
  <si>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</si>
  <si>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</si>
  <si>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</si>
  <si>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</si>
  <si>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</si>
  <si>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</si>
  <si>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</si>
  <si>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</si>
  <si>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</si>
  <si>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</si>
  <si>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</si>
  <si>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</si>
  <si>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</si>
  <si>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</si>
  <si>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</si>
  <si>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</si>
  <si>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</si>
  <si>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</si>
  <si>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</si>
  <si>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</si>
  <si>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</si>
  <si>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</si>
  <si>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</si>
  <si>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</si>
  <si>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</si>
  <si>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</si>
  <si>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</si>
  <si>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</si>
  <si>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</si>
  <si>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</si>
  <si>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</si>
  <si>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</si>
  <si>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</si>
  <si>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</si>
  <si>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</si>
  <si>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</si>
  <si>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</si>
  <si>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</si>
  <si>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</si>
  <si>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</si>
  <si>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</si>
  <si>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</si>
  <si>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</si>
  <si>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</si>
  <si>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</si>
  <si>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</si>
  <si>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</si>
  <si>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</si>
  <si>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</si>
  <si>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</si>
  <si>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</si>
  <si>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</si>
  <si>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</si>
  <si>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</si>
  <si>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</si>
  <si>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</si>
  <si>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</si>
  <si>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</si>
  <si>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</si>
  <si>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</si>
  <si>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</si>
  <si>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</si>
  <si>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</si>
  <si>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</si>
  <si>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</si>
  <si>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</si>
  <si>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</si>
  <si>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</si>
  <si>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</si>
  <si>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</si>
  <si>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</si>
  <si>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</si>
  <si>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</si>
  <si>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</si>
  <si>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</si>
  <si>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</si>
  <si>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</si>
  <si>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</si>
  <si>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</si>
  <si>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</si>
  <si>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</si>
  <si>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</si>
  <si>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</si>
  <si>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</si>
  <si>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</si>
  <si>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</si>
  <si>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</si>
  <si>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</si>
  <si>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</si>
  <si>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</si>
  <si>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</si>
  <si>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</si>
  <si>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</si>
  <si>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</si>
  <si>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</si>
  <si>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</si>
  <si>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</si>
  <si>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</si>
  <si>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</si>
  <si>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</si>
  <si>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</si>
  <si>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</si>
  <si>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</si>
  <si>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</si>
  <si>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</si>
  <si>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</si>
  <si>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</si>
  <si>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</si>
  <si>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</si>
  <si>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</si>
  <si>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</si>
  <si>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</si>
  <si>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</si>
  <si>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</si>
  <si>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</si>
  <si>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</si>
  <si>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</si>
  <si>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</si>
  <si>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</si>
  <si>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</si>
  <si>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</si>
  <si>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</si>
  <si>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</si>
  <si>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</si>
  <si>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</si>
  <si>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</si>
  <si>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</si>
  <si>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</si>
  <si>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</si>
  <si>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</si>
  <si>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Connections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</si>
  <si>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</si>
  <si>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</si>
  <si>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</si>
  <si>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</si>
  <si>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</si>
  <si>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</si>
  <si>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</si>
  <si>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</si>
  <si>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</si>
  <si>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</si>
  <si>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</si>
  <si>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</si>
  <si>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</si>
  <si>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</si>
  <si>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</si>
  <si>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</si>
  <si>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</si>
  <si>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</si>
  <si>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</si>
  <si>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</si>
  <si>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</si>
  <si>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</si>
  <si>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</si>
  <si>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</si>
  <si>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</si>
  <si>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</si>
  <si>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</si>
  <si>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</si>
  <si>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</si>
  <si>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</si>
  <si>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</si>
  <si>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</si>
  <si>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</si>
  <si>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</si>
  <si>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</si>
  <si>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</si>
  <si>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</si>
  <si>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</si>
  <si>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</si>
  <si>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</si>
  <si>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</si>
  <si>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</si>
  <si>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</si>
  <si>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</si>
  <si>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</si>
  <si>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</si>
  <si>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</si>
  <si>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</si>
  <si>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</si>
  <si>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</si>
  <si>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</si>
  <si>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</si>
  <si>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</si>
  <si>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</si>
  <si>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</si>
  <si>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LeftParenthesis</t>
  </si>
  <si>
    <t>RightParenthesis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</si>
  <si>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</si>
  <si>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</si>
  <si>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</si>
  <si>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</si>
  <si>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</si>
  <si>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</si>
  <si>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</si>
  <si>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</si>
  <si>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AskListable</t>
  </si>
  <si>
    <t>Con</t>
  </si>
  <si>
    <t>AskEncrypted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</si>
  <si>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</si>
  <si>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</si>
  <si>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</si>
  <si>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</si>
  <si>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</si>
  <si>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</si>
  <si>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</si>
  <si>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</si>
  <si>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</si>
  <si>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</si>
  <si>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</si>
  <si>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</si>
  <si>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</si>
  <si>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</si>
  <si>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</si>
  <si>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</si>
  <si>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</si>
  <si>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</si>
  <si>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</si>
  <si>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</si>
  <si>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</si>
  <si>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</si>
  <si>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</si>
  <si>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</si>
  <si>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</si>
  <si>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</si>
  <si>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</si>
  <si>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</si>
  <si>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</si>
  <si>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</si>
  <si>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</si>
  <si>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</si>
  <si>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</si>
  <si>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</si>
  <si>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</si>
  <si>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</si>
  <si>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</si>
  <si>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</si>
  <si>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</si>
  <si>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</si>
  <si>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</si>
  <si>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</si>
  <si>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</si>
  <si>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</si>
  <si>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</si>
  <si>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</si>
  <si>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</si>
  <si>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</si>
  <si>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</si>
  <si>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</si>
  <si>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</si>
  <si>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</si>
  <si>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</si>
  <si>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</si>
  <si>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</si>
  <si>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</si>
  <si>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</si>
  <si>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</si>
  <si>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</si>
  <si>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</si>
  <si>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</si>
  <si>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</si>
  <si>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</si>
  <si>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</si>
  <si>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</si>
  <si>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</si>
  <si>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</si>
  <si>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</si>
  <si>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</si>
  <si>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</si>
  <si>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</si>
  <si>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</si>
  <si>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</si>
  <si>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</si>
  <si>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</si>
  <si>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</si>
  <si>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</si>
  <si>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</si>
  <si>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</si>
  <si>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</si>
  <si>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</si>
  <si>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</si>
  <si>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</si>
  <si>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</si>
  <si>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</si>
  <si>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</si>
  <si>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</si>
  <si>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</si>
  <si>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</si>
  <si>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</si>
  <si>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</si>
  <si>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</si>
  <si>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</si>
  <si>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</si>
  <si>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Agendamentos de Tarefas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</si>
  <si>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</si>
  <si>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</si>
  <si>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</si>
  <si>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</si>
  <si>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</si>
  <si>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</si>
  <si>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</si>
  <si>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</si>
  <si>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</si>
  <si>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</si>
  <si>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</si>
  <si>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</si>
  <si>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</si>
  <si>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</si>
  <si>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Urls</t>
  </si>
  <si>
    <t>Url</t>
  </si>
  <si>
    <t>#RightTableAlias</t>
  </si>
  <si>
    <t>#LeftTableAlias</t>
  </si>
  <si>
    <t>#LeftColumnName</t>
  </si>
  <si>
    <t>#RightColumnName</t>
  </si>
  <si>
    <t>#ComparatorSymbol</t>
  </si>
  <si>
    <t>URL</t>
  </si>
  <si>
    <t>URL's</t>
  </si>
  <si>
    <t>Scripts de Snipers</t>
  </si>
  <si>
    <t>URL's HTTP/HTTPS de Snipers</t>
  </si>
  <si>
    <t>Snipers</t>
  </si>
  <si>
    <t>Snp</t>
  </si>
  <si>
    <t>Snipers Pré/Pós CRUD</t>
  </si>
  <si>
    <t>IsVirtual</t>
  </si>
  <si>
    <t>Cadastro</t>
  </si>
  <si>
    <t>Associação</t>
  </si>
  <si>
    <t>Manutenção de Tabelas de Definição</t>
  </si>
  <si>
    <t>Definição</t>
  </si>
  <si>
    <t>#SniperName</t>
  </si>
  <si>
    <t>Expressions</t>
  </si>
  <si>
    <t>Expression 0001</t>
  </si>
  <si>
    <t>SniperId</t>
  </si>
  <si>
    <t>RightValues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</si>
  <si>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</si>
  <si>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</si>
  <si>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</si>
  <si>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</si>
  <si>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</si>
  <si>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</si>
  <si>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</si>
  <si>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</si>
  <si>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</si>
  <si>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</si>
  <si>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</si>
  <si>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</si>
  <si>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</si>
  <si>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</si>
  <si>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</si>
  <si>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</si>
  <si>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</si>
  <si>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</si>
  <si>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</si>
  <si>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</si>
  <si>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</si>
  <si>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</si>
  <si>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</si>
  <si>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</si>
  <si>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</si>
  <si>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</si>
  <si>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</si>
  <si>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</si>
  <si>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</si>
  <si>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</si>
  <si>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</si>
  <si>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</si>
  <si>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</si>
  <si>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</si>
  <si>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</si>
  <si>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</si>
  <si>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</si>
  <si>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</si>
  <si>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</si>
  <si>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Owners</t>
  </si>
  <si>
    <t>Own</t>
  </si>
  <si>
    <t>Proprietários CRUDEX</t>
  </si>
  <si>
    <t>#OwnerName</t>
  </si>
  <si>
    <t>OwnertId</t>
  </si>
  <si>
    <t xml:space="preserve">AskDatabasePath </t>
  </si>
  <si>
    <t>Desenvolvimento</t>
  </si>
  <si>
    <t>Produção</t>
  </si>
  <si>
    <t>Homologação</t>
  </si>
  <si>
    <t>ParentEnvironmentId</t>
  </si>
  <si>
    <t>#ParentEnvironmentName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</si>
  <si>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</si>
  <si>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</si>
  <si>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</si>
  <si>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</si>
  <si>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</si>
  <si>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</si>
  <si>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</si>
  <si>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</si>
  <si>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</si>
  <si>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</si>
  <si>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</si>
  <si>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</si>
  <si>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</si>
  <si>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</si>
  <si>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</si>
  <si>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</si>
  <si>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</si>
  <si>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</si>
  <si>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</si>
  <si>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</si>
  <si>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</si>
  <si>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</si>
  <si>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</si>
  <si>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</si>
  <si>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</si>
  <si>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</si>
  <si>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</si>
  <si>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</si>
  <si>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</si>
  <si>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</si>
  <si>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</si>
  <si>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</si>
  <si>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</si>
  <si>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</si>
  <si>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</si>
  <si>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</si>
  <si>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</si>
  <si>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</si>
  <si>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</si>
  <si>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</si>
  <si>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</si>
  <si>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</si>
  <si>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</si>
  <si>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</si>
  <si>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</si>
  <si>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</si>
  <si>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</si>
  <si>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</si>
  <si>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</si>
  <si>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</si>
  <si>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</si>
  <si>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</si>
  <si>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</si>
  <si>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</si>
  <si>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</si>
  <si>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</si>
  <si>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</si>
  <si>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</si>
  <si>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</si>
  <si>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IsPrimaryKey</t>
  </si>
  <si>
    <t>IsAutoincrement</t>
  </si>
  <si>
    <t>IsOrdenable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</si>
  <si>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</si>
  <si>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</si>
  <si>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</si>
  <si>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</si>
  <si>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</si>
  <si>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</si>
  <si>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</si>
  <si>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</si>
  <si>
    <t>ValidMask: 0 = numérico com zeros à esquerda; 9 = numérico; A = alfabético; X = alfanumérico; # = alfanumérico ou especial</t>
  </si>
  <si>
    <t>IsRelational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</si>
</sst>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16</xdr:row>
          <xdr:rowOff>38100</xdr:rowOff>
        </xdr:from>
        <xdr:to>
          <xdr:col>6</xdr:col>
          <xdr:colOff>739140</xdr:colOff>
          <xdr:row>19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L11"/>
  <sheetViews>
    <sheetView workbookViewId="0">
      <pane ySplit="1" topLeftCell="A2" activePane="bottomLeft" state="frozen"/>
      <selection pane="bottomLeft" activeCell="H12" sqref="H12"/>
    </sheetView>
  </sheetViews>
  <sheetFormatPr defaultColWidth="11.6640625" defaultRowHeight="14.4"/>
  <cols>
    <col min="1" max="1" width="3.6640625" bestFit="1" customWidth="1"/>
    <col min="2" max="2" width="9.109375" bestFit="1" customWidth="1"/>
    <col min="3" max="3" width="11.77734375" bestFit="1" customWidth="1"/>
    <col min="4" max="4" width="12.21875" bestFit="1" customWidth="1"/>
    <col min="5" max="5" width="12.5546875" bestFit="1" customWidth="1"/>
    <col min="6" max="9" width="11.77734375" bestFit="1" customWidth="1"/>
    <col min="10" max="10" width="12.5546875" style="6" bestFit="1" customWidth="1"/>
    <col min="11" max="12" width="11.77734375" bestFit="1" customWidth="1"/>
  </cols>
  <sheetData>
    <row r="1" spans="1:12" s="1" customFormat="1">
      <c r="A1" s="1" t="s">
        <v>561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120</v>
      </c>
      <c r="G1" s="1" t="s">
        <v>1</v>
      </c>
      <c r="H1" s="1" t="s">
        <v>117</v>
      </c>
      <c r="I1" s="1" t="s">
        <v>22</v>
      </c>
      <c r="J1" s="1" t="s">
        <v>417</v>
      </c>
      <c r="K1" s="1" t="s">
        <v>415</v>
      </c>
      <c r="L1" s="1" t="s">
        <v>662</v>
      </c>
    </row>
    <row r="2" spans="1:12">
      <c r="A2">
        <f>ROW(A2)-1</f>
        <v>1</v>
      </c>
      <c r="B2" t="s">
        <v>5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</row>
    <row r="3" spans="1:12">
      <c r="A3">
        <f t="shared" ref="A3:A11" si="0">ROW(A3)-1</f>
        <v>2</v>
      </c>
      <c r="B3" t="s">
        <v>141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  <c r="L3" t="b">
        <v>1</v>
      </c>
    </row>
    <row r="4" spans="1:12">
      <c r="A4">
        <f t="shared" si="0"/>
        <v>3</v>
      </c>
      <c r="B4" t="s">
        <v>8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  <c r="L4" t="b">
        <v>1</v>
      </c>
    </row>
    <row r="5" spans="1:12">
      <c r="A5">
        <f t="shared" si="0"/>
        <v>4</v>
      </c>
      <c r="B5" t="s">
        <v>9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  <c r="L5" t="b">
        <v>1</v>
      </c>
    </row>
    <row r="6" spans="1:12">
      <c r="A6">
        <f t="shared" si="0"/>
        <v>5</v>
      </c>
      <c r="B6" t="s">
        <v>11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  <c r="L6" t="b">
        <v>1</v>
      </c>
    </row>
    <row r="7" spans="1:12">
      <c r="A7">
        <f>ROW(A7)-1</f>
        <v>6</v>
      </c>
      <c r="B7" t="s">
        <v>6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</row>
    <row r="8" spans="1:12">
      <c r="A8">
        <f>ROW(A8)-1</f>
        <v>7</v>
      </c>
      <c r="B8" t="s">
        <v>10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  <c r="L8" t="b">
        <v>1</v>
      </c>
    </row>
    <row r="9" spans="1:12">
      <c r="A9">
        <f t="shared" si="0"/>
        <v>8</v>
      </c>
      <c r="B9" t="s">
        <v>12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</row>
    <row r="10" spans="1:12">
      <c r="A10">
        <v>9</v>
      </c>
      <c r="B10" t="s">
        <v>13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</row>
    <row r="11" spans="1:12">
      <c r="A11">
        <f t="shared" si="0"/>
        <v>10</v>
      </c>
      <c r="B11" t="s">
        <v>14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16</xdr:row>
                    <xdr:rowOff>38100</xdr:rowOff>
                  </from>
                  <to>
                    <xdr:col>6</xdr:col>
                    <xdr:colOff>739140</xdr:colOff>
                    <xdr:row>19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E15"/>
  <sheetViews>
    <sheetView tabSelected="1" workbookViewId="0">
      <pane ySplit="1" topLeftCell="A2" activePane="bottomLeft" state="frozen"/>
      <selection pane="bottomLeft" activeCell="E4" sqref="E4"/>
    </sheetView>
  </sheetViews>
  <sheetFormatPr defaultColWidth="9.109375" defaultRowHeight="14.4"/>
  <cols>
    <col min="1" max="1" width="3.6640625" bestFit="1" customWidth="1"/>
    <col min="2" max="2" width="7.33203125" style="6" bestFit="1" customWidth="1"/>
    <col min="3" max="3" width="13.33203125" bestFit="1" customWidth="1"/>
    <col min="4" max="4" width="5" bestFit="1" customWidth="1"/>
    <col min="5" max="5" width="11.77734375" bestFit="1" customWidth="1"/>
  </cols>
  <sheetData>
    <row r="1" spans="1:5" s="1" customFormat="1">
      <c r="A1" s="1" t="s">
        <v>561</v>
      </c>
      <c r="B1" s="1" t="s">
        <v>428</v>
      </c>
      <c r="C1" s="1" t="s">
        <v>64</v>
      </c>
      <c r="D1" s="1" t="s">
        <v>429</v>
      </c>
      <c r="E1" s="1" t="s">
        <v>672</v>
      </c>
    </row>
    <row r="2" spans="1:5">
      <c r="A2">
        <f>ROW(A2)-1</f>
        <v>1</v>
      </c>
      <c r="B2" s="6" t="s">
        <v>292</v>
      </c>
      <c r="C2" t="s">
        <v>576</v>
      </c>
      <c r="D2">
        <v>2</v>
      </c>
      <c r="E2" t="b">
        <v>1</v>
      </c>
    </row>
    <row r="3" spans="1:5">
      <c r="A3">
        <f>ROW(A3)-1</f>
        <v>2</v>
      </c>
      <c r="B3" s="6" t="s">
        <v>430</v>
      </c>
      <c r="C3" t="s">
        <v>588</v>
      </c>
      <c r="D3">
        <v>2</v>
      </c>
      <c r="E3" t="b">
        <v>1</v>
      </c>
    </row>
    <row r="4" spans="1:5">
      <c r="A4">
        <f>ROW(A4)-1</f>
        <v>3</v>
      </c>
      <c r="B4" s="6" t="s">
        <v>360</v>
      </c>
      <c r="C4" t="s">
        <v>577</v>
      </c>
      <c r="D4">
        <v>2</v>
      </c>
      <c r="E4" t="b">
        <v>0</v>
      </c>
    </row>
    <row r="5" spans="1:5">
      <c r="A5">
        <f>ROW(A5)-1</f>
        <v>4</v>
      </c>
      <c r="B5" s="6" t="s">
        <v>431</v>
      </c>
      <c r="C5" t="s">
        <v>578</v>
      </c>
      <c r="D5">
        <v>2</v>
      </c>
      <c r="E5" t="b">
        <v>0</v>
      </c>
    </row>
    <row r="6" spans="1:5">
      <c r="A6">
        <f t="shared" ref="A6:A15" si="0">ROW(A6)-1</f>
        <v>5</v>
      </c>
      <c r="B6" s="6" t="s">
        <v>432</v>
      </c>
      <c r="C6" t="s">
        <v>589</v>
      </c>
      <c r="D6">
        <v>2</v>
      </c>
      <c r="E6" t="b">
        <v>1</v>
      </c>
    </row>
    <row r="7" spans="1:5">
      <c r="A7">
        <f t="shared" si="0"/>
        <v>6</v>
      </c>
      <c r="B7" s="6" t="s">
        <v>293</v>
      </c>
      <c r="C7" t="s">
        <v>579</v>
      </c>
      <c r="D7">
        <v>2</v>
      </c>
      <c r="E7" t="b">
        <v>1</v>
      </c>
    </row>
    <row r="8" spans="1:5">
      <c r="A8">
        <f t="shared" si="0"/>
        <v>7</v>
      </c>
      <c r="B8" s="6" t="s">
        <v>433</v>
      </c>
      <c r="C8" t="s">
        <v>580</v>
      </c>
      <c r="E8" t="b">
        <v>0</v>
      </c>
    </row>
    <row r="9" spans="1:5">
      <c r="A9">
        <f t="shared" si="0"/>
        <v>8</v>
      </c>
      <c r="B9" s="6" t="s">
        <v>434</v>
      </c>
      <c r="C9" t="s">
        <v>581</v>
      </c>
      <c r="E9" t="b">
        <v>0</v>
      </c>
    </row>
    <row r="10" spans="1:5">
      <c r="A10">
        <f t="shared" si="0"/>
        <v>9</v>
      </c>
      <c r="B10" s="6" t="s">
        <v>435</v>
      </c>
      <c r="C10" t="s">
        <v>582</v>
      </c>
      <c r="D10">
        <v>2</v>
      </c>
      <c r="E10" t="b">
        <v>0</v>
      </c>
    </row>
    <row r="11" spans="1:5">
      <c r="A11">
        <f t="shared" si="0"/>
        <v>10</v>
      </c>
      <c r="B11" s="6" t="s">
        <v>436</v>
      </c>
      <c r="C11" t="s">
        <v>583</v>
      </c>
      <c r="D11">
        <v>2</v>
      </c>
      <c r="E11" t="b">
        <v>0</v>
      </c>
    </row>
    <row r="12" spans="1:5">
      <c r="A12">
        <f t="shared" si="0"/>
        <v>11</v>
      </c>
      <c r="B12" s="6" t="s">
        <v>437</v>
      </c>
      <c r="C12" t="s">
        <v>584</v>
      </c>
      <c r="D12">
        <v>3</v>
      </c>
      <c r="E12" t="b">
        <v>1</v>
      </c>
    </row>
    <row r="13" spans="1:5">
      <c r="A13">
        <f t="shared" si="0"/>
        <v>12</v>
      </c>
      <c r="B13" s="6" t="s">
        <v>438</v>
      </c>
      <c r="C13" t="s">
        <v>585</v>
      </c>
      <c r="D13">
        <v>3</v>
      </c>
      <c r="E13" t="b">
        <v>1</v>
      </c>
    </row>
    <row r="14" spans="1:5">
      <c r="A14">
        <f t="shared" si="0"/>
        <v>13</v>
      </c>
      <c r="B14" s="6" t="s">
        <v>439</v>
      </c>
      <c r="C14" t="s">
        <v>586</v>
      </c>
      <c r="D14">
        <v>1</v>
      </c>
      <c r="E14" t="b">
        <v>0</v>
      </c>
    </row>
    <row r="15" spans="1:5">
      <c r="A15">
        <f t="shared" si="0"/>
        <v>14</v>
      </c>
      <c r="B15" s="6" t="s">
        <v>440</v>
      </c>
      <c r="C15" t="s">
        <v>587</v>
      </c>
      <c r="D15">
        <v>1</v>
      </c>
      <c r="E1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50" activePane="bottomLeft" state="frozen"/>
      <selection pane="bottomLeft" activeCell="I39" sqref="I39"/>
    </sheetView>
  </sheetViews>
  <sheetFormatPr defaultColWidth="10.44140625" defaultRowHeight="14.4"/>
  <cols>
    <col min="1" max="1" width="3.664062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561</v>
      </c>
      <c r="B1" s="1" t="s">
        <v>15</v>
      </c>
      <c r="C1" s="1" t="s">
        <v>105</v>
      </c>
      <c r="D1" s="1" t="s">
        <v>445</v>
      </c>
      <c r="E1" s="1" t="s">
        <v>533</v>
      </c>
      <c r="F1" s="1" t="s">
        <v>478</v>
      </c>
    </row>
    <row r="2" spans="1:6">
      <c r="A2">
        <f>ROW(A2)-1</f>
        <v>1</v>
      </c>
      <c r="B2">
        <v>1</v>
      </c>
      <c r="C2" t="str" cm="1">
        <f t="array" ref="C2">GetValue("Cat","Name",B2)</f>
        <v>string</v>
      </c>
      <c r="D2">
        <v>1</v>
      </c>
      <c r="E2" s="6" t="str" cm="1">
        <f t="array" ref="E2">GetValue("Cmp","Symbol",D2)</f>
        <v>&lt;</v>
      </c>
      <c r="F2" t="str" cm="1">
        <f t="array" ref="F2">GetValue("Cmp","Description",D2)</f>
        <v>Menor</v>
      </c>
    </row>
    <row r="3" spans="1:6">
      <c r="A3">
        <f t="shared" ref="A3:A69" si="0">ROW(A3)-1</f>
        <v>2</v>
      </c>
      <c r="B3">
        <v>1</v>
      </c>
      <c r="C3" t="str" cm="1">
        <f t="array" ref="C3">GetValue("Cat","Name",B3)</f>
        <v>string</v>
      </c>
      <c r="D3">
        <v>2</v>
      </c>
      <c r="E3" s="6" t="str" cm="1">
        <f t="array" ref="E3">GetValue("Cmp","Symbol",D3)</f>
        <v>≤</v>
      </c>
      <c r="F3" t="str" cm="1">
        <f t="array" ref="F3">GetValue("Cmp","Description",D3)</f>
        <v>Menor ou Igual</v>
      </c>
    </row>
    <row r="4" spans="1:6">
      <c r="A4">
        <f t="shared" si="0"/>
        <v>3</v>
      </c>
      <c r="B4">
        <v>1</v>
      </c>
      <c r="C4" t="str" cm="1">
        <f t="array" ref="C4">GetValue("Cat","Name",B4)</f>
        <v>string</v>
      </c>
      <c r="D4">
        <v>3</v>
      </c>
      <c r="E4" s="6" t="str" cm="1">
        <f t="array" ref="E4">GetValue("Cmp","Symbol",D4)</f>
        <v>=</v>
      </c>
      <c r="F4" t="str" cm="1">
        <f t="array" ref="F4">GetValue("Cmp","Description",D4)</f>
        <v>Igual</v>
      </c>
    </row>
    <row r="5" spans="1:6">
      <c r="A5">
        <f t="shared" si="0"/>
        <v>4</v>
      </c>
      <c r="B5">
        <v>1</v>
      </c>
      <c r="C5" t="str" cm="1">
        <f t="array" ref="C5">GetValue("Cat","Name",B5)</f>
        <v>string</v>
      </c>
      <c r="D5">
        <v>4</v>
      </c>
      <c r="E5" s="6" t="str" cm="1">
        <f t="array" ref="E5">GetValue("Cmp","Symbol",D5)</f>
        <v>≠</v>
      </c>
      <c r="F5" t="str" cm="1">
        <f t="array" ref="F5">GetValue("Cmp","Description",D5)</f>
        <v>Diferente</v>
      </c>
    </row>
    <row r="6" spans="1:6">
      <c r="A6">
        <f t="shared" si="0"/>
        <v>5</v>
      </c>
      <c r="B6">
        <v>1</v>
      </c>
      <c r="C6" t="str" cm="1">
        <f t="array" ref="C6">GetValue("Cat","Name",B6)</f>
        <v>string</v>
      </c>
      <c r="D6">
        <v>5</v>
      </c>
      <c r="E6" s="6" t="str" cm="1">
        <f t="array" ref="E6">GetValue("Cmp","Symbol",D6)</f>
        <v>≥</v>
      </c>
      <c r="F6" t="str" cm="1">
        <f t="array" ref="F6">GetValue("Cmp","Description",D6)</f>
        <v>Maior ou Igual</v>
      </c>
    </row>
    <row r="7" spans="1:6">
      <c r="A7">
        <f t="shared" si="0"/>
        <v>6</v>
      </c>
      <c r="B7">
        <v>1</v>
      </c>
      <c r="C7" t="str" cm="1">
        <f t="array" ref="C7">GetValue("Cat","Name",B7)</f>
        <v>string</v>
      </c>
      <c r="D7">
        <v>6</v>
      </c>
      <c r="E7" s="6" t="str" cm="1">
        <f t="array" ref="E7">GetValue("Cmp","Symbol",D7)</f>
        <v>&gt;</v>
      </c>
      <c r="F7" t="str" cm="1">
        <f t="array" ref="F7">GetValue("Cmp","Description",D7)</f>
        <v>Maior</v>
      </c>
    </row>
    <row r="8" spans="1:6">
      <c r="A8">
        <f t="shared" si="0"/>
        <v>7</v>
      </c>
      <c r="B8">
        <v>1</v>
      </c>
      <c r="C8" t="str" cm="1">
        <f t="array" ref="C8">GetValue("Cat","Name",B8)</f>
        <v>string</v>
      </c>
      <c r="D8">
        <v>7</v>
      </c>
      <c r="E8" s="6" t="str" cm="1">
        <f t="array" ref="E8">GetValue("Cmp","Symbol",D8)</f>
        <v>∈</v>
      </c>
      <c r="F8" t="str" cm="1">
        <f t="array" ref="F8">GetValue("Cmp","Description",D8)</f>
        <v>In</v>
      </c>
    </row>
    <row r="9" spans="1:6">
      <c r="A9">
        <f t="shared" si="0"/>
        <v>8</v>
      </c>
      <c r="B9">
        <v>1</v>
      </c>
      <c r="C9" t="str" cm="1">
        <f t="array" ref="C9">GetValue("Cat","Name",B9)</f>
        <v>string</v>
      </c>
      <c r="D9">
        <v>8</v>
      </c>
      <c r="E9" s="6" t="str" cm="1">
        <f t="array" ref="E9">GetValue("Cmp","Symbol",D9)</f>
        <v>∉</v>
      </c>
      <c r="F9" t="str" cm="1">
        <f t="array" ref="F9">GetValue("Cmp","Description",D9)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GetValue("Cat","Name",B10)</f>
        <v>string</v>
      </c>
      <c r="D10">
        <v>9</v>
      </c>
      <c r="E10" s="6" t="str" cm="1">
        <f t="array" ref="E10">GetValue("Cmp","Symbol",D10)</f>
        <v>⊃</v>
      </c>
      <c r="F10" t="str" cm="1">
        <f t="array" ref="F10">GetValue("Cmp","Description",D10)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GetValue("Cat","Name",B11)</f>
        <v>string</v>
      </c>
      <c r="D11">
        <v>10</v>
      </c>
      <c r="E11" s="6" t="str" cm="1">
        <f t="array" ref="E11">GetValue("Cmp","Symbol",D11)</f>
        <v>⊅</v>
      </c>
      <c r="F11" t="str" cm="1">
        <f t="array" ref="F11">GetValue("Cmp","Description",D11)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GetValue("Cat","Name",B12)</f>
        <v>string</v>
      </c>
      <c r="D12">
        <v>11</v>
      </c>
      <c r="E12" s="6" t="str" cm="1">
        <f t="array" ref="E12">GetValue("Cmp","Symbol",D12)</f>
        <v>∃</v>
      </c>
      <c r="F12" t="str" cm="1">
        <f t="array" ref="F12">GetValue("Cmp","Description",D12)</f>
        <v>Between</v>
      </c>
    </row>
    <row r="13" spans="1:6">
      <c r="A13">
        <f t="shared" si="0"/>
        <v>12</v>
      </c>
      <c r="B13">
        <v>1</v>
      </c>
      <c r="C13" t="str" cm="1">
        <f t="array" ref="C13">GetValue("Cat","Name",B13)</f>
        <v>string</v>
      </c>
      <c r="D13">
        <v>12</v>
      </c>
      <c r="E13" s="6" t="str" cm="1">
        <f t="array" ref="E13">GetValue("Cmp","Symbol",D13)</f>
        <v>∄</v>
      </c>
      <c r="F13" t="str" cm="1">
        <f t="array" ref="F13">GetValue("Cmp","Description",D13)</f>
        <v>Not Between</v>
      </c>
    </row>
    <row r="14" spans="1:6">
      <c r="A14">
        <f t="shared" si="0"/>
        <v>13</v>
      </c>
      <c r="B14">
        <v>1</v>
      </c>
      <c r="C14" t="str" cm="1">
        <f t="array" ref="C14">GetValue("Cat","Name",B14)</f>
        <v>string</v>
      </c>
      <c r="D14">
        <v>13</v>
      </c>
      <c r="E14" s="6" t="str" cm="1">
        <f t="array" ref="E14">GetValue("Cmp","Symbol",D14)</f>
        <v>∅</v>
      </c>
      <c r="F14" t="str" cm="1">
        <f t="array" ref="F14">GetValue("Cmp","Description",D14)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GetValue("Cat","Name",B15)</f>
        <v>string</v>
      </c>
      <c r="D15">
        <v>14</v>
      </c>
      <c r="E15" s="6" t="str" cm="1">
        <f t="array" ref="E15">GetValue("Cmp","Symbol",D15)</f>
        <v>⊗</v>
      </c>
      <c r="F15" t="str" cm="1">
        <f t="array" ref="F15">GetValue("Cmp","Description",D15)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GetValue("Cat","Name",B16)</f>
        <v>number</v>
      </c>
      <c r="D16">
        <v>1</v>
      </c>
      <c r="E16" s="6" t="str" cm="1">
        <f t="array" ref="E16">GetValue("Cmp","Symbol",D16)</f>
        <v>&lt;</v>
      </c>
      <c r="F16" t="str" cm="1">
        <f t="array" ref="F16">GetValue("Cmp","Description",D16)</f>
        <v>Menor</v>
      </c>
    </row>
    <row r="17" spans="1:6">
      <c r="A17">
        <f t="shared" si="0"/>
        <v>16</v>
      </c>
      <c r="B17">
        <v>2</v>
      </c>
      <c r="C17" t="str" cm="1">
        <f t="array" ref="C17">GetValue("Cat","Name",B17)</f>
        <v>number</v>
      </c>
      <c r="D17">
        <v>2</v>
      </c>
      <c r="E17" s="6" t="str" cm="1">
        <f t="array" ref="E17">GetValue("Cmp","Symbol",D17)</f>
        <v>≤</v>
      </c>
      <c r="F17" t="str" cm="1">
        <f t="array" ref="F17">GetValue("Cmp","Description",D17)</f>
        <v>Menor ou Igual</v>
      </c>
    </row>
    <row r="18" spans="1:6">
      <c r="A18">
        <f t="shared" si="0"/>
        <v>17</v>
      </c>
      <c r="B18">
        <v>2</v>
      </c>
      <c r="C18" t="str" cm="1">
        <f t="array" ref="C18">GetValue("Cat","Name",B18)</f>
        <v>number</v>
      </c>
      <c r="D18">
        <v>3</v>
      </c>
      <c r="E18" s="6" t="str" cm="1">
        <f t="array" ref="E18">GetValue("Cmp","Symbol",D18)</f>
        <v>=</v>
      </c>
      <c r="F18" t="str" cm="1">
        <f t="array" ref="F18">GetValue("Cmp","Description",D18)</f>
        <v>Igual</v>
      </c>
    </row>
    <row r="19" spans="1:6">
      <c r="A19">
        <f t="shared" si="0"/>
        <v>18</v>
      </c>
      <c r="B19">
        <v>2</v>
      </c>
      <c r="C19" t="str" cm="1">
        <f t="array" ref="C19">GetValue("Cat","Name",B19)</f>
        <v>number</v>
      </c>
      <c r="D19">
        <v>4</v>
      </c>
      <c r="E19" s="6" t="str" cm="1">
        <f t="array" ref="E19">GetValue("Cmp","Symbol",D19)</f>
        <v>≠</v>
      </c>
      <c r="F19" t="str" cm="1">
        <f t="array" ref="F19">GetValue("Cmp","Description",D19)</f>
        <v>Diferente</v>
      </c>
    </row>
    <row r="20" spans="1:6">
      <c r="A20">
        <f t="shared" si="0"/>
        <v>19</v>
      </c>
      <c r="B20">
        <v>2</v>
      </c>
      <c r="C20" t="str" cm="1">
        <f t="array" ref="C20">GetValue("Cat","Name",B20)</f>
        <v>number</v>
      </c>
      <c r="D20">
        <v>5</v>
      </c>
      <c r="E20" s="6" t="str" cm="1">
        <f t="array" ref="E20">GetValue("Cmp","Symbol",D20)</f>
        <v>≥</v>
      </c>
      <c r="F20" t="str" cm="1">
        <f t="array" ref="F20">GetValue("Cmp","Description",D20)</f>
        <v>Maior ou Igual</v>
      </c>
    </row>
    <row r="21" spans="1:6">
      <c r="A21">
        <f t="shared" si="0"/>
        <v>20</v>
      </c>
      <c r="B21">
        <v>2</v>
      </c>
      <c r="C21" t="str" cm="1">
        <f t="array" ref="C21">GetValue("Cat","Name",B21)</f>
        <v>number</v>
      </c>
      <c r="D21">
        <v>6</v>
      </c>
      <c r="E21" s="6" t="str" cm="1">
        <f t="array" ref="E21">GetValue("Cmp","Symbol",D21)</f>
        <v>&gt;</v>
      </c>
      <c r="F21" t="str" cm="1">
        <f t="array" ref="F21">GetValue("Cmp","Description",D21)</f>
        <v>Maior</v>
      </c>
    </row>
    <row r="22" spans="1:6">
      <c r="A22">
        <f t="shared" si="0"/>
        <v>21</v>
      </c>
      <c r="B22">
        <v>2</v>
      </c>
      <c r="C22" t="str" cm="1">
        <f t="array" ref="C22">GetValue("Cat","Name",B22)</f>
        <v>number</v>
      </c>
      <c r="D22">
        <v>7</v>
      </c>
      <c r="E22" s="6" t="str" cm="1">
        <f t="array" ref="E22">GetValue("Cmp","Symbol",D22)</f>
        <v>∈</v>
      </c>
      <c r="F22" t="str" cm="1">
        <f t="array" ref="F22">GetValue("Cmp","Description",D22)</f>
        <v>In</v>
      </c>
    </row>
    <row r="23" spans="1:6">
      <c r="A23">
        <f t="shared" si="0"/>
        <v>22</v>
      </c>
      <c r="B23">
        <v>2</v>
      </c>
      <c r="C23" t="str" cm="1">
        <f t="array" ref="C23">GetValue("Cat","Name",B23)</f>
        <v>number</v>
      </c>
      <c r="D23">
        <v>8</v>
      </c>
      <c r="E23" s="6" t="str" cm="1">
        <f t="array" ref="E23">GetValue("Cmp","Symbol",D23)</f>
        <v>∉</v>
      </c>
      <c r="F23" t="str" cm="1">
        <f t="array" ref="F23">GetValue("Cmp","Description",D23)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GetValue("Cat","Name",B24)</f>
        <v>number</v>
      </c>
      <c r="D24">
        <v>11</v>
      </c>
      <c r="E24" s="6" t="str" cm="1">
        <f t="array" ref="E24">GetValue("Cmp","Symbol",D24)</f>
        <v>∃</v>
      </c>
      <c r="F24" t="str" cm="1">
        <f t="array" ref="F24">GetValue("Cmp","Description",D24)</f>
        <v>Between</v>
      </c>
    </row>
    <row r="25" spans="1:6">
      <c r="A25">
        <f t="shared" si="0"/>
        <v>24</v>
      </c>
      <c r="B25">
        <v>2</v>
      </c>
      <c r="C25" t="str" cm="1">
        <f t="array" ref="C25">GetValue("Cat","Name",B25)</f>
        <v>number</v>
      </c>
      <c r="D25">
        <v>12</v>
      </c>
      <c r="E25" s="6" t="str" cm="1">
        <f t="array" ref="E25">GetValue("Cmp","Symbol",D25)</f>
        <v>∄</v>
      </c>
      <c r="F25" t="str" cm="1">
        <f t="array" ref="F25">GetValue("Cmp","Description",D25)</f>
        <v>Not Between</v>
      </c>
    </row>
    <row r="26" spans="1:6">
      <c r="A26">
        <f t="shared" si="0"/>
        <v>25</v>
      </c>
      <c r="B26">
        <v>2</v>
      </c>
      <c r="C26" t="str" cm="1">
        <f t="array" ref="C26">GetValue("Cat","Name",B26)</f>
        <v>number</v>
      </c>
      <c r="D26">
        <v>13</v>
      </c>
      <c r="E26" s="6" t="str" cm="1">
        <f t="array" ref="E26">GetValue("Cmp","Symbol",D26)</f>
        <v>∅</v>
      </c>
      <c r="F26" t="str" cm="1">
        <f t="array" ref="F26">GetValue("Cmp","Description",D26)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GetValue("Cat","Name",B27)</f>
        <v>number</v>
      </c>
      <c r="D27">
        <v>14</v>
      </c>
      <c r="E27" s="6" t="str" cm="1">
        <f t="array" ref="E27">GetValue("Cmp","Symbol",D27)</f>
        <v>⊗</v>
      </c>
      <c r="F27" t="str" cm="1">
        <f t="array" ref="F27">GetValue("Cmp","Description",D27)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GetValue("Cat","Name",B28)</f>
        <v>date</v>
      </c>
      <c r="D28">
        <v>1</v>
      </c>
      <c r="E28" s="6" t="str" cm="1">
        <f t="array" ref="E28">GetValue("Cmp","Symbol",D28)</f>
        <v>&lt;</v>
      </c>
      <c r="F28" t="str" cm="1">
        <f t="array" ref="F28">GetValue("Cmp","Description",D28)</f>
        <v>Menor</v>
      </c>
    </row>
    <row r="29" spans="1:6">
      <c r="A29">
        <f t="shared" si="0"/>
        <v>28</v>
      </c>
      <c r="B29">
        <v>3</v>
      </c>
      <c r="C29" t="str" cm="1">
        <f t="array" ref="C29">GetValue("Cat","Name",B29)</f>
        <v>date</v>
      </c>
      <c r="D29">
        <v>2</v>
      </c>
      <c r="E29" s="6" t="str" cm="1">
        <f t="array" ref="E29">GetValue("Cmp","Symbol",D29)</f>
        <v>≤</v>
      </c>
      <c r="F29" t="str" cm="1">
        <f t="array" ref="F29">GetValue("Cmp","Description",D29)</f>
        <v>Menor ou Igual</v>
      </c>
    </row>
    <row r="30" spans="1:6">
      <c r="A30">
        <f t="shared" si="0"/>
        <v>29</v>
      </c>
      <c r="B30">
        <v>3</v>
      </c>
      <c r="C30" t="str" cm="1">
        <f t="array" ref="C30">GetValue("Cat","Name",B30)</f>
        <v>date</v>
      </c>
      <c r="D30">
        <v>3</v>
      </c>
      <c r="E30" s="6" t="str" cm="1">
        <f t="array" ref="E30">GetValue("Cmp","Symbol",D30)</f>
        <v>=</v>
      </c>
      <c r="F30" t="str" cm="1">
        <f t="array" ref="F30">GetValue("Cmp","Description",D30)</f>
        <v>Igual</v>
      </c>
    </row>
    <row r="31" spans="1:6">
      <c r="A31">
        <f t="shared" si="0"/>
        <v>30</v>
      </c>
      <c r="B31">
        <v>3</v>
      </c>
      <c r="C31" t="str" cm="1">
        <f t="array" ref="C31">GetValue("Cat","Name",B31)</f>
        <v>date</v>
      </c>
      <c r="D31">
        <v>4</v>
      </c>
      <c r="E31" s="6" t="str" cm="1">
        <f t="array" ref="E31">GetValue("Cmp","Symbol",D31)</f>
        <v>≠</v>
      </c>
      <c r="F31" t="str" cm="1">
        <f t="array" ref="F31">GetValue("Cmp","Description",D31)</f>
        <v>Diferente</v>
      </c>
    </row>
    <row r="32" spans="1:6">
      <c r="A32">
        <f t="shared" si="0"/>
        <v>31</v>
      </c>
      <c r="B32">
        <v>3</v>
      </c>
      <c r="C32" t="str" cm="1">
        <f t="array" ref="C32">GetValue("Cat","Name",B32)</f>
        <v>date</v>
      </c>
      <c r="D32">
        <v>5</v>
      </c>
      <c r="E32" s="6" t="str" cm="1">
        <f t="array" ref="E32">GetValue("Cmp","Symbol",D32)</f>
        <v>≥</v>
      </c>
      <c r="F32" t="str" cm="1">
        <f t="array" ref="F32">GetValue("Cmp","Description",D32)</f>
        <v>Maior ou Igual</v>
      </c>
    </row>
    <row r="33" spans="1:6">
      <c r="A33">
        <f t="shared" si="0"/>
        <v>32</v>
      </c>
      <c r="B33">
        <v>3</v>
      </c>
      <c r="C33" t="str" cm="1">
        <f t="array" ref="C33">GetValue("Cat","Name",B33)</f>
        <v>date</v>
      </c>
      <c r="D33">
        <v>6</v>
      </c>
      <c r="E33" s="6" t="str" cm="1">
        <f t="array" ref="E33">GetValue("Cmp","Symbol",D33)</f>
        <v>&gt;</v>
      </c>
      <c r="F33" t="str" cm="1">
        <f t="array" ref="F33">GetValue("Cmp","Description",D33)</f>
        <v>Maior</v>
      </c>
    </row>
    <row r="34" spans="1:6">
      <c r="A34">
        <f t="shared" si="0"/>
        <v>33</v>
      </c>
      <c r="B34">
        <v>3</v>
      </c>
      <c r="C34" t="str" cm="1">
        <f t="array" ref="C34">GetValue("Cat","Name",B34)</f>
        <v>date</v>
      </c>
      <c r="D34">
        <v>7</v>
      </c>
      <c r="E34" s="6" t="str" cm="1">
        <f t="array" ref="E34">GetValue("Cmp","Symbol",D34)</f>
        <v>∈</v>
      </c>
      <c r="F34" t="str" cm="1">
        <f t="array" ref="F34">GetValue("Cmp","Description",D34)</f>
        <v>In</v>
      </c>
    </row>
    <row r="35" spans="1:6">
      <c r="A35">
        <f t="shared" si="0"/>
        <v>34</v>
      </c>
      <c r="B35">
        <v>3</v>
      </c>
      <c r="C35" t="str" cm="1">
        <f t="array" ref="C35">GetValue("Cat","Name",B35)</f>
        <v>date</v>
      </c>
      <c r="D35">
        <v>8</v>
      </c>
      <c r="E35" s="6" t="str" cm="1">
        <f t="array" ref="E35">GetValue("Cmp","Symbol",D35)</f>
        <v>∉</v>
      </c>
      <c r="F35" t="str" cm="1">
        <f t="array" ref="F35">GetValue("Cmp","Description",D35)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GetValue("Cat","Name",B36)</f>
        <v>date</v>
      </c>
      <c r="D36">
        <v>11</v>
      </c>
      <c r="E36" s="6" t="str" cm="1">
        <f t="array" ref="E36">GetValue("Cmp","Symbol",D36)</f>
        <v>∃</v>
      </c>
      <c r="F36" t="str" cm="1">
        <f t="array" ref="F36">GetValue("Cmp","Description",D36)</f>
        <v>Between</v>
      </c>
    </row>
    <row r="37" spans="1:6">
      <c r="A37">
        <f t="shared" si="0"/>
        <v>36</v>
      </c>
      <c r="B37">
        <v>3</v>
      </c>
      <c r="C37" t="str" cm="1">
        <f t="array" ref="C37">GetValue("Cat","Name",B37)</f>
        <v>date</v>
      </c>
      <c r="D37">
        <v>12</v>
      </c>
      <c r="E37" s="6" t="str" cm="1">
        <f t="array" ref="E37">GetValue("Cmp","Symbol",D37)</f>
        <v>∄</v>
      </c>
      <c r="F37" t="str" cm="1">
        <f t="array" ref="F37">GetValue("Cmp","Description",D37)</f>
        <v>Not Between</v>
      </c>
    </row>
    <row r="38" spans="1:6">
      <c r="A38">
        <f t="shared" si="0"/>
        <v>37</v>
      </c>
      <c r="B38">
        <v>3</v>
      </c>
      <c r="C38" t="str" cm="1">
        <f t="array" ref="C38">GetValue("Cat","Name",B38)</f>
        <v>date</v>
      </c>
      <c r="D38">
        <v>13</v>
      </c>
      <c r="E38" s="6" t="str" cm="1">
        <f t="array" ref="E38">GetValue("Cmp","Symbol",D38)</f>
        <v>∅</v>
      </c>
      <c r="F38" t="str" cm="1">
        <f t="array" ref="F38">GetValue("Cmp","Description",D38)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GetValue("Cat","Name",B39)</f>
        <v>date</v>
      </c>
      <c r="D39">
        <v>14</v>
      </c>
      <c r="E39" s="6" t="str" cm="1">
        <f t="array" ref="E39">GetValue("Cmp","Symbol",D39)</f>
        <v>⊗</v>
      </c>
      <c r="F39" t="str" cm="1">
        <f t="array" ref="F39">GetValue("Cmp","Description",D39)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GetValue("Cat","Name",B40)</f>
        <v>datetime</v>
      </c>
      <c r="D40">
        <v>1</v>
      </c>
      <c r="E40" s="6" t="str" cm="1">
        <f t="array" ref="E40">GetValue("Cmp","Symbol",D40)</f>
        <v>&lt;</v>
      </c>
      <c r="F40" t="str" cm="1">
        <f t="array" ref="F40">GetValue("Cmp","Description",D40)</f>
        <v>Menor</v>
      </c>
    </row>
    <row r="41" spans="1:6">
      <c r="A41">
        <f t="shared" si="0"/>
        <v>40</v>
      </c>
      <c r="B41">
        <v>4</v>
      </c>
      <c r="C41" t="str" cm="1">
        <f t="array" ref="C41">GetValue("Cat","Name",B41)</f>
        <v>datetime</v>
      </c>
      <c r="D41">
        <v>2</v>
      </c>
      <c r="E41" s="6" t="str" cm="1">
        <f t="array" ref="E41">GetValue("Cmp","Symbol",D41)</f>
        <v>≤</v>
      </c>
      <c r="F41" t="str" cm="1">
        <f t="array" ref="F41">GetValue("Cmp","Description",D41)</f>
        <v>Menor ou Igual</v>
      </c>
    </row>
    <row r="42" spans="1:6">
      <c r="A42">
        <f t="shared" si="0"/>
        <v>41</v>
      </c>
      <c r="B42">
        <v>4</v>
      </c>
      <c r="C42" t="str" cm="1">
        <f t="array" ref="C42">GetValue("Cat","Name",B42)</f>
        <v>datetime</v>
      </c>
      <c r="D42">
        <v>3</v>
      </c>
      <c r="E42" s="6" t="str" cm="1">
        <f t="array" ref="E42">GetValue("Cmp","Symbol",D42)</f>
        <v>=</v>
      </c>
      <c r="F42" t="str" cm="1">
        <f t="array" ref="F42">GetValue("Cmp","Description",D42)</f>
        <v>Igual</v>
      </c>
    </row>
    <row r="43" spans="1:6">
      <c r="A43">
        <f t="shared" si="0"/>
        <v>42</v>
      </c>
      <c r="B43">
        <v>4</v>
      </c>
      <c r="C43" t="str" cm="1">
        <f t="array" ref="C43">GetValue("Cat","Name",B43)</f>
        <v>datetime</v>
      </c>
      <c r="D43">
        <v>4</v>
      </c>
      <c r="E43" s="6" t="str" cm="1">
        <f t="array" ref="E43">GetValue("Cmp","Symbol",D43)</f>
        <v>≠</v>
      </c>
      <c r="F43" t="str" cm="1">
        <f t="array" ref="F43">GetValue("Cmp","Description",D43)</f>
        <v>Diferente</v>
      </c>
    </row>
    <row r="44" spans="1:6">
      <c r="A44">
        <f t="shared" si="0"/>
        <v>43</v>
      </c>
      <c r="B44">
        <v>4</v>
      </c>
      <c r="C44" t="str" cm="1">
        <f t="array" ref="C44">GetValue("Cat","Name",B44)</f>
        <v>datetime</v>
      </c>
      <c r="D44">
        <v>5</v>
      </c>
      <c r="E44" s="6" t="str" cm="1">
        <f t="array" ref="E44">GetValue("Cmp","Symbol",D44)</f>
        <v>≥</v>
      </c>
      <c r="F44" t="str" cm="1">
        <f t="array" ref="F44">GetValue("Cmp","Description",D44)</f>
        <v>Maior ou Igual</v>
      </c>
    </row>
    <row r="45" spans="1:6">
      <c r="A45">
        <f t="shared" si="0"/>
        <v>44</v>
      </c>
      <c r="B45">
        <v>4</v>
      </c>
      <c r="C45" t="str" cm="1">
        <f t="array" ref="C45">GetValue("Cat","Name",B45)</f>
        <v>datetime</v>
      </c>
      <c r="D45">
        <v>6</v>
      </c>
      <c r="E45" s="6" t="str" cm="1">
        <f t="array" ref="E45">GetValue("Cmp","Symbol",D45)</f>
        <v>&gt;</v>
      </c>
      <c r="F45" t="str" cm="1">
        <f t="array" ref="F45">GetValue("Cmp","Description",D45)</f>
        <v>Maior</v>
      </c>
    </row>
    <row r="46" spans="1:6">
      <c r="A46">
        <f t="shared" si="0"/>
        <v>45</v>
      </c>
      <c r="B46">
        <v>4</v>
      </c>
      <c r="C46" t="str" cm="1">
        <f t="array" ref="C46">GetValue("Cat","Name",B46)</f>
        <v>datetime</v>
      </c>
      <c r="D46">
        <v>7</v>
      </c>
      <c r="E46" s="6" t="str" cm="1">
        <f t="array" ref="E46">GetValue("Cmp","Symbol",D46)</f>
        <v>∈</v>
      </c>
      <c r="F46" t="str" cm="1">
        <f t="array" ref="F46">GetValue("Cmp","Description",D46)</f>
        <v>In</v>
      </c>
    </row>
    <row r="47" spans="1:6">
      <c r="A47">
        <f t="shared" si="0"/>
        <v>46</v>
      </c>
      <c r="B47">
        <v>4</v>
      </c>
      <c r="C47" t="str" cm="1">
        <f t="array" ref="C47">GetValue("Cat","Name",B47)</f>
        <v>datetime</v>
      </c>
      <c r="D47">
        <v>8</v>
      </c>
      <c r="E47" s="6" t="str" cm="1">
        <f t="array" ref="E47">GetValue("Cmp","Symbol",D47)</f>
        <v>∉</v>
      </c>
      <c r="F47" t="str" cm="1">
        <f t="array" ref="F47">GetValue("Cmp","Description",D47)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GetValue("Cat","Name",B48)</f>
        <v>datetime</v>
      </c>
      <c r="D48">
        <v>11</v>
      </c>
      <c r="E48" s="6" t="str" cm="1">
        <f t="array" ref="E48">GetValue("Cmp","Symbol",D48)</f>
        <v>∃</v>
      </c>
      <c r="F48" t="str" cm="1">
        <f t="array" ref="F48">GetValue("Cmp","Description",D48)</f>
        <v>Between</v>
      </c>
    </row>
    <row r="49" spans="1:6">
      <c r="A49">
        <f t="shared" si="0"/>
        <v>48</v>
      </c>
      <c r="B49">
        <v>4</v>
      </c>
      <c r="C49" t="str" cm="1">
        <f t="array" ref="C49">GetValue("Cat","Name",B49)</f>
        <v>datetime</v>
      </c>
      <c r="D49">
        <v>12</v>
      </c>
      <c r="E49" s="6" t="str" cm="1">
        <f t="array" ref="E49">GetValue("Cmp","Symbol",D49)</f>
        <v>∄</v>
      </c>
      <c r="F49" t="str" cm="1">
        <f t="array" ref="F49">GetValue("Cmp","Description",D49)</f>
        <v>Not Between</v>
      </c>
    </row>
    <row r="50" spans="1:6">
      <c r="A50">
        <f t="shared" si="0"/>
        <v>49</v>
      </c>
      <c r="B50">
        <v>4</v>
      </c>
      <c r="C50" t="str" cm="1">
        <f t="array" ref="C50">GetValue("Cat","Name",B50)</f>
        <v>datetime</v>
      </c>
      <c r="D50">
        <v>13</v>
      </c>
      <c r="E50" s="6" t="str" cm="1">
        <f t="array" ref="E50">GetValue("Cmp","Symbol",D50)</f>
        <v>∅</v>
      </c>
      <c r="F50" t="str" cm="1">
        <f t="array" ref="F50">GetValue("Cmp","Description",D50)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GetValue("Cat","Name",B51)</f>
        <v>datetime</v>
      </c>
      <c r="D51">
        <v>14</v>
      </c>
      <c r="E51" s="6" t="str" cm="1">
        <f t="array" ref="E51">GetValue("Cmp","Symbol",D51)</f>
        <v>⊗</v>
      </c>
      <c r="F51" t="str" cm="1">
        <f t="array" ref="F51">GetValue("Cmp","Description",D51)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GetValue("Cat","Name",B52)</f>
        <v>time</v>
      </c>
      <c r="D52">
        <v>1</v>
      </c>
      <c r="E52" s="6" t="str" cm="1">
        <f t="array" ref="E52">GetValue("Cmp","Symbol",D52)</f>
        <v>&lt;</v>
      </c>
      <c r="F52" t="str" cm="1">
        <f t="array" ref="F52">GetValue("Cmp","Description",D52)</f>
        <v>Menor</v>
      </c>
    </row>
    <row r="53" spans="1:6">
      <c r="A53">
        <f t="shared" si="0"/>
        <v>52</v>
      </c>
      <c r="B53">
        <v>5</v>
      </c>
      <c r="C53" t="str" cm="1">
        <f t="array" ref="C53">GetValue("Cat","Name",B53)</f>
        <v>time</v>
      </c>
      <c r="D53">
        <v>2</v>
      </c>
      <c r="E53" s="6" t="str" cm="1">
        <f t="array" ref="E53">GetValue("Cmp","Symbol",D53)</f>
        <v>≤</v>
      </c>
      <c r="F53" t="str" cm="1">
        <f t="array" ref="F53">GetValue("Cmp","Description",D53)</f>
        <v>Menor ou Igual</v>
      </c>
    </row>
    <row r="54" spans="1:6">
      <c r="A54">
        <f t="shared" si="0"/>
        <v>53</v>
      </c>
      <c r="B54">
        <v>5</v>
      </c>
      <c r="C54" t="str" cm="1">
        <f t="array" ref="C54">GetValue("Cat","Name",B54)</f>
        <v>time</v>
      </c>
      <c r="D54">
        <v>3</v>
      </c>
      <c r="E54" s="6" t="str" cm="1">
        <f t="array" ref="E54">GetValue("Cmp","Symbol",D54)</f>
        <v>=</v>
      </c>
      <c r="F54" t="str" cm="1">
        <f t="array" ref="F54">GetValue("Cmp","Description",D54)</f>
        <v>Igual</v>
      </c>
    </row>
    <row r="55" spans="1:6">
      <c r="A55">
        <f t="shared" si="0"/>
        <v>54</v>
      </c>
      <c r="B55">
        <v>5</v>
      </c>
      <c r="C55" t="str" cm="1">
        <f t="array" ref="C55">GetValue("Cat","Name",B55)</f>
        <v>time</v>
      </c>
      <c r="D55">
        <v>4</v>
      </c>
      <c r="E55" s="6" t="str" cm="1">
        <f t="array" ref="E55">GetValue("Cmp","Symbol",D55)</f>
        <v>≠</v>
      </c>
      <c r="F55" t="str" cm="1">
        <f t="array" ref="F55">GetValue("Cmp","Description",D55)</f>
        <v>Diferente</v>
      </c>
    </row>
    <row r="56" spans="1:6">
      <c r="A56">
        <f t="shared" si="0"/>
        <v>55</v>
      </c>
      <c r="B56">
        <v>5</v>
      </c>
      <c r="C56" t="str" cm="1">
        <f t="array" ref="C56">GetValue("Cat","Name",B56)</f>
        <v>time</v>
      </c>
      <c r="D56">
        <v>5</v>
      </c>
      <c r="E56" s="6" t="str" cm="1">
        <f t="array" ref="E56">GetValue("Cmp","Symbol",D56)</f>
        <v>≥</v>
      </c>
      <c r="F56" t="str" cm="1">
        <f t="array" ref="F56">GetValue("Cmp","Description",D56)</f>
        <v>Maior ou Igual</v>
      </c>
    </row>
    <row r="57" spans="1:6">
      <c r="A57">
        <f t="shared" si="0"/>
        <v>56</v>
      </c>
      <c r="B57">
        <v>5</v>
      </c>
      <c r="C57" t="str" cm="1">
        <f t="array" ref="C57">GetValue("Cat","Name",B57)</f>
        <v>time</v>
      </c>
      <c r="D57">
        <v>6</v>
      </c>
      <c r="E57" s="6" t="str" cm="1">
        <f t="array" ref="E57">GetValue("Cmp","Symbol",D57)</f>
        <v>&gt;</v>
      </c>
      <c r="F57" t="str" cm="1">
        <f t="array" ref="F57">GetValue("Cmp","Description",D57)</f>
        <v>Maior</v>
      </c>
    </row>
    <row r="58" spans="1:6">
      <c r="A58">
        <f t="shared" si="0"/>
        <v>57</v>
      </c>
      <c r="B58">
        <v>5</v>
      </c>
      <c r="C58" t="str" cm="1">
        <f t="array" ref="C58">GetValue("Cat","Name",B58)</f>
        <v>time</v>
      </c>
      <c r="D58">
        <v>7</v>
      </c>
      <c r="E58" s="6" t="str" cm="1">
        <f t="array" ref="E58">GetValue("Cmp","Symbol",D58)</f>
        <v>∈</v>
      </c>
      <c r="F58" t="str" cm="1">
        <f t="array" ref="F58">GetValue("Cmp","Description",D58)</f>
        <v>In</v>
      </c>
    </row>
    <row r="59" spans="1:6">
      <c r="A59">
        <f t="shared" si="0"/>
        <v>58</v>
      </c>
      <c r="B59">
        <v>5</v>
      </c>
      <c r="C59" t="str" cm="1">
        <f t="array" ref="C59">GetValue("Cat","Name",B59)</f>
        <v>time</v>
      </c>
      <c r="D59">
        <v>8</v>
      </c>
      <c r="E59" s="6" t="str" cm="1">
        <f t="array" ref="E59">GetValue("Cmp","Symbol",D59)</f>
        <v>∉</v>
      </c>
      <c r="F59" t="str" cm="1">
        <f t="array" ref="F59">GetValue("Cmp","Description",D59)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GetValue("Cat","Name",B60)</f>
        <v>time</v>
      </c>
      <c r="D60">
        <v>11</v>
      </c>
      <c r="E60" s="6" t="str" cm="1">
        <f t="array" ref="E60">GetValue("Cmp","Symbol",D60)</f>
        <v>∃</v>
      </c>
      <c r="F60" t="str" cm="1">
        <f t="array" ref="F60">GetValue("Cmp","Description",D60)</f>
        <v>Between</v>
      </c>
    </row>
    <row r="61" spans="1:6">
      <c r="A61">
        <f t="shared" si="0"/>
        <v>60</v>
      </c>
      <c r="B61">
        <v>5</v>
      </c>
      <c r="C61" t="str" cm="1">
        <f t="array" ref="C61">GetValue("Cat","Name",B61)</f>
        <v>time</v>
      </c>
      <c r="D61">
        <v>12</v>
      </c>
      <c r="E61" s="6" t="str" cm="1">
        <f t="array" ref="E61">GetValue("Cmp","Symbol",D61)</f>
        <v>∄</v>
      </c>
      <c r="F61" t="str" cm="1">
        <f t="array" ref="F61">GetValue("Cmp","Description",D61)</f>
        <v>Not Between</v>
      </c>
    </row>
    <row r="62" spans="1:6">
      <c r="A62">
        <f t="shared" si="0"/>
        <v>61</v>
      </c>
      <c r="B62">
        <v>5</v>
      </c>
      <c r="C62" t="str" cm="1">
        <f t="array" ref="C62">GetValue("Cat","Name",B62)</f>
        <v>time</v>
      </c>
      <c r="D62">
        <v>13</v>
      </c>
      <c r="E62" s="6" t="str" cm="1">
        <f t="array" ref="E62">GetValue("Cmp","Symbol",D62)</f>
        <v>∅</v>
      </c>
      <c r="F62" t="str" cm="1">
        <f t="array" ref="F62">GetValue("Cmp","Description",D62)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GetValue("Cat","Name",B63)</f>
        <v>time</v>
      </c>
      <c r="D63">
        <v>14</v>
      </c>
      <c r="E63" s="6" t="str" cm="1">
        <f t="array" ref="E63">GetValue("Cmp","Symbol",D63)</f>
        <v>⊗</v>
      </c>
      <c r="F63" t="str" cm="1">
        <f t="array" ref="F63">GetValue("Cmp","Description",D63)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GetValue("Cat","Name",B64)</f>
        <v>text</v>
      </c>
      <c r="D64">
        <v>9</v>
      </c>
      <c r="E64" s="6" t="str" cm="1">
        <f t="array" ref="E64">GetValue("Cmp","Symbol",D64)</f>
        <v>⊃</v>
      </c>
      <c r="F64" t="str" cm="1">
        <f t="array" ref="F64">GetValue("Cmp","Description",D64)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GetValue("Cat","Name",B65)</f>
        <v>text</v>
      </c>
      <c r="D65">
        <v>10</v>
      </c>
      <c r="E65" s="6" t="str" cm="1">
        <f t="array" ref="E65">GetValue("Cmp","Symbol",D65)</f>
        <v>⊅</v>
      </c>
      <c r="F65" t="str" cm="1">
        <f t="array" ref="F65">GetValue("Cmp","Description",D65)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GetValue("Cat","Name",B66)</f>
        <v>text</v>
      </c>
      <c r="D66">
        <v>13</v>
      </c>
      <c r="E66" s="6" t="str" cm="1">
        <f t="array" ref="E66">GetValue("Cmp","Symbol",D66)</f>
        <v>∅</v>
      </c>
      <c r="F66" t="str" cm="1">
        <f t="array" ref="F66">GetValue("Cmp","Description",D66)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GetValue("Cat","Name",B67)</f>
        <v>text</v>
      </c>
      <c r="D67">
        <v>14</v>
      </c>
      <c r="E67" s="6" t="str" cm="1">
        <f t="array" ref="E67">GetValue("Cmp","Symbol",D67)</f>
        <v>⊗</v>
      </c>
      <c r="F67" t="str" cm="1">
        <f t="array" ref="F67">GetValue("Cmp","Description",D67)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GetValue("Cat","Name",B68)</f>
        <v>boolean</v>
      </c>
      <c r="D68">
        <v>3</v>
      </c>
      <c r="E68" s="6" t="str" cm="1">
        <f t="array" ref="E68">GetValue("Cmp","Symbol",D68)</f>
        <v>=</v>
      </c>
      <c r="F68" t="str" cm="1">
        <f t="array" ref="F68">GetValue("Cmp","Description",D68)</f>
        <v>Igual</v>
      </c>
    </row>
    <row r="69" spans="1:6">
      <c r="A69">
        <f t="shared" si="0"/>
        <v>68</v>
      </c>
      <c r="B69">
        <v>7</v>
      </c>
      <c r="C69" t="str" cm="1">
        <f t="array" ref="C69">GetValue("Cat","Name",B69)</f>
        <v>boolean</v>
      </c>
      <c r="D69">
        <v>4</v>
      </c>
      <c r="E69" s="6" t="str" cm="1">
        <f t="array" ref="E69">GetValue("Cmp","Symbol",D69)</f>
        <v>≠</v>
      </c>
      <c r="F69" t="str" cm="1">
        <f t="array" ref="F69">GetValue("Cmp","Description",D69)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1"/>
  <sheetViews>
    <sheetView workbookViewId="0">
      <pane ySplit="1" topLeftCell="A2" activePane="bottomLeft" state="frozen"/>
      <selection pane="bottomLeft" activeCell="F2" sqref="F2"/>
    </sheetView>
  </sheetViews>
  <sheetFormatPr defaultColWidth="12.77734375" defaultRowHeight="14.4"/>
  <cols>
    <col min="1" max="1" width="3.6640625" bestFit="1" customWidth="1"/>
    <col min="2" max="2" width="12.6640625" bestFit="1" customWidth="1"/>
    <col min="3" max="3" width="29.77734375" bestFit="1" customWidth="1"/>
    <col min="4" max="4" width="29" bestFit="1" customWidth="1"/>
    <col min="5" max="5" width="14.44140625" bestFit="1" customWidth="1"/>
    <col min="6" max="7" width="11.77734375" bestFit="1" customWidth="1"/>
  </cols>
  <sheetData>
    <row r="1" spans="1:7" s="1" customFormat="1">
      <c r="A1" s="1" t="s">
        <v>561</v>
      </c>
      <c r="B1" s="1" t="s">
        <v>0</v>
      </c>
      <c r="C1" s="1" t="s">
        <v>371</v>
      </c>
      <c r="D1" s="1" t="s">
        <v>555</v>
      </c>
      <c r="E1" s="1" t="s">
        <v>556</v>
      </c>
      <c r="F1" s="1" t="s">
        <v>378</v>
      </c>
      <c r="G1" s="1" t="s">
        <v>23</v>
      </c>
    </row>
    <row r="2" spans="1:7">
      <c r="A2">
        <f>ROW(A2)-1</f>
        <v>1</v>
      </c>
      <c r="B2" t="s">
        <v>148</v>
      </c>
      <c r="C2" t="s">
        <v>372</v>
      </c>
      <c r="D2" t="s">
        <v>372</v>
      </c>
      <c r="F2" t="b">
        <v>1</v>
      </c>
      <c r="G2" t="b">
        <v>1</v>
      </c>
    </row>
    <row r="3" spans="1:7">
      <c r="A3">
        <f t="shared" ref="A3:A11" si="0">ROW(A3)-1</f>
        <v>2</v>
      </c>
      <c r="B3" t="s">
        <v>149</v>
      </c>
      <c r="C3" t="s">
        <v>373</v>
      </c>
      <c r="D3" t="s">
        <v>551</v>
      </c>
      <c r="F3" t="b">
        <v>0</v>
      </c>
      <c r="G3" t="b">
        <v>0</v>
      </c>
    </row>
    <row r="4" spans="1:7">
      <c r="A4">
        <f t="shared" si="0"/>
        <v>3</v>
      </c>
      <c r="B4" t="s">
        <v>150</v>
      </c>
      <c r="C4" t="s">
        <v>411</v>
      </c>
      <c r="D4" t="s">
        <v>411</v>
      </c>
      <c r="F4" t="b">
        <v>0</v>
      </c>
      <c r="G4" t="b">
        <v>0</v>
      </c>
    </row>
    <row r="5" spans="1:7">
      <c r="A5">
        <f t="shared" si="0"/>
        <v>4</v>
      </c>
      <c r="B5" t="s">
        <v>151</v>
      </c>
      <c r="C5" t="s">
        <v>374</v>
      </c>
      <c r="D5" t="s">
        <v>374</v>
      </c>
      <c r="F5" t="b">
        <v>0</v>
      </c>
      <c r="G5" t="b">
        <v>0</v>
      </c>
    </row>
    <row r="6" spans="1:7">
      <c r="A6">
        <f t="shared" si="0"/>
        <v>5</v>
      </c>
      <c r="B6" t="s">
        <v>152</v>
      </c>
      <c r="C6" s="15" t="s">
        <v>375</v>
      </c>
      <c r="D6" t="s">
        <v>375</v>
      </c>
      <c r="F6" t="b">
        <v>1</v>
      </c>
      <c r="G6" t="b">
        <v>0</v>
      </c>
    </row>
    <row r="7" spans="1:7">
      <c r="A7">
        <f t="shared" si="0"/>
        <v>6</v>
      </c>
      <c r="B7" t="s">
        <v>198</v>
      </c>
      <c r="C7" s="15" t="s">
        <v>412</v>
      </c>
      <c r="D7" t="s">
        <v>412</v>
      </c>
      <c r="F7" t="b">
        <v>1</v>
      </c>
      <c r="G7" t="b">
        <v>0</v>
      </c>
    </row>
    <row r="8" spans="1:7">
      <c r="A8">
        <f t="shared" si="0"/>
        <v>7</v>
      </c>
      <c r="B8" t="s">
        <v>199</v>
      </c>
      <c r="C8" s="15" t="s">
        <v>376</v>
      </c>
      <c r="D8" t="s">
        <v>552</v>
      </c>
      <c r="E8" t="s">
        <v>554</v>
      </c>
      <c r="F8" t="b">
        <v>1</v>
      </c>
      <c r="G8" t="b">
        <v>0</v>
      </c>
    </row>
    <row r="9" spans="1:7">
      <c r="A9">
        <f t="shared" si="0"/>
        <v>8</v>
      </c>
      <c r="B9" t="s">
        <v>200</v>
      </c>
      <c r="C9" s="15" t="s">
        <v>377</v>
      </c>
      <c r="D9" t="s">
        <v>553</v>
      </c>
      <c r="F9" t="b">
        <v>0</v>
      </c>
      <c r="G9" t="b">
        <v>0</v>
      </c>
    </row>
    <row r="10" spans="1:7">
      <c r="A10">
        <f t="shared" si="0"/>
        <v>9</v>
      </c>
      <c r="B10" t="s">
        <v>201</v>
      </c>
      <c r="C10" s="15" t="s">
        <v>557</v>
      </c>
      <c r="D10" t="s">
        <v>413</v>
      </c>
      <c r="F10" t="b">
        <v>0</v>
      </c>
      <c r="G10" t="b">
        <v>0</v>
      </c>
    </row>
    <row r="11" spans="1:7">
      <c r="A11">
        <f t="shared" si="0"/>
        <v>10</v>
      </c>
      <c r="B11" t="s">
        <v>202</v>
      </c>
      <c r="C11" s="10" t="s">
        <v>558</v>
      </c>
      <c r="D11" t="s">
        <v>414</v>
      </c>
      <c r="F11" t="b">
        <v>0</v>
      </c>
      <c r="G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J32" sqref="J32"/>
    </sheetView>
  </sheetViews>
  <sheetFormatPr defaultColWidth="10" defaultRowHeight="14.4"/>
  <cols>
    <col min="1" max="1" width="3.6640625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561</v>
      </c>
      <c r="B1" s="1" t="s">
        <v>15</v>
      </c>
      <c r="C1" s="1" t="s">
        <v>105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23</v>
      </c>
    </row>
    <row r="2" spans="1:11">
      <c r="A2">
        <f>ROW(A2)-1</f>
        <v>1</v>
      </c>
      <c r="B2">
        <v>2</v>
      </c>
      <c r="C2" t="str" cm="1">
        <f t="array" ref="C2">GetValue("Cat","Name",B2)</f>
        <v>number</v>
      </c>
      <c r="D2" t="s">
        <v>397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GetValue("Cat","Name",B3)</f>
        <v>binary</v>
      </c>
      <c r="D3" t="s">
        <v>13</v>
      </c>
      <c r="E3" s="22"/>
      <c r="F3" s="2" t="s">
        <v>25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GetValue("Cat","Name",B4)</f>
        <v>boolean</v>
      </c>
      <c r="D4" t="s">
        <v>399</v>
      </c>
      <c r="E4" s="2" t="s">
        <v>25</v>
      </c>
      <c r="F4" s="2" t="s">
        <v>25</v>
      </c>
      <c r="G4" t="b">
        <v>0</v>
      </c>
      <c r="H4" t="b">
        <v>0</v>
      </c>
      <c r="I4" t="b">
        <v>1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GetValue("Cat","Name",B5)</f>
        <v>string</v>
      </c>
      <c r="D5" t="s">
        <v>285</v>
      </c>
      <c r="E5" s="2" t="s">
        <v>25</v>
      </c>
      <c r="F5" s="2" t="s">
        <v>25</v>
      </c>
      <c r="G5" t="b">
        <v>1</v>
      </c>
      <c r="H5" t="b">
        <v>0</v>
      </c>
      <c r="I5" t="b">
        <v>1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GetValue("Cat","Name",B6)</f>
        <v>date</v>
      </c>
      <c r="D6" t="s">
        <v>8</v>
      </c>
      <c r="E6" s="4" t="s">
        <v>131</v>
      </c>
      <c r="F6" s="4" t="s">
        <v>132</v>
      </c>
      <c r="G6" t="b">
        <v>0</v>
      </c>
      <c r="H6" t="b">
        <v>0</v>
      </c>
      <c r="I6" t="b">
        <v>1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GetValue("Cat","Name",B7)</f>
        <v>datetime</v>
      </c>
      <c r="D7" t="s">
        <v>9</v>
      </c>
      <c r="E7" s="4" t="s">
        <v>133</v>
      </c>
      <c r="F7" s="4" t="s">
        <v>134</v>
      </c>
      <c r="G7" t="b">
        <v>0</v>
      </c>
      <c r="H7" t="b">
        <v>0</v>
      </c>
      <c r="I7" t="b">
        <v>1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GetValue("Cat","Name",B8)</f>
        <v>datetime</v>
      </c>
      <c r="D8" t="s">
        <v>286</v>
      </c>
      <c r="E8" s="4" t="s">
        <v>135</v>
      </c>
      <c r="F8" s="4" t="s">
        <v>136</v>
      </c>
      <c r="G8" t="b">
        <v>0</v>
      </c>
      <c r="H8" t="b">
        <v>0</v>
      </c>
      <c r="I8" t="b">
        <v>1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GetValue("Cat","Name",B9)</f>
        <v>datetime</v>
      </c>
      <c r="D9" t="s">
        <v>287</v>
      </c>
      <c r="E9" s="4" t="s">
        <v>135</v>
      </c>
      <c r="F9" s="4" t="s">
        <v>136</v>
      </c>
      <c r="G9" t="b">
        <v>0</v>
      </c>
      <c r="H9" t="b">
        <v>0</v>
      </c>
      <c r="I9" t="b">
        <v>1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GetValue("Cat","Name",B10)</f>
        <v>number</v>
      </c>
      <c r="D10" t="s">
        <v>288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1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GetValue("Cat","Name",B11)</f>
        <v>number</v>
      </c>
      <c r="D11" t="s">
        <v>289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1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GetValue("Cat","Name",B12)</f>
        <v>text</v>
      </c>
      <c r="D12" t="s">
        <v>32</v>
      </c>
      <c r="E12" s="2" t="s">
        <v>25</v>
      </c>
      <c r="F12" s="2" t="s">
        <v>25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GetValue("Cat","Name",B13)</f>
        <v>text</v>
      </c>
      <c r="D13" t="s">
        <v>33</v>
      </c>
      <c r="E13" s="2" t="s">
        <v>25</v>
      </c>
      <c r="F13" s="2" t="s">
        <v>25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GetValue("Cat","Name",B14)</f>
        <v>string</v>
      </c>
      <c r="D14" t="s">
        <v>34</v>
      </c>
      <c r="E14" s="2" t="s">
        <v>25</v>
      </c>
      <c r="F14" s="2" t="s">
        <v>25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GetValue("Cat","Name",B15)</f>
        <v>image</v>
      </c>
      <c r="D15" t="s">
        <v>12</v>
      </c>
      <c r="E15" s="2" t="s">
        <v>25</v>
      </c>
      <c r="F15" s="2" t="s">
        <v>25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GetValue("Cat","Name",B16)</f>
        <v>number</v>
      </c>
      <c r="D16" t="s">
        <v>284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GetValue("Cat","Name",B17)</f>
        <v>number</v>
      </c>
      <c r="D17" t="s">
        <v>36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1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GetValue("Cat","Name",B18)</f>
        <v>string</v>
      </c>
      <c r="D18" t="s">
        <v>272</v>
      </c>
      <c r="E18" s="2" t="s">
        <v>25</v>
      </c>
      <c r="F18" s="2" t="s">
        <v>25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GetValue("Cat","Name",B19)</f>
        <v>text</v>
      </c>
      <c r="D19" t="s">
        <v>38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GetValue("Cat","Name",B20)</f>
        <v>number</v>
      </c>
      <c r="D20" t="s">
        <v>271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1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GetValue("Cat","Name",B21)</f>
        <v>string</v>
      </c>
      <c r="D21" t="s">
        <v>275</v>
      </c>
      <c r="E21" s="2" t="s">
        <v>25</v>
      </c>
      <c r="F21" s="2" t="s">
        <v>25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GetValue("Cat","Name",B22)</f>
        <v>text</v>
      </c>
      <c r="D22" t="s">
        <v>122</v>
      </c>
      <c r="E22" s="2" t="s">
        <v>25</v>
      </c>
      <c r="F22" s="2" t="s">
        <v>25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GetValue("Cat","Name",B23)</f>
        <v>number</v>
      </c>
      <c r="D23" t="s">
        <v>40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GetValue("Cat","Name",B24)</f>
        <v>datetime</v>
      </c>
      <c r="D24" t="s">
        <v>41</v>
      </c>
      <c r="E24" s="4" t="s">
        <v>137</v>
      </c>
      <c r="F24" s="4" t="s">
        <v>138</v>
      </c>
      <c r="G24" t="b">
        <v>0</v>
      </c>
      <c r="H24" t="b">
        <v>0</v>
      </c>
      <c r="I24" t="b">
        <v>1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GetValue("Cat","Name",B25)</f>
        <v>number</v>
      </c>
      <c r="D25" t="s">
        <v>400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GetValue("Cat","Name",B26)</f>
        <v>number</v>
      </c>
      <c r="D26" t="s">
        <v>43</v>
      </c>
      <c r="E26" s="2">
        <v>-214748</v>
      </c>
      <c r="F26" s="2">
        <v>214748</v>
      </c>
      <c r="G26" t="b">
        <v>0</v>
      </c>
      <c r="H26" t="b">
        <v>0</v>
      </c>
      <c r="I26" t="b">
        <v>1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GetValue("Cat","Name",B27)</f>
        <v>undefined</v>
      </c>
      <c r="D27" t="s">
        <v>44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GetValue("Cat","Name",B28)</f>
        <v>string</v>
      </c>
      <c r="D28" t="s">
        <v>45</v>
      </c>
      <c r="E28" s="2" t="s">
        <v>25</v>
      </c>
      <c r="F28" s="2" t="s">
        <v>25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GetValue("Cat","Name",B29)</f>
        <v>text</v>
      </c>
      <c r="D29" t="s">
        <v>6</v>
      </c>
      <c r="E29" s="2" t="s">
        <v>25</v>
      </c>
      <c r="F29" s="2" t="s">
        <v>25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GetValue("Cat","Name",B30)</f>
        <v>time</v>
      </c>
      <c r="D30" t="s">
        <v>290</v>
      </c>
      <c r="E30" s="4" t="s">
        <v>139</v>
      </c>
      <c r="F30" s="4" t="s">
        <v>140</v>
      </c>
      <c r="G30" t="b">
        <v>0</v>
      </c>
      <c r="H30" t="b">
        <v>0</v>
      </c>
      <c r="I30" t="b">
        <v>1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GetValue("Cat","Name",B31)</f>
        <v>datetime</v>
      </c>
      <c r="D31" t="s">
        <v>46</v>
      </c>
      <c r="E31" s="4" t="s">
        <v>25</v>
      </c>
      <c r="F31" s="4"/>
      <c r="G31" t="b">
        <v>0</v>
      </c>
      <c r="H31" t="b">
        <v>0</v>
      </c>
      <c r="I31" t="b">
        <v>1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GetValue("Cat","Name",B32)</f>
        <v>number</v>
      </c>
      <c r="D32" t="s">
        <v>398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GetValue("Cat","Name",B33)</f>
        <v>string</v>
      </c>
      <c r="D33" t="s">
        <v>48</v>
      </c>
      <c r="E33" s="2" t="s">
        <v>25</v>
      </c>
      <c r="F33" s="2" t="s">
        <v>25</v>
      </c>
      <c r="G33" t="b">
        <v>0</v>
      </c>
      <c r="H33" t="b">
        <v>0</v>
      </c>
      <c r="I33" t="b">
        <v>1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GetValue("Cat","Name",B34)</f>
        <v>binary</v>
      </c>
      <c r="D34" t="s">
        <v>274</v>
      </c>
      <c r="E34" s="2" t="s">
        <v>25</v>
      </c>
      <c r="F34" s="2" t="s">
        <v>25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GetValue("Cat","Name",B35)</f>
        <v>binary</v>
      </c>
      <c r="D35" t="s">
        <v>123</v>
      </c>
      <c r="E35" s="2" t="s">
        <v>25</v>
      </c>
      <c r="F35" s="2" t="s">
        <v>25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GetValue("Cat","Name",B36)</f>
        <v>string</v>
      </c>
      <c r="D36" t="s">
        <v>273</v>
      </c>
      <c r="E36" s="2" t="s">
        <v>25</v>
      </c>
      <c r="F36" s="2" t="s">
        <v>25</v>
      </c>
      <c r="G36" t="b">
        <v>1</v>
      </c>
      <c r="H36" t="b">
        <v>0</v>
      </c>
      <c r="I36" t="b">
        <v>1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GetValue("Cat","Name",B37)</f>
        <v>text</v>
      </c>
      <c r="D37" t="s">
        <v>121</v>
      </c>
      <c r="E37" s="2" t="s">
        <v>25</v>
      </c>
      <c r="F37" s="2" t="s">
        <v>25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GetValue("Cat","Name",B38)</f>
        <v>text</v>
      </c>
      <c r="D38" t="s">
        <v>51</v>
      </c>
      <c r="E38" s="2" t="s">
        <v>25</v>
      </c>
      <c r="F38" s="2" t="s">
        <v>25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GetValue("Cat","Name",B39)</f>
        <v>text</v>
      </c>
      <c r="D39" t="s">
        <v>145</v>
      </c>
      <c r="E39" s="2" t="s">
        <v>25</v>
      </c>
      <c r="F39" s="2" t="s">
        <v>25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44140625" defaultRowHeight="14.4"/>
  <cols>
    <col min="1" max="1" width="4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15.21875" bestFit="1" customWidth="1"/>
    <col min="6" max="6" width="41.33203125" bestFit="1" customWidth="1"/>
    <col min="7" max="7" width="6.77734375" bestFit="1" customWidth="1"/>
    <col min="8" max="8" width="8.44140625" bestFit="1" customWidth="1"/>
  </cols>
  <sheetData>
    <row r="1" spans="1:8" s="1" customFormat="1">
      <c r="A1" s="1" t="s">
        <v>561</v>
      </c>
      <c r="B1" s="7" t="s">
        <v>364</v>
      </c>
      <c r="C1" s="7" t="s">
        <v>183</v>
      </c>
      <c r="D1" s="7" t="s">
        <v>52</v>
      </c>
      <c r="E1" s="7" t="s">
        <v>106</v>
      </c>
      <c r="F1" s="7" t="s">
        <v>0</v>
      </c>
      <c r="G1" s="1" t="s">
        <v>54</v>
      </c>
      <c r="H1" s="1" t="s">
        <v>55</v>
      </c>
    </row>
    <row r="2" spans="1:8">
      <c r="A2">
        <f>ROW(A2)-1</f>
        <v>1</v>
      </c>
      <c r="B2">
        <v>1</v>
      </c>
      <c r="C2" t="str" cm="1">
        <f t="array" ref="C2">GetValue("Eng","Name",B2)</f>
        <v>SQL Server</v>
      </c>
      <c r="D2">
        <v>1</v>
      </c>
      <c r="E2" t="str" cm="1">
        <f t="array" ref="E2">GetValue("Typ","Name",D2)</f>
        <v>bigint (8 bytes)</v>
      </c>
      <c r="F2" t="s">
        <v>24</v>
      </c>
    </row>
    <row r="3" spans="1:8">
      <c r="A3">
        <f t="shared" ref="A3:A66" si="0">ROW(A3)-1</f>
        <v>2</v>
      </c>
      <c r="B3">
        <v>1</v>
      </c>
      <c r="C3" t="str" cm="1">
        <f t="array" ref="C3">GetValue("Eng","Name",B3)</f>
        <v>SQL Server</v>
      </c>
      <c r="D3">
        <v>2</v>
      </c>
      <c r="E3" t="str" cm="1">
        <f t="array" ref="E3">GetValue("Typ","Name",D3)</f>
        <v>binary</v>
      </c>
      <c r="F3" t="s">
        <v>13</v>
      </c>
    </row>
    <row r="4" spans="1:8">
      <c r="A4">
        <f t="shared" si="0"/>
        <v>3</v>
      </c>
      <c r="B4">
        <v>1</v>
      </c>
      <c r="C4" t="str" cm="1">
        <f t="array" ref="C4">GetValue("Eng","Name",B4)</f>
        <v>SQL Server</v>
      </c>
      <c r="D4">
        <v>3</v>
      </c>
      <c r="E4" t="str" cm="1">
        <f t="array" ref="E4">GetValue("Typ","Name",D4)</f>
        <v>bit (1 bit)</v>
      </c>
      <c r="F4" t="s">
        <v>26</v>
      </c>
    </row>
    <row r="5" spans="1:8">
      <c r="A5">
        <f t="shared" si="0"/>
        <v>4</v>
      </c>
      <c r="B5">
        <v>1</v>
      </c>
      <c r="C5" t="str" cm="1">
        <f t="array" ref="C5">GetValue("Eng","Name",B5)</f>
        <v>SQL Server</v>
      </c>
      <c r="D5">
        <v>4</v>
      </c>
      <c r="E5" t="str" cm="1">
        <f t="array" ref="E5">GetValue("Typ","Name",D5)</f>
        <v>char(n)</v>
      </c>
      <c r="F5" t="s">
        <v>27</v>
      </c>
    </row>
    <row r="6" spans="1:8">
      <c r="A6">
        <f t="shared" si="0"/>
        <v>5</v>
      </c>
      <c r="B6">
        <v>1</v>
      </c>
      <c r="C6" t="str" cm="1">
        <f t="array" ref="C6">GetValue("Eng","Name",B6)</f>
        <v>SQL Server</v>
      </c>
      <c r="D6">
        <v>5</v>
      </c>
      <c r="E6" t="str" cm="1">
        <f t="array" ref="E6">GetValue("Typ","Name",D6)</f>
        <v>date</v>
      </c>
      <c r="F6" t="s">
        <v>8</v>
      </c>
    </row>
    <row r="7" spans="1:8">
      <c r="A7">
        <f t="shared" si="0"/>
        <v>6</v>
      </c>
      <c r="B7">
        <v>1</v>
      </c>
      <c r="C7" t="str" cm="1">
        <f t="array" ref="C7">GetValue("Eng","Name",B7)</f>
        <v>SQL Server</v>
      </c>
      <c r="D7">
        <v>6</v>
      </c>
      <c r="E7" t="str" cm="1">
        <f t="array" ref="E7">GetValue("Typ","Name",D7)</f>
        <v>datetime</v>
      </c>
      <c r="F7" t="s">
        <v>9</v>
      </c>
    </row>
    <row r="8" spans="1:8">
      <c r="A8">
        <f t="shared" si="0"/>
        <v>7</v>
      </c>
      <c r="B8">
        <v>1</v>
      </c>
      <c r="C8" t="str" cm="1">
        <f t="array" ref="C8">GetValue("Eng","Name",B8)</f>
        <v>SQL Server</v>
      </c>
      <c r="D8">
        <v>7</v>
      </c>
      <c r="E8" t="str" cm="1">
        <f t="array" ref="E8">GetValue("Typ","Name",D8)</f>
        <v>datetime2(s)</v>
      </c>
      <c r="F8" t="s">
        <v>28</v>
      </c>
    </row>
    <row r="9" spans="1:8">
      <c r="A9">
        <f t="shared" si="0"/>
        <v>8</v>
      </c>
      <c r="B9">
        <v>1</v>
      </c>
      <c r="C9" t="str" cm="1">
        <f t="array" ref="C9">GetValue("Eng","Name",B9)</f>
        <v>SQL Server</v>
      </c>
      <c r="D9">
        <v>8</v>
      </c>
      <c r="E9" t="str" cm="1">
        <f t="array" ref="E9">GetValue("Typ","Name",D9)</f>
        <v>datetimeoffset(s)</v>
      </c>
      <c r="F9" t="s">
        <v>29</v>
      </c>
    </row>
    <row r="10" spans="1:8">
      <c r="A10">
        <f t="shared" si="0"/>
        <v>9</v>
      </c>
      <c r="B10">
        <v>1</v>
      </c>
      <c r="C10" t="str" cm="1">
        <f t="array" ref="C10">GetValue("Eng","Name",B10)</f>
        <v>SQL Server</v>
      </c>
      <c r="D10">
        <v>9</v>
      </c>
      <c r="E10" t="str" cm="1">
        <f t="array" ref="E10">GetValue("Typ","Name",D10)</f>
        <v>decimal(p ,s)</v>
      </c>
      <c r="F10" t="s">
        <v>30</v>
      </c>
    </row>
    <row r="11" spans="1:8">
      <c r="A11">
        <f t="shared" si="0"/>
        <v>10</v>
      </c>
      <c r="B11">
        <v>1</v>
      </c>
      <c r="C11" t="str" cm="1">
        <f t="array" ref="C11">GetValue("Eng","Name",B11)</f>
        <v>SQL Server</v>
      </c>
      <c r="D11">
        <v>10</v>
      </c>
      <c r="E11" t="str" cm="1">
        <f t="array" ref="E11">GetValue("Typ","Name",D11)</f>
        <v>float(n)</v>
      </c>
      <c r="F11" t="s">
        <v>31</v>
      </c>
    </row>
    <row r="12" spans="1:8">
      <c r="A12">
        <f t="shared" si="0"/>
        <v>11</v>
      </c>
      <c r="B12">
        <v>1</v>
      </c>
      <c r="C12" t="str" cm="1">
        <f t="array" ref="C12">GetValue("Eng","Name",B12)</f>
        <v>SQL Server</v>
      </c>
      <c r="D12">
        <v>11</v>
      </c>
      <c r="E12" t="str" cm="1">
        <f t="array" ref="E12">GetValue("Typ","Name",D12)</f>
        <v>geography</v>
      </c>
      <c r="F12" t="s">
        <v>32</v>
      </c>
    </row>
    <row r="13" spans="1:8">
      <c r="A13">
        <f t="shared" si="0"/>
        <v>12</v>
      </c>
      <c r="B13">
        <v>1</v>
      </c>
      <c r="C13" t="str" cm="1">
        <f t="array" ref="C13">GetValue("Eng","Name",B13)</f>
        <v>SQL Server</v>
      </c>
      <c r="D13">
        <v>12</v>
      </c>
      <c r="E13" t="str" cm="1">
        <f t="array" ref="E13">GetValue("Typ","Name",D13)</f>
        <v>geometry</v>
      </c>
      <c r="F13" t="s">
        <v>33</v>
      </c>
    </row>
    <row r="14" spans="1:8">
      <c r="A14">
        <f t="shared" si="0"/>
        <v>13</v>
      </c>
      <c r="B14">
        <v>1</v>
      </c>
      <c r="C14" t="str" cm="1">
        <f t="array" ref="C14">GetValue("Eng","Name",B14)</f>
        <v>SQL Server</v>
      </c>
      <c r="D14">
        <v>13</v>
      </c>
      <c r="E14" t="str" cm="1">
        <f t="array" ref="E14">GetValue("Typ","Name",D14)</f>
        <v>hierarchyid</v>
      </c>
      <c r="F14" t="s">
        <v>34</v>
      </c>
    </row>
    <row r="15" spans="1:8">
      <c r="A15">
        <f t="shared" si="0"/>
        <v>14</v>
      </c>
      <c r="B15">
        <v>1</v>
      </c>
      <c r="C15" t="str" cm="1">
        <f t="array" ref="C15">GetValue("Eng","Name",B15)</f>
        <v>SQL Server</v>
      </c>
      <c r="D15">
        <v>14</v>
      </c>
      <c r="E15" t="str" cm="1">
        <f t="array" ref="E15">GetValue("Typ","Name",D15)</f>
        <v>image</v>
      </c>
      <c r="F15" t="s">
        <v>12</v>
      </c>
    </row>
    <row r="16" spans="1:8">
      <c r="A16">
        <f t="shared" si="0"/>
        <v>15</v>
      </c>
      <c r="B16">
        <v>1</v>
      </c>
      <c r="C16" t="str" cm="1">
        <f t="array" ref="C16">GetValue("Eng","Name",B16)</f>
        <v>SQL Server</v>
      </c>
      <c r="D16">
        <v>15</v>
      </c>
      <c r="E16" t="str" cm="1">
        <f t="array" ref="E16">GetValue("Typ","Name",D16)</f>
        <v>int (4 bytes)</v>
      </c>
      <c r="F16" t="s">
        <v>35</v>
      </c>
    </row>
    <row r="17" spans="1:6">
      <c r="A17">
        <f t="shared" si="0"/>
        <v>16</v>
      </c>
      <c r="B17">
        <v>1</v>
      </c>
      <c r="C17" t="str" cm="1">
        <f t="array" ref="C17">GetValue("Eng","Name",B17)</f>
        <v>SQL Server</v>
      </c>
      <c r="D17">
        <v>16</v>
      </c>
      <c r="E17" t="str" cm="1">
        <f t="array" ref="E17">GetValue("Typ","Name",D17)</f>
        <v>money</v>
      </c>
      <c r="F17" t="s">
        <v>36</v>
      </c>
    </row>
    <row r="18" spans="1:6">
      <c r="A18">
        <f t="shared" si="0"/>
        <v>17</v>
      </c>
      <c r="B18">
        <v>1</v>
      </c>
      <c r="C18" t="str" cm="1">
        <f t="array" ref="C18">GetValue("Eng","Name",B18)</f>
        <v>SQL Server</v>
      </c>
      <c r="D18">
        <v>17</v>
      </c>
      <c r="E18" t="str" cm="1">
        <f t="array" ref="E18">GetValue("Typ","Name",D18)</f>
        <v>nchar(n)</v>
      </c>
      <c r="F18" t="s">
        <v>37</v>
      </c>
    </row>
    <row r="19" spans="1:6">
      <c r="A19">
        <f t="shared" si="0"/>
        <v>18</v>
      </c>
      <c r="B19">
        <v>1</v>
      </c>
      <c r="C19" t="str" cm="1">
        <f t="array" ref="C19">GetValue("Eng","Name",B19)</f>
        <v>SQL Server</v>
      </c>
      <c r="D19">
        <v>18</v>
      </c>
      <c r="E19" t="str" cm="1">
        <f t="array" ref="E19">GetValue("Typ","Name",D19)</f>
        <v>ntext</v>
      </c>
      <c r="F19" t="s">
        <v>38</v>
      </c>
    </row>
    <row r="20" spans="1:6">
      <c r="A20">
        <f t="shared" si="0"/>
        <v>19</v>
      </c>
      <c r="B20">
        <v>1</v>
      </c>
      <c r="C20" t="str" cm="1">
        <f t="array" ref="C20">GetValue("Eng","Name",B20)</f>
        <v>SQL Server</v>
      </c>
      <c r="D20">
        <v>19</v>
      </c>
      <c r="E20" t="str" cm="1">
        <f t="array" ref="E20">GetValue("Typ","Name",D20)</f>
        <v>numeric(p,s)</v>
      </c>
      <c r="F20" t="s">
        <v>7</v>
      </c>
    </row>
    <row r="21" spans="1:6">
      <c r="A21">
        <f t="shared" si="0"/>
        <v>20</v>
      </c>
      <c r="B21">
        <v>1</v>
      </c>
      <c r="C21" t="str" cm="1">
        <f t="array" ref="C21">GetValue("Eng","Name",B21)</f>
        <v>SQL Server</v>
      </c>
      <c r="D21">
        <v>20</v>
      </c>
      <c r="E21" t="str" cm="1">
        <f t="array" ref="E21">GetValue("Typ","Name",D21)</f>
        <v>nvarchar(n)</v>
      </c>
      <c r="F21" t="s">
        <v>39</v>
      </c>
    </row>
    <row r="22" spans="1:6">
      <c r="A22">
        <f t="shared" si="0"/>
        <v>21</v>
      </c>
      <c r="B22">
        <v>1</v>
      </c>
      <c r="C22" t="str" cm="1">
        <f t="array" ref="C22">GetValue("Eng","Name",B22)</f>
        <v>SQL Server</v>
      </c>
      <c r="D22">
        <v>21</v>
      </c>
      <c r="E22" t="str" cm="1">
        <f t="array" ref="E22">GetValue("Typ","Name",D22)</f>
        <v>nvarchar(max)</v>
      </c>
      <c r="F22" t="s">
        <v>122</v>
      </c>
    </row>
    <row r="23" spans="1:6">
      <c r="A23">
        <f t="shared" si="0"/>
        <v>22</v>
      </c>
      <c r="B23">
        <v>1</v>
      </c>
      <c r="C23" t="str" cm="1">
        <f t="array" ref="C23">GetValue("Eng","Name",B23)</f>
        <v>SQL Server</v>
      </c>
      <c r="D23">
        <v>22</v>
      </c>
      <c r="E23" t="str" cm="1">
        <f t="array" ref="E23">GetValue("Typ","Name",D23)</f>
        <v>real</v>
      </c>
      <c r="F23" t="s">
        <v>40</v>
      </c>
    </row>
    <row r="24" spans="1:6">
      <c r="A24">
        <f t="shared" si="0"/>
        <v>23</v>
      </c>
      <c r="B24">
        <v>1</v>
      </c>
      <c r="C24" t="str" cm="1">
        <f t="array" ref="C24">GetValue("Eng","Name",B24)</f>
        <v>SQL Server</v>
      </c>
      <c r="D24">
        <v>23</v>
      </c>
      <c r="E24" t="str" cm="1">
        <f t="array" ref="E24">GetValue("Typ","Name",D24)</f>
        <v>smalldatetime</v>
      </c>
      <c r="F24" t="s">
        <v>41</v>
      </c>
    </row>
    <row r="25" spans="1:6">
      <c r="A25">
        <f t="shared" si="0"/>
        <v>24</v>
      </c>
      <c r="B25">
        <v>1</v>
      </c>
      <c r="C25" t="str" cm="1">
        <f t="array" ref="C25">GetValue("Eng","Name",B25)</f>
        <v>SQL Server</v>
      </c>
      <c r="D25">
        <v>24</v>
      </c>
      <c r="E25" t="str" cm="1">
        <f t="array" ref="E25">GetValue("Typ","Name",D25)</f>
        <v>smallint (2 bytes)</v>
      </c>
      <c r="F25" t="s">
        <v>42</v>
      </c>
    </row>
    <row r="26" spans="1:6">
      <c r="A26">
        <f t="shared" si="0"/>
        <v>25</v>
      </c>
      <c r="B26">
        <v>1</v>
      </c>
      <c r="C26" t="str" cm="1">
        <f t="array" ref="C26">GetValue("Eng","Name",B26)</f>
        <v>SQL Server</v>
      </c>
      <c r="D26">
        <v>25</v>
      </c>
      <c r="E26" t="str" cm="1">
        <f t="array" ref="E26">GetValue("Typ","Name",D26)</f>
        <v>smallmoney</v>
      </c>
      <c r="F26" t="s">
        <v>43</v>
      </c>
    </row>
    <row r="27" spans="1:6">
      <c r="A27">
        <f t="shared" si="0"/>
        <v>26</v>
      </c>
      <c r="B27">
        <v>1</v>
      </c>
      <c r="C27" t="str" cm="1">
        <f t="array" ref="C27">GetValue("Eng","Name",B27)</f>
        <v>SQL Server</v>
      </c>
      <c r="D27">
        <v>26</v>
      </c>
      <c r="E27" t="str" cm="1">
        <f t="array" ref="E27">GetValue("Typ","Name",D27)</f>
        <v>sql_variant</v>
      </c>
      <c r="F27" t="s">
        <v>44</v>
      </c>
    </row>
    <row r="28" spans="1:6">
      <c r="A28">
        <f t="shared" si="0"/>
        <v>27</v>
      </c>
      <c r="B28">
        <v>1</v>
      </c>
      <c r="C28" t="str" cm="1">
        <f t="array" ref="C28">GetValue("Eng","Name",B28)</f>
        <v>SQL Server</v>
      </c>
      <c r="D28">
        <v>27</v>
      </c>
      <c r="E28" t="str" cm="1">
        <f t="array" ref="E28">GetValue("Typ","Name",D28)</f>
        <v>sysname</v>
      </c>
      <c r="F28" t="s">
        <v>45</v>
      </c>
    </row>
    <row r="29" spans="1:6">
      <c r="A29">
        <f t="shared" si="0"/>
        <v>28</v>
      </c>
      <c r="B29">
        <v>1</v>
      </c>
      <c r="C29" t="str" cm="1">
        <f t="array" ref="C29">GetValue("Eng","Name",B29)</f>
        <v>SQL Server</v>
      </c>
      <c r="D29">
        <v>28</v>
      </c>
      <c r="E29" t="str" cm="1">
        <f t="array" ref="E29">GetValue("Typ","Name",D29)</f>
        <v>text</v>
      </c>
      <c r="F29" t="s">
        <v>6</v>
      </c>
    </row>
    <row r="30" spans="1:6">
      <c r="A30">
        <f t="shared" si="0"/>
        <v>29</v>
      </c>
      <c r="B30">
        <v>1</v>
      </c>
      <c r="C30" t="str" cm="1">
        <f t="array" ref="C30">GetValue("Eng","Name",B30)</f>
        <v>SQL Server</v>
      </c>
      <c r="D30">
        <v>29</v>
      </c>
      <c r="E30" t="str" cm="1">
        <f t="array" ref="E30">GetValue("Typ","Name",D30)</f>
        <v>time(s)</v>
      </c>
      <c r="F30" t="s">
        <v>11</v>
      </c>
    </row>
    <row r="31" spans="1:6">
      <c r="A31">
        <f t="shared" si="0"/>
        <v>30</v>
      </c>
      <c r="B31">
        <v>1</v>
      </c>
      <c r="C31" t="str" cm="1">
        <f t="array" ref="C31">GetValue("Eng","Name",B31)</f>
        <v>SQL Server</v>
      </c>
      <c r="D31">
        <v>30</v>
      </c>
      <c r="E31" t="str" cm="1">
        <f t="array" ref="E31">GetValue("Typ","Name",D31)</f>
        <v>timestamp</v>
      </c>
      <c r="F31" t="s">
        <v>46</v>
      </c>
    </row>
    <row r="32" spans="1:6">
      <c r="A32">
        <f t="shared" si="0"/>
        <v>31</v>
      </c>
      <c r="B32">
        <v>1</v>
      </c>
      <c r="C32" t="str" cm="1">
        <f t="array" ref="C32">GetValue("Eng","Name",B32)</f>
        <v>SQL Server</v>
      </c>
      <c r="D32">
        <v>31</v>
      </c>
      <c r="E32" t="str" cm="1">
        <f t="array" ref="E32">GetValue("Typ","Name",D32)</f>
        <v>tinyint (1 byte)</v>
      </c>
      <c r="F32" t="s">
        <v>47</v>
      </c>
    </row>
    <row r="33" spans="1:7">
      <c r="A33">
        <f t="shared" si="0"/>
        <v>32</v>
      </c>
      <c r="B33">
        <v>1</v>
      </c>
      <c r="C33" t="str" cm="1">
        <f t="array" ref="C33">GetValue("Eng","Name",B33)</f>
        <v>SQL Server</v>
      </c>
      <c r="D33">
        <v>32</v>
      </c>
      <c r="E33" t="str" cm="1">
        <f t="array" ref="E33">GetValue("Typ","Name",D33)</f>
        <v>uniqueidentifier</v>
      </c>
      <c r="F33" t="s">
        <v>48</v>
      </c>
    </row>
    <row r="34" spans="1:7">
      <c r="A34">
        <f t="shared" si="0"/>
        <v>33</v>
      </c>
      <c r="B34">
        <v>1</v>
      </c>
      <c r="C34" t="str" cm="1">
        <f t="array" ref="C34">GetValue("Eng","Name",B34)</f>
        <v>SQL Server</v>
      </c>
      <c r="D34">
        <v>33</v>
      </c>
      <c r="E34" t="str" cm="1">
        <f t="array" ref="E34">GetValue("Typ","Name",D34)</f>
        <v>varbinary(n)</v>
      </c>
      <c r="F34" t="s">
        <v>49</v>
      </c>
    </row>
    <row r="35" spans="1:7">
      <c r="A35">
        <f t="shared" si="0"/>
        <v>34</v>
      </c>
      <c r="B35">
        <v>1</v>
      </c>
      <c r="C35" t="str" cm="1">
        <f t="array" ref="C35">GetValue("Eng","Name",B35)</f>
        <v>SQL Server</v>
      </c>
      <c r="D35">
        <v>34</v>
      </c>
      <c r="E35" t="str" cm="1">
        <f t="array" ref="E35">GetValue("Typ","Name",D35)</f>
        <v>varbinary(max)</v>
      </c>
      <c r="F35" t="s">
        <v>123</v>
      </c>
    </row>
    <row r="36" spans="1:7">
      <c r="A36">
        <f t="shared" si="0"/>
        <v>35</v>
      </c>
      <c r="B36">
        <v>1</v>
      </c>
      <c r="C36" t="str" cm="1">
        <f t="array" ref="C36">GetValue("Eng","Name",B36)</f>
        <v>SQL Server</v>
      </c>
      <c r="D36">
        <v>35</v>
      </c>
      <c r="E36" t="str" cm="1">
        <f t="array" ref="E36">GetValue("Typ","Name",D36)</f>
        <v>varchar(n)</v>
      </c>
      <c r="F36" t="s">
        <v>50</v>
      </c>
    </row>
    <row r="37" spans="1:7">
      <c r="A37">
        <f t="shared" si="0"/>
        <v>36</v>
      </c>
      <c r="B37">
        <v>1</v>
      </c>
      <c r="C37" t="str" cm="1">
        <f t="array" ref="C37">GetValue("Eng","Name",B37)</f>
        <v>SQL Server</v>
      </c>
      <c r="D37">
        <v>36</v>
      </c>
      <c r="E37" t="str" cm="1">
        <f t="array" ref="E37">GetValue("Typ","Name",D37)</f>
        <v>varchar(max)</v>
      </c>
      <c r="F37" t="s">
        <v>121</v>
      </c>
    </row>
    <row r="38" spans="1:7">
      <c r="A38">
        <f t="shared" si="0"/>
        <v>37</v>
      </c>
      <c r="B38">
        <v>1</v>
      </c>
      <c r="C38" t="str" cm="1">
        <f t="array" ref="C38">GetValue("Eng","Name",B38)</f>
        <v>SQL Server</v>
      </c>
      <c r="D38">
        <v>37</v>
      </c>
      <c r="E38" t="str" cm="1">
        <f t="array" ref="E38">GetValue("Typ","Name",D38)</f>
        <v>xml</v>
      </c>
      <c r="F38" t="s">
        <v>51</v>
      </c>
    </row>
    <row r="39" spans="1:7">
      <c r="A39">
        <f t="shared" si="0"/>
        <v>38</v>
      </c>
      <c r="B39">
        <v>1</v>
      </c>
      <c r="C39" t="str" cm="1">
        <f t="array" ref="C39">GetValue("Eng","Name",B39)</f>
        <v>SQL Server</v>
      </c>
      <c r="D39">
        <v>38</v>
      </c>
      <c r="E39" t="str" cm="1">
        <f t="array" ref="E39">GetValue("Typ","Name",D39)</f>
        <v>json</v>
      </c>
      <c r="F39" t="s">
        <v>122</v>
      </c>
    </row>
    <row r="40" spans="1:7">
      <c r="A40">
        <f t="shared" si="0"/>
        <v>39</v>
      </c>
      <c r="B40">
        <v>2</v>
      </c>
      <c r="C40" t="str" cm="1">
        <f t="array" ref="C40">GetValue("Eng","Name",B40)</f>
        <v>MySQL</v>
      </c>
      <c r="D40">
        <v>1</v>
      </c>
      <c r="E40" t="str" cm="1">
        <f t="array" ref="E40">GetValue("Typ","Name",D40)</f>
        <v>bigint (8 bytes)</v>
      </c>
      <c r="F40" t="s">
        <v>153</v>
      </c>
    </row>
    <row r="41" spans="1:7">
      <c r="A41">
        <f t="shared" si="0"/>
        <v>40</v>
      </c>
      <c r="B41">
        <v>2</v>
      </c>
      <c r="C41" t="str" cm="1">
        <f t="array" ref="C41">GetValue("Eng","Name",B41)</f>
        <v>MySQL</v>
      </c>
      <c r="D41">
        <v>2</v>
      </c>
      <c r="E41" t="str" cm="1">
        <f t="array" ref="E41">GetValue("Typ","Name",D41)</f>
        <v>binary</v>
      </c>
      <c r="F41" t="s">
        <v>172</v>
      </c>
    </row>
    <row r="42" spans="1:7">
      <c r="A42">
        <f t="shared" si="0"/>
        <v>41</v>
      </c>
      <c r="B42">
        <v>2</v>
      </c>
      <c r="C42" t="str" cm="1">
        <f t="array" ref="C42">GetValue("Eng","Name",B42)</f>
        <v>MySQL</v>
      </c>
      <c r="D42">
        <v>3</v>
      </c>
      <c r="E42" t="str" cm="1">
        <f t="array" ref="E42">GetValue("Typ","Name",D42)</f>
        <v>bit (1 bit)</v>
      </c>
      <c r="F42" t="s">
        <v>168</v>
      </c>
    </row>
    <row r="43" spans="1:7">
      <c r="A43">
        <f t="shared" si="0"/>
        <v>42</v>
      </c>
      <c r="B43">
        <v>2</v>
      </c>
      <c r="C43" t="str" cm="1">
        <f t="array" ref="C43">GetValue("Eng","Name",B43)</f>
        <v>MySQL</v>
      </c>
      <c r="D43">
        <v>4</v>
      </c>
      <c r="E43" t="str" cm="1">
        <f t="array" ref="E43">GetValue("Typ","Name",D43)</f>
        <v>char(n)</v>
      </c>
      <c r="F43" t="s">
        <v>155</v>
      </c>
    </row>
    <row r="44" spans="1:7">
      <c r="A44">
        <f t="shared" si="0"/>
        <v>43</v>
      </c>
      <c r="B44">
        <v>2</v>
      </c>
      <c r="C44" t="str" cm="1">
        <f t="array" ref="C44">GetValue("Eng","Name",B44)</f>
        <v>MySQL</v>
      </c>
      <c r="D44">
        <v>5</v>
      </c>
      <c r="E44" t="str" cm="1">
        <f t="array" ref="E44">GetValue("Typ","Name",D44)</f>
        <v>date</v>
      </c>
      <c r="F44" t="s">
        <v>156</v>
      </c>
    </row>
    <row r="45" spans="1:7">
      <c r="A45">
        <f t="shared" si="0"/>
        <v>44</v>
      </c>
      <c r="B45">
        <v>2</v>
      </c>
      <c r="C45" t="str" cm="1">
        <f t="array" ref="C45">GetValue("Eng","Name",B45)</f>
        <v>MySQL</v>
      </c>
      <c r="D45">
        <v>6</v>
      </c>
      <c r="E45" t="str" cm="1">
        <f t="array" ref="E45">GetValue("Typ","Name",D45)</f>
        <v>datetime</v>
      </c>
      <c r="F45" t="s">
        <v>173</v>
      </c>
    </row>
    <row r="46" spans="1:7">
      <c r="A46">
        <f t="shared" si="0"/>
        <v>45</v>
      </c>
      <c r="B46">
        <v>2</v>
      </c>
      <c r="C46" t="str" cm="1">
        <f t="array" ref="C46">GetValue("Eng","Name",B46)</f>
        <v>MySQL</v>
      </c>
      <c r="D46">
        <v>7</v>
      </c>
      <c r="E46" t="str" cm="1">
        <f t="array" ref="E46">GetValue("Typ","Name",D46)</f>
        <v>datetime2(s)</v>
      </c>
      <c r="F46" t="s">
        <v>173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GetValue("Eng","Name",B47)</f>
        <v>MySQL</v>
      </c>
      <c r="D47">
        <v>8</v>
      </c>
      <c r="E47" t="str" cm="1">
        <f t="array" ref="E47">GetValue("Typ","Name",D47)</f>
        <v>datetimeoffset(s)</v>
      </c>
      <c r="F47" t="s">
        <v>157</v>
      </c>
    </row>
    <row r="48" spans="1:7">
      <c r="A48">
        <f t="shared" si="0"/>
        <v>47</v>
      </c>
      <c r="B48">
        <v>2</v>
      </c>
      <c r="C48" t="str" cm="1">
        <f t="array" ref="C48">GetValue("Eng","Name",B48)</f>
        <v>MySQL</v>
      </c>
      <c r="D48">
        <v>9</v>
      </c>
      <c r="E48" t="str" cm="1">
        <f t="array" ref="E48">GetValue("Typ","Name",D48)</f>
        <v>decimal(p ,s)</v>
      </c>
      <c r="F48" t="s">
        <v>196</v>
      </c>
    </row>
    <row r="49" spans="1:8">
      <c r="A49">
        <f t="shared" si="0"/>
        <v>48</v>
      </c>
      <c r="B49">
        <v>2</v>
      </c>
      <c r="C49" t="str" cm="1">
        <f t="array" ref="C49">GetValue("Eng","Name",B49)</f>
        <v>MySQL</v>
      </c>
      <c r="D49">
        <v>10</v>
      </c>
      <c r="E49" t="str" cm="1">
        <f t="array" ref="E49">GetValue("Typ","Name",D49)</f>
        <v>float(n)</v>
      </c>
      <c r="F49" t="s">
        <v>159</v>
      </c>
    </row>
    <row r="50" spans="1:8">
      <c r="A50">
        <f t="shared" si="0"/>
        <v>49</v>
      </c>
      <c r="B50">
        <v>2</v>
      </c>
      <c r="C50" t="str" cm="1">
        <f t="array" ref="C50">GetValue("Eng","Name",B50)</f>
        <v>MySQL</v>
      </c>
      <c r="D50">
        <v>11</v>
      </c>
      <c r="E50" t="str" cm="1">
        <f t="array" ref="E50">GetValue("Typ","Name",D50)</f>
        <v>geography</v>
      </c>
      <c r="F50" t="s">
        <v>174</v>
      </c>
    </row>
    <row r="51" spans="1:8">
      <c r="A51">
        <f t="shared" si="0"/>
        <v>50</v>
      </c>
      <c r="B51">
        <v>2</v>
      </c>
      <c r="C51" t="str" cm="1">
        <f t="array" ref="C51">GetValue("Eng","Name",B51)</f>
        <v>MySQL</v>
      </c>
      <c r="D51">
        <v>12</v>
      </c>
      <c r="E51" t="str" cm="1">
        <f t="array" ref="E51">GetValue("Typ","Name",D51)</f>
        <v>geometry</v>
      </c>
      <c r="F51" t="s">
        <v>174</v>
      </c>
    </row>
    <row r="52" spans="1:8">
      <c r="A52">
        <f t="shared" si="0"/>
        <v>51</v>
      </c>
      <c r="B52">
        <v>2</v>
      </c>
      <c r="C52" t="str" cm="1">
        <f t="array" ref="C52">GetValue("Eng","Name",B52)</f>
        <v>MySQL</v>
      </c>
      <c r="D52">
        <v>13</v>
      </c>
      <c r="E52" t="str" cm="1">
        <f t="array" ref="E52">GetValue("Typ","Name",D52)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GetValue("Eng","Name",B53)</f>
        <v>MySQL</v>
      </c>
      <c r="D53">
        <v>14</v>
      </c>
      <c r="E53" t="str" cm="1">
        <f t="array" ref="E53">GetValue("Typ","Name",D53)</f>
        <v>image</v>
      </c>
      <c r="F53" t="s">
        <v>175</v>
      </c>
    </row>
    <row r="54" spans="1:8">
      <c r="A54">
        <f t="shared" si="0"/>
        <v>53</v>
      </c>
      <c r="B54">
        <v>2</v>
      </c>
      <c r="C54" t="str" cm="1">
        <f t="array" ref="C54">GetValue("Eng","Name",B54)</f>
        <v>MySQL</v>
      </c>
      <c r="D54">
        <v>15</v>
      </c>
      <c r="E54" t="str" cm="1">
        <f t="array" ref="E54">GetValue("Typ","Name",D54)</f>
        <v>int (4 bytes)</v>
      </c>
      <c r="F54" t="s">
        <v>176</v>
      </c>
    </row>
    <row r="55" spans="1:8">
      <c r="A55">
        <f t="shared" si="0"/>
        <v>54</v>
      </c>
      <c r="B55">
        <v>2</v>
      </c>
      <c r="C55" t="str" cm="1">
        <f t="array" ref="C55">GetValue("Eng","Name",B55)</f>
        <v>MySQL</v>
      </c>
      <c r="D55">
        <v>16</v>
      </c>
      <c r="E55" t="str" cm="1">
        <f t="array" ref="E55">GetValue("Typ","Name",D55)</f>
        <v>money</v>
      </c>
      <c r="F55" t="s">
        <v>196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GetValue("Eng","Name",B56)</f>
        <v>MySQL</v>
      </c>
      <c r="D56">
        <v>17</v>
      </c>
      <c r="E56" t="str" cm="1">
        <f t="array" ref="E56">GetValue("Typ","Name",D56)</f>
        <v>nchar(n)</v>
      </c>
      <c r="F56" t="s">
        <v>155</v>
      </c>
    </row>
    <row r="57" spans="1:8">
      <c r="A57">
        <f t="shared" si="0"/>
        <v>56</v>
      </c>
      <c r="B57">
        <v>2</v>
      </c>
      <c r="C57" t="str" cm="1">
        <f t="array" ref="C57">GetValue("Eng","Name",B57)</f>
        <v>MySQL</v>
      </c>
      <c r="D57">
        <v>18</v>
      </c>
      <c r="E57" t="str" cm="1">
        <f t="array" ref="E57">GetValue("Typ","Name",D57)</f>
        <v>ntext</v>
      </c>
      <c r="F57" t="s">
        <v>177</v>
      </c>
    </row>
    <row r="58" spans="1:8">
      <c r="A58">
        <f t="shared" si="0"/>
        <v>57</v>
      </c>
      <c r="B58">
        <v>2</v>
      </c>
      <c r="C58" t="str" cm="1">
        <f t="array" ref="C58">GetValue("Eng","Name",B58)</f>
        <v>MySQL</v>
      </c>
      <c r="D58">
        <v>19</v>
      </c>
      <c r="E58" t="str" cm="1">
        <f t="array" ref="E58">GetValue("Typ","Name",D58)</f>
        <v>numeric(p,s)</v>
      </c>
      <c r="F58" t="s">
        <v>197</v>
      </c>
    </row>
    <row r="59" spans="1:8">
      <c r="A59">
        <f t="shared" si="0"/>
        <v>58</v>
      </c>
      <c r="B59">
        <v>2</v>
      </c>
      <c r="C59" t="str" cm="1">
        <f t="array" ref="C59">GetValue("Eng","Name",B59)</f>
        <v>MySQL</v>
      </c>
      <c r="D59">
        <v>20</v>
      </c>
      <c r="E59" t="str" cm="1">
        <f t="array" ref="E59">GetValue("Typ","Name",D59)</f>
        <v>nvarchar(n)</v>
      </c>
      <c r="F59" t="s">
        <v>163</v>
      </c>
    </row>
    <row r="60" spans="1:8">
      <c r="A60">
        <f t="shared" si="0"/>
        <v>59</v>
      </c>
      <c r="B60">
        <v>2</v>
      </c>
      <c r="C60" t="str" cm="1">
        <f t="array" ref="C60">GetValue("Eng","Name",B60)</f>
        <v>MySQL</v>
      </c>
      <c r="D60">
        <v>21</v>
      </c>
      <c r="E60" t="str" cm="1">
        <f t="array" ref="E60">GetValue("Typ","Name",D60)</f>
        <v>nvarchar(max)</v>
      </c>
      <c r="F60" t="s">
        <v>177</v>
      </c>
    </row>
    <row r="61" spans="1:8">
      <c r="A61">
        <f t="shared" si="0"/>
        <v>60</v>
      </c>
      <c r="B61">
        <v>2</v>
      </c>
      <c r="C61" t="str" cm="1">
        <f t="array" ref="C61">GetValue("Eng","Name",B61)</f>
        <v>MySQL</v>
      </c>
      <c r="D61">
        <v>22</v>
      </c>
      <c r="E61" t="str" cm="1">
        <f t="array" ref="E61">GetValue("Typ","Name",D61)</f>
        <v>real</v>
      </c>
      <c r="F61" t="s">
        <v>167</v>
      </c>
    </row>
    <row r="62" spans="1:8">
      <c r="A62">
        <f t="shared" si="0"/>
        <v>61</v>
      </c>
      <c r="B62">
        <v>2</v>
      </c>
      <c r="C62" t="str" cm="1">
        <f t="array" ref="C62">GetValue("Eng","Name",B62)</f>
        <v>MySQL</v>
      </c>
      <c r="D62">
        <v>23</v>
      </c>
      <c r="E62" t="str" cm="1">
        <f t="array" ref="E62">GetValue("Typ","Name",D62)</f>
        <v>smalldatetime</v>
      </c>
      <c r="F62" t="s">
        <v>173</v>
      </c>
    </row>
    <row r="63" spans="1:8">
      <c r="A63">
        <f t="shared" si="0"/>
        <v>62</v>
      </c>
      <c r="B63">
        <v>2</v>
      </c>
      <c r="C63" t="str" cm="1">
        <f t="array" ref="C63">GetValue("Eng","Name",B63)</f>
        <v>MySQL</v>
      </c>
      <c r="D63">
        <v>24</v>
      </c>
      <c r="E63" t="str" cm="1">
        <f t="array" ref="E63">GetValue("Typ","Name",D63)</f>
        <v>smallint (2 bytes)</v>
      </c>
      <c r="F63" t="s">
        <v>154</v>
      </c>
    </row>
    <row r="64" spans="1:8">
      <c r="A64">
        <f t="shared" si="0"/>
        <v>63</v>
      </c>
      <c r="B64">
        <v>2</v>
      </c>
      <c r="C64" t="str" cm="1">
        <f t="array" ref="C64">GetValue("Eng","Name",B64)</f>
        <v>MySQL</v>
      </c>
      <c r="D64">
        <v>25</v>
      </c>
      <c r="E64" t="str" cm="1">
        <f t="array" ref="E64">GetValue("Typ","Name",D64)</f>
        <v>smallmoney</v>
      </c>
      <c r="F64" t="s">
        <v>196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GetValue("Eng","Name",B65)</f>
        <v>MySQL</v>
      </c>
      <c r="D65">
        <v>26</v>
      </c>
      <c r="E65" t="str" cm="1">
        <f t="array" ref="E65">GetValue("Typ","Name",D65)</f>
        <v>sql_variant</v>
      </c>
      <c r="F65" t="s">
        <v>170</v>
      </c>
    </row>
    <row r="66" spans="1:7">
      <c r="A66">
        <f t="shared" si="0"/>
        <v>65</v>
      </c>
      <c r="B66">
        <v>2</v>
      </c>
      <c r="C66" t="str" cm="1">
        <f t="array" ref="C66">GetValue("Eng","Name",B66)</f>
        <v>MySQL</v>
      </c>
      <c r="D66">
        <v>27</v>
      </c>
      <c r="E66" t="str" cm="1">
        <f t="array" ref="E66">GetValue("Typ","Name",D66)</f>
        <v>sysname</v>
      </c>
      <c r="F66" t="s">
        <v>163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GetValue("Eng","Name",B67)</f>
        <v>MySQL</v>
      </c>
      <c r="D67">
        <v>28</v>
      </c>
      <c r="E67" t="str" cm="1">
        <f t="array" ref="E67">GetValue("Typ","Name",D67)</f>
        <v>text</v>
      </c>
      <c r="F67" t="s">
        <v>177</v>
      </c>
    </row>
    <row r="68" spans="1:7">
      <c r="A68">
        <f t="shared" si="1"/>
        <v>67</v>
      </c>
      <c r="B68">
        <v>2</v>
      </c>
      <c r="C68" t="str" cm="1">
        <f t="array" ref="C68">GetValue("Eng","Name",B68)</f>
        <v>MySQL</v>
      </c>
      <c r="D68">
        <v>29</v>
      </c>
      <c r="E68" t="str" cm="1">
        <f t="array" ref="E68">GetValue("Typ","Name",D68)</f>
        <v>time(s)</v>
      </c>
      <c r="F68" t="s">
        <v>162</v>
      </c>
    </row>
    <row r="69" spans="1:7">
      <c r="A69">
        <f t="shared" si="1"/>
        <v>68</v>
      </c>
      <c r="B69">
        <v>2</v>
      </c>
      <c r="C69" t="str" cm="1">
        <f t="array" ref="C69">GetValue("Eng","Name",B69)</f>
        <v>MySQL</v>
      </c>
      <c r="D69">
        <v>30</v>
      </c>
      <c r="E69" t="str" cm="1">
        <f t="array" ref="E69">GetValue("Typ","Name",D69)</f>
        <v>timestamp</v>
      </c>
      <c r="F69" t="s">
        <v>157</v>
      </c>
    </row>
    <row r="70" spans="1:7">
      <c r="A70">
        <f t="shared" si="1"/>
        <v>69</v>
      </c>
      <c r="B70">
        <v>2</v>
      </c>
      <c r="C70" t="str" cm="1">
        <f t="array" ref="C70">GetValue("Eng","Name",B70)</f>
        <v>MySQL</v>
      </c>
      <c r="D70">
        <v>31</v>
      </c>
      <c r="E70" t="str" cm="1">
        <f t="array" ref="E70">GetValue("Typ","Name",D70)</f>
        <v>tinyint (1 byte)</v>
      </c>
      <c r="F70" t="s">
        <v>178</v>
      </c>
    </row>
    <row r="71" spans="1:7">
      <c r="A71">
        <f t="shared" si="1"/>
        <v>70</v>
      </c>
      <c r="B71">
        <v>2</v>
      </c>
      <c r="C71" t="str" cm="1">
        <f t="array" ref="C71">GetValue("Eng","Name",B71)</f>
        <v>MySQL</v>
      </c>
      <c r="D71">
        <v>32</v>
      </c>
      <c r="E71" t="str" cm="1">
        <f t="array" ref="E71">GetValue("Typ","Name",D71)</f>
        <v>uniqueidentifier</v>
      </c>
      <c r="F71" t="s">
        <v>155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GetValue("Eng","Name",B72)</f>
        <v>MySQL</v>
      </c>
      <c r="D72">
        <v>33</v>
      </c>
      <c r="E72" t="str" cm="1">
        <f t="array" ref="E72">GetValue("Typ","Name",D72)</f>
        <v>varbinary(n)</v>
      </c>
      <c r="F72" t="s">
        <v>179</v>
      </c>
    </row>
    <row r="73" spans="1:7">
      <c r="A73">
        <f t="shared" si="1"/>
        <v>72</v>
      </c>
      <c r="B73">
        <v>2</v>
      </c>
      <c r="C73" t="str" cm="1">
        <f t="array" ref="C73">GetValue("Eng","Name",B73)</f>
        <v>MySQL</v>
      </c>
      <c r="D73">
        <v>34</v>
      </c>
      <c r="E73" t="str" cm="1">
        <f t="array" ref="E73">GetValue("Typ","Name",D73)</f>
        <v>varbinary(max)</v>
      </c>
      <c r="F73" t="s">
        <v>175</v>
      </c>
    </row>
    <row r="74" spans="1:7">
      <c r="A74">
        <f t="shared" si="1"/>
        <v>73</v>
      </c>
      <c r="B74">
        <v>2</v>
      </c>
      <c r="C74" t="str" cm="1">
        <f t="array" ref="C74">GetValue("Eng","Name",B74)</f>
        <v>MySQL</v>
      </c>
      <c r="D74">
        <v>35</v>
      </c>
      <c r="E74" t="str" cm="1">
        <f t="array" ref="E74">GetValue("Typ","Name",D74)</f>
        <v>varchar(n)</v>
      </c>
      <c r="F74" t="s">
        <v>163</v>
      </c>
    </row>
    <row r="75" spans="1:7">
      <c r="A75">
        <f t="shared" si="1"/>
        <v>74</v>
      </c>
      <c r="B75">
        <v>2</v>
      </c>
      <c r="C75" t="str" cm="1">
        <f t="array" ref="C75">GetValue("Eng","Name",B75)</f>
        <v>MySQL</v>
      </c>
      <c r="D75">
        <v>36</v>
      </c>
      <c r="E75" t="str" cm="1">
        <f t="array" ref="E75">GetValue("Typ","Name",D75)</f>
        <v>varchar(max)</v>
      </c>
      <c r="F75" t="s">
        <v>177</v>
      </c>
    </row>
    <row r="76" spans="1:7">
      <c r="A76">
        <f t="shared" si="1"/>
        <v>75</v>
      </c>
      <c r="B76">
        <v>2</v>
      </c>
      <c r="C76" t="str" cm="1">
        <f t="array" ref="C76">GetValue("Eng","Name",B76)</f>
        <v>MySQL</v>
      </c>
      <c r="D76">
        <v>37</v>
      </c>
      <c r="E76" t="str" cm="1">
        <f t="array" ref="E76">GetValue("Typ","Name",D76)</f>
        <v>xml</v>
      </c>
      <c r="F76" t="s">
        <v>177</v>
      </c>
    </row>
    <row r="77" spans="1:7">
      <c r="A77">
        <f t="shared" si="1"/>
        <v>76</v>
      </c>
      <c r="B77">
        <v>2</v>
      </c>
      <c r="C77" t="str" cm="1">
        <f t="array" ref="C77">GetValue("Eng","Name",B77)</f>
        <v>MySQL</v>
      </c>
      <c r="D77">
        <v>38</v>
      </c>
      <c r="E77" t="str" cm="1">
        <f t="array" ref="E77">GetValue("Typ","Name",D77)</f>
        <v>json</v>
      </c>
      <c r="F77" t="s">
        <v>63</v>
      </c>
    </row>
    <row r="78" spans="1:7">
      <c r="A78">
        <f t="shared" si="1"/>
        <v>77</v>
      </c>
      <c r="B78">
        <v>3</v>
      </c>
      <c r="C78" t="str" cm="1">
        <f t="array" ref="C78">GetValue("Eng","Name",B78)</f>
        <v>MariaDB</v>
      </c>
      <c r="D78">
        <v>1</v>
      </c>
      <c r="E78" t="str" cm="1">
        <f t="array" ref="E78">GetValue("Typ","Name",D78)</f>
        <v>bigint (8 bytes)</v>
      </c>
      <c r="F78" t="s">
        <v>153</v>
      </c>
    </row>
    <row r="79" spans="1:7">
      <c r="A79">
        <f t="shared" si="1"/>
        <v>78</v>
      </c>
      <c r="B79">
        <v>3</v>
      </c>
      <c r="C79" t="str" cm="1">
        <f t="array" ref="C79">GetValue("Eng","Name",B79)</f>
        <v>MariaDB</v>
      </c>
      <c r="D79">
        <v>2</v>
      </c>
      <c r="E79" t="str" cm="1">
        <f t="array" ref="E79">GetValue("Typ","Name",D79)</f>
        <v>binary</v>
      </c>
      <c r="F79" t="s">
        <v>172</v>
      </c>
    </row>
    <row r="80" spans="1:7">
      <c r="A80">
        <f t="shared" si="1"/>
        <v>79</v>
      </c>
      <c r="B80">
        <v>3</v>
      </c>
      <c r="C80" t="str" cm="1">
        <f t="array" ref="C80">GetValue("Eng","Name",B80)</f>
        <v>MariaDB</v>
      </c>
      <c r="D80">
        <v>3</v>
      </c>
      <c r="E80" t="str" cm="1">
        <f t="array" ref="E80">GetValue("Typ","Name",D80)</f>
        <v>bit (1 bit)</v>
      </c>
      <c r="F80" t="s">
        <v>168</v>
      </c>
    </row>
    <row r="81" spans="1:8">
      <c r="A81">
        <f t="shared" si="1"/>
        <v>80</v>
      </c>
      <c r="B81">
        <v>3</v>
      </c>
      <c r="C81" t="str" cm="1">
        <f t="array" ref="C81">GetValue("Eng","Name",B81)</f>
        <v>MariaDB</v>
      </c>
      <c r="D81">
        <v>4</v>
      </c>
      <c r="E81" t="str" cm="1">
        <f t="array" ref="E81">GetValue("Typ","Name",D81)</f>
        <v>char(n)</v>
      </c>
      <c r="F81" t="s">
        <v>155</v>
      </c>
    </row>
    <row r="82" spans="1:8">
      <c r="A82">
        <f t="shared" si="1"/>
        <v>81</v>
      </c>
      <c r="B82">
        <v>3</v>
      </c>
      <c r="C82" t="str" cm="1">
        <f t="array" ref="C82">GetValue("Eng","Name",B82)</f>
        <v>MariaDB</v>
      </c>
      <c r="D82">
        <v>5</v>
      </c>
      <c r="E82" t="str" cm="1">
        <f t="array" ref="E82">GetValue("Typ","Name",D82)</f>
        <v>date</v>
      </c>
      <c r="F82" t="s">
        <v>156</v>
      </c>
    </row>
    <row r="83" spans="1:8">
      <c r="A83">
        <f t="shared" si="1"/>
        <v>82</v>
      </c>
      <c r="B83">
        <v>3</v>
      </c>
      <c r="C83" t="str" cm="1">
        <f t="array" ref="C83">GetValue("Eng","Name",B83)</f>
        <v>MariaDB</v>
      </c>
      <c r="D83">
        <v>6</v>
      </c>
      <c r="E83" t="str" cm="1">
        <f t="array" ref="E83">GetValue("Typ","Name",D83)</f>
        <v>datetime</v>
      </c>
      <c r="F83" t="s">
        <v>173</v>
      </c>
    </row>
    <row r="84" spans="1:8">
      <c r="A84">
        <f t="shared" si="1"/>
        <v>83</v>
      </c>
      <c r="B84">
        <v>3</v>
      </c>
      <c r="C84" t="str" cm="1">
        <f t="array" ref="C84">GetValue("Eng","Name",B84)</f>
        <v>MariaDB</v>
      </c>
      <c r="D84">
        <v>7</v>
      </c>
      <c r="E84" t="str" cm="1">
        <f t="array" ref="E84">GetValue("Typ","Name",D84)</f>
        <v>datetime2(s)</v>
      </c>
      <c r="F84" t="s">
        <v>173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GetValue("Eng","Name",B85)</f>
        <v>MariaDB</v>
      </c>
      <c r="D85">
        <v>8</v>
      </c>
      <c r="E85" t="str" cm="1">
        <f t="array" ref="E85">GetValue("Typ","Name",D85)</f>
        <v>datetimeoffset(s)</v>
      </c>
      <c r="F85" t="s">
        <v>157</v>
      </c>
    </row>
    <row r="86" spans="1:8">
      <c r="A86">
        <f t="shared" si="1"/>
        <v>85</v>
      </c>
      <c r="B86">
        <v>3</v>
      </c>
      <c r="C86" t="str" cm="1">
        <f t="array" ref="C86">GetValue("Eng","Name",B86)</f>
        <v>MariaDB</v>
      </c>
      <c r="D86">
        <v>9</v>
      </c>
      <c r="E86" t="str" cm="1">
        <f t="array" ref="E86">GetValue("Typ","Name",D86)</f>
        <v>decimal(p ,s)</v>
      </c>
      <c r="F86" t="s">
        <v>196</v>
      </c>
    </row>
    <row r="87" spans="1:8">
      <c r="A87">
        <f t="shared" si="1"/>
        <v>86</v>
      </c>
      <c r="B87">
        <v>3</v>
      </c>
      <c r="C87" t="str" cm="1">
        <f t="array" ref="C87">GetValue("Eng","Name",B87)</f>
        <v>MariaDB</v>
      </c>
      <c r="D87">
        <v>10</v>
      </c>
      <c r="E87" t="str" cm="1">
        <f t="array" ref="E87">GetValue("Typ","Name",D87)</f>
        <v>float(n)</v>
      </c>
      <c r="F87" t="s">
        <v>159</v>
      </c>
    </row>
    <row r="88" spans="1:8">
      <c r="A88">
        <f t="shared" si="1"/>
        <v>87</v>
      </c>
      <c r="B88">
        <v>3</v>
      </c>
      <c r="C88" t="str" cm="1">
        <f t="array" ref="C88">GetValue("Eng","Name",B88)</f>
        <v>MariaDB</v>
      </c>
      <c r="D88">
        <v>11</v>
      </c>
      <c r="E88" t="str" cm="1">
        <f t="array" ref="E88">GetValue("Typ","Name",D88)</f>
        <v>geography</v>
      </c>
      <c r="F88" t="s">
        <v>174</v>
      </c>
    </row>
    <row r="89" spans="1:8">
      <c r="A89">
        <f t="shared" si="1"/>
        <v>88</v>
      </c>
      <c r="B89">
        <v>3</v>
      </c>
      <c r="C89" t="str" cm="1">
        <f t="array" ref="C89">GetValue("Eng","Name",B89)</f>
        <v>MariaDB</v>
      </c>
      <c r="D89">
        <v>12</v>
      </c>
      <c r="E89" t="str" cm="1">
        <f t="array" ref="E89">GetValue("Typ","Name",D89)</f>
        <v>geometry</v>
      </c>
      <c r="F89" t="s">
        <v>174</v>
      </c>
    </row>
    <row r="90" spans="1:8">
      <c r="A90">
        <f t="shared" si="1"/>
        <v>89</v>
      </c>
      <c r="B90">
        <v>3</v>
      </c>
      <c r="C90" t="str" cm="1">
        <f t="array" ref="C90">GetValue("Eng","Name",B90)</f>
        <v>MariaDB</v>
      </c>
      <c r="D90">
        <v>13</v>
      </c>
      <c r="E90" t="str" cm="1">
        <f t="array" ref="E90">GetValue("Typ","Name",D90)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GetValue("Eng","Name",B91)</f>
        <v>MariaDB</v>
      </c>
      <c r="D91">
        <v>14</v>
      </c>
      <c r="E91" t="str" cm="1">
        <f t="array" ref="E91">GetValue("Typ","Name",D91)</f>
        <v>image</v>
      </c>
      <c r="F91" t="s">
        <v>175</v>
      </c>
    </row>
    <row r="92" spans="1:8">
      <c r="A92">
        <f t="shared" si="1"/>
        <v>91</v>
      </c>
      <c r="B92">
        <v>3</v>
      </c>
      <c r="C92" t="str" cm="1">
        <f t="array" ref="C92">GetValue("Eng","Name",B92)</f>
        <v>MariaDB</v>
      </c>
      <c r="D92">
        <v>15</v>
      </c>
      <c r="E92" t="str" cm="1">
        <f t="array" ref="E92">GetValue("Typ","Name",D92)</f>
        <v>int (4 bytes)</v>
      </c>
      <c r="F92" t="s">
        <v>176</v>
      </c>
    </row>
    <row r="93" spans="1:8">
      <c r="A93">
        <f t="shared" si="1"/>
        <v>92</v>
      </c>
      <c r="B93">
        <v>3</v>
      </c>
      <c r="C93" t="str" cm="1">
        <f t="array" ref="C93">GetValue("Eng","Name",B93)</f>
        <v>MariaDB</v>
      </c>
      <c r="D93">
        <v>16</v>
      </c>
      <c r="E93" t="str" cm="1">
        <f t="array" ref="E93">GetValue("Typ","Name",D93)</f>
        <v>money</v>
      </c>
      <c r="F93" t="s">
        <v>196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GetValue("Eng","Name",B94)</f>
        <v>MariaDB</v>
      </c>
      <c r="D94">
        <v>17</v>
      </c>
      <c r="E94" t="str" cm="1">
        <f t="array" ref="E94">GetValue("Typ","Name",D94)</f>
        <v>nchar(n)</v>
      </c>
      <c r="F94" t="s">
        <v>155</v>
      </c>
    </row>
    <row r="95" spans="1:8">
      <c r="A95">
        <f t="shared" si="1"/>
        <v>94</v>
      </c>
      <c r="B95">
        <v>3</v>
      </c>
      <c r="C95" t="str" cm="1">
        <f t="array" ref="C95">GetValue("Eng","Name",B95)</f>
        <v>MariaDB</v>
      </c>
      <c r="D95">
        <v>18</v>
      </c>
      <c r="E95" t="str" cm="1">
        <f t="array" ref="E95">GetValue("Typ","Name",D95)</f>
        <v>ntext</v>
      </c>
      <c r="F95" t="s">
        <v>177</v>
      </c>
    </row>
    <row r="96" spans="1:8">
      <c r="A96">
        <f t="shared" si="1"/>
        <v>95</v>
      </c>
      <c r="B96">
        <v>3</v>
      </c>
      <c r="C96" t="str" cm="1">
        <f t="array" ref="C96">GetValue("Eng","Name",B96)</f>
        <v>MariaDB</v>
      </c>
      <c r="D96">
        <v>19</v>
      </c>
      <c r="E96" t="str" cm="1">
        <f t="array" ref="E96">GetValue("Typ","Name",D96)</f>
        <v>numeric(p,s)</v>
      </c>
      <c r="F96" t="s">
        <v>197</v>
      </c>
    </row>
    <row r="97" spans="1:8">
      <c r="A97">
        <f t="shared" si="1"/>
        <v>96</v>
      </c>
      <c r="B97">
        <v>3</v>
      </c>
      <c r="C97" t="str" cm="1">
        <f t="array" ref="C97">GetValue("Eng","Name",B97)</f>
        <v>MariaDB</v>
      </c>
      <c r="D97">
        <v>20</v>
      </c>
      <c r="E97" t="str" cm="1">
        <f t="array" ref="E97">GetValue("Typ","Name",D97)</f>
        <v>nvarchar(n)</v>
      </c>
      <c r="F97" t="s">
        <v>163</v>
      </c>
    </row>
    <row r="98" spans="1:8">
      <c r="A98">
        <f t="shared" si="1"/>
        <v>97</v>
      </c>
      <c r="B98">
        <v>3</v>
      </c>
      <c r="C98" t="str" cm="1">
        <f t="array" ref="C98">GetValue("Eng","Name",B98)</f>
        <v>MariaDB</v>
      </c>
      <c r="D98">
        <v>21</v>
      </c>
      <c r="E98" t="str" cm="1">
        <f t="array" ref="E98">GetValue("Typ","Name",D98)</f>
        <v>nvarchar(max)</v>
      </c>
      <c r="F98" t="s">
        <v>177</v>
      </c>
    </row>
    <row r="99" spans="1:8">
      <c r="A99">
        <f t="shared" si="1"/>
        <v>98</v>
      </c>
      <c r="B99">
        <v>3</v>
      </c>
      <c r="C99" t="str" cm="1">
        <f t="array" ref="C99">GetValue("Eng","Name",B99)</f>
        <v>MariaDB</v>
      </c>
      <c r="D99">
        <v>22</v>
      </c>
      <c r="E99" t="str" cm="1">
        <f t="array" ref="E99">GetValue("Typ","Name",D99)</f>
        <v>real</v>
      </c>
      <c r="F99" t="s">
        <v>167</v>
      </c>
    </row>
    <row r="100" spans="1:8">
      <c r="A100">
        <f t="shared" si="1"/>
        <v>99</v>
      </c>
      <c r="B100">
        <v>3</v>
      </c>
      <c r="C100" t="str" cm="1">
        <f t="array" ref="C100">GetValue("Eng","Name",B100)</f>
        <v>MariaDB</v>
      </c>
      <c r="D100">
        <v>23</v>
      </c>
      <c r="E100" t="str" cm="1">
        <f t="array" ref="E100">GetValue("Typ","Name",D100)</f>
        <v>smalldatetime</v>
      </c>
      <c r="F100" t="s">
        <v>173</v>
      </c>
    </row>
    <row r="101" spans="1:8">
      <c r="A101">
        <f t="shared" si="1"/>
        <v>100</v>
      </c>
      <c r="B101">
        <v>3</v>
      </c>
      <c r="C101" t="str" cm="1">
        <f t="array" ref="C101">GetValue("Eng","Name",B101)</f>
        <v>MariaDB</v>
      </c>
      <c r="D101">
        <v>24</v>
      </c>
      <c r="E101" t="str" cm="1">
        <f t="array" ref="E101">GetValue("Typ","Name",D101)</f>
        <v>smallint (2 bytes)</v>
      </c>
      <c r="F101" t="s">
        <v>154</v>
      </c>
    </row>
    <row r="102" spans="1:8">
      <c r="A102">
        <f t="shared" si="1"/>
        <v>101</v>
      </c>
      <c r="B102">
        <v>3</v>
      </c>
      <c r="C102" t="str" cm="1">
        <f t="array" ref="C102">GetValue("Eng","Name",B102)</f>
        <v>MariaDB</v>
      </c>
      <c r="D102">
        <v>25</v>
      </c>
      <c r="E102" t="str" cm="1">
        <f t="array" ref="E102">GetValue("Typ","Name",D102)</f>
        <v>smallmoney</v>
      </c>
      <c r="F102" t="s">
        <v>196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GetValue("Eng","Name",B103)</f>
        <v>MariaDB</v>
      </c>
      <c r="D103">
        <v>26</v>
      </c>
      <c r="E103" t="str" cm="1">
        <f t="array" ref="E103">GetValue("Typ","Name",D103)</f>
        <v>sql_variant</v>
      </c>
      <c r="F103" t="s">
        <v>170</v>
      </c>
    </row>
    <row r="104" spans="1:8">
      <c r="A104">
        <f t="shared" si="1"/>
        <v>103</v>
      </c>
      <c r="B104">
        <v>3</v>
      </c>
      <c r="C104" t="str" cm="1">
        <f t="array" ref="C104">GetValue("Eng","Name",B104)</f>
        <v>MariaDB</v>
      </c>
      <c r="D104">
        <v>27</v>
      </c>
      <c r="E104" t="str" cm="1">
        <f t="array" ref="E104">GetValue("Typ","Name",D104)</f>
        <v>sysname</v>
      </c>
      <c r="F104" t="s">
        <v>163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GetValue("Eng","Name",B105)</f>
        <v>MariaDB</v>
      </c>
      <c r="D105">
        <v>28</v>
      </c>
      <c r="E105" t="str" cm="1">
        <f t="array" ref="E105">GetValue("Typ","Name",D105)</f>
        <v>text</v>
      </c>
      <c r="F105" t="s">
        <v>177</v>
      </c>
    </row>
    <row r="106" spans="1:8">
      <c r="A106">
        <f t="shared" si="1"/>
        <v>105</v>
      </c>
      <c r="B106">
        <v>3</v>
      </c>
      <c r="C106" t="str" cm="1">
        <f t="array" ref="C106">GetValue("Eng","Name",B106)</f>
        <v>MariaDB</v>
      </c>
      <c r="D106">
        <v>29</v>
      </c>
      <c r="E106" t="str" cm="1">
        <f t="array" ref="E106">GetValue("Typ","Name",D106)</f>
        <v>time(s)</v>
      </c>
      <c r="F106" t="s">
        <v>162</v>
      </c>
    </row>
    <row r="107" spans="1:8">
      <c r="A107">
        <f t="shared" si="1"/>
        <v>106</v>
      </c>
      <c r="B107">
        <v>3</v>
      </c>
      <c r="C107" t="str" cm="1">
        <f t="array" ref="C107">GetValue("Eng","Name",B107)</f>
        <v>MariaDB</v>
      </c>
      <c r="D107">
        <v>30</v>
      </c>
      <c r="E107" t="str" cm="1">
        <f t="array" ref="E107">GetValue("Typ","Name",D107)</f>
        <v>timestamp</v>
      </c>
      <c r="F107" t="s">
        <v>157</v>
      </c>
    </row>
    <row r="108" spans="1:8">
      <c r="A108">
        <f t="shared" si="1"/>
        <v>107</v>
      </c>
      <c r="B108">
        <v>3</v>
      </c>
      <c r="C108" t="str" cm="1">
        <f t="array" ref="C108">GetValue("Eng","Name",B108)</f>
        <v>MariaDB</v>
      </c>
      <c r="D108">
        <v>31</v>
      </c>
      <c r="E108" t="str" cm="1">
        <f t="array" ref="E108">GetValue("Typ","Name",D108)</f>
        <v>tinyint (1 byte)</v>
      </c>
      <c r="F108" t="s">
        <v>178</v>
      </c>
    </row>
    <row r="109" spans="1:8">
      <c r="A109">
        <f t="shared" si="1"/>
        <v>108</v>
      </c>
      <c r="B109">
        <v>3</v>
      </c>
      <c r="C109" t="str" cm="1">
        <f t="array" ref="C109">GetValue("Eng","Name",B109)</f>
        <v>MariaDB</v>
      </c>
      <c r="D109">
        <v>32</v>
      </c>
      <c r="E109" t="str" cm="1">
        <f t="array" ref="E109">GetValue("Typ","Name",D109)</f>
        <v>uniqueidentifier</v>
      </c>
      <c r="F109" t="s">
        <v>155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GetValue("Eng","Name",B110)</f>
        <v>MariaDB</v>
      </c>
      <c r="D110">
        <v>33</v>
      </c>
      <c r="E110" t="str" cm="1">
        <f t="array" ref="E110">GetValue("Typ","Name",D110)</f>
        <v>varbinary(n)</v>
      </c>
      <c r="F110" t="s">
        <v>179</v>
      </c>
    </row>
    <row r="111" spans="1:8">
      <c r="A111">
        <f t="shared" si="1"/>
        <v>110</v>
      </c>
      <c r="B111">
        <v>3</v>
      </c>
      <c r="C111" t="str" cm="1">
        <f t="array" ref="C111">GetValue("Eng","Name",B111)</f>
        <v>MariaDB</v>
      </c>
      <c r="D111">
        <v>34</v>
      </c>
      <c r="E111" t="str" cm="1">
        <f t="array" ref="E111">GetValue("Typ","Name",D111)</f>
        <v>varbinary(max)</v>
      </c>
      <c r="F111" t="s">
        <v>175</v>
      </c>
    </row>
    <row r="112" spans="1:8">
      <c r="A112">
        <f t="shared" si="1"/>
        <v>111</v>
      </c>
      <c r="B112">
        <v>3</v>
      </c>
      <c r="C112" t="str" cm="1">
        <f t="array" ref="C112">GetValue("Eng","Name",B112)</f>
        <v>MariaDB</v>
      </c>
      <c r="D112">
        <v>35</v>
      </c>
      <c r="E112" t="str" cm="1">
        <f t="array" ref="E112">GetValue("Typ","Name",D112)</f>
        <v>varchar(n)</v>
      </c>
      <c r="F112" t="s">
        <v>163</v>
      </c>
    </row>
    <row r="113" spans="1:7">
      <c r="A113">
        <f t="shared" si="1"/>
        <v>112</v>
      </c>
      <c r="B113">
        <v>3</v>
      </c>
      <c r="C113" t="str" cm="1">
        <f t="array" ref="C113">GetValue("Eng","Name",B113)</f>
        <v>MariaDB</v>
      </c>
      <c r="D113">
        <v>36</v>
      </c>
      <c r="E113" t="str" cm="1">
        <f t="array" ref="E113">GetValue("Typ","Name",D113)</f>
        <v>varchar(max)</v>
      </c>
      <c r="F113" t="s">
        <v>177</v>
      </c>
    </row>
    <row r="114" spans="1:7">
      <c r="A114">
        <f t="shared" si="1"/>
        <v>113</v>
      </c>
      <c r="B114">
        <v>3</v>
      </c>
      <c r="C114" t="str" cm="1">
        <f t="array" ref="C114">GetValue("Eng","Name",B114)</f>
        <v>MariaDB</v>
      </c>
      <c r="D114">
        <v>37</v>
      </c>
      <c r="E114" t="str" cm="1">
        <f t="array" ref="E114">GetValue("Typ","Name",D114)</f>
        <v>xml</v>
      </c>
      <c r="F114" t="s">
        <v>177</v>
      </c>
    </row>
    <row r="115" spans="1:7">
      <c r="A115">
        <f t="shared" si="1"/>
        <v>114</v>
      </c>
      <c r="B115">
        <v>3</v>
      </c>
      <c r="C115" t="str" cm="1">
        <f t="array" ref="C115">GetValue("Eng","Name",B115)</f>
        <v>MariaDB</v>
      </c>
      <c r="D115">
        <v>38</v>
      </c>
      <c r="E115" t="str" cm="1">
        <f t="array" ref="E115">GetValue("Typ","Name",D115)</f>
        <v>json</v>
      </c>
      <c r="F115" t="s">
        <v>63</v>
      </c>
    </row>
    <row r="116" spans="1:7">
      <c r="A116">
        <f t="shared" si="1"/>
        <v>115</v>
      </c>
      <c r="B116">
        <v>4</v>
      </c>
      <c r="C116" t="str" cm="1">
        <f t="array" ref="C116">GetValue("Eng","Name",B116)</f>
        <v>PostgreSQL</v>
      </c>
      <c r="D116">
        <v>1</v>
      </c>
      <c r="E116" t="str" cm="1">
        <f t="array" ref="E116">GetValue("Typ","Name",D116)</f>
        <v>bigint (8 bytes)</v>
      </c>
      <c r="F116" t="s">
        <v>153</v>
      </c>
    </row>
    <row r="117" spans="1:7">
      <c r="A117">
        <f t="shared" si="1"/>
        <v>116</v>
      </c>
      <c r="B117">
        <v>4</v>
      </c>
      <c r="C117" t="str" cm="1">
        <f t="array" ref="C117">GetValue("Eng","Name",B117)</f>
        <v>PostgreSQL</v>
      </c>
      <c r="D117">
        <v>2</v>
      </c>
      <c r="E117" t="str" cm="1">
        <f t="array" ref="E117">GetValue("Typ","Name",D117)</f>
        <v>binary</v>
      </c>
      <c r="F117" t="s">
        <v>180</v>
      </c>
    </row>
    <row r="118" spans="1:7">
      <c r="A118">
        <f t="shared" si="1"/>
        <v>117</v>
      </c>
      <c r="B118">
        <v>4</v>
      </c>
      <c r="C118" t="str" cm="1">
        <f t="array" ref="C118">GetValue("Eng","Name",B118)</f>
        <v>PostgreSQL</v>
      </c>
      <c r="D118">
        <v>3</v>
      </c>
      <c r="E118" t="str" cm="1">
        <f t="array" ref="E118">GetValue("Typ","Name",D118)</f>
        <v>bit (1 bit)</v>
      </c>
      <c r="F118" t="s">
        <v>168</v>
      </c>
    </row>
    <row r="119" spans="1:7">
      <c r="A119">
        <f t="shared" si="1"/>
        <v>118</v>
      </c>
      <c r="B119">
        <v>4</v>
      </c>
      <c r="C119" t="str" cm="1">
        <f t="array" ref="C119">GetValue("Eng","Name",B119)</f>
        <v>PostgreSQL</v>
      </c>
      <c r="D119">
        <v>4</v>
      </c>
      <c r="E119" t="str" cm="1">
        <f t="array" ref="E119">GetValue("Typ","Name",D119)</f>
        <v>char(n)</v>
      </c>
      <c r="F119" t="s">
        <v>155</v>
      </c>
    </row>
    <row r="120" spans="1:7">
      <c r="A120">
        <f t="shared" si="1"/>
        <v>119</v>
      </c>
      <c r="B120">
        <v>4</v>
      </c>
      <c r="C120" t="str" cm="1">
        <f t="array" ref="C120">GetValue("Eng","Name",B120)</f>
        <v>PostgreSQL</v>
      </c>
      <c r="D120">
        <v>5</v>
      </c>
      <c r="E120" t="str" cm="1">
        <f t="array" ref="E120">GetValue("Typ","Name",D120)</f>
        <v>date</v>
      </c>
      <c r="F120" t="s">
        <v>156</v>
      </c>
    </row>
    <row r="121" spans="1:7">
      <c r="A121">
        <f t="shared" si="1"/>
        <v>120</v>
      </c>
      <c r="B121">
        <v>4</v>
      </c>
      <c r="C121" t="str" cm="1">
        <f t="array" ref="C121">GetValue("Eng","Name",B121)</f>
        <v>PostgreSQL</v>
      </c>
      <c r="D121">
        <v>6</v>
      </c>
      <c r="E121" t="str" cm="1">
        <f t="array" ref="E121">GetValue("Typ","Name",D121)</f>
        <v>datetime</v>
      </c>
      <c r="F121" t="s">
        <v>157</v>
      </c>
    </row>
    <row r="122" spans="1:7">
      <c r="A122">
        <f t="shared" si="1"/>
        <v>121</v>
      </c>
      <c r="B122">
        <v>4</v>
      </c>
      <c r="C122" t="str" cm="1">
        <f t="array" ref="C122">GetValue("Eng","Name",B122)</f>
        <v>PostgreSQL</v>
      </c>
      <c r="D122">
        <v>7</v>
      </c>
      <c r="E122" t="str" cm="1">
        <f t="array" ref="E122">GetValue("Typ","Name",D122)</f>
        <v>datetime2(s)</v>
      </c>
      <c r="F122" t="s">
        <v>157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GetValue("Eng","Name",B123)</f>
        <v>PostgreSQL</v>
      </c>
      <c r="D123">
        <v>8</v>
      </c>
      <c r="E123" t="str" cm="1">
        <f t="array" ref="E123">GetValue("Typ","Name",D123)</f>
        <v>datetimeoffset(s)</v>
      </c>
      <c r="F123" t="s">
        <v>158</v>
      </c>
    </row>
    <row r="124" spans="1:7">
      <c r="A124">
        <f t="shared" si="1"/>
        <v>123</v>
      </c>
      <c r="B124">
        <v>4</v>
      </c>
      <c r="C124" t="str" cm="1">
        <f t="array" ref="C124">GetValue("Eng","Name",B124)</f>
        <v>PostgreSQL</v>
      </c>
      <c r="D124">
        <v>9</v>
      </c>
      <c r="E124" t="str" cm="1">
        <f t="array" ref="E124">GetValue("Typ","Name",D124)</f>
        <v>decimal(p ,s)</v>
      </c>
      <c r="F124" t="s">
        <v>197</v>
      </c>
    </row>
    <row r="125" spans="1:7">
      <c r="A125">
        <f t="shared" si="1"/>
        <v>124</v>
      </c>
      <c r="B125">
        <v>4</v>
      </c>
      <c r="C125" t="str" cm="1">
        <f t="array" ref="C125">GetValue("Eng","Name",B125)</f>
        <v>PostgreSQL</v>
      </c>
      <c r="D125">
        <v>10</v>
      </c>
      <c r="E125" t="str" cm="1">
        <f t="array" ref="E125">GetValue("Typ","Name",D125)</f>
        <v>float(n)</v>
      </c>
      <c r="F125" t="s">
        <v>165</v>
      </c>
    </row>
    <row r="126" spans="1:7">
      <c r="A126">
        <f t="shared" si="1"/>
        <v>125</v>
      </c>
      <c r="B126">
        <v>4</v>
      </c>
      <c r="C126" t="str" cm="1">
        <f t="array" ref="C126">GetValue("Eng","Name",B126)</f>
        <v>PostgreSQL</v>
      </c>
      <c r="D126">
        <v>11</v>
      </c>
      <c r="E126" t="str" cm="1">
        <f t="array" ref="E126">GetValue("Typ","Name",D126)</f>
        <v>geography</v>
      </c>
      <c r="F126" t="s">
        <v>181</v>
      </c>
    </row>
    <row r="127" spans="1:7">
      <c r="A127">
        <f t="shared" si="1"/>
        <v>126</v>
      </c>
      <c r="B127">
        <v>4</v>
      </c>
      <c r="C127" t="str" cm="1">
        <f t="array" ref="C127">GetValue("Eng","Name",B127)</f>
        <v>PostgreSQL</v>
      </c>
      <c r="D127">
        <v>12</v>
      </c>
      <c r="E127" t="str" cm="1">
        <f t="array" ref="E127">GetValue("Typ","Name",D127)</f>
        <v>geometry</v>
      </c>
      <c r="F127" t="s">
        <v>174</v>
      </c>
    </row>
    <row r="128" spans="1:7">
      <c r="A128">
        <f t="shared" si="1"/>
        <v>127</v>
      </c>
      <c r="B128">
        <v>4</v>
      </c>
      <c r="C128" t="str" cm="1">
        <f t="array" ref="C128">GetValue("Eng","Name",B128)</f>
        <v>PostgreSQL</v>
      </c>
      <c r="D128">
        <v>13</v>
      </c>
      <c r="E128" t="str" cm="1">
        <f t="array" ref="E128">GetValue("Typ","Name",D128)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GetValue("Eng","Name",B129)</f>
        <v>PostgreSQL</v>
      </c>
      <c r="D129">
        <v>14</v>
      </c>
      <c r="E129" t="str" cm="1">
        <f t="array" ref="E129">GetValue("Typ","Name",D129)</f>
        <v>image</v>
      </c>
      <c r="F129" t="s">
        <v>180</v>
      </c>
    </row>
    <row r="130" spans="1:8">
      <c r="A130">
        <f t="shared" si="1"/>
        <v>129</v>
      </c>
      <c r="B130">
        <v>4</v>
      </c>
      <c r="C130" t="str" cm="1">
        <f t="array" ref="C130">GetValue("Eng","Name",B130)</f>
        <v>PostgreSQL</v>
      </c>
      <c r="D130">
        <v>15</v>
      </c>
      <c r="E130" t="str" cm="1">
        <f t="array" ref="E130">GetValue("Typ","Name",D130)</f>
        <v>int (4 bytes)</v>
      </c>
      <c r="F130" t="s">
        <v>160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GetValue("Eng","Name",B131)</f>
        <v>PostgreSQL</v>
      </c>
      <c r="D131">
        <v>16</v>
      </c>
      <c r="E131" t="str" cm="1">
        <f t="array" ref="E131">GetValue("Typ","Name",D131)</f>
        <v>money</v>
      </c>
      <c r="F131" t="s">
        <v>197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GetValue("Eng","Name",B132)</f>
        <v>PostgreSQL</v>
      </c>
      <c r="D132">
        <v>17</v>
      </c>
      <c r="E132" t="str" cm="1">
        <f t="array" ref="E132">GetValue("Typ","Name",D132)</f>
        <v>nchar(n)</v>
      </c>
      <c r="F132" t="s">
        <v>155</v>
      </c>
    </row>
    <row r="133" spans="1:8">
      <c r="A133">
        <f t="shared" si="2"/>
        <v>132</v>
      </c>
      <c r="B133">
        <v>4</v>
      </c>
      <c r="C133" t="str" cm="1">
        <f t="array" ref="C133">GetValue("Eng","Name",B133)</f>
        <v>PostgreSQL</v>
      </c>
      <c r="D133">
        <v>18</v>
      </c>
      <c r="E133" t="str" cm="1">
        <f t="array" ref="E133">GetValue("Typ","Name",D133)</f>
        <v>ntext</v>
      </c>
      <c r="F133" t="s">
        <v>170</v>
      </c>
    </row>
    <row r="134" spans="1:8">
      <c r="A134">
        <f t="shared" si="2"/>
        <v>133</v>
      </c>
      <c r="B134">
        <v>4</v>
      </c>
      <c r="C134" t="str" cm="1">
        <f t="array" ref="C134">GetValue("Eng","Name",B134)</f>
        <v>PostgreSQL</v>
      </c>
      <c r="D134">
        <v>19</v>
      </c>
      <c r="E134" t="str" cm="1">
        <f t="array" ref="E134">GetValue("Typ","Name",D134)</f>
        <v>numeric(p,s)</v>
      </c>
      <c r="F134" t="s">
        <v>197</v>
      </c>
    </row>
    <row r="135" spans="1:8">
      <c r="A135">
        <f t="shared" si="2"/>
        <v>134</v>
      </c>
      <c r="B135">
        <v>4</v>
      </c>
      <c r="C135" t="str" cm="1">
        <f t="array" ref="C135">GetValue("Eng","Name",B135)</f>
        <v>PostgreSQL</v>
      </c>
      <c r="D135">
        <v>20</v>
      </c>
      <c r="E135" t="str" cm="1">
        <f t="array" ref="E135">GetValue("Typ","Name",D135)</f>
        <v>nvarchar(n)</v>
      </c>
      <c r="F135" t="s">
        <v>163</v>
      </c>
    </row>
    <row r="136" spans="1:8">
      <c r="A136">
        <f t="shared" si="2"/>
        <v>135</v>
      </c>
      <c r="B136">
        <v>4</v>
      </c>
      <c r="C136" t="str" cm="1">
        <f t="array" ref="C136">GetValue("Eng","Name",B136)</f>
        <v>PostgreSQL</v>
      </c>
      <c r="D136">
        <v>21</v>
      </c>
      <c r="E136" t="str" cm="1">
        <f t="array" ref="E136">GetValue("Typ","Name",D136)</f>
        <v>nvarchar(max)</v>
      </c>
      <c r="F136" t="s">
        <v>170</v>
      </c>
    </row>
    <row r="137" spans="1:8">
      <c r="A137">
        <f t="shared" si="2"/>
        <v>136</v>
      </c>
      <c r="B137">
        <v>4</v>
      </c>
      <c r="C137" t="str" cm="1">
        <f t="array" ref="C137">GetValue("Eng","Name",B137)</f>
        <v>PostgreSQL</v>
      </c>
      <c r="D137">
        <v>22</v>
      </c>
      <c r="E137" t="str" cm="1">
        <f t="array" ref="E137">GetValue("Typ","Name",D137)</f>
        <v>real</v>
      </c>
      <c r="F137" t="s">
        <v>161</v>
      </c>
    </row>
    <row r="138" spans="1:8">
      <c r="A138">
        <f t="shared" si="2"/>
        <v>137</v>
      </c>
      <c r="B138">
        <v>4</v>
      </c>
      <c r="C138" t="str" cm="1">
        <f t="array" ref="C138">GetValue("Eng","Name",B138)</f>
        <v>PostgreSQL</v>
      </c>
      <c r="D138">
        <v>23</v>
      </c>
      <c r="E138" t="str" cm="1">
        <f t="array" ref="E138">GetValue("Typ","Name",D138)</f>
        <v>smalldatetime</v>
      </c>
      <c r="F138" t="s">
        <v>157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GetValue("Eng","Name",B139)</f>
        <v>PostgreSQL</v>
      </c>
      <c r="D139">
        <v>24</v>
      </c>
      <c r="E139" t="str" cm="1">
        <f t="array" ref="E139">GetValue("Typ","Name",D139)</f>
        <v>smallint (2 bytes)</v>
      </c>
      <c r="F139" t="s">
        <v>154</v>
      </c>
    </row>
    <row r="140" spans="1:8">
      <c r="A140">
        <f t="shared" si="2"/>
        <v>139</v>
      </c>
      <c r="B140">
        <v>4</v>
      </c>
      <c r="C140" t="str" cm="1">
        <f t="array" ref="C140">GetValue("Eng","Name",B140)</f>
        <v>PostgreSQL</v>
      </c>
      <c r="D140">
        <v>25</v>
      </c>
      <c r="E140" t="str" cm="1">
        <f t="array" ref="E140">GetValue("Typ","Name",D140)</f>
        <v>smallmoney</v>
      </c>
      <c r="F140" t="s">
        <v>197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GetValue("Eng","Name",B141)</f>
        <v>PostgreSQL</v>
      </c>
      <c r="D141">
        <v>26</v>
      </c>
      <c r="E141" t="str" cm="1">
        <f t="array" ref="E141">GetValue("Typ","Name",D141)</f>
        <v>sql_variant</v>
      </c>
      <c r="F141" t="s">
        <v>203</v>
      </c>
    </row>
    <row r="142" spans="1:8">
      <c r="A142">
        <f t="shared" si="2"/>
        <v>141</v>
      </c>
      <c r="B142">
        <v>4</v>
      </c>
      <c r="C142" t="str" cm="1">
        <f t="array" ref="C142">GetValue("Eng","Name",B142)</f>
        <v>PostgreSQL</v>
      </c>
      <c r="D142">
        <v>27</v>
      </c>
      <c r="E142" t="str" cm="1">
        <f t="array" ref="E142">GetValue("Typ","Name",D142)</f>
        <v>sysname</v>
      </c>
      <c r="F142" t="s">
        <v>442</v>
      </c>
    </row>
    <row r="143" spans="1:8">
      <c r="A143">
        <f t="shared" si="2"/>
        <v>142</v>
      </c>
      <c r="B143">
        <v>4</v>
      </c>
      <c r="C143" t="str" cm="1">
        <f t="array" ref="C143">GetValue("Eng","Name",B143)</f>
        <v>PostgreSQL</v>
      </c>
      <c r="D143">
        <v>28</v>
      </c>
      <c r="E143" t="str" cm="1">
        <f t="array" ref="E143">GetValue("Typ","Name",D143)</f>
        <v>text</v>
      </c>
      <c r="F143" t="s">
        <v>170</v>
      </c>
    </row>
    <row r="144" spans="1:8">
      <c r="A144">
        <f t="shared" si="2"/>
        <v>143</v>
      </c>
      <c r="B144">
        <v>4</v>
      </c>
      <c r="C144" t="str" cm="1">
        <f t="array" ref="C144">GetValue("Eng","Name",B144)</f>
        <v>PostgreSQL</v>
      </c>
      <c r="D144">
        <v>29</v>
      </c>
      <c r="E144" t="str" cm="1">
        <f t="array" ref="E144">GetValue("Typ","Name",D144)</f>
        <v>time(s)</v>
      </c>
      <c r="F144" t="s">
        <v>162</v>
      </c>
    </row>
    <row r="145" spans="1:6">
      <c r="A145">
        <f t="shared" si="2"/>
        <v>144</v>
      </c>
      <c r="B145">
        <v>4</v>
      </c>
      <c r="C145" t="str" cm="1">
        <f t="array" ref="C145">GetValue("Eng","Name",B145)</f>
        <v>PostgreSQL</v>
      </c>
      <c r="D145">
        <v>30</v>
      </c>
      <c r="E145" t="str" cm="1">
        <f t="array" ref="E145">GetValue("Typ","Name",D145)</f>
        <v>timestamp</v>
      </c>
      <c r="F145" t="s">
        <v>157</v>
      </c>
    </row>
    <row r="146" spans="1:6">
      <c r="A146">
        <f t="shared" si="2"/>
        <v>145</v>
      </c>
      <c r="B146">
        <v>4</v>
      </c>
      <c r="C146" t="str" cm="1">
        <f t="array" ref="C146">GetValue("Eng","Name",B146)</f>
        <v>PostgreSQL</v>
      </c>
      <c r="D146">
        <v>31</v>
      </c>
      <c r="E146" t="str" cm="1">
        <f t="array" ref="E146">GetValue("Typ","Name",D146)</f>
        <v>tinyint (1 byte)</v>
      </c>
      <c r="F146" t="s">
        <v>154</v>
      </c>
    </row>
    <row r="147" spans="1:6">
      <c r="A147">
        <f t="shared" si="2"/>
        <v>146</v>
      </c>
      <c r="B147">
        <v>4</v>
      </c>
      <c r="C147" t="str" cm="1">
        <f t="array" ref="C147">GetValue("Eng","Name",B147)</f>
        <v>PostgreSQL</v>
      </c>
      <c r="D147">
        <v>32</v>
      </c>
      <c r="E147" t="str" cm="1">
        <f t="array" ref="E147">GetValue("Typ","Name",D147)</f>
        <v>uniqueidentifier</v>
      </c>
      <c r="F147" t="s">
        <v>182</v>
      </c>
    </row>
    <row r="148" spans="1:6">
      <c r="A148">
        <f t="shared" si="2"/>
        <v>147</v>
      </c>
      <c r="B148">
        <v>4</v>
      </c>
      <c r="C148" t="str" cm="1">
        <f t="array" ref="C148">GetValue("Eng","Name",B148)</f>
        <v>PostgreSQL</v>
      </c>
      <c r="D148">
        <v>33</v>
      </c>
      <c r="E148" t="str" cm="1">
        <f t="array" ref="E148">GetValue("Typ","Name",D148)</f>
        <v>varbinary(n)</v>
      </c>
      <c r="F148" t="s">
        <v>180</v>
      </c>
    </row>
    <row r="149" spans="1:6">
      <c r="A149">
        <f t="shared" si="2"/>
        <v>148</v>
      </c>
      <c r="B149">
        <v>4</v>
      </c>
      <c r="C149" t="str" cm="1">
        <f t="array" ref="C149">GetValue("Eng","Name",B149)</f>
        <v>PostgreSQL</v>
      </c>
      <c r="D149">
        <v>34</v>
      </c>
      <c r="E149" t="str" cm="1">
        <f t="array" ref="E149">GetValue("Typ","Name",D149)</f>
        <v>varbinary(max)</v>
      </c>
      <c r="F149" t="s">
        <v>180</v>
      </c>
    </row>
    <row r="150" spans="1:6">
      <c r="A150">
        <f t="shared" si="2"/>
        <v>149</v>
      </c>
      <c r="B150">
        <v>4</v>
      </c>
      <c r="C150" t="str" cm="1">
        <f t="array" ref="C150">GetValue("Eng","Name",B150)</f>
        <v>PostgreSQL</v>
      </c>
      <c r="D150">
        <v>35</v>
      </c>
      <c r="E150" t="str" cm="1">
        <f t="array" ref="E150">GetValue("Typ","Name",D150)</f>
        <v>varchar(n)</v>
      </c>
      <c r="F150" t="s">
        <v>163</v>
      </c>
    </row>
    <row r="151" spans="1:6">
      <c r="A151">
        <f t="shared" si="2"/>
        <v>150</v>
      </c>
      <c r="B151">
        <v>4</v>
      </c>
      <c r="C151" t="str" cm="1">
        <f t="array" ref="C151">GetValue("Eng","Name",B151)</f>
        <v>PostgreSQL</v>
      </c>
      <c r="D151">
        <v>36</v>
      </c>
      <c r="E151" t="str" cm="1">
        <f t="array" ref="E151">GetValue("Typ","Name",D151)</f>
        <v>varchar(max)</v>
      </c>
      <c r="F151" t="s">
        <v>170</v>
      </c>
    </row>
    <row r="152" spans="1:6">
      <c r="A152">
        <f t="shared" si="2"/>
        <v>151</v>
      </c>
      <c r="B152">
        <v>4</v>
      </c>
      <c r="C152" t="str" cm="1">
        <f t="array" ref="C152">GetValue("Eng","Name",B152)</f>
        <v>PostgreSQL</v>
      </c>
      <c r="D152">
        <v>37</v>
      </c>
      <c r="E152" t="str" cm="1">
        <f t="array" ref="E152">GetValue("Typ","Name",D152)</f>
        <v>xml</v>
      </c>
      <c r="F152" t="s">
        <v>164</v>
      </c>
    </row>
    <row r="153" spans="1:6">
      <c r="A153">
        <f t="shared" si="2"/>
        <v>152</v>
      </c>
      <c r="B153">
        <v>4</v>
      </c>
      <c r="C153" t="str" cm="1">
        <f t="array" ref="C153">GetValue("Eng","Name",B153)</f>
        <v>PostgreSQL</v>
      </c>
      <c r="D153">
        <v>38</v>
      </c>
      <c r="E153" t="str" cm="1">
        <f t="array" ref="E153">GetValue("Typ","Name",D153)</f>
        <v>json</v>
      </c>
      <c r="F153" t="s">
        <v>203</v>
      </c>
    </row>
    <row r="154" spans="1:6">
      <c r="A154">
        <f t="shared" si="2"/>
        <v>153</v>
      </c>
      <c r="B154">
        <v>5</v>
      </c>
      <c r="C154" t="str" cm="1">
        <f t="array" ref="C154">GetValue("Eng","Name",B154)</f>
        <v>Firebird</v>
      </c>
      <c r="D154">
        <v>1</v>
      </c>
      <c r="E154" t="str" cm="1">
        <f t="array" ref="E154">GetValue("Typ","Name",D154)</f>
        <v>bigint (8 bytes)</v>
      </c>
      <c r="F154" t="s">
        <v>153</v>
      </c>
    </row>
    <row r="155" spans="1:6">
      <c r="A155">
        <f t="shared" si="2"/>
        <v>154</v>
      </c>
      <c r="B155">
        <v>5</v>
      </c>
      <c r="C155" t="str" cm="1">
        <f t="array" ref="C155">GetValue("Eng","Name",B155)</f>
        <v>Firebird</v>
      </c>
      <c r="D155">
        <v>2</v>
      </c>
      <c r="E155" t="str" cm="1">
        <f t="array" ref="E155">GetValue("Typ","Name",D155)</f>
        <v>binary</v>
      </c>
      <c r="F155" t="s">
        <v>172</v>
      </c>
    </row>
    <row r="156" spans="1:6">
      <c r="A156">
        <f t="shared" si="2"/>
        <v>155</v>
      </c>
      <c r="B156">
        <v>5</v>
      </c>
      <c r="C156" t="str" cm="1">
        <f t="array" ref="C156">GetValue("Eng","Name",B156)</f>
        <v>Firebird</v>
      </c>
      <c r="D156">
        <v>3</v>
      </c>
      <c r="E156" t="str" cm="1">
        <f t="array" ref="E156">GetValue("Typ","Name",D156)</f>
        <v>bit (1 bit)</v>
      </c>
      <c r="F156" t="s">
        <v>154</v>
      </c>
    </row>
    <row r="157" spans="1:6">
      <c r="A157">
        <f t="shared" si="2"/>
        <v>156</v>
      </c>
      <c r="B157">
        <v>5</v>
      </c>
      <c r="C157" t="str" cm="1">
        <f t="array" ref="C157">GetValue("Eng","Name",B157)</f>
        <v>Firebird</v>
      </c>
      <c r="D157">
        <v>4</v>
      </c>
      <c r="E157" t="str" cm="1">
        <f t="array" ref="E157">GetValue("Typ","Name",D157)</f>
        <v>char(n)</v>
      </c>
      <c r="F157" t="s">
        <v>155</v>
      </c>
    </row>
    <row r="158" spans="1:6">
      <c r="A158">
        <f t="shared" si="2"/>
        <v>157</v>
      </c>
      <c r="B158">
        <v>5</v>
      </c>
      <c r="C158" t="str" cm="1">
        <f t="array" ref="C158">GetValue("Eng","Name",B158)</f>
        <v>Firebird</v>
      </c>
      <c r="D158">
        <v>5</v>
      </c>
      <c r="E158" t="str" cm="1">
        <f t="array" ref="E158">GetValue("Typ","Name",D158)</f>
        <v>date</v>
      </c>
      <c r="F158" t="s">
        <v>156</v>
      </c>
    </row>
    <row r="159" spans="1:6">
      <c r="A159">
        <f t="shared" si="2"/>
        <v>158</v>
      </c>
      <c r="B159">
        <v>5</v>
      </c>
      <c r="C159" t="str" cm="1">
        <f t="array" ref="C159">GetValue("Eng","Name",B159)</f>
        <v>Firebird</v>
      </c>
      <c r="D159">
        <v>6</v>
      </c>
      <c r="E159" t="str" cm="1">
        <f t="array" ref="E159">GetValue("Typ","Name",D159)</f>
        <v>datetime</v>
      </c>
      <c r="F159" t="s">
        <v>157</v>
      </c>
    </row>
    <row r="160" spans="1:6">
      <c r="A160">
        <f t="shared" si="2"/>
        <v>159</v>
      </c>
      <c r="B160">
        <v>5</v>
      </c>
      <c r="C160" t="str" cm="1">
        <f t="array" ref="C160">GetValue("Eng","Name",B160)</f>
        <v>Firebird</v>
      </c>
      <c r="D160">
        <v>7</v>
      </c>
      <c r="E160" t="str" cm="1">
        <f t="array" ref="E160">GetValue("Typ","Name",D160)</f>
        <v>datetime2(s)</v>
      </c>
      <c r="F160" t="s">
        <v>157</v>
      </c>
    </row>
    <row r="161" spans="1:8">
      <c r="A161">
        <f t="shared" si="2"/>
        <v>160</v>
      </c>
      <c r="B161">
        <v>5</v>
      </c>
      <c r="C161" t="str" cm="1">
        <f t="array" ref="C161">GetValue("Eng","Name",B161)</f>
        <v>Firebird</v>
      </c>
      <c r="D161">
        <v>8</v>
      </c>
      <c r="E161" t="str" cm="1">
        <f t="array" ref="E161">GetValue("Typ","Name",D161)</f>
        <v>datetimeoffset(s)</v>
      </c>
      <c r="F161" t="s">
        <v>158</v>
      </c>
    </row>
    <row r="162" spans="1:8">
      <c r="A162">
        <f t="shared" si="2"/>
        <v>161</v>
      </c>
      <c r="B162">
        <v>5</v>
      </c>
      <c r="C162" t="str" cm="1">
        <f t="array" ref="C162">GetValue("Eng","Name",B162)</f>
        <v>Firebird</v>
      </c>
      <c r="D162">
        <v>9</v>
      </c>
      <c r="E162" t="str" cm="1">
        <f t="array" ref="E162">GetValue("Typ","Name",D162)</f>
        <v>decimal(p ,s)</v>
      </c>
      <c r="F162" t="s">
        <v>196</v>
      </c>
    </row>
    <row r="163" spans="1:8">
      <c r="A163">
        <f t="shared" si="2"/>
        <v>162</v>
      </c>
      <c r="B163">
        <v>5</v>
      </c>
      <c r="C163" t="str" cm="1">
        <f t="array" ref="C163">GetValue("Eng","Name",B163)</f>
        <v>Firebird</v>
      </c>
      <c r="D163">
        <v>10</v>
      </c>
      <c r="E163" t="str" cm="1">
        <f t="array" ref="E163">GetValue("Typ","Name",D163)</f>
        <v>float(n)</v>
      </c>
      <c r="F163" t="s">
        <v>165</v>
      </c>
    </row>
    <row r="164" spans="1:8">
      <c r="A164">
        <f t="shared" si="2"/>
        <v>163</v>
      </c>
      <c r="B164">
        <v>5</v>
      </c>
      <c r="C164" t="str" cm="1">
        <f t="array" ref="C164">GetValue("Eng","Name",B164)</f>
        <v>Firebird</v>
      </c>
      <c r="D164">
        <v>11</v>
      </c>
      <c r="E164" t="str" cm="1">
        <f t="array" ref="E164">GetValue("Typ","Name",D164)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GetValue("Eng","Name",B165)</f>
        <v>Firebird</v>
      </c>
      <c r="D165">
        <v>12</v>
      </c>
      <c r="E165" t="str" cm="1">
        <f t="array" ref="E165">GetValue("Typ","Name",D165)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GetValue("Eng","Name",B166)</f>
        <v>Firebird</v>
      </c>
      <c r="D166">
        <v>13</v>
      </c>
      <c r="E166" t="str" cm="1">
        <f t="array" ref="E166">GetValue("Typ","Name",D166)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GetValue("Eng","Name",B167)</f>
        <v>Firebird</v>
      </c>
      <c r="D167">
        <v>14</v>
      </c>
      <c r="E167" t="str" cm="1">
        <f t="array" ref="E167">GetValue("Typ","Name",D167)</f>
        <v>image</v>
      </c>
      <c r="F167" t="s">
        <v>166</v>
      </c>
    </row>
    <row r="168" spans="1:8">
      <c r="A168">
        <f t="shared" si="2"/>
        <v>167</v>
      </c>
      <c r="B168">
        <v>5</v>
      </c>
      <c r="C168" t="str" cm="1">
        <f t="array" ref="C168">GetValue("Eng","Name",B168)</f>
        <v>Firebird</v>
      </c>
      <c r="D168">
        <v>15</v>
      </c>
      <c r="E168" t="str" cm="1">
        <f t="array" ref="E168">GetValue("Typ","Name",D168)</f>
        <v>int (4 bytes)</v>
      </c>
      <c r="F168" t="s">
        <v>160</v>
      </c>
    </row>
    <row r="169" spans="1:8">
      <c r="A169">
        <f t="shared" si="2"/>
        <v>168</v>
      </c>
      <c r="B169">
        <v>5</v>
      </c>
      <c r="C169" t="str" cm="1">
        <f t="array" ref="C169">GetValue("Eng","Name",B169)</f>
        <v>Firebird</v>
      </c>
      <c r="D169">
        <v>16</v>
      </c>
      <c r="E169" t="str" cm="1">
        <f t="array" ref="E169">GetValue("Typ","Name",D169)</f>
        <v>money</v>
      </c>
      <c r="F169" t="s">
        <v>196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GetValue("Eng","Name",B170)</f>
        <v>Firebird</v>
      </c>
      <c r="D170">
        <v>17</v>
      </c>
      <c r="E170" t="str" cm="1">
        <f t="array" ref="E170">GetValue("Typ","Name",D170)</f>
        <v>nchar(n)</v>
      </c>
      <c r="F170" t="s">
        <v>155</v>
      </c>
    </row>
    <row r="171" spans="1:8">
      <c r="A171">
        <f t="shared" si="2"/>
        <v>170</v>
      </c>
      <c r="B171">
        <v>5</v>
      </c>
      <c r="C171" t="str" cm="1">
        <f t="array" ref="C171">GetValue("Eng","Name",B171)</f>
        <v>Firebird</v>
      </c>
      <c r="D171">
        <v>18</v>
      </c>
      <c r="E171" t="str" cm="1">
        <f t="array" ref="E171">GetValue("Typ","Name",D171)</f>
        <v>ntext</v>
      </c>
      <c r="F171" t="s">
        <v>204</v>
      </c>
    </row>
    <row r="172" spans="1:8">
      <c r="A172">
        <f t="shared" si="2"/>
        <v>171</v>
      </c>
      <c r="B172">
        <v>5</v>
      </c>
      <c r="C172" t="str" cm="1">
        <f t="array" ref="C172">GetValue("Eng","Name",B172)</f>
        <v>Firebird</v>
      </c>
      <c r="D172">
        <v>19</v>
      </c>
      <c r="E172" t="str" cm="1">
        <f t="array" ref="E172">GetValue("Typ","Name",D172)</f>
        <v>numeric(p,s)</v>
      </c>
      <c r="F172" t="s">
        <v>197</v>
      </c>
    </row>
    <row r="173" spans="1:8">
      <c r="A173">
        <f t="shared" si="2"/>
        <v>172</v>
      </c>
      <c r="B173">
        <v>5</v>
      </c>
      <c r="C173" t="str" cm="1">
        <f t="array" ref="C173">GetValue("Eng","Name",B173)</f>
        <v>Firebird</v>
      </c>
      <c r="D173">
        <v>20</v>
      </c>
      <c r="E173" t="str" cm="1">
        <f t="array" ref="E173">GetValue("Typ","Name",D173)</f>
        <v>nvarchar(n)</v>
      </c>
      <c r="F173" t="s">
        <v>163</v>
      </c>
    </row>
    <row r="174" spans="1:8">
      <c r="A174">
        <f t="shared" si="2"/>
        <v>173</v>
      </c>
      <c r="B174">
        <v>5</v>
      </c>
      <c r="C174" t="str" cm="1">
        <f t="array" ref="C174">GetValue("Eng","Name",B174)</f>
        <v>Firebird</v>
      </c>
      <c r="D174">
        <v>21</v>
      </c>
      <c r="E174" t="str" cm="1">
        <f t="array" ref="E174">GetValue("Typ","Name",D174)</f>
        <v>nvarchar(max)</v>
      </c>
      <c r="F174" t="s">
        <v>204</v>
      </c>
    </row>
    <row r="175" spans="1:8">
      <c r="A175">
        <f t="shared" si="2"/>
        <v>174</v>
      </c>
      <c r="B175">
        <v>5</v>
      </c>
      <c r="C175" t="str" cm="1">
        <f t="array" ref="C175">GetValue("Eng","Name",B175)</f>
        <v>Firebird</v>
      </c>
      <c r="D175">
        <v>22</v>
      </c>
      <c r="E175" t="str" cm="1">
        <f t="array" ref="E175">GetValue("Typ","Name",D175)</f>
        <v>real</v>
      </c>
      <c r="F175" t="s">
        <v>167</v>
      </c>
    </row>
    <row r="176" spans="1:8">
      <c r="A176">
        <f t="shared" si="2"/>
        <v>175</v>
      </c>
      <c r="B176">
        <v>5</v>
      </c>
      <c r="C176" t="str" cm="1">
        <f t="array" ref="C176">GetValue("Eng","Name",B176)</f>
        <v>Firebird</v>
      </c>
      <c r="D176">
        <v>23</v>
      </c>
      <c r="E176" t="str" cm="1">
        <f t="array" ref="E176">GetValue("Typ","Name",D176)</f>
        <v>smalldatetime</v>
      </c>
      <c r="F176" t="s">
        <v>157</v>
      </c>
    </row>
    <row r="177" spans="1:8">
      <c r="A177">
        <f t="shared" si="2"/>
        <v>176</v>
      </c>
      <c r="B177">
        <v>5</v>
      </c>
      <c r="C177" t="str" cm="1">
        <f t="array" ref="C177">GetValue("Eng","Name",B177)</f>
        <v>Firebird</v>
      </c>
      <c r="D177">
        <v>24</v>
      </c>
      <c r="E177" t="str" cm="1">
        <f t="array" ref="E177">GetValue("Typ","Name",D177)</f>
        <v>smallint (2 bytes)</v>
      </c>
      <c r="F177" t="s">
        <v>154</v>
      </c>
    </row>
    <row r="178" spans="1:8">
      <c r="A178">
        <f t="shared" si="2"/>
        <v>177</v>
      </c>
      <c r="B178">
        <v>5</v>
      </c>
      <c r="C178" t="str" cm="1">
        <f t="array" ref="C178">GetValue("Eng","Name",B178)</f>
        <v>Firebird</v>
      </c>
      <c r="D178">
        <v>25</v>
      </c>
      <c r="E178" t="str" cm="1">
        <f t="array" ref="E178">GetValue("Typ","Name",D178)</f>
        <v>smallmoney</v>
      </c>
      <c r="F178" t="s">
        <v>196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GetValue("Eng","Name",B179)</f>
        <v>Firebird</v>
      </c>
      <c r="D179">
        <v>26</v>
      </c>
      <c r="E179" t="str" cm="1">
        <f t="array" ref="E179">GetValue("Typ","Name",D179)</f>
        <v>sql_variant</v>
      </c>
      <c r="F179" t="s">
        <v>204</v>
      </c>
    </row>
    <row r="180" spans="1:8">
      <c r="A180">
        <f t="shared" si="2"/>
        <v>179</v>
      </c>
      <c r="B180">
        <v>5</v>
      </c>
      <c r="C180" t="str" cm="1">
        <f t="array" ref="C180">GetValue("Eng","Name",B180)</f>
        <v>Firebird</v>
      </c>
      <c r="D180">
        <v>27</v>
      </c>
      <c r="E180" t="str" cm="1">
        <f t="array" ref="E180">GetValue("Typ","Name",D180)</f>
        <v>sysname</v>
      </c>
      <c r="F180" t="s">
        <v>163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GetValue("Eng","Name",B181)</f>
        <v>Firebird</v>
      </c>
      <c r="D181">
        <v>28</v>
      </c>
      <c r="E181" t="str" cm="1">
        <f t="array" ref="E181">GetValue("Typ","Name",D181)</f>
        <v>text</v>
      </c>
      <c r="F181" t="s">
        <v>204</v>
      </c>
    </row>
    <row r="182" spans="1:8">
      <c r="A182">
        <f t="shared" si="2"/>
        <v>181</v>
      </c>
      <c r="B182">
        <v>5</v>
      </c>
      <c r="C182" t="str" cm="1">
        <f t="array" ref="C182">GetValue("Eng","Name",B182)</f>
        <v>Firebird</v>
      </c>
      <c r="D182">
        <v>29</v>
      </c>
      <c r="E182" t="str" cm="1">
        <f t="array" ref="E182">GetValue("Typ","Name",D182)</f>
        <v>time(s)</v>
      </c>
      <c r="F182" t="s">
        <v>162</v>
      </c>
    </row>
    <row r="183" spans="1:8">
      <c r="A183">
        <f t="shared" si="2"/>
        <v>182</v>
      </c>
      <c r="B183">
        <v>5</v>
      </c>
      <c r="C183" t="str" cm="1">
        <f t="array" ref="C183">GetValue("Eng","Name",B183)</f>
        <v>Firebird</v>
      </c>
      <c r="D183">
        <v>30</v>
      </c>
      <c r="E183" t="str" cm="1">
        <f t="array" ref="E183">GetValue("Typ","Name",D183)</f>
        <v>timestamp</v>
      </c>
      <c r="F183" t="s">
        <v>157</v>
      </c>
    </row>
    <row r="184" spans="1:8">
      <c r="A184">
        <f t="shared" si="2"/>
        <v>183</v>
      </c>
      <c r="B184">
        <v>5</v>
      </c>
      <c r="C184" t="str" cm="1">
        <f t="array" ref="C184">GetValue("Eng","Name",B184)</f>
        <v>Firebird</v>
      </c>
      <c r="D184">
        <v>31</v>
      </c>
      <c r="E184" t="str" cm="1">
        <f t="array" ref="E184">GetValue("Typ","Name",D184)</f>
        <v>tinyint (1 byte)</v>
      </c>
      <c r="F184" t="s">
        <v>154</v>
      </c>
    </row>
    <row r="185" spans="1:8">
      <c r="A185">
        <f t="shared" si="2"/>
        <v>184</v>
      </c>
      <c r="B185">
        <v>5</v>
      </c>
      <c r="C185" t="str" cm="1">
        <f t="array" ref="C185">GetValue("Eng","Name",B185)</f>
        <v>Firebird</v>
      </c>
      <c r="D185">
        <v>32</v>
      </c>
      <c r="E185" t="str" cm="1">
        <f t="array" ref="E185">GetValue("Typ","Name",D185)</f>
        <v>uniqueidentifier</v>
      </c>
      <c r="F185" t="s">
        <v>155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GetValue("Eng","Name",B186)</f>
        <v>Firebird</v>
      </c>
      <c r="D186">
        <v>33</v>
      </c>
      <c r="E186" t="str" cm="1">
        <f t="array" ref="E186">GetValue("Typ","Name",D186)</f>
        <v>varbinary(n)</v>
      </c>
      <c r="F186" t="s">
        <v>166</v>
      </c>
    </row>
    <row r="187" spans="1:8">
      <c r="A187">
        <f t="shared" si="2"/>
        <v>186</v>
      </c>
      <c r="B187">
        <v>5</v>
      </c>
      <c r="C187" t="str" cm="1">
        <f t="array" ref="C187">GetValue("Eng","Name",B187)</f>
        <v>Firebird</v>
      </c>
      <c r="D187">
        <v>34</v>
      </c>
      <c r="E187" t="str" cm="1">
        <f t="array" ref="E187">GetValue("Typ","Name",D187)</f>
        <v>varbinary(max)</v>
      </c>
      <c r="F187" t="s">
        <v>205</v>
      </c>
    </row>
    <row r="188" spans="1:8">
      <c r="A188">
        <f t="shared" si="2"/>
        <v>187</v>
      </c>
      <c r="B188">
        <v>5</v>
      </c>
      <c r="C188" t="str" cm="1">
        <f t="array" ref="C188">GetValue("Eng","Name",B188)</f>
        <v>Firebird</v>
      </c>
      <c r="D188">
        <v>35</v>
      </c>
      <c r="E188" t="str" cm="1">
        <f t="array" ref="E188">GetValue("Typ","Name",D188)</f>
        <v>varchar(n)</v>
      </c>
      <c r="F188" t="s">
        <v>163</v>
      </c>
    </row>
    <row r="189" spans="1:8">
      <c r="A189">
        <f t="shared" si="2"/>
        <v>188</v>
      </c>
      <c r="B189">
        <v>5</v>
      </c>
      <c r="C189" t="str" cm="1">
        <f t="array" ref="C189">GetValue("Eng","Name",B189)</f>
        <v>Firebird</v>
      </c>
      <c r="D189">
        <v>36</v>
      </c>
      <c r="E189" t="str" cm="1">
        <f t="array" ref="E189">GetValue("Typ","Name",D189)</f>
        <v>varchar(max)</v>
      </c>
      <c r="F189" t="s">
        <v>204</v>
      </c>
    </row>
    <row r="190" spans="1:8">
      <c r="A190">
        <f t="shared" si="2"/>
        <v>189</v>
      </c>
      <c r="B190">
        <v>5</v>
      </c>
      <c r="C190" t="str" cm="1">
        <f t="array" ref="C190">GetValue("Eng","Name",B190)</f>
        <v>Firebird</v>
      </c>
      <c r="D190">
        <v>37</v>
      </c>
      <c r="E190" t="str" cm="1">
        <f t="array" ref="E190">GetValue("Typ","Name",D190)</f>
        <v>xml</v>
      </c>
      <c r="F190" t="s">
        <v>204</v>
      </c>
    </row>
    <row r="191" spans="1:8">
      <c r="A191">
        <f t="shared" si="2"/>
        <v>190</v>
      </c>
      <c r="B191">
        <v>5</v>
      </c>
      <c r="C191" t="str" cm="1">
        <f t="array" ref="C191">GetValue("Eng","Name",B191)</f>
        <v>Firebird</v>
      </c>
      <c r="D191">
        <v>38</v>
      </c>
      <c r="E191" t="str" cm="1">
        <f t="array" ref="E191">GetValue("Typ","Name",D191)</f>
        <v>json</v>
      </c>
      <c r="F191" t="s">
        <v>204</v>
      </c>
    </row>
    <row r="192" spans="1:8">
      <c r="A192">
        <f t="shared" si="2"/>
        <v>191</v>
      </c>
      <c r="B192">
        <v>6</v>
      </c>
      <c r="C192" t="str" cm="1">
        <f t="array" ref="C192">GetValue("Eng","Name",B192)</f>
        <v>Interbase</v>
      </c>
      <c r="D192">
        <v>1</v>
      </c>
      <c r="E192" t="str" cm="1">
        <f t="array" ref="E192">GetValue("Typ","Name",D192)</f>
        <v>bigint (8 bytes)</v>
      </c>
      <c r="F192" t="s">
        <v>153</v>
      </c>
    </row>
    <row r="193" spans="1:8">
      <c r="A193">
        <f t="shared" si="2"/>
        <v>192</v>
      </c>
      <c r="B193">
        <v>6</v>
      </c>
      <c r="C193" t="str" cm="1">
        <f t="array" ref="C193">GetValue("Eng","Name",B193)</f>
        <v>Interbase</v>
      </c>
      <c r="D193">
        <v>2</v>
      </c>
      <c r="E193" t="str" cm="1">
        <f t="array" ref="E193">GetValue("Typ","Name",D193)</f>
        <v>binary</v>
      </c>
      <c r="F193" t="s">
        <v>172</v>
      </c>
    </row>
    <row r="194" spans="1:8">
      <c r="A194">
        <f t="shared" si="2"/>
        <v>193</v>
      </c>
      <c r="B194">
        <v>6</v>
      </c>
      <c r="C194" t="str" cm="1">
        <f t="array" ref="C194">GetValue("Eng","Name",B194)</f>
        <v>Interbase</v>
      </c>
      <c r="D194">
        <v>3</v>
      </c>
      <c r="E194" t="str" cm="1">
        <f t="array" ref="E194">GetValue("Typ","Name",D194)</f>
        <v>bit (1 bit)</v>
      </c>
      <c r="F194" t="s">
        <v>154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GetValue("Eng","Name",B195)</f>
        <v>Interbase</v>
      </c>
      <c r="D195">
        <v>4</v>
      </c>
      <c r="E195" t="str" cm="1">
        <f t="array" ref="E195">GetValue("Typ","Name",D195)</f>
        <v>char(n)</v>
      </c>
      <c r="F195" t="s">
        <v>155</v>
      </c>
    </row>
    <row r="196" spans="1:8">
      <c r="A196">
        <f t="shared" si="3"/>
        <v>195</v>
      </c>
      <c r="B196">
        <v>6</v>
      </c>
      <c r="C196" t="str" cm="1">
        <f t="array" ref="C196">GetValue("Eng","Name",B196)</f>
        <v>Interbase</v>
      </c>
      <c r="D196">
        <v>5</v>
      </c>
      <c r="E196" t="str" cm="1">
        <f t="array" ref="E196">GetValue("Typ","Name",D196)</f>
        <v>date</v>
      </c>
      <c r="F196" t="s">
        <v>156</v>
      </c>
    </row>
    <row r="197" spans="1:8">
      <c r="A197">
        <f t="shared" si="3"/>
        <v>196</v>
      </c>
      <c r="B197">
        <v>6</v>
      </c>
      <c r="C197" t="str" cm="1">
        <f t="array" ref="C197">GetValue("Eng","Name",B197)</f>
        <v>Interbase</v>
      </c>
      <c r="D197">
        <v>6</v>
      </c>
      <c r="E197" t="str" cm="1">
        <f t="array" ref="E197">GetValue("Typ","Name",D197)</f>
        <v>datetime</v>
      </c>
      <c r="F197" t="s">
        <v>157</v>
      </c>
    </row>
    <row r="198" spans="1:8">
      <c r="A198">
        <f t="shared" si="3"/>
        <v>197</v>
      </c>
      <c r="B198">
        <v>6</v>
      </c>
      <c r="C198" t="str" cm="1">
        <f t="array" ref="C198">GetValue("Eng","Name",B198)</f>
        <v>Interbase</v>
      </c>
      <c r="D198">
        <v>7</v>
      </c>
      <c r="E198" t="str" cm="1">
        <f t="array" ref="E198">GetValue("Typ","Name",D198)</f>
        <v>datetime2(s)</v>
      </c>
      <c r="F198" t="s">
        <v>157</v>
      </c>
    </row>
    <row r="199" spans="1:8">
      <c r="A199">
        <f t="shared" si="3"/>
        <v>198</v>
      </c>
      <c r="B199">
        <v>6</v>
      </c>
      <c r="C199" t="str" cm="1">
        <f t="array" ref="C199">GetValue("Eng","Name",B199)</f>
        <v>Interbase</v>
      </c>
      <c r="D199">
        <v>8</v>
      </c>
      <c r="E199" t="str" cm="1">
        <f t="array" ref="E199">GetValue("Typ","Name",D199)</f>
        <v>datetimeoffset(s)</v>
      </c>
      <c r="F199" t="s">
        <v>158</v>
      </c>
    </row>
    <row r="200" spans="1:8">
      <c r="A200">
        <f t="shared" si="3"/>
        <v>199</v>
      </c>
      <c r="B200">
        <v>6</v>
      </c>
      <c r="C200" t="str" cm="1">
        <f t="array" ref="C200">GetValue("Eng","Name",B200)</f>
        <v>Interbase</v>
      </c>
      <c r="D200">
        <v>9</v>
      </c>
      <c r="E200" t="str" cm="1">
        <f t="array" ref="E200">GetValue("Typ","Name",D200)</f>
        <v>decimal(p ,s)</v>
      </c>
      <c r="F200" t="s">
        <v>196</v>
      </c>
    </row>
    <row r="201" spans="1:8">
      <c r="A201">
        <f t="shared" si="3"/>
        <v>200</v>
      </c>
      <c r="B201">
        <v>6</v>
      </c>
      <c r="C201" t="str" cm="1">
        <f t="array" ref="C201">GetValue("Eng","Name",B201)</f>
        <v>Interbase</v>
      </c>
      <c r="D201">
        <v>10</v>
      </c>
      <c r="E201" t="str" cm="1">
        <f t="array" ref="E201">GetValue("Typ","Name",D201)</f>
        <v>float(n)</v>
      </c>
      <c r="F201" t="s">
        <v>165</v>
      </c>
    </row>
    <row r="202" spans="1:8">
      <c r="A202">
        <f t="shared" si="3"/>
        <v>201</v>
      </c>
      <c r="B202">
        <v>6</v>
      </c>
      <c r="C202" t="str" cm="1">
        <f t="array" ref="C202">GetValue("Eng","Name",B202)</f>
        <v>Interbase</v>
      </c>
      <c r="D202">
        <v>11</v>
      </c>
      <c r="E202" t="str" cm="1">
        <f t="array" ref="E202">GetValue("Typ","Name",D202)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GetValue("Eng","Name",B203)</f>
        <v>Interbase</v>
      </c>
      <c r="D203">
        <v>12</v>
      </c>
      <c r="E203" t="str" cm="1">
        <f t="array" ref="E203">GetValue("Typ","Name",D203)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GetValue("Eng","Name",B204)</f>
        <v>Interbase</v>
      </c>
      <c r="D204">
        <v>13</v>
      </c>
      <c r="E204" t="str" cm="1">
        <f t="array" ref="E204">GetValue("Typ","Name",D204)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GetValue("Eng","Name",B205)</f>
        <v>Interbase</v>
      </c>
      <c r="D205">
        <v>14</v>
      </c>
      <c r="E205" t="str" cm="1">
        <f t="array" ref="E205">GetValue("Typ","Name",D205)</f>
        <v>image</v>
      </c>
      <c r="F205" t="s">
        <v>166</v>
      </c>
    </row>
    <row r="206" spans="1:8">
      <c r="A206">
        <f t="shared" si="3"/>
        <v>205</v>
      </c>
      <c r="B206">
        <v>6</v>
      </c>
      <c r="C206" t="str" cm="1">
        <f t="array" ref="C206">GetValue("Eng","Name",B206)</f>
        <v>Interbase</v>
      </c>
      <c r="D206">
        <v>15</v>
      </c>
      <c r="E206" t="str" cm="1">
        <f t="array" ref="E206">GetValue("Typ","Name",D206)</f>
        <v>int (4 bytes)</v>
      </c>
      <c r="F206" t="s">
        <v>160</v>
      </c>
    </row>
    <row r="207" spans="1:8">
      <c r="A207">
        <f t="shared" si="3"/>
        <v>206</v>
      </c>
      <c r="B207">
        <v>6</v>
      </c>
      <c r="C207" t="str" cm="1">
        <f t="array" ref="C207">GetValue("Eng","Name",B207)</f>
        <v>Interbase</v>
      </c>
      <c r="D207">
        <v>16</v>
      </c>
      <c r="E207" t="str" cm="1">
        <f t="array" ref="E207">GetValue("Typ","Name",D207)</f>
        <v>money</v>
      </c>
      <c r="F207" t="s">
        <v>196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GetValue("Eng","Name",B208)</f>
        <v>Interbase</v>
      </c>
      <c r="D208">
        <v>17</v>
      </c>
      <c r="E208" t="str" cm="1">
        <f t="array" ref="E208">GetValue("Typ","Name",D208)</f>
        <v>nchar(n)</v>
      </c>
      <c r="F208" t="s">
        <v>155</v>
      </c>
    </row>
    <row r="209" spans="1:8">
      <c r="A209">
        <f t="shared" si="3"/>
        <v>208</v>
      </c>
      <c r="B209">
        <v>6</v>
      </c>
      <c r="C209" t="str" cm="1">
        <f t="array" ref="C209">GetValue("Eng","Name",B209)</f>
        <v>Interbase</v>
      </c>
      <c r="D209">
        <v>18</v>
      </c>
      <c r="E209" t="str" cm="1">
        <f t="array" ref="E209">GetValue("Typ","Name",D209)</f>
        <v>ntext</v>
      </c>
      <c r="F209" t="s">
        <v>204</v>
      </c>
    </row>
    <row r="210" spans="1:8">
      <c r="A210">
        <f t="shared" si="3"/>
        <v>209</v>
      </c>
      <c r="B210">
        <v>6</v>
      </c>
      <c r="C210" t="str" cm="1">
        <f t="array" ref="C210">GetValue("Eng","Name",B210)</f>
        <v>Interbase</v>
      </c>
      <c r="D210">
        <v>19</v>
      </c>
      <c r="E210" t="str" cm="1">
        <f t="array" ref="E210">GetValue("Typ","Name",D210)</f>
        <v>numeric(p,s)</v>
      </c>
      <c r="F210" t="s">
        <v>197</v>
      </c>
    </row>
    <row r="211" spans="1:8">
      <c r="A211">
        <f t="shared" si="3"/>
        <v>210</v>
      </c>
      <c r="B211">
        <v>6</v>
      </c>
      <c r="C211" t="str" cm="1">
        <f t="array" ref="C211">GetValue("Eng","Name",B211)</f>
        <v>Interbase</v>
      </c>
      <c r="D211">
        <v>20</v>
      </c>
      <c r="E211" t="str" cm="1">
        <f t="array" ref="E211">GetValue("Typ","Name",D211)</f>
        <v>nvarchar(n)</v>
      </c>
      <c r="F211" t="s">
        <v>163</v>
      </c>
    </row>
    <row r="212" spans="1:8">
      <c r="A212">
        <f t="shared" si="3"/>
        <v>211</v>
      </c>
      <c r="B212">
        <v>6</v>
      </c>
      <c r="C212" t="str" cm="1">
        <f t="array" ref="C212">GetValue("Eng","Name",B212)</f>
        <v>Interbase</v>
      </c>
      <c r="D212">
        <v>21</v>
      </c>
      <c r="E212" t="str" cm="1">
        <f t="array" ref="E212">GetValue("Typ","Name",D212)</f>
        <v>nvarchar(max)</v>
      </c>
      <c r="F212" t="s">
        <v>204</v>
      </c>
    </row>
    <row r="213" spans="1:8">
      <c r="A213">
        <f t="shared" si="3"/>
        <v>212</v>
      </c>
      <c r="B213">
        <v>6</v>
      </c>
      <c r="C213" t="str" cm="1">
        <f t="array" ref="C213">GetValue("Eng","Name",B213)</f>
        <v>Interbase</v>
      </c>
      <c r="D213">
        <v>22</v>
      </c>
      <c r="E213" t="str" cm="1">
        <f t="array" ref="E213">GetValue("Typ","Name",D213)</f>
        <v>real</v>
      </c>
      <c r="F213" t="s">
        <v>167</v>
      </c>
    </row>
    <row r="214" spans="1:8">
      <c r="A214">
        <f t="shared" si="3"/>
        <v>213</v>
      </c>
      <c r="B214">
        <v>6</v>
      </c>
      <c r="C214" t="str" cm="1">
        <f t="array" ref="C214">GetValue("Eng","Name",B214)</f>
        <v>Interbase</v>
      </c>
      <c r="D214">
        <v>23</v>
      </c>
      <c r="E214" t="str" cm="1">
        <f t="array" ref="E214">GetValue("Typ","Name",D214)</f>
        <v>smalldatetime</v>
      </c>
      <c r="F214" t="s">
        <v>157</v>
      </c>
    </row>
    <row r="215" spans="1:8">
      <c r="A215">
        <f t="shared" si="3"/>
        <v>214</v>
      </c>
      <c r="B215">
        <v>6</v>
      </c>
      <c r="C215" t="str" cm="1">
        <f t="array" ref="C215">GetValue("Eng","Name",B215)</f>
        <v>Interbase</v>
      </c>
      <c r="D215">
        <v>24</v>
      </c>
      <c r="E215" t="str" cm="1">
        <f t="array" ref="E215">GetValue("Typ","Name",D215)</f>
        <v>smallint (2 bytes)</v>
      </c>
      <c r="F215" t="s">
        <v>154</v>
      </c>
    </row>
    <row r="216" spans="1:8">
      <c r="A216">
        <f t="shared" si="3"/>
        <v>215</v>
      </c>
      <c r="B216">
        <v>6</v>
      </c>
      <c r="C216" t="str" cm="1">
        <f t="array" ref="C216">GetValue("Eng","Name",B216)</f>
        <v>Interbase</v>
      </c>
      <c r="D216">
        <v>25</v>
      </c>
      <c r="E216" t="str" cm="1">
        <f t="array" ref="E216">GetValue("Typ","Name",D216)</f>
        <v>smallmoney</v>
      </c>
      <c r="F216" t="s">
        <v>196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GetValue("Eng","Name",B217)</f>
        <v>Interbase</v>
      </c>
      <c r="D217">
        <v>26</v>
      </c>
      <c r="E217" t="str" cm="1">
        <f t="array" ref="E217">GetValue("Typ","Name",D217)</f>
        <v>sql_variant</v>
      </c>
      <c r="F217" t="s">
        <v>204</v>
      </c>
    </row>
    <row r="218" spans="1:8">
      <c r="A218">
        <f t="shared" si="3"/>
        <v>217</v>
      </c>
      <c r="B218">
        <v>6</v>
      </c>
      <c r="C218" t="str" cm="1">
        <f t="array" ref="C218">GetValue("Eng","Name",B218)</f>
        <v>Interbase</v>
      </c>
      <c r="D218">
        <v>27</v>
      </c>
      <c r="E218" t="str" cm="1">
        <f t="array" ref="E218">GetValue("Typ","Name",D218)</f>
        <v>sysname</v>
      </c>
      <c r="F218" t="s">
        <v>163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GetValue("Eng","Name",B219)</f>
        <v>Interbase</v>
      </c>
      <c r="D219">
        <v>28</v>
      </c>
      <c r="E219" t="str" cm="1">
        <f t="array" ref="E219">GetValue("Typ","Name",D219)</f>
        <v>text</v>
      </c>
      <c r="F219" t="s">
        <v>204</v>
      </c>
    </row>
    <row r="220" spans="1:8">
      <c r="A220">
        <f t="shared" si="3"/>
        <v>219</v>
      </c>
      <c r="B220">
        <v>6</v>
      </c>
      <c r="C220" t="str" cm="1">
        <f t="array" ref="C220">GetValue("Eng","Name",B220)</f>
        <v>Interbase</v>
      </c>
      <c r="D220">
        <v>29</v>
      </c>
      <c r="E220" t="str" cm="1">
        <f t="array" ref="E220">GetValue("Typ","Name",D220)</f>
        <v>time(s)</v>
      </c>
      <c r="F220" t="s">
        <v>162</v>
      </c>
    </row>
    <row r="221" spans="1:8">
      <c r="A221">
        <f t="shared" si="3"/>
        <v>220</v>
      </c>
      <c r="B221">
        <v>6</v>
      </c>
      <c r="C221" t="str" cm="1">
        <f t="array" ref="C221">GetValue("Eng","Name",B221)</f>
        <v>Interbase</v>
      </c>
      <c r="D221">
        <v>30</v>
      </c>
      <c r="E221" t="str" cm="1">
        <f t="array" ref="E221">GetValue("Typ","Name",D221)</f>
        <v>timestamp</v>
      </c>
      <c r="F221" t="s">
        <v>157</v>
      </c>
    </row>
    <row r="222" spans="1:8">
      <c r="A222">
        <f t="shared" si="3"/>
        <v>221</v>
      </c>
      <c r="B222">
        <v>6</v>
      </c>
      <c r="C222" t="str" cm="1">
        <f t="array" ref="C222">GetValue("Eng","Name",B222)</f>
        <v>Interbase</v>
      </c>
      <c r="D222">
        <v>31</v>
      </c>
      <c r="E222" t="str" cm="1">
        <f t="array" ref="E222">GetValue("Typ","Name",D222)</f>
        <v>tinyint (1 byte)</v>
      </c>
      <c r="F222" t="s">
        <v>154</v>
      </c>
    </row>
    <row r="223" spans="1:8">
      <c r="A223">
        <f t="shared" si="3"/>
        <v>222</v>
      </c>
      <c r="B223">
        <v>6</v>
      </c>
      <c r="C223" t="str" cm="1">
        <f t="array" ref="C223">GetValue("Eng","Name",B223)</f>
        <v>Interbase</v>
      </c>
      <c r="D223">
        <v>32</v>
      </c>
      <c r="E223" t="str" cm="1">
        <f t="array" ref="E223">GetValue("Typ","Name",D223)</f>
        <v>uniqueidentifier</v>
      </c>
      <c r="F223" t="s">
        <v>155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GetValue("Eng","Name",B224)</f>
        <v>Interbase</v>
      </c>
      <c r="D224">
        <v>33</v>
      </c>
      <c r="E224" t="str" cm="1">
        <f t="array" ref="E224">GetValue("Typ","Name",D224)</f>
        <v>varbinary(n)</v>
      </c>
      <c r="F224" t="s">
        <v>166</v>
      </c>
    </row>
    <row r="225" spans="1:6">
      <c r="A225">
        <f t="shared" si="3"/>
        <v>224</v>
      </c>
      <c r="B225">
        <v>6</v>
      </c>
      <c r="C225" t="str" cm="1">
        <f t="array" ref="C225">GetValue("Eng","Name",B225)</f>
        <v>Interbase</v>
      </c>
      <c r="D225">
        <v>34</v>
      </c>
      <c r="E225" t="str" cm="1">
        <f t="array" ref="E225">GetValue("Typ","Name",D225)</f>
        <v>varbinary(max)</v>
      </c>
      <c r="F225" t="s">
        <v>205</v>
      </c>
    </row>
    <row r="226" spans="1:6">
      <c r="A226">
        <f t="shared" si="3"/>
        <v>225</v>
      </c>
      <c r="B226">
        <v>6</v>
      </c>
      <c r="C226" t="str" cm="1">
        <f t="array" ref="C226">GetValue("Eng","Name",B226)</f>
        <v>Interbase</v>
      </c>
      <c r="D226">
        <v>35</v>
      </c>
      <c r="E226" t="str" cm="1">
        <f t="array" ref="E226">GetValue("Typ","Name",D226)</f>
        <v>varchar(n)</v>
      </c>
      <c r="F226" t="s">
        <v>163</v>
      </c>
    </row>
    <row r="227" spans="1:6">
      <c r="A227">
        <f t="shared" si="3"/>
        <v>226</v>
      </c>
      <c r="B227">
        <v>6</v>
      </c>
      <c r="C227" t="str" cm="1">
        <f t="array" ref="C227">GetValue("Eng","Name",B227)</f>
        <v>Interbase</v>
      </c>
      <c r="D227">
        <v>36</v>
      </c>
      <c r="E227" t="str" cm="1">
        <f t="array" ref="E227">GetValue("Typ","Name",D227)</f>
        <v>varchar(max)</v>
      </c>
      <c r="F227" t="s">
        <v>204</v>
      </c>
    </row>
    <row r="228" spans="1:6">
      <c r="A228">
        <f t="shared" si="3"/>
        <v>227</v>
      </c>
      <c r="B228">
        <v>6</v>
      </c>
      <c r="C228" t="str" cm="1">
        <f t="array" ref="C228">GetValue("Eng","Name",B228)</f>
        <v>Interbase</v>
      </c>
      <c r="D228">
        <v>37</v>
      </c>
      <c r="E228" t="str" cm="1">
        <f t="array" ref="E228">GetValue("Typ","Name",D228)</f>
        <v>xml</v>
      </c>
      <c r="F228" t="s">
        <v>204</v>
      </c>
    </row>
    <row r="229" spans="1:6">
      <c r="A229">
        <f t="shared" si="3"/>
        <v>228</v>
      </c>
      <c r="B229">
        <v>6</v>
      </c>
      <c r="C229" t="str" cm="1">
        <f t="array" ref="C229">GetValue("Eng","Name",B229)</f>
        <v>Interbase</v>
      </c>
      <c r="D229">
        <v>38</v>
      </c>
      <c r="E229" t="str" cm="1">
        <f t="array" ref="E229">GetValue("Typ","Name",D229)</f>
        <v>json</v>
      </c>
      <c r="F229" t="s">
        <v>204</v>
      </c>
    </row>
    <row r="230" spans="1:6">
      <c r="A230">
        <f t="shared" si="3"/>
        <v>229</v>
      </c>
      <c r="B230">
        <v>7</v>
      </c>
      <c r="C230" t="str" cm="1">
        <f t="array" ref="C230">GetValue("Eng","Name",B230)</f>
        <v>SQL Anywhere</v>
      </c>
      <c r="D230">
        <v>1</v>
      </c>
      <c r="E230" t="str" cm="1">
        <f t="array" ref="E230">GetValue("Typ","Name",D230)</f>
        <v>bigint (8 bytes)</v>
      </c>
      <c r="F230" t="s">
        <v>153</v>
      </c>
    </row>
    <row r="231" spans="1:6">
      <c r="A231">
        <f t="shared" si="3"/>
        <v>230</v>
      </c>
      <c r="B231">
        <v>7</v>
      </c>
      <c r="C231" t="str" cm="1">
        <f t="array" ref="C231">GetValue("Eng","Name",B231)</f>
        <v>SQL Anywhere</v>
      </c>
      <c r="D231">
        <v>2</v>
      </c>
      <c r="E231" t="str" cm="1">
        <f t="array" ref="E231">GetValue("Typ","Name",D231)</f>
        <v>binary</v>
      </c>
      <c r="F231" t="s">
        <v>172</v>
      </c>
    </row>
    <row r="232" spans="1:6">
      <c r="A232">
        <f t="shared" si="3"/>
        <v>231</v>
      </c>
      <c r="B232">
        <v>7</v>
      </c>
      <c r="C232" t="str" cm="1">
        <f t="array" ref="C232">GetValue("Eng","Name",B232)</f>
        <v>SQL Anywhere</v>
      </c>
      <c r="D232">
        <v>3</v>
      </c>
      <c r="E232" t="str" cm="1">
        <f t="array" ref="E232">GetValue("Typ","Name",D232)</f>
        <v>bit (1 bit)</v>
      </c>
      <c r="F232" t="s">
        <v>154</v>
      </c>
    </row>
    <row r="233" spans="1:6">
      <c r="A233">
        <f t="shared" si="3"/>
        <v>232</v>
      </c>
      <c r="B233">
        <v>7</v>
      </c>
      <c r="C233" t="str" cm="1">
        <f t="array" ref="C233">GetValue("Eng","Name",B233)</f>
        <v>SQL Anywhere</v>
      </c>
      <c r="D233">
        <v>4</v>
      </c>
      <c r="E233" t="str" cm="1">
        <f t="array" ref="E233">GetValue("Typ","Name",D233)</f>
        <v>char(n)</v>
      </c>
      <c r="F233" t="s">
        <v>155</v>
      </c>
    </row>
    <row r="234" spans="1:6">
      <c r="A234">
        <f t="shared" si="3"/>
        <v>233</v>
      </c>
      <c r="B234">
        <v>7</v>
      </c>
      <c r="C234" t="str" cm="1">
        <f t="array" ref="C234">GetValue("Eng","Name",B234)</f>
        <v>SQL Anywhere</v>
      </c>
      <c r="D234">
        <v>5</v>
      </c>
      <c r="E234" t="str" cm="1">
        <f t="array" ref="E234">GetValue("Typ","Name",D234)</f>
        <v>date</v>
      </c>
      <c r="F234" t="s">
        <v>156</v>
      </c>
    </row>
    <row r="235" spans="1:6">
      <c r="A235">
        <f t="shared" si="3"/>
        <v>234</v>
      </c>
      <c r="B235">
        <v>7</v>
      </c>
      <c r="C235" t="str" cm="1">
        <f t="array" ref="C235">GetValue("Eng","Name",B235)</f>
        <v>SQL Anywhere</v>
      </c>
      <c r="D235">
        <v>6</v>
      </c>
      <c r="E235" t="str" cm="1">
        <f t="array" ref="E235">GetValue("Typ","Name",D235)</f>
        <v>datetime</v>
      </c>
      <c r="F235" t="s">
        <v>157</v>
      </c>
    </row>
    <row r="236" spans="1:6">
      <c r="A236">
        <f t="shared" si="3"/>
        <v>235</v>
      </c>
      <c r="B236">
        <v>7</v>
      </c>
      <c r="C236" t="str" cm="1">
        <f t="array" ref="C236">GetValue("Eng","Name",B236)</f>
        <v>SQL Anywhere</v>
      </c>
      <c r="D236">
        <v>7</v>
      </c>
      <c r="E236" t="str" cm="1">
        <f t="array" ref="E236">GetValue("Typ","Name",D236)</f>
        <v>datetime2(s)</v>
      </c>
      <c r="F236" t="s">
        <v>157</v>
      </c>
    </row>
    <row r="237" spans="1:6">
      <c r="A237">
        <f t="shared" si="3"/>
        <v>236</v>
      </c>
      <c r="B237">
        <v>7</v>
      </c>
      <c r="C237" t="str" cm="1">
        <f t="array" ref="C237">GetValue("Eng","Name",B237)</f>
        <v>SQL Anywhere</v>
      </c>
      <c r="D237">
        <v>8</v>
      </c>
      <c r="E237" t="str" cm="1">
        <f t="array" ref="E237">GetValue("Typ","Name",D237)</f>
        <v>datetimeoffset(s)</v>
      </c>
      <c r="F237" t="s">
        <v>158</v>
      </c>
    </row>
    <row r="238" spans="1:6">
      <c r="A238">
        <f t="shared" si="3"/>
        <v>237</v>
      </c>
      <c r="B238">
        <v>7</v>
      </c>
      <c r="C238" t="str" cm="1">
        <f t="array" ref="C238">GetValue("Eng","Name",B238)</f>
        <v>SQL Anywhere</v>
      </c>
      <c r="D238">
        <v>9</v>
      </c>
      <c r="E238" t="str" cm="1">
        <f t="array" ref="E238">GetValue("Typ","Name",D238)</f>
        <v>decimal(p ,s)</v>
      </c>
      <c r="F238" t="s">
        <v>196</v>
      </c>
    </row>
    <row r="239" spans="1:6">
      <c r="A239">
        <f t="shared" si="3"/>
        <v>238</v>
      </c>
      <c r="B239">
        <v>7</v>
      </c>
      <c r="C239" t="str" cm="1">
        <f t="array" ref="C239">GetValue("Eng","Name",B239)</f>
        <v>SQL Anywhere</v>
      </c>
      <c r="D239">
        <v>10</v>
      </c>
      <c r="E239" t="str" cm="1">
        <f t="array" ref="E239">GetValue("Typ","Name",D239)</f>
        <v>float(n)</v>
      </c>
      <c r="F239" t="s">
        <v>165</v>
      </c>
    </row>
    <row r="240" spans="1:6">
      <c r="A240">
        <f t="shared" si="3"/>
        <v>239</v>
      </c>
      <c r="B240">
        <v>7</v>
      </c>
      <c r="C240" t="str" cm="1">
        <f t="array" ref="C240">GetValue("Eng","Name",B240)</f>
        <v>SQL Anywhere</v>
      </c>
      <c r="D240">
        <v>11</v>
      </c>
      <c r="E240" t="str" cm="1">
        <f t="array" ref="E240">GetValue("Typ","Name",D240)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GetValue("Eng","Name",B241)</f>
        <v>SQL Anywhere</v>
      </c>
      <c r="D241">
        <v>12</v>
      </c>
      <c r="E241" t="str" cm="1">
        <f t="array" ref="E241">GetValue("Typ","Name",D241)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GetValue("Eng","Name",B242)</f>
        <v>SQL Anywhere</v>
      </c>
      <c r="D242">
        <v>13</v>
      </c>
      <c r="E242" t="str" cm="1">
        <f t="array" ref="E242">GetValue("Typ","Name",D242)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GetValue("Eng","Name",B243)</f>
        <v>SQL Anywhere</v>
      </c>
      <c r="D243">
        <v>14</v>
      </c>
      <c r="E243" t="str" cm="1">
        <f t="array" ref="E243">GetValue("Typ","Name",D243)</f>
        <v>image</v>
      </c>
      <c r="F243" t="s">
        <v>208</v>
      </c>
    </row>
    <row r="244" spans="1:8">
      <c r="A244">
        <f t="shared" si="3"/>
        <v>243</v>
      </c>
      <c r="B244">
        <v>7</v>
      </c>
      <c r="C244" t="str" cm="1">
        <f t="array" ref="C244">GetValue("Eng","Name",B244)</f>
        <v>SQL Anywhere</v>
      </c>
      <c r="D244">
        <v>15</v>
      </c>
      <c r="E244" t="str" cm="1">
        <f t="array" ref="E244">GetValue("Typ","Name",D244)</f>
        <v>int (4 bytes)</v>
      </c>
      <c r="F244" t="s">
        <v>160</v>
      </c>
    </row>
    <row r="245" spans="1:8">
      <c r="A245">
        <f t="shared" si="3"/>
        <v>244</v>
      </c>
      <c r="B245">
        <v>7</v>
      </c>
      <c r="C245" t="str" cm="1">
        <f t="array" ref="C245">GetValue("Eng","Name",B245)</f>
        <v>SQL Anywhere</v>
      </c>
      <c r="D245">
        <v>16</v>
      </c>
      <c r="E245" t="str" cm="1">
        <f t="array" ref="E245">GetValue("Typ","Name",D245)</f>
        <v>money</v>
      </c>
      <c r="F245" t="s">
        <v>196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GetValue("Eng","Name",B246)</f>
        <v>SQL Anywhere</v>
      </c>
      <c r="D246">
        <v>17</v>
      </c>
      <c r="E246" t="str" cm="1">
        <f t="array" ref="E246">GetValue("Typ","Name",D246)</f>
        <v>nchar(n)</v>
      </c>
      <c r="F246" t="s">
        <v>155</v>
      </c>
    </row>
    <row r="247" spans="1:8">
      <c r="A247">
        <f t="shared" si="3"/>
        <v>246</v>
      </c>
      <c r="B247">
        <v>7</v>
      </c>
      <c r="C247" t="str" cm="1">
        <f t="array" ref="C247">GetValue("Eng","Name",B247)</f>
        <v>SQL Anywhere</v>
      </c>
      <c r="D247">
        <v>18</v>
      </c>
      <c r="E247" t="str" cm="1">
        <f t="array" ref="E247">GetValue("Typ","Name",D247)</f>
        <v>ntext</v>
      </c>
      <c r="F247" t="s">
        <v>207</v>
      </c>
    </row>
    <row r="248" spans="1:8">
      <c r="A248">
        <f t="shared" si="3"/>
        <v>247</v>
      </c>
      <c r="B248">
        <v>7</v>
      </c>
      <c r="C248" t="str" cm="1">
        <f t="array" ref="C248">GetValue("Eng","Name",B248)</f>
        <v>SQL Anywhere</v>
      </c>
      <c r="D248">
        <v>19</v>
      </c>
      <c r="E248" t="str" cm="1">
        <f t="array" ref="E248">GetValue("Typ","Name",D248)</f>
        <v>numeric(p,s)</v>
      </c>
      <c r="F248" t="s">
        <v>197</v>
      </c>
    </row>
    <row r="249" spans="1:8">
      <c r="A249">
        <f t="shared" si="3"/>
        <v>248</v>
      </c>
      <c r="B249">
        <v>7</v>
      </c>
      <c r="C249" t="str" cm="1">
        <f t="array" ref="C249">GetValue("Eng","Name",B249)</f>
        <v>SQL Anywhere</v>
      </c>
      <c r="D249">
        <v>20</v>
      </c>
      <c r="E249" t="str" cm="1">
        <f t="array" ref="E249">GetValue("Typ","Name",D249)</f>
        <v>nvarchar(n)</v>
      </c>
      <c r="F249" t="s">
        <v>163</v>
      </c>
    </row>
    <row r="250" spans="1:8">
      <c r="A250">
        <f t="shared" si="3"/>
        <v>249</v>
      </c>
      <c r="B250">
        <v>7</v>
      </c>
      <c r="C250" t="str" cm="1">
        <f t="array" ref="C250">GetValue("Eng","Name",B250)</f>
        <v>SQL Anywhere</v>
      </c>
      <c r="D250">
        <v>21</v>
      </c>
      <c r="E250" t="str" cm="1">
        <f t="array" ref="E250">GetValue("Typ","Name",D250)</f>
        <v>nvarchar(max)</v>
      </c>
      <c r="F250" t="s">
        <v>207</v>
      </c>
    </row>
    <row r="251" spans="1:8">
      <c r="A251">
        <f t="shared" si="3"/>
        <v>250</v>
      </c>
      <c r="B251">
        <v>7</v>
      </c>
      <c r="C251" t="str" cm="1">
        <f t="array" ref="C251">GetValue("Eng","Name",B251)</f>
        <v>SQL Anywhere</v>
      </c>
      <c r="D251">
        <v>22</v>
      </c>
      <c r="E251" t="str" cm="1">
        <f t="array" ref="E251">GetValue("Typ","Name",D251)</f>
        <v>real</v>
      </c>
      <c r="F251" t="s">
        <v>167</v>
      </c>
    </row>
    <row r="252" spans="1:8">
      <c r="A252">
        <f t="shared" si="3"/>
        <v>251</v>
      </c>
      <c r="B252">
        <v>7</v>
      </c>
      <c r="C252" t="str" cm="1">
        <f t="array" ref="C252">GetValue("Eng","Name",B252)</f>
        <v>SQL Anywhere</v>
      </c>
      <c r="D252">
        <v>23</v>
      </c>
      <c r="E252" t="str" cm="1">
        <f t="array" ref="E252">GetValue("Typ","Name",D252)</f>
        <v>smalldatetime</v>
      </c>
      <c r="F252" t="s">
        <v>157</v>
      </c>
    </row>
    <row r="253" spans="1:8">
      <c r="A253">
        <f t="shared" si="3"/>
        <v>252</v>
      </c>
      <c r="B253">
        <v>7</v>
      </c>
      <c r="C253" t="str" cm="1">
        <f t="array" ref="C253">GetValue("Eng","Name",B253)</f>
        <v>SQL Anywhere</v>
      </c>
      <c r="D253">
        <v>24</v>
      </c>
      <c r="E253" t="str" cm="1">
        <f t="array" ref="E253">GetValue("Typ","Name",D253)</f>
        <v>smallint (2 bytes)</v>
      </c>
      <c r="F253" t="s">
        <v>154</v>
      </c>
    </row>
    <row r="254" spans="1:8">
      <c r="A254">
        <f t="shared" si="3"/>
        <v>253</v>
      </c>
      <c r="B254">
        <v>7</v>
      </c>
      <c r="C254" t="str" cm="1">
        <f t="array" ref="C254">GetValue("Eng","Name",B254)</f>
        <v>SQL Anywhere</v>
      </c>
      <c r="D254">
        <v>25</v>
      </c>
      <c r="E254" t="str" cm="1">
        <f t="array" ref="E254">GetValue("Typ","Name",D254)</f>
        <v>smallmoney</v>
      </c>
      <c r="F254" t="s">
        <v>196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GetValue("Eng","Name",B255)</f>
        <v>SQL Anywhere</v>
      </c>
      <c r="D255">
        <v>26</v>
      </c>
      <c r="E255" t="str" cm="1">
        <f t="array" ref="E255">GetValue("Typ","Name",D255)</f>
        <v>sql_variant</v>
      </c>
      <c r="F255" t="s">
        <v>207</v>
      </c>
    </row>
    <row r="256" spans="1:8">
      <c r="A256">
        <f t="shared" si="3"/>
        <v>255</v>
      </c>
      <c r="B256">
        <v>7</v>
      </c>
      <c r="C256" t="str" cm="1">
        <f t="array" ref="C256">GetValue("Eng","Name",B256)</f>
        <v>SQL Anywhere</v>
      </c>
      <c r="D256">
        <v>27</v>
      </c>
      <c r="E256" t="str" cm="1">
        <f t="array" ref="E256">GetValue("Typ","Name",D256)</f>
        <v>sysname</v>
      </c>
      <c r="F256" t="s">
        <v>163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GetValue("Eng","Name",B257)</f>
        <v>SQL Anywhere</v>
      </c>
      <c r="D257">
        <v>28</v>
      </c>
      <c r="E257" t="str" cm="1">
        <f t="array" ref="E257">GetValue("Typ","Name",D257)</f>
        <v>text</v>
      </c>
      <c r="F257" t="s">
        <v>207</v>
      </c>
    </row>
    <row r="258" spans="1:7">
      <c r="A258">
        <f t="shared" si="3"/>
        <v>257</v>
      </c>
      <c r="B258">
        <v>7</v>
      </c>
      <c r="C258" t="str" cm="1">
        <f t="array" ref="C258">GetValue("Eng","Name",B258)</f>
        <v>SQL Anywhere</v>
      </c>
      <c r="D258">
        <v>29</v>
      </c>
      <c r="E258" t="str" cm="1">
        <f t="array" ref="E258">GetValue("Typ","Name",D258)</f>
        <v>time(s)</v>
      </c>
      <c r="F258" t="s">
        <v>162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GetValue("Eng","Name",B259)</f>
        <v>SQL Anywhere</v>
      </c>
      <c r="D259">
        <v>30</v>
      </c>
      <c r="E259" t="str" cm="1">
        <f t="array" ref="E259">GetValue("Typ","Name",D259)</f>
        <v>timestamp</v>
      </c>
      <c r="F259" t="s">
        <v>157</v>
      </c>
    </row>
    <row r="260" spans="1:7">
      <c r="A260">
        <f t="shared" si="4"/>
        <v>259</v>
      </c>
      <c r="B260">
        <v>7</v>
      </c>
      <c r="C260" t="str" cm="1">
        <f t="array" ref="C260">GetValue("Eng","Name",B260)</f>
        <v>SQL Anywhere</v>
      </c>
      <c r="D260">
        <v>31</v>
      </c>
      <c r="E260" t="str" cm="1">
        <f t="array" ref="E260">GetValue("Typ","Name",D260)</f>
        <v>tinyint (1 byte)</v>
      </c>
      <c r="F260" t="s">
        <v>154</v>
      </c>
    </row>
    <row r="261" spans="1:7">
      <c r="A261">
        <f t="shared" si="4"/>
        <v>260</v>
      </c>
      <c r="B261">
        <v>7</v>
      </c>
      <c r="C261" t="str" cm="1">
        <f t="array" ref="C261">GetValue("Eng","Name",B261)</f>
        <v>SQL Anywhere</v>
      </c>
      <c r="D261">
        <v>32</v>
      </c>
      <c r="E261" t="str" cm="1">
        <f t="array" ref="E261">GetValue("Typ","Name",D261)</f>
        <v>uniqueidentifier</v>
      </c>
      <c r="F261" t="s">
        <v>155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GetValue("Eng","Name",B262)</f>
        <v>SQL Anywhere</v>
      </c>
      <c r="D262">
        <v>33</v>
      </c>
      <c r="E262" t="str" cm="1">
        <f t="array" ref="E262">GetValue("Typ","Name",D262)</f>
        <v>varbinary(n)</v>
      </c>
      <c r="F262" t="s">
        <v>208</v>
      </c>
    </row>
    <row r="263" spans="1:7">
      <c r="A263">
        <f t="shared" si="4"/>
        <v>262</v>
      </c>
      <c r="B263">
        <v>7</v>
      </c>
      <c r="C263" t="str" cm="1">
        <f t="array" ref="C263">GetValue("Eng","Name",B263)</f>
        <v>SQL Anywhere</v>
      </c>
      <c r="D263">
        <v>34</v>
      </c>
      <c r="E263" t="str" cm="1">
        <f t="array" ref="E263">GetValue("Typ","Name",D263)</f>
        <v>varbinary(max)</v>
      </c>
      <c r="F263" t="s">
        <v>205</v>
      </c>
    </row>
    <row r="264" spans="1:7">
      <c r="A264">
        <f t="shared" si="4"/>
        <v>263</v>
      </c>
      <c r="B264">
        <v>7</v>
      </c>
      <c r="C264" t="str" cm="1">
        <f t="array" ref="C264">GetValue("Eng","Name",B264)</f>
        <v>SQL Anywhere</v>
      </c>
      <c r="D264">
        <v>35</v>
      </c>
      <c r="E264" t="str" cm="1">
        <f t="array" ref="E264">GetValue("Typ","Name",D264)</f>
        <v>varchar(n)</v>
      </c>
      <c r="F264" t="s">
        <v>163</v>
      </c>
    </row>
    <row r="265" spans="1:7">
      <c r="A265">
        <f t="shared" si="4"/>
        <v>264</v>
      </c>
      <c r="B265">
        <v>7</v>
      </c>
      <c r="C265" t="str" cm="1">
        <f t="array" ref="C265">GetValue("Eng","Name",B265)</f>
        <v>SQL Anywhere</v>
      </c>
      <c r="D265">
        <v>36</v>
      </c>
      <c r="E265" t="str" cm="1">
        <f t="array" ref="E265">GetValue("Typ","Name",D265)</f>
        <v>varchar(max)</v>
      </c>
      <c r="F265" t="s">
        <v>207</v>
      </c>
    </row>
    <row r="266" spans="1:7">
      <c r="A266">
        <f t="shared" si="4"/>
        <v>265</v>
      </c>
      <c r="B266">
        <v>7</v>
      </c>
      <c r="C266" t="str" cm="1">
        <f t="array" ref="C266">GetValue("Eng","Name",B266)</f>
        <v>SQL Anywhere</v>
      </c>
      <c r="D266">
        <v>37</v>
      </c>
      <c r="E266" t="str" cm="1">
        <f t="array" ref="E266">GetValue("Typ","Name",D266)</f>
        <v>xml</v>
      </c>
      <c r="F266" t="s">
        <v>207</v>
      </c>
    </row>
    <row r="267" spans="1:7">
      <c r="A267">
        <f t="shared" si="4"/>
        <v>266</v>
      </c>
      <c r="B267">
        <v>7</v>
      </c>
      <c r="C267" t="str" cm="1">
        <f t="array" ref="C267">GetValue("Eng","Name",B267)</f>
        <v>SQL Anywhere</v>
      </c>
      <c r="D267">
        <v>38</v>
      </c>
      <c r="E267" t="str" cm="1">
        <f t="array" ref="E267">GetValue("Typ","Name",D267)</f>
        <v>json</v>
      </c>
      <c r="F267" t="s">
        <v>207</v>
      </c>
    </row>
    <row r="268" spans="1:7">
      <c r="A268">
        <f t="shared" si="4"/>
        <v>267</v>
      </c>
      <c r="B268">
        <v>8</v>
      </c>
      <c r="C268" t="str" cm="1">
        <f t="array" ref="C268">GetValue("Eng","Name",B268)</f>
        <v>Informix</v>
      </c>
      <c r="D268">
        <v>1</v>
      </c>
      <c r="E268" t="str" cm="1">
        <f t="array" ref="E268">GetValue("Typ","Name",D268)</f>
        <v>bigint (8 bytes)</v>
      </c>
      <c r="F268" t="s">
        <v>209</v>
      </c>
    </row>
    <row r="269" spans="1:7">
      <c r="A269">
        <f t="shared" si="4"/>
        <v>268</v>
      </c>
      <c r="B269">
        <v>8</v>
      </c>
      <c r="C269" t="str" cm="1">
        <f t="array" ref="C269">GetValue("Eng","Name",B269)</f>
        <v>Informix</v>
      </c>
      <c r="D269">
        <v>2</v>
      </c>
      <c r="E269" t="str" cm="1">
        <f t="array" ref="E269">GetValue("Typ","Name",D269)</f>
        <v>binary</v>
      </c>
      <c r="F269" t="s">
        <v>210</v>
      </c>
    </row>
    <row r="270" spans="1:7">
      <c r="A270">
        <f t="shared" si="4"/>
        <v>269</v>
      </c>
      <c r="B270">
        <v>8</v>
      </c>
      <c r="C270" t="str" cm="1">
        <f t="array" ref="C270">GetValue("Eng","Name",B270)</f>
        <v>Informix</v>
      </c>
      <c r="D270">
        <v>3</v>
      </c>
      <c r="E270" t="str" cm="1">
        <f t="array" ref="E270">GetValue("Typ","Name",D270)</f>
        <v>bit (1 bit)</v>
      </c>
      <c r="F270" t="s">
        <v>168</v>
      </c>
    </row>
    <row r="271" spans="1:7">
      <c r="A271">
        <f t="shared" si="4"/>
        <v>270</v>
      </c>
      <c r="B271">
        <v>8</v>
      </c>
      <c r="C271" t="str" cm="1">
        <f t="array" ref="C271">GetValue("Eng","Name",B271)</f>
        <v>Informix</v>
      </c>
      <c r="D271">
        <v>4</v>
      </c>
      <c r="E271" t="str" cm="1">
        <f t="array" ref="E271">GetValue("Typ","Name",D271)</f>
        <v>char(n)</v>
      </c>
      <c r="F271" t="s">
        <v>155</v>
      </c>
    </row>
    <row r="272" spans="1:7">
      <c r="A272">
        <f t="shared" si="4"/>
        <v>271</v>
      </c>
      <c r="B272">
        <v>8</v>
      </c>
      <c r="C272" t="str" cm="1">
        <f t="array" ref="C272">GetValue("Eng","Name",B272)</f>
        <v>Informix</v>
      </c>
      <c r="D272">
        <v>5</v>
      </c>
      <c r="E272" t="str" cm="1">
        <f t="array" ref="E272">GetValue("Typ","Name",D272)</f>
        <v>date</v>
      </c>
      <c r="F272" t="s">
        <v>156</v>
      </c>
    </row>
    <row r="273" spans="1:8">
      <c r="A273">
        <f t="shared" si="4"/>
        <v>272</v>
      </c>
      <c r="B273">
        <v>8</v>
      </c>
      <c r="C273" t="str" cm="1">
        <f t="array" ref="C273">GetValue("Eng","Name",B273)</f>
        <v>Informix</v>
      </c>
      <c r="D273">
        <v>6</v>
      </c>
      <c r="E273" t="str" cm="1">
        <f t="array" ref="E273">GetValue("Typ","Name",D273)</f>
        <v>datetime</v>
      </c>
      <c r="F273" t="s">
        <v>211</v>
      </c>
    </row>
    <row r="274" spans="1:8">
      <c r="A274">
        <f t="shared" si="4"/>
        <v>273</v>
      </c>
      <c r="B274">
        <v>8</v>
      </c>
      <c r="C274" t="str" cm="1">
        <f t="array" ref="C274">GetValue("Eng","Name",B274)</f>
        <v>Informix</v>
      </c>
      <c r="D274">
        <v>7</v>
      </c>
      <c r="E274" t="str" cm="1">
        <f t="array" ref="E274">GetValue("Typ","Name",D274)</f>
        <v>datetime2(s)</v>
      </c>
      <c r="F274" t="s">
        <v>215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GetValue("Eng","Name",B275)</f>
        <v>Informix</v>
      </c>
      <c r="D275">
        <v>8</v>
      </c>
      <c r="E275" t="str" cm="1">
        <f t="array" ref="E275">GetValue("Typ","Name",D275)</f>
        <v>datetimeoffset(s)</v>
      </c>
      <c r="F275" t="s">
        <v>212</v>
      </c>
    </row>
    <row r="276" spans="1:8">
      <c r="A276">
        <f t="shared" si="4"/>
        <v>275</v>
      </c>
      <c r="B276">
        <v>8</v>
      </c>
      <c r="C276" t="str" cm="1">
        <f t="array" ref="C276">GetValue("Eng","Name",B276)</f>
        <v>Informix</v>
      </c>
      <c r="D276">
        <v>9</v>
      </c>
      <c r="E276" t="str" cm="1">
        <f t="array" ref="E276">GetValue("Typ","Name",D276)</f>
        <v>decimal(p ,s)</v>
      </c>
      <c r="F276" t="s">
        <v>196</v>
      </c>
    </row>
    <row r="277" spans="1:8">
      <c r="A277">
        <f t="shared" si="4"/>
        <v>276</v>
      </c>
      <c r="B277">
        <v>8</v>
      </c>
      <c r="C277" t="str" cm="1">
        <f t="array" ref="C277">GetValue("Eng","Name",B277)</f>
        <v>Informix</v>
      </c>
      <c r="D277">
        <v>10</v>
      </c>
      <c r="E277" t="str" cm="1">
        <f t="array" ref="E277">GetValue("Typ","Name",D277)</f>
        <v>float(n)</v>
      </c>
      <c r="F277" t="s">
        <v>167</v>
      </c>
    </row>
    <row r="278" spans="1:8">
      <c r="A278">
        <f t="shared" si="4"/>
        <v>277</v>
      </c>
      <c r="B278">
        <v>8</v>
      </c>
      <c r="C278" t="str" cm="1">
        <f t="array" ref="C278">GetValue("Eng","Name",B278)</f>
        <v>Informix</v>
      </c>
      <c r="D278">
        <v>11</v>
      </c>
      <c r="E278" t="str" cm="1">
        <f t="array" ref="E278">GetValue("Typ","Name",D278)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GetValue("Eng","Name",B279)</f>
        <v>Informix</v>
      </c>
      <c r="D279">
        <v>12</v>
      </c>
      <c r="E279" t="str" cm="1">
        <f t="array" ref="E279">GetValue("Typ","Name",D279)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GetValue("Eng","Name",B280)</f>
        <v>Informix</v>
      </c>
      <c r="D280">
        <v>13</v>
      </c>
      <c r="E280" t="str" cm="1">
        <f t="array" ref="E280">GetValue("Typ","Name",D280)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GetValue("Eng","Name",B281)</f>
        <v>Informix</v>
      </c>
      <c r="D281">
        <v>14</v>
      </c>
      <c r="E281" t="str" cm="1">
        <f t="array" ref="E281">GetValue("Typ","Name",D281)</f>
        <v>image</v>
      </c>
      <c r="F281" t="s">
        <v>210</v>
      </c>
    </row>
    <row r="282" spans="1:8">
      <c r="A282">
        <f t="shared" si="4"/>
        <v>281</v>
      </c>
      <c r="B282">
        <v>8</v>
      </c>
      <c r="C282" t="str" cm="1">
        <f t="array" ref="C282">GetValue("Eng","Name",B282)</f>
        <v>Informix</v>
      </c>
      <c r="D282">
        <v>15</v>
      </c>
      <c r="E282" t="str" cm="1">
        <f t="array" ref="E282">GetValue("Typ","Name",D282)</f>
        <v>int (4 bytes)</v>
      </c>
      <c r="F282" t="s">
        <v>160</v>
      </c>
    </row>
    <row r="283" spans="1:8">
      <c r="A283">
        <f t="shared" si="4"/>
        <v>282</v>
      </c>
      <c r="B283">
        <v>8</v>
      </c>
      <c r="C283" t="str" cm="1">
        <f t="array" ref="C283">GetValue("Eng","Name",B283)</f>
        <v>Informix</v>
      </c>
      <c r="D283">
        <v>16</v>
      </c>
      <c r="E283" t="str" cm="1">
        <f t="array" ref="E283">GetValue("Typ","Name",D283)</f>
        <v>money</v>
      </c>
      <c r="F283" t="s">
        <v>196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GetValue("Eng","Name",B284)</f>
        <v>Informix</v>
      </c>
      <c r="D284">
        <v>17</v>
      </c>
      <c r="E284" t="str" cm="1">
        <f t="array" ref="E284">GetValue("Typ","Name",D284)</f>
        <v>nchar(n)</v>
      </c>
      <c r="F284" t="s">
        <v>169</v>
      </c>
    </row>
    <row r="285" spans="1:8">
      <c r="A285">
        <f t="shared" si="4"/>
        <v>284</v>
      </c>
      <c r="B285">
        <v>8</v>
      </c>
      <c r="C285" t="str" cm="1">
        <f t="array" ref="C285">GetValue("Eng","Name",B285)</f>
        <v>Informix</v>
      </c>
      <c r="D285">
        <v>18</v>
      </c>
      <c r="E285" t="str" cm="1">
        <f t="array" ref="E285">GetValue("Typ","Name",D285)</f>
        <v>ntext</v>
      </c>
      <c r="F285" t="s">
        <v>170</v>
      </c>
    </row>
    <row r="286" spans="1:8">
      <c r="A286">
        <f t="shared" si="4"/>
        <v>285</v>
      </c>
      <c r="B286">
        <v>8</v>
      </c>
      <c r="C286" t="str" cm="1">
        <f t="array" ref="C286">GetValue("Eng","Name",B286)</f>
        <v>Informix</v>
      </c>
      <c r="D286">
        <v>19</v>
      </c>
      <c r="E286" t="str" cm="1">
        <f t="array" ref="E286">GetValue("Typ","Name",D286)</f>
        <v>numeric(p,s)</v>
      </c>
      <c r="F286" t="s">
        <v>196</v>
      </c>
    </row>
    <row r="287" spans="1:8">
      <c r="A287">
        <f t="shared" si="4"/>
        <v>286</v>
      </c>
      <c r="B287">
        <v>8</v>
      </c>
      <c r="C287" t="str" cm="1">
        <f t="array" ref="C287">GetValue("Eng","Name",B287)</f>
        <v>Informix</v>
      </c>
      <c r="D287">
        <v>20</v>
      </c>
      <c r="E287" t="str" cm="1">
        <f t="array" ref="E287">GetValue("Typ","Name",D287)</f>
        <v>nvarchar(n)</v>
      </c>
      <c r="F287" t="s">
        <v>171</v>
      </c>
    </row>
    <row r="288" spans="1:8">
      <c r="A288">
        <f t="shared" si="4"/>
        <v>287</v>
      </c>
      <c r="B288">
        <v>8</v>
      </c>
      <c r="C288" t="str" cm="1">
        <f t="array" ref="C288">GetValue("Eng","Name",B288)</f>
        <v>Informix</v>
      </c>
      <c r="D288">
        <v>21</v>
      </c>
      <c r="E288" t="str" cm="1">
        <f t="array" ref="E288">GetValue("Typ","Name",D288)</f>
        <v>nvarchar(max)</v>
      </c>
      <c r="F288" t="s">
        <v>170</v>
      </c>
    </row>
    <row r="289" spans="1:8">
      <c r="A289">
        <f t="shared" si="4"/>
        <v>288</v>
      </c>
      <c r="B289">
        <v>8</v>
      </c>
      <c r="C289" t="str" cm="1">
        <f t="array" ref="C289">GetValue("Eng","Name",B289)</f>
        <v>Informix</v>
      </c>
      <c r="D289">
        <v>22</v>
      </c>
      <c r="E289" t="str" cm="1">
        <f t="array" ref="E289">GetValue("Typ","Name",D289)</f>
        <v>real</v>
      </c>
      <c r="F289" t="s">
        <v>167</v>
      </c>
    </row>
    <row r="290" spans="1:8">
      <c r="A290">
        <f t="shared" si="4"/>
        <v>289</v>
      </c>
      <c r="B290">
        <v>8</v>
      </c>
      <c r="C290" t="str" cm="1">
        <f t="array" ref="C290">GetValue("Eng","Name",B290)</f>
        <v>Informix</v>
      </c>
      <c r="D290">
        <v>23</v>
      </c>
      <c r="E290" t="str" cm="1">
        <f t="array" ref="E290">GetValue("Typ","Name",D290)</f>
        <v>smalldatetime</v>
      </c>
      <c r="F290" t="s">
        <v>211</v>
      </c>
    </row>
    <row r="291" spans="1:8">
      <c r="A291">
        <f t="shared" si="4"/>
        <v>290</v>
      </c>
      <c r="B291">
        <v>8</v>
      </c>
      <c r="C291" t="str" cm="1">
        <f t="array" ref="C291">GetValue("Eng","Name",B291)</f>
        <v>Informix</v>
      </c>
      <c r="D291">
        <v>24</v>
      </c>
      <c r="E291" t="str" cm="1">
        <f t="array" ref="E291">GetValue("Typ","Name",D291)</f>
        <v>smallint (2 bytes)</v>
      </c>
      <c r="F291" t="s">
        <v>154</v>
      </c>
    </row>
    <row r="292" spans="1:8">
      <c r="A292">
        <f t="shared" si="4"/>
        <v>291</v>
      </c>
      <c r="B292">
        <v>8</v>
      </c>
      <c r="C292" t="str" cm="1">
        <f t="array" ref="C292">GetValue("Eng","Name",B292)</f>
        <v>Informix</v>
      </c>
      <c r="D292">
        <v>25</v>
      </c>
      <c r="E292" t="str" cm="1">
        <f t="array" ref="E292">GetValue("Typ","Name",D292)</f>
        <v>smallmoney</v>
      </c>
      <c r="F292" t="s">
        <v>196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GetValue("Eng","Name",B293)</f>
        <v>Informix</v>
      </c>
      <c r="D293">
        <v>26</v>
      </c>
      <c r="E293" t="str" cm="1">
        <f t="array" ref="E293">GetValue("Typ","Name",D293)</f>
        <v>sql_variant</v>
      </c>
      <c r="F293" t="s">
        <v>213</v>
      </c>
    </row>
    <row r="294" spans="1:8">
      <c r="A294">
        <f t="shared" si="4"/>
        <v>293</v>
      </c>
      <c r="B294">
        <v>8</v>
      </c>
      <c r="C294" t="str" cm="1">
        <f t="array" ref="C294">GetValue("Eng","Name",B294)</f>
        <v>Informix</v>
      </c>
      <c r="D294">
        <v>27</v>
      </c>
      <c r="E294" t="str" cm="1">
        <f t="array" ref="E294">GetValue("Typ","Name",D294)</f>
        <v>sysname</v>
      </c>
      <c r="F294" t="s">
        <v>213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GetValue("Eng","Name",B295)</f>
        <v>Informix</v>
      </c>
      <c r="D295">
        <v>28</v>
      </c>
      <c r="E295" t="str" cm="1">
        <f t="array" ref="E295">GetValue("Typ","Name",D295)</f>
        <v>text</v>
      </c>
      <c r="F295" t="s">
        <v>170</v>
      </c>
    </row>
    <row r="296" spans="1:8">
      <c r="A296">
        <f t="shared" si="4"/>
        <v>295</v>
      </c>
      <c r="B296">
        <v>8</v>
      </c>
      <c r="C296" t="str" cm="1">
        <f t="array" ref="C296">GetValue("Eng","Name",B296)</f>
        <v>Informix</v>
      </c>
      <c r="D296">
        <v>29</v>
      </c>
      <c r="E296" t="str" cm="1">
        <f t="array" ref="E296">GetValue("Typ","Name",D296)</f>
        <v>time(s)</v>
      </c>
      <c r="F296" t="s">
        <v>214</v>
      </c>
    </row>
    <row r="297" spans="1:8">
      <c r="A297">
        <f t="shared" si="4"/>
        <v>296</v>
      </c>
      <c r="B297">
        <v>8</v>
      </c>
      <c r="C297" t="str" cm="1">
        <f t="array" ref="C297">GetValue("Eng","Name",B297)</f>
        <v>Informix</v>
      </c>
      <c r="D297">
        <v>30</v>
      </c>
      <c r="E297" t="str" cm="1">
        <f t="array" ref="E297">GetValue("Typ","Name",D297)</f>
        <v>timestamp</v>
      </c>
      <c r="F297" t="s">
        <v>215</v>
      </c>
    </row>
    <row r="298" spans="1:8">
      <c r="A298">
        <f t="shared" si="4"/>
        <v>297</v>
      </c>
      <c r="B298">
        <v>8</v>
      </c>
      <c r="C298" t="str" cm="1">
        <f t="array" ref="C298">GetValue("Eng","Name",B298)</f>
        <v>Informix</v>
      </c>
      <c r="D298">
        <v>31</v>
      </c>
      <c r="E298" t="str" cm="1">
        <f t="array" ref="E298">GetValue("Typ","Name",D298)</f>
        <v>tinyint (1 byte)</v>
      </c>
      <c r="F298" t="s">
        <v>154</v>
      </c>
    </row>
    <row r="299" spans="1:8">
      <c r="A299">
        <f t="shared" si="4"/>
        <v>298</v>
      </c>
      <c r="B299">
        <v>8</v>
      </c>
      <c r="C299" t="str" cm="1">
        <f t="array" ref="C299">GetValue("Eng","Name",B299)</f>
        <v>Informix</v>
      </c>
      <c r="D299">
        <v>32</v>
      </c>
      <c r="E299" t="str" cm="1">
        <f t="array" ref="E299">GetValue("Typ","Name",D299)</f>
        <v>uniqueidentifier</v>
      </c>
      <c r="F299" t="s">
        <v>155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GetValue("Eng","Name",B300)</f>
        <v>Informix</v>
      </c>
      <c r="D300">
        <v>33</v>
      </c>
      <c r="E300" t="str" cm="1">
        <f t="array" ref="E300">GetValue("Typ","Name",D300)</f>
        <v>varbinary(n)</v>
      </c>
      <c r="F300" t="s">
        <v>210</v>
      </c>
    </row>
    <row r="301" spans="1:8">
      <c r="A301">
        <f t="shared" si="4"/>
        <v>300</v>
      </c>
      <c r="B301">
        <v>8</v>
      </c>
      <c r="C301" t="str" cm="1">
        <f t="array" ref="C301">GetValue("Eng","Name",B301)</f>
        <v>Informix</v>
      </c>
      <c r="D301">
        <v>34</v>
      </c>
      <c r="E301" t="str" cm="1">
        <f t="array" ref="E301">GetValue("Typ","Name",D301)</f>
        <v>varbinary(max)</v>
      </c>
      <c r="F301" t="s">
        <v>210</v>
      </c>
    </row>
    <row r="302" spans="1:8">
      <c r="A302">
        <f t="shared" si="4"/>
        <v>301</v>
      </c>
      <c r="B302">
        <v>8</v>
      </c>
      <c r="C302" t="str" cm="1">
        <f t="array" ref="C302">GetValue("Eng","Name",B302)</f>
        <v>Informix</v>
      </c>
      <c r="D302">
        <v>35</v>
      </c>
      <c r="E302" t="str" cm="1">
        <f t="array" ref="E302">GetValue("Typ","Name",D302)</f>
        <v>varchar(n)</v>
      </c>
      <c r="F302" t="s">
        <v>163</v>
      </c>
    </row>
    <row r="303" spans="1:8">
      <c r="A303">
        <f t="shared" si="4"/>
        <v>302</v>
      </c>
      <c r="B303">
        <v>8</v>
      </c>
      <c r="C303" t="str" cm="1">
        <f t="array" ref="C303">GetValue("Eng","Name",B303)</f>
        <v>Informix</v>
      </c>
      <c r="D303">
        <v>36</v>
      </c>
      <c r="E303" t="str" cm="1">
        <f t="array" ref="E303">GetValue("Typ","Name",D303)</f>
        <v>varchar(max)</v>
      </c>
      <c r="F303" t="s">
        <v>170</v>
      </c>
    </row>
    <row r="304" spans="1:8">
      <c r="A304">
        <f t="shared" si="4"/>
        <v>303</v>
      </c>
      <c r="B304">
        <v>8</v>
      </c>
      <c r="C304" t="str" cm="1">
        <f t="array" ref="C304">GetValue("Eng","Name",B304)</f>
        <v>Informix</v>
      </c>
      <c r="D304">
        <v>37</v>
      </c>
      <c r="E304" t="str" cm="1">
        <f t="array" ref="E304">GetValue("Typ","Name",D304)</f>
        <v>xml</v>
      </c>
      <c r="F304" t="s">
        <v>216</v>
      </c>
    </row>
    <row r="305" spans="1:7">
      <c r="A305">
        <f t="shared" si="4"/>
        <v>304</v>
      </c>
      <c r="B305">
        <v>8</v>
      </c>
      <c r="C305" t="str" cm="1">
        <f t="array" ref="C305">GetValue("Eng","Name",B305)</f>
        <v>Informix</v>
      </c>
      <c r="D305">
        <v>38</v>
      </c>
      <c r="E305" t="str" cm="1">
        <f t="array" ref="E305">GetValue("Typ","Name",D305)</f>
        <v>json</v>
      </c>
      <c r="F305" t="s">
        <v>63</v>
      </c>
    </row>
    <row r="306" spans="1:7">
      <c r="A306">
        <f t="shared" si="4"/>
        <v>305</v>
      </c>
      <c r="B306">
        <v>9</v>
      </c>
      <c r="C306" t="str" cm="1">
        <f t="array" ref="C306">GetValue("Eng","Name",B306)</f>
        <v>Oracle</v>
      </c>
      <c r="D306">
        <v>1</v>
      </c>
      <c r="E306" t="str" cm="1">
        <f t="array" ref="E306">GetValue("Typ","Name",D306)</f>
        <v>bigint (8 bytes)</v>
      </c>
      <c r="F306" t="s">
        <v>218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GetValue("Eng","Name",B307)</f>
        <v>Oracle</v>
      </c>
      <c r="D307">
        <v>2</v>
      </c>
      <c r="E307" t="str" cm="1">
        <f t="array" ref="E307">GetValue("Typ","Name",D307)</f>
        <v>binary</v>
      </c>
      <c r="F307" t="s">
        <v>217</v>
      </c>
    </row>
    <row r="308" spans="1:7">
      <c r="A308">
        <f t="shared" si="4"/>
        <v>307</v>
      </c>
      <c r="B308">
        <v>9</v>
      </c>
      <c r="C308" t="str" cm="1">
        <f t="array" ref="C308">GetValue("Eng","Name",B308)</f>
        <v>Oracle</v>
      </c>
      <c r="D308">
        <v>3</v>
      </c>
      <c r="E308" t="str" cm="1">
        <f t="array" ref="E308">GetValue("Typ","Name",D308)</f>
        <v>bit (1 bit)</v>
      </c>
      <c r="F308" t="s">
        <v>218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GetValue("Eng","Name",B309)</f>
        <v>Oracle</v>
      </c>
      <c r="D309">
        <v>4</v>
      </c>
      <c r="E309" t="str" cm="1">
        <f t="array" ref="E309">GetValue("Typ","Name",D309)</f>
        <v>char(n)</v>
      </c>
      <c r="F309" t="s">
        <v>155</v>
      </c>
    </row>
    <row r="310" spans="1:7">
      <c r="A310">
        <f t="shared" si="4"/>
        <v>309</v>
      </c>
      <c r="B310">
        <v>9</v>
      </c>
      <c r="C310" t="str" cm="1">
        <f t="array" ref="C310">GetValue("Eng","Name",B310)</f>
        <v>Oracle</v>
      </c>
      <c r="D310">
        <v>5</v>
      </c>
      <c r="E310" t="str" cm="1">
        <f t="array" ref="E310">GetValue("Typ","Name",D310)</f>
        <v>date</v>
      </c>
      <c r="F310" t="s">
        <v>156</v>
      </c>
    </row>
    <row r="311" spans="1:7">
      <c r="A311">
        <f t="shared" si="4"/>
        <v>310</v>
      </c>
      <c r="B311">
        <v>9</v>
      </c>
      <c r="C311" t="str" cm="1">
        <f t="array" ref="C311">GetValue("Eng","Name",B311)</f>
        <v>Oracle</v>
      </c>
      <c r="D311">
        <v>6</v>
      </c>
      <c r="E311" t="str" cm="1">
        <f t="array" ref="E311">GetValue("Typ","Name",D311)</f>
        <v>datetime</v>
      </c>
      <c r="F311" t="s">
        <v>156</v>
      </c>
    </row>
    <row r="312" spans="1:7">
      <c r="A312">
        <f t="shared" si="4"/>
        <v>311</v>
      </c>
      <c r="B312">
        <v>9</v>
      </c>
      <c r="C312" t="str" cm="1">
        <f t="array" ref="C312">GetValue("Eng","Name",B312)</f>
        <v>Oracle</v>
      </c>
      <c r="D312">
        <v>7</v>
      </c>
      <c r="E312" t="str" cm="1">
        <f t="array" ref="E312">GetValue("Typ","Name",D312)</f>
        <v>datetime2(s)</v>
      </c>
      <c r="F312" t="s">
        <v>157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GetValue("Eng","Name",B313)</f>
        <v>Oracle</v>
      </c>
      <c r="D313">
        <v>8</v>
      </c>
      <c r="E313" t="str" cm="1">
        <f t="array" ref="E313">GetValue("Typ","Name",D313)</f>
        <v>datetimeoffset(s)</v>
      </c>
      <c r="F313" t="s">
        <v>158</v>
      </c>
    </row>
    <row r="314" spans="1:7">
      <c r="A314">
        <f t="shared" si="4"/>
        <v>313</v>
      </c>
      <c r="B314">
        <v>9</v>
      </c>
      <c r="C314" t="str" cm="1">
        <f t="array" ref="C314">GetValue("Eng","Name",B314)</f>
        <v>Oracle</v>
      </c>
      <c r="D314">
        <v>9</v>
      </c>
      <c r="E314" t="str" cm="1">
        <f t="array" ref="E314">GetValue("Typ","Name",D314)</f>
        <v>decimal(p ,s)</v>
      </c>
      <c r="F314" t="s">
        <v>218</v>
      </c>
    </row>
    <row r="315" spans="1:7">
      <c r="A315">
        <f t="shared" si="4"/>
        <v>314</v>
      </c>
      <c r="B315">
        <v>9</v>
      </c>
      <c r="C315" t="str" cm="1">
        <f t="array" ref="C315">GetValue("Eng","Name",B315)</f>
        <v>Oracle</v>
      </c>
      <c r="D315">
        <v>10</v>
      </c>
      <c r="E315" t="str" cm="1">
        <f t="array" ref="E315">GetValue("Typ","Name",D315)</f>
        <v>float(n)</v>
      </c>
      <c r="F315" t="s">
        <v>219</v>
      </c>
    </row>
    <row r="316" spans="1:7">
      <c r="A316">
        <f t="shared" si="4"/>
        <v>315</v>
      </c>
      <c r="B316">
        <v>9</v>
      </c>
      <c r="C316" t="str" cm="1">
        <f t="array" ref="C316">GetValue("Eng","Name",B316)</f>
        <v>Oracle</v>
      </c>
      <c r="D316">
        <v>11</v>
      </c>
      <c r="E316" t="str" cm="1">
        <f t="array" ref="E316">GetValue("Typ","Name",D316)</f>
        <v>geography</v>
      </c>
      <c r="F316" t="s">
        <v>220</v>
      </c>
    </row>
    <row r="317" spans="1:7">
      <c r="A317">
        <f t="shared" si="4"/>
        <v>316</v>
      </c>
      <c r="B317">
        <v>9</v>
      </c>
      <c r="C317" t="str" cm="1">
        <f t="array" ref="C317">GetValue("Eng","Name",B317)</f>
        <v>Oracle</v>
      </c>
      <c r="D317">
        <v>12</v>
      </c>
      <c r="E317" t="str" cm="1">
        <f t="array" ref="E317">GetValue("Typ","Name",D317)</f>
        <v>geometry</v>
      </c>
      <c r="F317" t="s">
        <v>220</v>
      </c>
    </row>
    <row r="318" spans="1:7">
      <c r="A318">
        <f t="shared" si="4"/>
        <v>317</v>
      </c>
      <c r="B318">
        <v>9</v>
      </c>
      <c r="C318" t="str" cm="1">
        <f t="array" ref="C318">GetValue("Eng","Name",B318)</f>
        <v>Oracle</v>
      </c>
      <c r="D318">
        <v>13</v>
      </c>
      <c r="E318" t="str" cm="1">
        <f t="array" ref="E318">GetValue("Typ","Name",D318)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GetValue("Eng","Name",B319)</f>
        <v>Oracle</v>
      </c>
      <c r="D319">
        <v>14</v>
      </c>
      <c r="E319" t="str" cm="1">
        <f t="array" ref="E319">GetValue("Typ","Name",D319)</f>
        <v>image</v>
      </c>
      <c r="F319" t="s">
        <v>205</v>
      </c>
    </row>
    <row r="320" spans="1:7">
      <c r="A320">
        <f t="shared" si="4"/>
        <v>319</v>
      </c>
      <c r="B320">
        <v>9</v>
      </c>
      <c r="C320" t="str" cm="1">
        <f t="array" ref="C320">GetValue("Eng","Name",B320)</f>
        <v>Oracle</v>
      </c>
      <c r="D320">
        <v>15</v>
      </c>
      <c r="E320" t="str" cm="1">
        <f t="array" ref="E320">GetValue("Typ","Name",D320)</f>
        <v>int (4 bytes)</v>
      </c>
      <c r="F320" t="s">
        <v>218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GetValue("Eng","Name",B321)</f>
        <v>Oracle</v>
      </c>
      <c r="D321">
        <v>16</v>
      </c>
      <c r="E321" t="str" cm="1">
        <f t="array" ref="E321">GetValue("Typ","Name",D321)</f>
        <v>money</v>
      </c>
      <c r="F321" t="s">
        <v>218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GetValue("Eng","Name",B322)</f>
        <v>Oracle</v>
      </c>
      <c r="D322">
        <v>17</v>
      </c>
      <c r="E322" t="str" cm="1">
        <f t="array" ref="E322">GetValue("Typ","Name",D322)</f>
        <v>nchar(n)</v>
      </c>
      <c r="F322" t="s">
        <v>169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GetValue("Eng","Name",B323)</f>
        <v>Oracle</v>
      </c>
      <c r="D323">
        <v>18</v>
      </c>
      <c r="E323" t="str" cm="1">
        <f t="array" ref="E323">GetValue("Typ","Name",D323)</f>
        <v>ntext</v>
      </c>
      <c r="F323" t="s">
        <v>216</v>
      </c>
    </row>
    <row r="324" spans="1:8">
      <c r="A324">
        <f t="shared" si="5"/>
        <v>323</v>
      </c>
      <c r="B324">
        <v>9</v>
      </c>
      <c r="C324" t="str" cm="1">
        <f t="array" ref="C324">GetValue("Eng","Name",B324)</f>
        <v>Oracle</v>
      </c>
      <c r="D324">
        <v>19</v>
      </c>
      <c r="E324" t="str" cm="1">
        <f t="array" ref="E324">GetValue("Typ","Name",D324)</f>
        <v>numeric(p,s)</v>
      </c>
      <c r="F324" t="s">
        <v>218</v>
      </c>
    </row>
    <row r="325" spans="1:8">
      <c r="A325">
        <f t="shared" si="5"/>
        <v>324</v>
      </c>
      <c r="B325">
        <v>9</v>
      </c>
      <c r="C325" t="str" cm="1">
        <f t="array" ref="C325">GetValue("Eng","Name",B325)</f>
        <v>Oracle</v>
      </c>
      <c r="D325">
        <v>20</v>
      </c>
      <c r="E325" t="str" cm="1">
        <f t="array" ref="E325">GetValue("Typ","Name",D325)</f>
        <v>nvarchar(n)</v>
      </c>
      <c r="F325" t="s">
        <v>221</v>
      </c>
    </row>
    <row r="326" spans="1:8">
      <c r="A326">
        <f t="shared" si="5"/>
        <v>325</v>
      </c>
      <c r="B326">
        <v>9</v>
      </c>
      <c r="C326" t="str" cm="1">
        <f t="array" ref="C326">GetValue("Eng","Name",B326)</f>
        <v>Oracle</v>
      </c>
      <c r="D326">
        <v>21</v>
      </c>
      <c r="E326" t="str" cm="1">
        <f t="array" ref="E326">GetValue("Typ","Name",D326)</f>
        <v>nvarchar(max)</v>
      </c>
      <c r="F326" t="s">
        <v>216</v>
      </c>
    </row>
    <row r="327" spans="1:8">
      <c r="A327">
        <f t="shared" si="5"/>
        <v>326</v>
      </c>
      <c r="B327">
        <v>9</v>
      </c>
      <c r="C327" t="str" cm="1">
        <f t="array" ref="C327">GetValue("Eng","Name",B327)</f>
        <v>Oracle</v>
      </c>
      <c r="D327">
        <v>22</v>
      </c>
      <c r="E327" t="str" cm="1">
        <f t="array" ref="E327">GetValue("Typ","Name",D327)</f>
        <v>real</v>
      </c>
      <c r="F327" t="s">
        <v>222</v>
      </c>
    </row>
    <row r="328" spans="1:8">
      <c r="A328">
        <f t="shared" si="5"/>
        <v>327</v>
      </c>
      <c r="B328">
        <v>9</v>
      </c>
      <c r="C328" t="str" cm="1">
        <f t="array" ref="C328">GetValue("Eng","Name",B328)</f>
        <v>Oracle</v>
      </c>
      <c r="D328">
        <v>23</v>
      </c>
      <c r="E328" t="str" cm="1">
        <f t="array" ref="E328">GetValue("Typ","Name",D328)</f>
        <v>smalldatetime</v>
      </c>
      <c r="F328" t="s">
        <v>156</v>
      </c>
    </row>
    <row r="329" spans="1:8">
      <c r="A329">
        <f t="shared" si="5"/>
        <v>328</v>
      </c>
      <c r="B329">
        <v>9</v>
      </c>
      <c r="C329" t="str" cm="1">
        <f t="array" ref="C329">GetValue("Eng","Name",B329)</f>
        <v>Oracle</v>
      </c>
      <c r="D329">
        <v>24</v>
      </c>
      <c r="E329" t="str" cm="1">
        <f t="array" ref="E329">GetValue("Typ","Name",D329)</f>
        <v>smallint (2 bytes)</v>
      </c>
      <c r="F329" t="s">
        <v>218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GetValue("Eng","Name",B330)</f>
        <v>Oracle</v>
      </c>
      <c r="D330">
        <v>25</v>
      </c>
      <c r="E330" t="str" cm="1">
        <f t="array" ref="E330">GetValue("Typ","Name",D330)</f>
        <v>smallmoney</v>
      </c>
      <c r="F330" t="s">
        <v>218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GetValue("Eng","Name",B331)</f>
        <v>Oracle</v>
      </c>
      <c r="D331">
        <v>26</v>
      </c>
      <c r="E331" t="str" cm="1">
        <f t="array" ref="E331">GetValue("Typ","Name",D331)</f>
        <v>sql_variant</v>
      </c>
      <c r="F331" t="s">
        <v>223</v>
      </c>
    </row>
    <row r="332" spans="1:8">
      <c r="A332">
        <f t="shared" si="5"/>
        <v>331</v>
      </c>
      <c r="B332">
        <v>9</v>
      </c>
      <c r="C332" t="str" cm="1">
        <f t="array" ref="C332">GetValue("Eng","Name",B332)</f>
        <v>Oracle</v>
      </c>
      <c r="D332">
        <v>27</v>
      </c>
      <c r="E332" t="str" cm="1">
        <f t="array" ref="E332">GetValue("Typ","Name",D332)</f>
        <v>sysname</v>
      </c>
      <c r="F332" t="s">
        <v>224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GetValue("Eng","Name",B333)</f>
        <v>Oracle</v>
      </c>
      <c r="D333">
        <v>28</v>
      </c>
      <c r="E333" t="str" cm="1">
        <f t="array" ref="E333">GetValue("Typ","Name",D333)</f>
        <v>text</v>
      </c>
      <c r="F333" t="s">
        <v>216</v>
      </c>
    </row>
    <row r="334" spans="1:8">
      <c r="A334">
        <f t="shared" si="5"/>
        <v>333</v>
      </c>
      <c r="B334">
        <v>9</v>
      </c>
      <c r="C334" t="str" cm="1">
        <f t="array" ref="C334">GetValue("Eng","Name",B334)</f>
        <v>Oracle</v>
      </c>
      <c r="D334">
        <v>29</v>
      </c>
      <c r="E334" t="str" cm="1">
        <f t="array" ref="E334">GetValue("Typ","Name",D334)</f>
        <v>time(s)</v>
      </c>
      <c r="F334" t="s">
        <v>156</v>
      </c>
    </row>
    <row r="335" spans="1:8">
      <c r="A335">
        <f t="shared" si="5"/>
        <v>334</v>
      </c>
      <c r="B335">
        <v>9</v>
      </c>
      <c r="C335" t="str" cm="1">
        <f t="array" ref="C335">GetValue("Eng","Name",B335)</f>
        <v>Oracle</v>
      </c>
      <c r="D335">
        <v>30</v>
      </c>
      <c r="E335" t="str" cm="1">
        <f t="array" ref="E335">GetValue("Typ","Name",D335)</f>
        <v>timestamp</v>
      </c>
      <c r="F335" t="s">
        <v>157</v>
      </c>
    </row>
    <row r="336" spans="1:8">
      <c r="A336">
        <f t="shared" si="5"/>
        <v>335</v>
      </c>
      <c r="B336">
        <v>9</v>
      </c>
      <c r="C336" t="str" cm="1">
        <f t="array" ref="C336">GetValue("Eng","Name",B336)</f>
        <v>Oracle</v>
      </c>
      <c r="D336">
        <v>31</v>
      </c>
      <c r="E336" t="str" cm="1">
        <f t="array" ref="E336">GetValue("Typ","Name",D336)</f>
        <v>tinyint (1 byte)</v>
      </c>
      <c r="F336" t="s">
        <v>218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GetValue("Eng","Name",B337)</f>
        <v>Oracle</v>
      </c>
      <c r="D337">
        <v>32</v>
      </c>
      <c r="E337" t="str" cm="1">
        <f t="array" ref="E337">GetValue("Typ","Name",D337)</f>
        <v>uniqueidentifier</v>
      </c>
      <c r="F337" t="s">
        <v>217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GetValue("Eng","Name",B338)</f>
        <v>Oracle</v>
      </c>
      <c r="D338">
        <v>33</v>
      </c>
      <c r="E338" t="str" cm="1">
        <f t="array" ref="E338">GetValue("Typ","Name",D338)</f>
        <v>varbinary(n)</v>
      </c>
      <c r="F338" t="s">
        <v>205</v>
      </c>
    </row>
    <row r="339" spans="1:7">
      <c r="A339">
        <f t="shared" si="5"/>
        <v>338</v>
      </c>
      <c r="B339">
        <v>9</v>
      </c>
      <c r="C339" t="str" cm="1">
        <f t="array" ref="C339">GetValue("Eng","Name",B339)</f>
        <v>Oracle</v>
      </c>
      <c r="D339">
        <v>34</v>
      </c>
      <c r="E339" t="str" cm="1">
        <f t="array" ref="E339">GetValue("Typ","Name",D339)</f>
        <v>varbinary(max)</v>
      </c>
      <c r="F339" t="s">
        <v>205</v>
      </c>
    </row>
    <row r="340" spans="1:7">
      <c r="A340">
        <f t="shared" si="5"/>
        <v>339</v>
      </c>
      <c r="B340">
        <v>9</v>
      </c>
      <c r="C340" t="str" cm="1">
        <f t="array" ref="C340">GetValue("Eng","Name",B340)</f>
        <v>Oracle</v>
      </c>
      <c r="D340">
        <v>35</v>
      </c>
      <c r="E340" t="str" cm="1">
        <f t="array" ref="E340">GetValue("Typ","Name",D340)</f>
        <v>varchar(n)</v>
      </c>
      <c r="F340" t="s">
        <v>224</v>
      </c>
    </row>
    <row r="341" spans="1:7">
      <c r="A341">
        <f t="shared" si="5"/>
        <v>340</v>
      </c>
      <c r="B341">
        <v>9</v>
      </c>
      <c r="C341" t="str" cm="1">
        <f t="array" ref="C341">GetValue("Eng","Name",B341)</f>
        <v>Oracle</v>
      </c>
      <c r="D341">
        <v>36</v>
      </c>
      <c r="E341" t="str" cm="1">
        <f t="array" ref="E341">GetValue("Typ","Name",D341)</f>
        <v>varchar(max)</v>
      </c>
      <c r="F341" t="s">
        <v>216</v>
      </c>
    </row>
    <row r="342" spans="1:7">
      <c r="A342">
        <f t="shared" si="5"/>
        <v>341</v>
      </c>
      <c r="B342">
        <v>9</v>
      </c>
      <c r="C342" t="str" cm="1">
        <f t="array" ref="C342">GetValue("Eng","Name",B342)</f>
        <v>Oracle</v>
      </c>
      <c r="D342">
        <v>37</v>
      </c>
      <c r="E342" t="str" cm="1">
        <f t="array" ref="E342">GetValue("Typ","Name",D342)</f>
        <v>xml</v>
      </c>
      <c r="F342" t="s">
        <v>225</v>
      </c>
    </row>
    <row r="343" spans="1:7">
      <c r="A343">
        <f t="shared" si="5"/>
        <v>342</v>
      </c>
      <c r="B343">
        <v>9</v>
      </c>
      <c r="C343" t="str" cm="1">
        <f t="array" ref="C343">GetValue("Eng","Name",B343)</f>
        <v>Oracle</v>
      </c>
      <c r="D343">
        <v>38</v>
      </c>
      <c r="E343" t="str" cm="1">
        <f t="array" ref="E343">GetValue("Typ","Name",D343)</f>
        <v>json</v>
      </c>
      <c r="F343" t="s">
        <v>63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GetValue("Eng","Name",B344)</f>
        <v>DB2</v>
      </c>
      <c r="D344">
        <v>1</v>
      </c>
      <c r="E344" t="str" cm="1">
        <f t="array" ref="E344">GetValue("Typ","Name",D344)</f>
        <v>bigint (8 bytes)</v>
      </c>
      <c r="F344" t="s">
        <v>153</v>
      </c>
    </row>
    <row r="345" spans="1:7">
      <c r="A345">
        <f t="shared" si="5"/>
        <v>344</v>
      </c>
      <c r="B345">
        <v>10</v>
      </c>
      <c r="C345" t="str" cm="1">
        <f t="array" ref="C345">GetValue("Eng","Name",B345)</f>
        <v>DB2</v>
      </c>
      <c r="D345">
        <v>2</v>
      </c>
      <c r="E345" t="str" cm="1">
        <f t="array" ref="E345">GetValue("Typ","Name",D345)</f>
        <v>binary</v>
      </c>
      <c r="F345" t="s">
        <v>205</v>
      </c>
    </row>
    <row r="346" spans="1:7">
      <c r="A346">
        <f t="shared" si="5"/>
        <v>345</v>
      </c>
      <c r="B346">
        <v>10</v>
      </c>
      <c r="C346" t="str" cm="1">
        <f t="array" ref="C346">GetValue("Eng","Name",B346)</f>
        <v>DB2</v>
      </c>
      <c r="D346">
        <v>3</v>
      </c>
      <c r="E346" t="str" cm="1">
        <f t="array" ref="E346">GetValue("Typ","Name",D346)</f>
        <v>bit (1 bit)</v>
      </c>
      <c r="F346" t="s">
        <v>154</v>
      </c>
    </row>
    <row r="347" spans="1:7">
      <c r="A347">
        <f t="shared" si="5"/>
        <v>346</v>
      </c>
      <c r="B347">
        <v>10</v>
      </c>
      <c r="C347" t="str" cm="1">
        <f t="array" ref="C347">GetValue("Eng","Name",B347)</f>
        <v>DB2</v>
      </c>
      <c r="D347">
        <v>4</v>
      </c>
      <c r="E347" t="str" cm="1">
        <f t="array" ref="E347">GetValue("Typ","Name",D347)</f>
        <v>char(n)</v>
      </c>
      <c r="F347" t="s">
        <v>155</v>
      </c>
    </row>
    <row r="348" spans="1:7">
      <c r="A348">
        <f t="shared" si="5"/>
        <v>347</v>
      </c>
      <c r="B348">
        <v>10</v>
      </c>
      <c r="C348" t="str" cm="1">
        <f t="array" ref="C348">GetValue("Eng","Name",B348)</f>
        <v>DB2</v>
      </c>
      <c r="D348">
        <v>5</v>
      </c>
      <c r="E348" t="str" cm="1">
        <f t="array" ref="E348">GetValue("Typ","Name",D348)</f>
        <v>date</v>
      </c>
      <c r="F348" t="s">
        <v>156</v>
      </c>
    </row>
    <row r="349" spans="1:7">
      <c r="A349">
        <f t="shared" si="5"/>
        <v>348</v>
      </c>
      <c r="B349">
        <v>10</v>
      </c>
      <c r="C349" t="str" cm="1">
        <f t="array" ref="C349">GetValue("Eng","Name",B349)</f>
        <v>DB2</v>
      </c>
      <c r="D349">
        <v>6</v>
      </c>
      <c r="E349" t="str" cm="1">
        <f t="array" ref="E349">GetValue("Typ","Name",D349)</f>
        <v>datetime</v>
      </c>
      <c r="F349" t="s">
        <v>157</v>
      </c>
    </row>
    <row r="350" spans="1:7">
      <c r="A350">
        <f t="shared" si="5"/>
        <v>349</v>
      </c>
      <c r="B350">
        <v>10</v>
      </c>
      <c r="C350" t="str" cm="1">
        <f t="array" ref="C350">GetValue("Eng","Name",B350)</f>
        <v>DB2</v>
      </c>
      <c r="D350">
        <v>7</v>
      </c>
      <c r="E350" t="str" cm="1">
        <f t="array" ref="E350">GetValue("Typ","Name",D350)</f>
        <v>datetime2(s)</v>
      </c>
      <c r="F350" t="s">
        <v>157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GetValue("Eng","Name",B351)</f>
        <v>DB2</v>
      </c>
      <c r="D351">
        <v>8</v>
      </c>
      <c r="E351" t="str" cm="1">
        <f t="array" ref="E351">GetValue("Typ","Name",D351)</f>
        <v>datetimeoffset(s)</v>
      </c>
      <c r="F351" t="s">
        <v>158</v>
      </c>
    </row>
    <row r="352" spans="1:7">
      <c r="A352">
        <f t="shared" si="5"/>
        <v>351</v>
      </c>
      <c r="B352">
        <v>10</v>
      </c>
      <c r="C352" t="str" cm="1">
        <f t="array" ref="C352">GetValue("Eng","Name",B352)</f>
        <v>DB2</v>
      </c>
      <c r="D352">
        <v>9</v>
      </c>
      <c r="E352" t="str" cm="1">
        <f t="array" ref="E352">GetValue("Typ","Name",D352)</f>
        <v>decimal(p ,s)</v>
      </c>
      <c r="F352" t="s">
        <v>196</v>
      </c>
    </row>
    <row r="353" spans="1:8">
      <c r="A353">
        <f t="shared" si="5"/>
        <v>352</v>
      </c>
      <c r="B353">
        <v>10</v>
      </c>
      <c r="C353" t="str" cm="1">
        <f t="array" ref="C353">GetValue("Eng","Name",B353)</f>
        <v>DB2</v>
      </c>
      <c r="D353">
        <v>10</v>
      </c>
      <c r="E353" t="str" cm="1">
        <f t="array" ref="E353">GetValue("Typ","Name",D353)</f>
        <v>float(n)</v>
      </c>
      <c r="F353" t="s">
        <v>159</v>
      </c>
    </row>
    <row r="354" spans="1:8">
      <c r="A354">
        <f t="shared" si="5"/>
        <v>353</v>
      </c>
      <c r="B354">
        <v>10</v>
      </c>
      <c r="C354" t="str" cm="1">
        <f t="array" ref="C354">GetValue("Eng","Name",B354)</f>
        <v>DB2</v>
      </c>
      <c r="D354">
        <v>11</v>
      </c>
      <c r="E354" t="str" cm="1">
        <f t="array" ref="E354">GetValue("Typ","Name",D354)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GetValue("Eng","Name",B355)</f>
        <v>DB2</v>
      </c>
      <c r="D355">
        <v>12</v>
      </c>
      <c r="E355" t="str" cm="1">
        <f t="array" ref="E355">GetValue("Typ","Name",D355)</f>
        <v>geometry</v>
      </c>
      <c r="F355" t="s">
        <v>206</v>
      </c>
    </row>
    <row r="356" spans="1:8">
      <c r="A356">
        <f t="shared" si="5"/>
        <v>355</v>
      </c>
      <c r="B356">
        <v>10</v>
      </c>
      <c r="C356" t="str" cm="1">
        <f t="array" ref="C356">GetValue("Eng","Name",B356)</f>
        <v>DB2</v>
      </c>
      <c r="D356">
        <v>13</v>
      </c>
      <c r="E356" t="str" cm="1">
        <f t="array" ref="E356">GetValue("Typ","Name",D356)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GetValue("Eng","Name",B357)</f>
        <v>DB2</v>
      </c>
      <c r="D357">
        <v>14</v>
      </c>
      <c r="E357" t="str" cm="1">
        <f t="array" ref="E357">GetValue("Typ","Name",D357)</f>
        <v>image</v>
      </c>
      <c r="F357" t="s">
        <v>205</v>
      </c>
    </row>
    <row r="358" spans="1:8">
      <c r="A358">
        <f t="shared" si="5"/>
        <v>357</v>
      </c>
      <c r="B358">
        <v>10</v>
      </c>
      <c r="C358" t="str" cm="1">
        <f t="array" ref="C358">GetValue("Eng","Name",B358)</f>
        <v>DB2</v>
      </c>
      <c r="D358">
        <v>15</v>
      </c>
      <c r="E358" t="str" cm="1">
        <f t="array" ref="E358">GetValue("Typ","Name",D358)</f>
        <v>int (4 bytes)</v>
      </c>
      <c r="F358" t="s">
        <v>160</v>
      </c>
    </row>
    <row r="359" spans="1:8">
      <c r="A359">
        <f t="shared" si="5"/>
        <v>358</v>
      </c>
      <c r="B359">
        <v>10</v>
      </c>
      <c r="C359" t="str" cm="1">
        <f t="array" ref="C359">GetValue("Eng","Name",B359)</f>
        <v>DB2</v>
      </c>
      <c r="D359">
        <v>16</v>
      </c>
      <c r="E359" t="str" cm="1">
        <f t="array" ref="E359">GetValue("Typ","Name",D359)</f>
        <v>money</v>
      </c>
      <c r="F359" t="s">
        <v>196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GetValue("Eng","Name",B360)</f>
        <v>DB2</v>
      </c>
      <c r="D360">
        <v>17</v>
      </c>
      <c r="E360" t="str" cm="1">
        <f t="array" ref="E360">GetValue("Typ","Name",D360)</f>
        <v>nchar(n)</v>
      </c>
      <c r="F360" t="s">
        <v>226</v>
      </c>
    </row>
    <row r="361" spans="1:8">
      <c r="A361">
        <f t="shared" si="5"/>
        <v>360</v>
      </c>
      <c r="B361">
        <v>10</v>
      </c>
      <c r="C361" t="str" cm="1">
        <f t="array" ref="C361">GetValue("Eng","Name",B361)</f>
        <v>DB2</v>
      </c>
      <c r="D361">
        <v>18</v>
      </c>
      <c r="E361" t="str" cm="1">
        <f t="array" ref="E361">GetValue("Typ","Name",D361)</f>
        <v>ntext</v>
      </c>
      <c r="F361" t="s">
        <v>216</v>
      </c>
    </row>
    <row r="362" spans="1:8">
      <c r="A362">
        <f t="shared" si="5"/>
        <v>361</v>
      </c>
      <c r="B362">
        <v>10</v>
      </c>
      <c r="C362" t="str" cm="1">
        <f t="array" ref="C362">GetValue("Eng","Name",B362)</f>
        <v>DB2</v>
      </c>
      <c r="D362">
        <v>19</v>
      </c>
      <c r="E362" t="str" cm="1">
        <f t="array" ref="E362">GetValue("Typ","Name",D362)</f>
        <v>numeric(p,s)</v>
      </c>
      <c r="F362" t="s">
        <v>197</v>
      </c>
    </row>
    <row r="363" spans="1:8">
      <c r="A363">
        <f t="shared" si="5"/>
        <v>362</v>
      </c>
      <c r="B363">
        <v>10</v>
      </c>
      <c r="C363" t="str" cm="1">
        <f t="array" ref="C363">GetValue("Eng","Name",B363)</f>
        <v>DB2</v>
      </c>
      <c r="D363">
        <v>20</v>
      </c>
      <c r="E363" t="str" cm="1">
        <f t="array" ref="E363">GetValue("Typ","Name",D363)</f>
        <v>nvarchar(n)</v>
      </c>
      <c r="F363" t="s">
        <v>227</v>
      </c>
    </row>
    <row r="364" spans="1:8">
      <c r="A364">
        <f t="shared" si="5"/>
        <v>363</v>
      </c>
      <c r="B364">
        <v>10</v>
      </c>
      <c r="C364" t="str" cm="1">
        <f t="array" ref="C364">GetValue("Eng","Name",B364)</f>
        <v>DB2</v>
      </c>
      <c r="D364">
        <v>21</v>
      </c>
      <c r="E364" t="str" cm="1">
        <f t="array" ref="E364">GetValue("Typ","Name",D364)</f>
        <v>nvarchar(max)</v>
      </c>
      <c r="F364" t="s">
        <v>216</v>
      </c>
    </row>
    <row r="365" spans="1:8">
      <c r="A365">
        <f t="shared" si="5"/>
        <v>364</v>
      </c>
      <c r="B365">
        <v>10</v>
      </c>
      <c r="C365" t="str" cm="1">
        <f t="array" ref="C365">GetValue("Eng","Name",B365)</f>
        <v>DB2</v>
      </c>
      <c r="D365">
        <v>22</v>
      </c>
      <c r="E365" t="str" cm="1">
        <f t="array" ref="E365">GetValue("Typ","Name",D365)</f>
        <v>real</v>
      </c>
      <c r="F365" t="s">
        <v>161</v>
      </c>
    </row>
    <row r="366" spans="1:8">
      <c r="A366">
        <f t="shared" si="5"/>
        <v>365</v>
      </c>
      <c r="B366">
        <v>10</v>
      </c>
      <c r="C366" t="str" cm="1">
        <f t="array" ref="C366">GetValue("Eng","Name",B366)</f>
        <v>DB2</v>
      </c>
      <c r="D366">
        <v>23</v>
      </c>
      <c r="E366" t="str" cm="1">
        <f t="array" ref="E366">GetValue("Typ","Name",D366)</f>
        <v>smalldatetime</v>
      </c>
      <c r="F366" t="s">
        <v>157</v>
      </c>
    </row>
    <row r="367" spans="1:8">
      <c r="A367">
        <f t="shared" si="5"/>
        <v>366</v>
      </c>
      <c r="B367">
        <v>10</v>
      </c>
      <c r="C367" t="str" cm="1">
        <f t="array" ref="C367">GetValue("Eng","Name",B367)</f>
        <v>DB2</v>
      </c>
      <c r="D367">
        <v>24</v>
      </c>
      <c r="E367" t="str" cm="1">
        <f t="array" ref="E367">GetValue("Typ","Name",D367)</f>
        <v>smallint (2 bytes)</v>
      </c>
      <c r="F367" t="s">
        <v>154</v>
      </c>
    </row>
    <row r="368" spans="1:8">
      <c r="A368">
        <f t="shared" si="5"/>
        <v>367</v>
      </c>
      <c r="B368">
        <v>10</v>
      </c>
      <c r="C368" t="str" cm="1">
        <f t="array" ref="C368">GetValue("Eng","Name",B368)</f>
        <v>DB2</v>
      </c>
      <c r="D368">
        <v>25</v>
      </c>
      <c r="E368" t="str" cm="1">
        <f t="array" ref="E368">GetValue("Typ","Name",D368)</f>
        <v>smallmoney</v>
      </c>
      <c r="F368" t="s">
        <v>196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GetValue("Eng","Name",B369)</f>
        <v>DB2</v>
      </c>
      <c r="D369">
        <v>26</v>
      </c>
      <c r="E369" t="str" cm="1">
        <f t="array" ref="E369">GetValue("Typ","Name",D369)</f>
        <v>sql_variant</v>
      </c>
      <c r="F369" t="s">
        <v>164</v>
      </c>
    </row>
    <row r="370" spans="1:7">
      <c r="A370">
        <f t="shared" si="5"/>
        <v>369</v>
      </c>
      <c r="B370">
        <v>10</v>
      </c>
      <c r="C370" t="str" cm="1">
        <f t="array" ref="C370">GetValue("Eng","Name",B370)</f>
        <v>DB2</v>
      </c>
      <c r="D370">
        <v>27</v>
      </c>
      <c r="E370" t="str" cm="1">
        <f t="array" ref="E370">GetValue("Typ","Name",D370)</f>
        <v>sysname</v>
      </c>
      <c r="F370" t="s">
        <v>163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GetValue("Eng","Name",B371)</f>
        <v>DB2</v>
      </c>
      <c r="D371">
        <v>28</v>
      </c>
      <c r="E371" t="str" cm="1">
        <f t="array" ref="E371">GetValue("Typ","Name",D371)</f>
        <v>text</v>
      </c>
      <c r="F371" t="s">
        <v>216</v>
      </c>
    </row>
    <row r="372" spans="1:7">
      <c r="A372">
        <f t="shared" si="5"/>
        <v>371</v>
      </c>
      <c r="B372">
        <v>10</v>
      </c>
      <c r="C372" t="str" cm="1">
        <f t="array" ref="C372">GetValue("Eng","Name",B372)</f>
        <v>DB2</v>
      </c>
      <c r="D372">
        <v>29</v>
      </c>
      <c r="E372" t="str" cm="1">
        <f t="array" ref="E372">GetValue("Typ","Name",D372)</f>
        <v>time(s)</v>
      </c>
      <c r="F372" t="s">
        <v>162</v>
      </c>
    </row>
    <row r="373" spans="1:7">
      <c r="A373">
        <f t="shared" si="5"/>
        <v>372</v>
      </c>
      <c r="B373">
        <v>10</v>
      </c>
      <c r="C373" t="str" cm="1">
        <f t="array" ref="C373">GetValue("Eng","Name",B373)</f>
        <v>DB2</v>
      </c>
      <c r="D373">
        <v>30</v>
      </c>
      <c r="E373" t="str" cm="1">
        <f t="array" ref="E373">GetValue("Typ","Name",D373)</f>
        <v>timestamp</v>
      </c>
      <c r="F373" t="s">
        <v>157</v>
      </c>
    </row>
    <row r="374" spans="1:7">
      <c r="A374">
        <f t="shared" si="5"/>
        <v>373</v>
      </c>
      <c r="B374">
        <v>10</v>
      </c>
      <c r="C374" t="str" cm="1">
        <f t="array" ref="C374">GetValue("Eng","Name",B374)</f>
        <v>DB2</v>
      </c>
      <c r="D374">
        <v>31</v>
      </c>
      <c r="E374" t="str" cm="1">
        <f t="array" ref="E374">GetValue("Typ","Name",D374)</f>
        <v>tinyint (1 byte)</v>
      </c>
      <c r="F374" t="s">
        <v>154</v>
      </c>
    </row>
    <row r="375" spans="1:7">
      <c r="A375">
        <f t="shared" si="5"/>
        <v>374</v>
      </c>
      <c r="B375">
        <v>10</v>
      </c>
      <c r="C375" t="str" cm="1">
        <f t="array" ref="C375">GetValue("Eng","Name",B375)</f>
        <v>DB2</v>
      </c>
      <c r="D375">
        <v>32</v>
      </c>
      <c r="E375" t="str" cm="1">
        <f t="array" ref="E375">GetValue("Typ","Name",D375)</f>
        <v>uniqueidentifier</v>
      </c>
      <c r="F375" t="s">
        <v>155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GetValue("Eng","Name",B376)</f>
        <v>DB2</v>
      </c>
      <c r="D376">
        <v>33</v>
      </c>
      <c r="E376" t="str" cm="1">
        <f t="array" ref="E376">GetValue("Typ","Name",D376)</f>
        <v>varbinary(n)</v>
      </c>
      <c r="F376" t="s">
        <v>205</v>
      </c>
    </row>
    <row r="377" spans="1:7">
      <c r="A377">
        <f t="shared" si="5"/>
        <v>376</v>
      </c>
      <c r="B377">
        <v>10</v>
      </c>
      <c r="C377" t="str" cm="1">
        <f t="array" ref="C377">GetValue("Eng","Name",B377)</f>
        <v>DB2</v>
      </c>
      <c r="D377">
        <v>34</v>
      </c>
      <c r="E377" t="str" cm="1">
        <f t="array" ref="E377">GetValue("Typ","Name",D377)</f>
        <v>varbinary(max)</v>
      </c>
      <c r="F377" t="s">
        <v>205</v>
      </c>
    </row>
    <row r="378" spans="1:7">
      <c r="A378">
        <f t="shared" si="5"/>
        <v>377</v>
      </c>
      <c r="B378">
        <v>10</v>
      </c>
      <c r="C378" t="str" cm="1">
        <f t="array" ref="C378">GetValue("Eng","Name",B378)</f>
        <v>DB2</v>
      </c>
      <c r="D378">
        <v>35</v>
      </c>
      <c r="E378" t="str" cm="1">
        <f t="array" ref="E378">GetValue("Typ","Name",D378)</f>
        <v>varchar(n)</v>
      </c>
      <c r="F378" t="s">
        <v>163</v>
      </c>
    </row>
    <row r="379" spans="1:7">
      <c r="A379">
        <f t="shared" si="5"/>
        <v>378</v>
      </c>
      <c r="B379">
        <v>10</v>
      </c>
      <c r="C379" t="str" cm="1">
        <f t="array" ref="C379">GetValue("Eng","Name",B379)</f>
        <v>DB2</v>
      </c>
      <c r="D379">
        <v>36</v>
      </c>
      <c r="E379" t="str" cm="1">
        <f t="array" ref="E379">GetValue("Typ","Name",D379)</f>
        <v>varchar(max)</v>
      </c>
      <c r="F379" t="s">
        <v>216</v>
      </c>
    </row>
    <row r="380" spans="1:7">
      <c r="A380">
        <f t="shared" si="5"/>
        <v>379</v>
      </c>
      <c r="B380">
        <v>10</v>
      </c>
      <c r="C380" t="str" cm="1">
        <f t="array" ref="C380">GetValue("Eng","Name",B380)</f>
        <v>DB2</v>
      </c>
      <c r="D380">
        <v>37</v>
      </c>
      <c r="E380" t="str" cm="1">
        <f t="array" ref="E380">GetValue("Typ","Name",D380)</f>
        <v>xml</v>
      </c>
      <c r="F380" t="s">
        <v>164</v>
      </c>
    </row>
    <row r="381" spans="1:7">
      <c r="A381">
        <f t="shared" si="5"/>
        <v>380</v>
      </c>
      <c r="B381">
        <v>10</v>
      </c>
      <c r="C381" t="str" cm="1">
        <f t="array" ref="C381">GetValue("Eng","Name",B381)</f>
        <v>DB2</v>
      </c>
      <c r="D381">
        <v>38</v>
      </c>
      <c r="E381" t="str" cm="1">
        <f t="array" ref="E381">GetValue("Typ","Name",D381)</f>
        <v>json</v>
      </c>
      <c r="F381" t="s">
        <v>63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G6"/>
  <sheetViews>
    <sheetView workbookViewId="0">
      <pane ySplit="1" topLeftCell="A2" activePane="bottomLeft" state="frozen"/>
      <selection pane="bottomLeft" activeCell="F2" sqref="F2"/>
    </sheetView>
  </sheetViews>
  <sheetFormatPr defaultRowHeight="14.4"/>
  <cols>
    <col min="1" max="1" width="3.6640625" bestFit="1" customWidth="1"/>
    <col min="2" max="2" width="9" bestFit="1" customWidth="1"/>
    <col min="3" max="3" width="132.6640625" customWidth="1"/>
    <col min="4" max="4" width="8.6640625" bestFit="1" customWidth="1"/>
    <col min="5" max="5" width="13.44140625" bestFit="1" customWidth="1"/>
    <col min="6" max="6" width="16.21875" bestFit="1" customWidth="1"/>
    <col min="7" max="7" width="12.44140625" bestFit="1" customWidth="1"/>
  </cols>
  <sheetData>
    <row r="1" spans="1:7" s="1" customFormat="1">
      <c r="A1" s="1" t="s">
        <v>561</v>
      </c>
      <c r="B1" s="1" t="s">
        <v>0</v>
      </c>
      <c r="C1" s="1" t="s">
        <v>184</v>
      </c>
      <c r="D1" s="1" t="s">
        <v>364</v>
      </c>
      <c r="E1" s="1" t="s">
        <v>183</v>
      </c>
      <c r="F1" s="1" t="s">
        <v>595</v>
      </c>
      <c r="G1" s="1" t="s">
        <v>23</v>
      </c>
    </row>
    <row r="2" spans="1:7">
      <c r="A2">
        <f>ROW(A2)-1</f>
        <v>1</v>
      </c>
      <c r="B2" t="s">
        <v>291</v>
      </c>
      <c r="C2" t="s">
        <v>185</v>
      </c>
      <c r="D2">
        <v>1</v>
      </c>
      <c r="E2" t="str" cm="1">
        <f t="array" ref="E2">GetValue("Eng","Name",D2)</f>
        <v>SQL Server</v>
      </c>
      <c r="F2" t="b">
        <v>0</v>
      </c>
      <c r="G2" t="b">
        <v>1</v>
      </c>
    </row>
    <row r="3" spans="1:7">
      <c r="A3">
        <f>ROW(A3)-1</f>
        <v>2</v>
      </c>
      <c r="B3" t="s">
        <v>186</v>
      </c>
      <c r="C3" t="s">
        <v>187</v>
      </c>
      <c r="D3">
        <v>1</v>
      </c>
      <c r="E3" t="str" cm="1">
        <f t="array" ref="E3">GetValue("Eng","Name",D3)</f>
        <v>SQL Server</v>
      </c>
      <c r="F3" t="b">
        <v>0</v>
      </c>
      <c r="G3" t="b">
        <v>0</v>
      </c>
    </row>
    <row r="4" spans="1:7">
      <c r="A4">
        <f>ROW(A4)-1</f>
        <v>3</v>
      </c>
      <c r="B4" t="s">
        <v>188</v>
      </c>
      <c r="C4" t="s">
        <v>189</v>
      </c>
      <c r="D4">
        <v>1</v>
      </c>
      <c r="E4" t="str" cm="1">
        <f t="array" ref="E4">GetValue("Eng","Name",D4)</f>
        <v>SQL Server</v>
      </c>
      <c r="F4" t="b">
        <v>0</v>
      </c>
      <c r="G4" t="b">
        <v>0</v>
      </c>
    </row>
    <row r="5" spans="1:7">
      <c r="A5">
        <f>ROW(A5)-1</f>
        <v>4</v>
      </c>
      <c r="B5" t="s">
        <v>190</v>
      </c>
      <c r="C5" t="s">
        <v>191</v>
      </c>
      <c r="D5">
        <v>1</v>
      </c>
      <c r="E5" t="str" cm="1">
        <f t="array" ref="E5">GetValue("Eng","Name",D5)</f>
        <v>SQL Server</v>
      </c>
      <c r="F5" t="b">
        <v>0</v>
      </c>
      <c r="G5" t="b">
        <v>0</v>
      </c>
    </row>
    <row r="6" spans="1:7">
      <c r="A6">
        <f>ROW(A6)-1</f>
        <v>5</v>
      </c>
      <c r="B6" t="s">
        <v>192</v>
      </c>
      <c r="C6" t="s">
        <v>193</v>
      </c>
      <c r="D6">
        <v>1</v>
      </c>
      <c r="E6" t="str" cm="1">
        <f t="array" ref="E6">GetValue("Eng","Name",D6)</f>
        <v>SQL Server</v>
      </c>
      <c r="F6" t="b">
        <v>0</v>
      </c>
      <c r="G6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4"/>
  <sheetViews>
    <sheetView zoomScaleNormal="100" workbookViewId="0">
      <pane ySplit="1" topLeftCell="A29" activePane="bottomLeft" state="frozen"/>
      <selection pane="bottomLeft" activeCell="L52" sqref="L52"/>
    </sheetView>
  </sheetViews>
  <sheetFormatPr defaultColWidth="54.88671875"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77734375" bestFit="1" customWidth="1"/>
    <col min="5" max="5" width="14.77734375" bestFit="1" customWidth="1"/>
    <col min="6" max="6" width="14.6640625" bestFit="1" customWidth="1"/>
    <col min="7" max="7" width="16.33203125" bestFit="1" customWidth="1"/>
    <col min="8" max="8" width="6.77734375" bestFit="1" customWidth="1"/>
    <col min="9" max="9" width="8.441406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9.88671875" bestFit="1" customWidth="1"/>
    <col min="14" max="14" width="36.33203125" bestFit="1" customWidth="1"/>
    <col min="15" max="15" width="24" bestFit="1" customWidth="1"/>
  </cols>
  <sheetData>
    <row r="1" spans="1:15" s="1" customFormat="1">
      <c r="A1" s="1" t="s">
        <v>561</v>
      </c>
      <c r="B1" s="1" t="s">
        <v>594</v>
      </c>
      <c r="C1" s="1" t="s">
        <v>593</v>
      </c>
      <c r="D1" s="1" t="s">
        <v>52</v>
      </c>
      <c r="E1" s="1" t="s">
        <v>106</v>
      </c>
      <c r="F1" s="1" t="s">
        <v>105</v>
      </c>
      <c r="G1" s="1" t="s">
        <v>0</v>
      </c>
      <c r="H1" s="1" t="s">
        <v>54</v>
      </c>
      <c r="I1" s="1" t="s">
        <v>55</v>
      </c>
      <c r="J1" s="1" t="s">
        <v>56</v>
      </c>
      <c r="K1" s="1" t="s">
        <v>16</v>
      </c>
      <c r="L1" s="1" t="s">
        <v>17</v>
      </c>
      <c r="M1" s="1" t="s">
        <v>410</v>
      </c>
      <c r="N1" s="1" t="s">
        <v>100</v>
      </c>
      <c r="O1" s="1" t="s">
        <v>516</v>
      </c>
    </row>
    <row r="2" spans="1:15">
      <c r="A2">
        <f>ROW(A2)-1</f>
        <v>1</v>
      </c>
      <c r="B2">
        <v>1</v>
      </c>
      <c r="C2" t="str" cm="1">
        <f t="array" ref="C2">GetValue("Own","Name",B2)</f>
        <v>SoftLab</v>
      </c>
      <c r="D2">
        <v>1</v>
      </c>
      <c r="E2" t="str" cm="1">
        <f t="array" ref="E2">GetValue("Typ","Name",D2)</f>
        <v>bigint (8 bytes)</v>
      </c>
      <c r="F2" t="str" cm="1">
        <f t="array" ref="F2">GetValue("Typ","#CategoryName",D2)</f>
        <v>number</v>
      </c>
      <c r="G2" t="s">
        <v>57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GetValue("Own","Name",B3)</f>
        <v>SoftLab</v>
      </c>
      <c r="D3">
        <v>15</v>
      </c>
      <c r="E3" t="str" cm="1">
        <f t="array" ref="E3">GetValue("Typ","Name",D3)</f>
        <v>int (4 bytes)</v>
      </c>
      <c r="F3" t="str" cm="1">
        <f t="array" ref="F3">GetValue("Typ","#CategoryName",D3)</f>
        <v>number</v>
      </c>
      <c r="G3" t="s">
        <v>58</v>
      </c>
    </row>
    <row r="4" spans="1:15">
      <c r="A4">
        <f t="shared" si="0"/>
        <v>3</v>
      </c>
      <c r="B4">
        <v>1</v>
      </c>
      <c r="C4" t="str" cm="1">
        <f t="array" ref="C4">GetValue("Own","Name",B4)</f>
        <v>SoftLab</v>
      </c>
      <c r="D4">
        <v>15</v>
      </c>
      <c r="E4" t="str" cm="1">
        <f t="array" ref="E4">GetValue("Typ","Name",D4)</f>
        <v>int (4 bytes)</v>
      </c>
      <c r="F4" t="str" cm="1">
        <f t="array" ref="F4">GetValue("Typ","#CategoryName",D4)</f>
        <v>number</v>
      </c>
      <c r="G4" t="s">
        <v>59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GetValue("Own","Name",B5)</f>
        <v>SoftLab</v>
      </c>
      <c r="D5">
        <v>24</v>
      </c>
      <c r="E5" t="str" cm="1">
        <f t="array" ref="E5">GetValue("Typ","Name",D5)</f>
        <v>smallint (2 bytes)</v>
      </c>
      <c r="F5" t="str" cm="1">
        <f t="array" ref="F5">GetValue("Typ","#CategoryName",D5)</f>
        <v>number</v>
      </c>
      <c r="G5" t="s">
        <v>60</v>
      </c>
    </row>
    <row r="6" spans="1:15">
      <c r="A6">
        <f t="shared" si="0"/>
        <v>5</v>
      </c>
      <c r="B6">
        <v>1</v>
      </c>
      <c r="C6" t="str" cm="1">
        <f t="array" ref="C6">GetValue("Own","Name",B6)</f>
        <v>SoftLab</v>
      </c>
      <c r="D6">
        <v>31</v>
      </c>
      <c r="E6" t="str" cm="1">
        <f t="array" ref="E6">GetValue("Typ","Name",D6)</f>
        <v>tinyint (1 byte)</v>
      </c>
      <c r="F6" t="str" cm="1">
        <f t="array" ref="F6">GetValue("Typ","#CategoryName",D6)</f>
        <v>number</v>
      </c>
      <c r="G6" t="s">
        <v>61</v>
      </c>
    </row>
    <row r="7" spans="1:15">
      <c r="A7">
        <f t="shared" si="0"/>
        <v>6</v>
      </c>
      <c r="B7">
        <v>1</v>
      </c>
      <c r="C7" t="str" cm="1">
        <f t="array" ref="C7">GetValue("Own","Name",B7)</f>
        <v>SoftLab</v>
      </c>
      <c r="D7">
        <v>3</v>
      </c>
      <c r="E7" t="str" cm="1">
        <f t="array" ref="E7">GetValue("Typ","Name",D7)</f>
        <v>bit (1 bit)</v>
      </c>
      <c r="F7" t="str" cm="1">
        <f t="array" ref="F7">GetValue("Typ","#CategoryName",D7)</f>
        <v>boolean</v>
      </c>
      <c r="G7" t="s">
        <v>62</v>
      </c>
    </row>
    <row r="8" spans="1:15">
      <c r="A8">
        <f t="shared" si="0"/>
        <v>7</v>
      </c>
      <c r="B8">
        <v>1</v>
      </c>
      <c r="C8" t="str" cm="1">
        <f t="array" ref="C8">GetValue("Own","Name",B8)</f>
        <v>SoftLab</v>
      </c>
      <c r="D8">
        <v>6</v>
      </c>
      <c r="E8" t="str" cm="1">
        <f t="array" ref="E8">GetValue("Typ","Name",D8)</f>
        <v>datetime</v>
      </c>
      <c r="F8" t="str" cm="1">
        <f t="array" ref="F8">GetValue("Typ","#CategoryName",D8)</f>
        <v>datetime</v>
      </c>
      <c r="G8" t="s">
        <v>173</v>
      </c>
    </row>
    <row r="9" spans="1:15">
      <c r="A9">
        <f t="shared" si="0"/>
        <v>8</v>
      </c>
      <c r="B9">
        <v>1</v>
      </c>
      <c r="C9" t="str" cm="1">
        <f t="array" ref="C9">GetValue("Own","Name",B9)</f>
        <v>SoftLab</v>
      </c>
      <c r="D9">
        <v>20</v>
      </c>
      <c r="E9" t="str" cm="1">
        <f t="array" ref="E9">GetValue("Typ","Name",D9)</f>
        <v>nvarchar(n)</v>
      </c>
      <c r="F9" t="str" cm="1">
        <f t="array" ref="F9">GetValue("Typ","#CategoryName",D9)</f>
        <v>string</v>
      </c>
      <c r="G9" t="s">
        <v>646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GetValue("Own","Name",B10)</f>
        <v>SoftLab</v>
      </c>
      <c r="D10">
        <v>20</v>
      </c>
      <c r="E10" t="str" cm="1">
        <f t="array" ref="E10">GetValue("Typ","Name",D10)</f>
        <v>nvarchar(n)</v>
      </c>
      <c r="F10" t="str" cm="1">
        <f t="array" ref="F10">GetValue("Typ","#CategoryName",D10)</f>
        <v>string</v>
      </c>
      <c r="G10" t="s">
        <v>647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GetValue("Own","Name",B11)</f>
        <v>SoftLab</v>
      </c>
      <c r="D11">
        <v>20</v>
      </c>
      <c r="E11" t="str" cm="1">
        <f t="array" ref="E11">GetValue("Typ","Name",D11)</f>
        <v>nvarchar(n)</v>
      </c>
      <c r="F11" t="str" cm="1">
        <f t="array" ref="F11">GetValue("Typ","#CategoryName",D11)</f>
        <v>string</v>
      </c>
      <c r="G11" t="s">
        <v>648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GetValue("Own","Name",B12)</f>
        <v>SoftLab</v>
      </c>
      <c r="D12">
        <v>20</v>
      </c>
      <c r="E12" t="str" cm="1">
        <f t="array" ref="E12">GetValue("Typ","Name",D12)</f>
        <v>nvarchar(n)</v>
      </c>
      <c r="F12" t="str" cm="1">
        <f t="array" ref="F12">GetValue("Typ","#CategoryName",D12)</f>
        <v>string</v>
      </c>
      <c r="G12" t="s">
        <v>649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GetValue("Own","Name",B13)</f>
        <v>SoftLab</v>
      </c>
      <c r="D13">
        <v>20</v>
      </c>
      <c r="E13" t="str" cm="1">
        <f t="array" ref="E13">GetValue("Typ","Name",D13)</f>
        <v>nvarchar(n)</v>
      </c>
      <c r="F13" t="str" cm="1">
        <f t="array" ref="F13">GetValue("Typ","#CategoryName",D13)</f>
        <v>string</v>
      </c>
      <c r="G13" t="s">
        <v>650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GetValue("Own","Name",B14)</f>
        <v>SoftLab</v>
      </c>
      <c r="D14">
        <v>21</v>
      </c>
      <c r="E14" t="str" cm="1">
        <f t="array" ref="E14">GetValue("Typ","Name",D14)</f>
        <v>nvarchar(max)</v>
      </c>
      <c r="F14" t="str" cm="1">
        <f t="array" ref="F14">GetValue("Typ","#CategoryName",D14)</f>
        <v>text</v>
      </c>
      <c r="G14" t="s">
        <v>651</v>
      </c>
    </row>
    <row r="15" spans="1:15">
      <c r="A15">
        <f>ROW(A15)-1</f>
        <v>14</v>
      </c>
      <c r="B15">
        <v>1</v>
      </c>
      <c r="C15" t="str" cm="1">
        <f t="array" ref="C15">GetValue("Own","Name",B15)</f>
        <v>SoftLab</v>
      </c>
      <c r="D15">
        <v>17</v>
      </c>
      <c r="E15" t="str" cm="1">
        <f t="array" ref="E15">GetValue("Typ","Name",D15)</f>
        <v>nchar(n)</v>
      </c>
      <c r="F15" t="str" cm="1">
        <f t="array" ref="F15">GetValue("Typ","#CategoryName",D15)</f>
        <v>string</v>
      </c>
      <c r="G15" t="s">
        <v>652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GetValue("Own","Name",B16)</f>
        <v>SoftLab</v>
      </c>
      <c r="D16">
        <v>35</v>
      </c>
      <c r="E16" t="str" cm="1">
        <f t="array" ref="E16">GetValue("Typ","Name",D16)</f>
        <v>varchar(n)</v>
      </c>
      <c r="F16" t="str" cm="1">
        <f t="array" ref="F16">GetValue("Typ","#CategoryName",D16)</f>
        <v>string</v>
      </c>
      <c r="G16" t="s">
        <v>653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GetValue("Own","Name",B17)</f>
        <v>SoftLab</v>
      </c>
      <c r="D17">
        <v>35</v>
      </c>
      <c r="E17" t="str" cm="1">
        <f t="array" ref="E17">GetValue("Typ","Name",D17)</f>
        <v>varchar(n)</v>
      </c>
      <c r="F17" t="str" cm="1">
        <f t="array" ref="F17">GetValue("Typ","#CategoryName",D17)</f>
        <v>string</v>
      </c>
      <c r="G17" t="s">
        <v>654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GetValue("Own","Name",B18)</f>
        <v>SoftLab</v>
      </c>
      <c r="D18">
        <v>35</v>
      </c>
      <c r="E18" t="str" cm="1">
        <f t="array" ref="E18">GetValue("Typ","Name",D18)</f>
        <v>varchar(n)</v>
      </c>
      <c r="F18" t="str" cm="1">
        <f t="array" ref="F18">GetValue("Typ","#CategoryName",D18)</f>
        <v>string</v>
      </c>
      <c r="G18" t="s">
        <v>655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GetValue("Own","Name",B19)</f>
        <v>SoftLab</v>
      </c>
      <c r="D19">
        <v>35</v>
      </c>
      <c r="E19" t="str" cm="1">
        <f t="array" ref="E19">GetValue("Typ","Name",D19)</f>
        <v>varchar(n)</v>
      </c>
      <c r="F19" t="str" cm="1">
        <f t="array" ref="F19">GetValue("Typ","#CategoryName",D19)</f>
        <v>string</v>
      </c>
      <c r="G19" t="s">
        <v>656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GetValue("Own","Name",B20)</f>
        <v>SoftLab</v>
      </c>
      <c r="D20">
        <v>35</v>
      </c>
      <c r="E20" t="str" cm="1">
        <f t="array" ref="E20">GetValue("Typ","Name",D20)</f>
        <v>varchar(n)</v>
      </c>
      <c r="F20" t="str" cm="1">
        <f t="array" ref="F20">GetValue("Typ","#CategoryName",D20)</f>
        <v>string</v>
      </c>
      <c r="G20" t="s">
        <v>657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GetValue("Own","Name",B21)</f>
        <v>SoftLab</v>
      </c>
      <c r="D21">
        <v>36</v>
      </c>
      <c r="E21" t="str" cm="1">
        <f t="array" ref="E21">GetValue("Typ","Name",D21)</f>
        <v>varchar(max)</v>
      </c>
      <c r="F21" t="str" cm="1">
        <f t="array" ref="F21">GetValue("Typ","#CategoryName",D21)</f>
        <v>text</v>
      </c>
      <c r="G21" t="s">
        <v>658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GetValue("Own","Name",B22)</f>
        <v>SoftLab</v>
      </c>
      <c r="D22">
        <v>4</v>
      </c>
      <c r="E22" t="str" cm="1">
        <f t="array" ref="E22">GetValue("Typ","Name",D22)</f>
        <v>char(n)</v>
      </c>
      <c r="F22" t="str" cm="1">
        <f t="array" ref="F22">GetValue("Typ","#CategoryName",D22)</f>
        <v>string</v>
      </c>
      <c r="G22" t="s">
        <v>659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GetValue("Own","Name",B23)</f>
        <v>SoftLab</v>
      </c>
      <c r="D23">
        <v>17</v>
      </c>
      <c r="E23" t="str" cm="1">
        <f t="array" ref="E23">GetValue("Typ","Name",D23)</f>
        <v>nchar(n)</v>
      </c>
      <c r="F23" t="str" cm="1">
        <f t="array" ref="F23">GetValue("Typ","#CategoryName",D23)</f>
        <v>string</v>
      </c>
      <c r="G23" t="s">
        <v>344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GetValue("Own","Name",B24)</f>
        <v>SoftLab</v>
      </c>
      <c r="D24">
        <v>17</v>
      </c>
      <c r="E24" t="str" cm="1">
        <f t="array" ref="E24">GetValue("Typ","Name",D24)</f>
        <v>nchar(n)</v>
      </c>
      <c r="F24" t="str" cm="1">
        <f t="array" ref="F24">GetValue("Typ","#CategoryName",D24)</f>
        <v>string</v>
      </c>
      <c r="G24" t="s">
        <v>228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GetValue("Own","Name",B25)</f>
        <v>SoftLab</v>
      </c>
      <c r="D25">
        <v>17</v>
      </c>
      <c r="E25" t="str" cm="1">
        <f t="array" ref="E25">GetValue("Typ","Name",D25)</f>
        <v>nchar(n)</v>
      </c>
      <c r="F25" t="str" cm="1">
        <f t="array" ref="F25">GetValue("Typ","#CategoryName",D25)</f>
        <v>string</v>
      </c>
      <c r="G25" t="s">
        <v>229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GetValue("Own","Name",B26)</f>
        <v>SoftLab</v>
      </c>
      <c r="D26">
        <v>20</v>
      </c>
      <c r="E26" t="str" cm="1">
        <f t="array" ref="E26">GetValue("Typ","Name",D26)</f>
        <v>nvarchar(n)</v>
      </c>
      <c r="F26" t="str" cm="1">
        <f t="array" ref="F26">GetValue("Typ","#CategoryName",D26)</f>
        <v>string</v>
      </c>
      <c r="G26" t="s">
        <v>230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GetValue("Own","Name",B27)</f>
        <v>SoftLab</v>
      </c>
      <c r="D27">
        <v>20</v>
      </c>
      <c r="E27" t="str" cm="1">
        <f t="array" ref="E27">GetValue("Typ","Name",D27)</f>
        <v>nvarchar(n)</v>
      </c>
      <c r="F27" t="str" cm="1">
        <f t="array" ref="F27">GetValue("Typ","#CategoryName",D27)</f>
        <v>string</v>
      </c>
      <c r="G27" t="s">
        <v>269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GetValue("Own","Name",B28)</f>
        <v>SoftLab</v>
      </c>
      <c r="D28">
        <v>20</v>
      </c>
      <c r="E28" t="str" cm="1">
        <f t="array" ref="E28">GetValue("Typ","Name",D28)</f>
        <v>nvarchar(n)</v>
      </c>
      <c r="F28" t="str" cm="1">
        <f t="array" ref="F28">GetValue("Typ","#CategoryName",D28)</f>
        <v>string</v>
      </c>
      <c r="G28" t="s">
        <v>232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GetValue("Own","Name",B29)</f>
        <v>SoftLab</v>
      </c>
      <c r="D29">
        <v>20</v>
      </c>
      <c r="E29" t="str" cm="1">
        <f t="array" ref="E29">GetValue("Typ","Name",D29)</f>
        <v>nvarchar(n)</v>
      </c>
      <c r="F29" t="str" cm="1">
        <f t="array" ref="F29">GetValue("Typ","#CategoryName",D29)</f>
        <v>string</v>
      </c>
      <c r="G29" t="s">
        <v>233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GetValue("Own","Name",B30)</f>
        <v>SoftLab</v>
      </c>
      <c r="D30">
        <v>20</v>
      </c>
      <c r="E30" t="str" cm="1">
        <f t="array" ref="E30">GetValue("Typ","Name",D30)</f>
        <v>nvarchar(n)</v>
      </c>
      <c r="F30" t="str" cm="1">
        <f t="array" ref="F30">GetValue("Typ","#CategoryName",D30)</f>
        <v>string</v>
      </c>
      <c r="G30" t="s">
        <v>234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GetValue("Own","Name",B31)</f>
        <v>SoftLab</v>
      </c>
      <c r="D31">
        <v>20</v>
      </c>
      <c r="E31" t="str" cm="1">
        <f t="array" ref="E31">GetValue("Typ","Name",D31)</f>
        <v>nvarchar(n)</v>
      </c>
      <c r="F31" t="str" cm="1">
        <f t="array" ref="F31">GetValue("Typ","#CategoryName",D31)</f>
        <v>string</v>
      </c>
      <c r="G31" t="s">
        <v>236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GetValue("Own","Name",B32)</f>
        <v>SoftLab</v>
      </c>
      <c r="D32">
        <v>20</v>
      </c>
      <c r="E32" t="str" cm="1">
        <f t="array" ref="E32">GetValue("Typ","Name",D32)</f>
        <v>nvarchar(n)</v>
      </c>
      <c r="F32" t="str" cm="1">
        <f t="array" ref="F32">GetValue("Typ","#CategoryName",D32)</f>
        <v>string</v>
      </c>
      <c r="G32" t="s">
        <v>237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GetValue("Own","Name",B33)</f>
        <v>SoftLab</v>
      </c>
      <c r="D33">
        <v>20</v>
      </c>
      <c r="E33" t="str" cm="1">
        <f t="array" ref="E33">GetValue("Typ","Name",D33)</f>
        <v>nvarchar(n)</v>
      </c>
      <c r="F33" t="str" cm="1">
        <f t="array" ref="F33">GetValue("Typ","#CategoryName",D33)</f>
        <v>string</v>
      </c>
      <c r="G33" t="s">
        <v>238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GetValue("Own","Name",B34)</f>
        <v>SoftLab</v>
      </c>
      <c r="D34">
        <v>17</v>
      </c>
      <c r="E34" t="str" cm="1">
        <f t="array" ref="E34">GetValue("Typ","Name",D34)</f>
        <v>nchar(n)</v>
      </c>
      <c r="F34" t="str" cm="1">
        <f t="array" ref="F34">GetValue("Typ","#CategoryName",D34)</f>
        <v>string</v>
      </c>
      <c r="G34" t="s">
        <v>266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GetValue("Own","Name",B35)</f>
        <v>SoftLab</v>
      </c>
      <c r="D35">
        <v>17</v>
      </c>
      <c r="E35" t="str" cm="1">
        <f t="array" ref="E35">GetValue("Typ","Name",D35)</f>
        <v>nchar(n)</v>
      </c>
      <c r="F35" t="str" cm="1">
        <f t="array" ref="F35">GetValue("Typ","#CategoryName",D35)</f>
        <v>string</v>
      </c>
      <c r="G35" t="s">
        <v>267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GetValue("Own","Name",B36)</f>
        <v>SoftLab</v>
      </c>
      <c r="D36">
        <v>17</v>
      </c>
      <c r="E36" t="str" cm="1">
        <f t="array" ref="E36">GetValue("Typ","Name",D36)</f>
        <v>nchar(n)</v>
      </c>
      <c r="F36" t="str" cm="1">
        <f t="array" ref="F36">GetValue("Typ","#CategoryName",D36)</f>
        <v>string</v>
      </c>
      <c r="G36" t="s">
        <v>268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GetValue("Own","Name",B37)</f>
        <v>SoftLab</v>
      </c>
      <c r="D37">
        <v>17</v>
      </c>
      <c r="E37" t="str" cm="1">
        <f t="array" ref="E37">GetValue("Typ","Name",D37)</f>
        <v>nchar(n)</v>
      </c>
      <c r="F37" t="str" cm="1">
        <f t="array" ref="F37">GetValue("Typ","#CategoryName",D37)</f>
        <v>string</v>
      </c>
      <c r="G37" t="s">
        <v>339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GetValue("Own","Name",B38)</f>
        <v>SoftLab</v>
      </c>
      <c r="D38">
        <v>17</v>
      </c>
      <c r="E38" t="str" cm="1">
        <f t="array" ref="E38">GetValue("Typ","Name",D38)</f>
        <v>nchar(n)</v>
      </c>
      <c r="F38" t="str" cm="1">
        <f t="array" ref="F38">GetValue("Typ","#CategoryName",D38)</f>
        <v>string</v>
      </c>
      <c r="G38" t="s">
        <v>340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GetValue("Own","Name",B39)</f>
        <v>SoftLab</v>
      </c>
      <c r="D39">
        <v>17</v>
      </c>
      <c r="E39" t="str" cm="1">
        <f t="array" ref="E39">GetValue("Typ","Name",D39)</f>
        <v>nchar(n)</v>
      </c>
      <c r="F39" t="str" cm="1">
        <f t="array" ref="F39">GetValue("Typ","#CategoryName",D39)</f>
        <v>string</v>
      </c>
      <c r="G39" t="s">
        <v>341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GetValue("Own","Name",B40)</f>
        <v>SoftLab</v>
      </c>
      <c r="D40">
        <v>17</v>
      </c>
      <c r="E40" t="str" cm="1">
        <f t="array" ref="E40">GetValue("Typ","Name",D40)</f>
        <v>nchar(n)</v>
      </c>
      <c r="F40" t="str" cm="1">
        <f t="array" ref="F40">GetValue("Typ","#CategoryName",D40)</f>
        <v>string</v>
      </c>
      <c r="G40" t="s">
        <v>342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GetValue("Own","Name",B41)</f>
        <v>SoftLab</v>
      </c>
      <c r="D41">
        <v>17</v>
      </c>
      <c r="E41" t="str" cm="1">
        <f t="array" ref="E41">GetValue("Typ","Name",D41)</f>
        <v>nchar(n)</v>
      </c>
      <c r="F41" t="str" cm="1">
        <f t="array" ref="F41">GetValue("Typ","#CategoryName",D41)</f>
        <v>string</v>
      </c>
      <c r="G41" t="s">
        <v>343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GetValue("Own","Name",B42)</f>
        <v>SoftLab</v>
      </c>
      <c r="D42">
        <v>9</v>
      </c>
      <c r="E42" t="str" cm="1">
        <f t="array" ref="E42">GetValue("Typ","Name",D42)</f>
        <v>decimal(p ,s)</v>
      </c>
      <c r="F42" t="str" cm="1">
        <f t="array" ref="F42">GetValue("Typ","#CategoryName",D42)</f>
        <v>number</v>
      </c>
      <c r="G42" t="s">
        <v>644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GetValue("Own","Name",B43)</f>
        <v>SoftLab</v>
      </c>
      <c r="D43">
        <v>21</v>
      </c>
      <c r="E43" t="str" cm="1">
        <f t="array" ref="E43">GetValue("Typ","Name",D43)</f>
        <v>nvarchar(max)</v>
      </c>
      <c r="F43" t="str" cm="1">
        <f t="array" ref="F43">GetValue("Typ","#CategoryName",D43)</f>
        <v>text</v>
      </c>
      <c r="G43" t="s">
        <v>645</v>
      </c>
    </row>
    <row r="44" spans="1:15">
      <c r="A44">
        <f t="shared" ref="A44:A54" si="2">ROW(A44)-1</f>
        <v>43</v>
      </c>
      <c r="B44">
        <v>1</v>
      </c>
      <c r="C44" t="str" cm="1">
        <f t="array" ref="C44">GetValue("Own","Name",B44)</f>
        <v>SoftLab</v>
      </c>
      <c r="D44">
        <v>21</v>
      </c>
      <c r="E44" t="str" cm="1">
        <f t="array" ref="E44">GetValue("Typ","Name",D44)</f>
        <v>nvarchar(max)</v>
      </c>
      <c r="F44" t="str" cm="1">
        <f t="array" ref="F44">GetValue("Typ","#CategoryName",D44)</f>
        <v>text</v>
      </c>
      <c r="G44" t="s">
        <v>396</v>
      </c>
      <c r="H44">
        <v>10</v>
      </c>
      <c r="N44" t="s">
        <v>449</v>
      </c>
    </row>
    <row r="45" spans="1:15">
      <c r="A45">
        <f t="shared" si="2"/>
        <v>44</v>
      </c>
      <c r="B45">
        <v>1</v>
      </c>
      <c r="C45" t="str" cm="1">
        <f t="array" ref="C45">GetValue("Own","Name",B45)</f>
        <v>SoftLab</v>
      </c>
      <c r="D45">
        <v>21</v>
      </c>
      <c r="E45" t="str" cm="1">
        <f t="array" ref="E45">GetValue("Typ","Name",D45)</f>
        <v>nvarchar(max)</v>
      </c>
      <c r="F45" t="str" cm="1">
        <f t="array" ref="F45">GetValue("Typ","#CategoryName",D45)</f>
        <v>text</v>
      </c>
      <c r="G45" t="s">
        <v>338</v>
      </c>
      <c r="H45">
        <v>10</v>
      </c>
      <c r="M45" s="10"/>
      <c r="N45" s="10" t="s">
        <v>519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GetValue("Own","Name",B46)</f>
        <v>SoftLab</v>
      </c>
      <c r="D46">
        <v>21</v>
      </c>
      <c r="E46" t="str" cm="1">
        <f t="array" ref="E46">GetValue("Typ","Name",D46)</f>
        <v>nvarchar(max)</v>
      </c>
      <c r="F46" t="str" cm="1">
        <f t="array" ref="F46">GetValue("Typ","#CategoryName",D46)</f>
        <v>text</v>
      </c>
      <c r="G46" t="s">
        <v>520</v>
      </c>
      <c r="H46">
        <v>5</v>
      </c>
      <c r="M46" s="10"/>
      <c r="N46" s="10" t="s">
        <v>395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GetValue("Own","Name",B47)</f>
        <v>SoftLab</v>
      </c>
      <c r="D47">
        <v>20</v>
      </c>
      <c r="E47" t="str" cm="1">
        <f t="array" ref="E47">GetValue("Typ","Name",D47)</f>
        <v>nvarchar(n)</v>
      </c>
      <c r="F47" t="str" cm="1">
        <f t="array" ref="F47">GetValue("Typ","#CategoryName",D47)</f>
        <v>string</v>
      </c>
      <c r="G47" t="s">
        <v>408</v>
      </c>
      <c r="H47">
        <v>10</v>
      </c>
      <c r="M47" s="10" t="s">
        <v>357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GetValue("Own","Name",B48)</f>
        <v>SoftLab</v>
      </c>
      <c r="D48">
        <v>20</v>
      </c>
      <c r="E48" t="str" cm="1">
        <f t="array" ref="E48">GetValue("Typ","Name",D48)</f>
        <v>nvarchar(n)</v>
      </c>
      <c r="F48" t="str" cm="1">
        <f t="array" ref="F48">GetValue("Typ","#CategoryName",D48)</f>
        <v>string</v>
      </c>
      <c r="G48" t="s">
        <v>409</v>
      </c>
      <c r="H48">
        <v>10</v>
      </c>
      <c r="M48" s="10" t="s">
        <v>358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GetValue("Own","Name",B49)</f>
        <v>SoftLab</v>
      </c>
      <c r="D49">
        <v>20</v>
      </c>
      <c r="E49" t="str" cm="1">
        <f t="array" ref="E49">GetValue("Typ","Name",D49)</f>
        <v>nvarchar(n)</v>
      </c>
      <c r="F49" t="str" cm="1">
        <f t="array" ref="F49">GetValue("Typ","#CategoryName",D49)</f>
        <v>string</v>
      </c>
      <c r="G49" t="s">
        <v>476</v>
      </c>
      <c r="H49">
        <v>10</v>
      </c>
      <c r="N49" t="s">
        <v>477</v>
      </c>
    </row>
    <row r="50" spans="1:15">
      <c r="A50">
        <f t="shared" si="2"/>
        <v>49</v>
      </c>
      <c r="B50">
        <v>1</v>
      </c>
      <c r="C50" t="str" cm="1">
        <f t="array" ref="C50">GetValue("Own","Name",B50)</f>
        <v>SoftLab</v>
      </c>
      <c r="D50">
        <v>21</v>
      </c>
      <c r="E50" t="str" cm="1">
        <f t="array" ref="E50">GetValue("Typ","Name",D50)</f>
        <v>nvarchar(max)</v>
      </c>
      <c r="F50" t="str" cm="1">
        <f t="array" ref="F50">GetValue("Typ","#CategoryName",D50)</f>
        <v>text</v>
      </c>
      <c r="G50" t="s">
        <v>517</v>
      </c>
      <c r="O50" t="s">
        <v>518</v>
      </c>
    </row>
    <row r="51" spans="1:15">
      <c r="A51">
        <f t="shared" si="2"/>
        <v>50</v>
      </c>
      <c r="B51">
        <v>1</v>
      </c>
      <c r="C51" t="str" cm="1">
        <f t="array" ref="C51">GetValue("Own","Name",B51)</f>
        <v>SoftLab</v>
      </c>
      <c r="D51">
        <v>38</v>
      </c>
      <c r="E51" t="str" cm="1">
        <f t="array" ref="E51">GetValue("Typ","Name",D51)</f>
        <v>json</v>
      </c>
      <c r="F51" t="str" cm="1">
        <f t="array" ref="F51">GetValue("Typ","#CategoryName",D51)</f>
        <v>text</v>
      </c>
      <c r="G51" t="s">
        <v>63</v>
      </c>
    </row>
    <row r="52" spans="1:15">
      <c r="A52">
        <f t="shared" si="2"/>
        <v>51</v>
      </c>
      <c r="B52">
        <v>1</v>
      </c>
      <c r="C52" t="str" cm="1">
        <f t="array" ref="C52">GetValue("Own","Name",B52)</f>
        <v>SoftLab</v>
      </c>
      <c r="D52">
        <v>29</v>
      </c>
      <c r="E52" t="str" cm="1">
        <f t="array" ref="E52">GetValue("Typ","Name",D52)</f>
        <v>time(s)</v>
      </c>
      <c r="F52" t="str" cm="1">
        <f t="array" ref="F52">GetValue("Typ","#CategoryName",D52)</f>
        <v>time</v>
      </c>
      <c r="G52" t="s">
        <v>162</v>
      </c>
    </row>
    <row r="53" spans="1:15">
      <c r="A53">
        <f t="shared" si="2"/>
        <v>52</v>
      </c>
      <c r="B53">
        <v>1</v>
      </c>
      <c r="C53" t="str" cm="1">
        <f t="array" ref="C53">GetValue("Own","Name",B53)</f>
        <v>SoftLab</v>
      </c>
      <c r="D53">
        <v>5</v>
      </c>
      <c r="E53" t="str" cm="1">
        <f t="array" ref="E53">GetValue("Typ","Name",D53)</f>
        <v>date</v>
      </c>
      <c r="F53" t="str" cm="1">
        <f t="array" ref="F53">GetValue("Typ","#CategoryName",D53)</f>
        <v>date</v>
      </c>
      <c r="G53" t="s">
        <v>156</v>
      </c>
    </row>
    <row r="54" spans="1:15">
      <c r="A54">
        <f t="shared" si="2"/>
        <v>53</v>
      </c>
      <c r="B54">
        <v>1</v>
      </c>
      <c r="C54" t="str" cm="1">
        <f t="array" ref="C54">GetValue("Own","Name",B54)</f>
        <v>SoftLab</v>
      </c>
      <c r="D54">
        <v>36</v>
      </c>
      <c r="E54" t="str" cm="1">
        <f t="array" ref="E54">GetValue("Typ","Name",D54)</f>
        <v>varchar(max)</v>
      </c>
      <c r="F54" t="str" cm="1">
        <f t="array" ref="F54">GetValue("Typ","#CategoryName",D54)</f>
        <v>text</v>
      </c>
      <c r="G54" t="s">
        <v>643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H20"/>
  <sheetViews>
    <sheetView workbookViewId="0">
      <pane ySplit="1" topLeftCell="A2" activePane="bottomLeft" state="frozen"/>
      <selection pane="bottomLeft" activeCell="C2" sqref="C2:C20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16.21875" bestFit="1" customWidth="1"/>
    <col min="5" max="5" width="18.5546875" style="2" bestFit="1" customWidth="1"/>
    <col min="6" max="6" width="11.6640625" bestFit="1" customWidth="1"/>
    <col min="8" max="8" width="73.6640625" bestFit="1" customWidth="1"/>
  </cols>
  <sheetData>
    <row r="1" spans="1:8" s="1" customFormat="1">
      <c r="A1" s="1" t="s">
        <v>561</v>
      </c>
      <c r="B1" s="1" t="s">
        <v>594</v>
      </c>
      <c r="C1" s="1" t="s">
        <v>593</v>
      </c>
      <c r="D1" s="13" t="s">
        <v>0</v>
      </c>
      <c r="E1" s="25" t="s">
        <v>559</v>
      </c>
      <c r="F1" s="1" t="s">
        <v>441</v>
      </c>
    </row>
    <row r="2" spans="1:8">
      <c r="A2">
        <f>ROW(A2)-1</f>
        <v>1</v>
      </c>
      <c r="B2">
        <v>1</v>
      </c>
      <c r="C2" t="str" cm="1">
        <f t="array" ref="C2">GetValue("Own","Name",B2)</f>
        <v>SoftLab</v>
      </c>
      <c r="D2" t="s">
        <v>239</v>
      </c>
      <c r="E2" s="26">
        <v>99999999</v>
      </c>
      <c r="F2" t="s">
        <v>514</v>
      </c>
    </row>
    <row r="3" spans="1:8">
      <c r="A3">
        <f t="shared" ref="A3:A20" si="0">ROW(A3)-1</f>
        <v>2</v>
      </c>
      <c r="B3">
        <v>1</v>
      </c>
      <c r="C3" t="str" cm="1">
        <f t="array" ref="C3">GetValue("Own","Name",B3)</f>
        <v>SoftLab</v>
      </c>
      <c r="D3" t="s">
        <v>228</v>
      </c>
      <c r="E3" s="2" t="s">
        <v>451</v>
      </c>
      <c r="F3" t="s">
        <v>514</v>
      </c>
      <c r="H3" t="s">
        <v>407</v>
      </c>
    </row>
    <row r="4" spans="1:8">
      <c r="A4">
        <f t="shared" si="0"/>
        <v>3</v>
      </c>
      <c r="B4">
        <v>1</v>
      </c>
      <c r="C4" t="str" cm="1">
        <f t="array" ref="C4">GetValue("Own","Name",B4)</f>
        <v>SoftLab</v>
      </c>
      <c r="D4" t="s">
        <v>229</v>
      </c>
      <c r="E4" s="2" t="s">
        <v>452</v>
      </c>
      <c r="F4" t="s">
        <v>514</v>
      </c>
      <c r="H4" t="s">
        <v>671</v>
      </c>
    </row>
    <row r="5" spans="1:8">
      <c r="A5">
        <f>ROW(A5)-1</f>
        <v>4</v>
      </c>
      <c r="B5">
        <v>1</v>
      </c>
      <c r="C5" t="str" cm="1">
        <f t="array" ref="C5">GetValue("Own","Name",B5)</f>
        <v>SoftLab</v>
      </c>
      <c r="D5" t="s">
        <v>269</v>
      </c>
      <c r="E5" s="2" t="s">
        <v>453</v>
      </c>
      <c r="F5" t="s">
        <v>514</v>
      </c>
    </row>
    <row r="6" spans="1:8">
      <c r="A6">
        <f t="shared" si="0"/>
        <v>5</v>
      </c>
      <c r="B6">
        <v>1</v>
      </c>
      <c r="C6" t="str" cm="1">
        <f t="array" ref="C6">GetValue("Own","Name",B6)</f>
        <v>SoftLab</v>
      </c>
      <c r="D6" t="s">
        <v>345</v>
      </c>
      <c r="E6" s="2" t="s">
        <v>454</v>
      </c>
      <c r="F6" t="s">
        <v>514</v>
      </c>
    </row>
    <row r="7" spans="1:8">
      <c r="A7">
        <f t="shared" si="0"/>
        <v>6</v>
      </c>
      <c r="B7">
        <v>1</v>
      </c>
      <c r="C7" t="str" cm="1">
        <f t="array" ref="C7">GetValue("Own","Name",B7)</f>
        <v>SoftLab</v>
      </c>
      <c r="D7" t="s">
        <v>233</v>
      </c>
      <c r="E7" s="2">
        <v>99999999999</v>
      </c>
      <c r="F7" t="s">
        <v>514</v>
      </c>
    </row>
    <row r="8" spans="1:8">
      <c r="A8">
        <f t="shared" si="0"/>
        <v>7</v>
      </c>
      <c r="B8">
        <v>1</v>
      </c>
      <c r="C8" t="str" cm="1">
        <f t="array" ref="C8">GetValue("Own","Name",B8)</f>
        <v>SoftLab</v>
      </c>
      <c r="D8" t="s">
        <v>234</v>
      </c>
      <c r="E8" s="2">
        <v>99999999</v>
      </c>
      <c r="F8" t="s">
        <v>514</v>
      </c>
    </row>
    <row r="9" spans="1:8">
      <c r="A9">
        <f t="shared" si="0"/>
        <v>8</v>
      </c>
      <c r="B9">
        <v>1</v>
      </c>
      <c r="C9" t="str" cm="1">
        <f t="array" ref="C9">GetValue("Own","Name",B9)</f>
        <v>SoftLab</v>
      </c>
      <c r="D9" t="s">
        <v>235</v>
      </c>
      <c r="E9" s="2" t="s">
        <v>455</v>
      </c>
      <c r="F9" t="s">
        <v>514</v>
      </c>
    </row>
    <row r="10" spans="1:8">
      <c r="A10">
        <f t="shared" si="0"/>
        <v>9</v>
      </c>
      <c r="B10">
        <v>1</v>
      </c>
      <c r="C10" t="str" cm="1">
        <f t="array" ref="C10">GetValue("Own","Name",B10)</f>
        <v>SoftLab</v>
      </c>
      <c r="D10" t="s">
        <v>236</v>
      </c>
      <c r="E10" s="2" t="s">
        <v>456</v>
      </c>
      <c r="F10" t="s">
        <v>514</v>
      </c>
    </row>
    <row r="11" spans="1:8">
      <c r="A11">
        <f t="shared" si="0"/>
        <v>10</v>
      </c>
      <c r="B11">
        <v>1</v>
      </c>
      <c r="C11" t="str" cm="1">
        <f t="array" ref="C11">GetValue("Own","Name",B11)</f>
        <v>SoftLab</v>
      </c>
      <c r="D11" t="s">
        <v>237</v>
      </c>
      <c r="E11" s="2" t="s">
        <v>457</v>
      </c>
      <c r="F11" t="s">
        <v>514</v>
      </c>
    </row>
    <row r="12" spans="1:8">
      <c r="A12">
        <f t="shared" si="0"/>
        <v>11</v>
      </c>
      <c r="B12">
        <v>1</v>
      </c>
      <c r="C12" t="str" cm="1">
        <f t="array" ref="C12">GetValue("Own","Name",B12)</f>
        <v>SoftLab</v>
      </c>
      <c r="D12" t="s">
        <v>238</v>
      </c>
      <c r="E12" s="2" t="s">
        <v>458</v>
      </c>
      <c r="F12" t="s">
        <v>515</v>
      </c>
    </row>
    <row r="13" spans="1:8">
      <c r="A13">
        <f t="shared" si="0"/>
        <v>12</v>
      </c>
      <c r="B13">
        <v>1</v>
      </c>
      <c r="C13" t="str" cm="1">
        <f t="array" ref="C13">GetValue("Own","Name",B13)</f>
        <v>SoftLab</v>
      </c>
      <c r="D13" t="s">
        <v>266</v>
      </c>
      <c r="E13" s="2" t="s">
        <v>459</v>
      </c>
      <c r="F13" t="s">
        <v>514</v>
      </c>
    </row>
    <row r="14" spans="1:8">
      <c r="A14">
        <f t="shared" si="0"/>
        <v>13</v>
      </c>
      <c r="B14">
        <v>1</v>
      </c>
      <c r="C14" t="str" cm="1">
        <f t="array" ref="C14">GetValue("Own","Name",B14)</f>
        <v>SoftLab</v>
      </c>
      <c r="D14" t="s">
        <v>339</v>
      </c>
      <c r="E14" s="2" t="s">
        <v>460</v>
      </c>
      <c r="F14" t="s">
        <v>514</v>
      </c>
    </row>
    <row r="15" spans="1:8">
      <c r="A15">
        <f t="shared" si="0"/>
        <v>14</v>
      </c>
      <c r="B15">
        <v>1</v>
      </c>
      <c r="C15" t="str" cm="1">
        <f t="array" ref="C15">GetValue("Own","Name",B15)</f>
        <v>SoftLab</v>
      </c>
      <c r="D15" t="s">
        <v>340</v>
      </c>
      <c r="E15" s="2" t="s">
        <v>461</v>
      </c>
      <c r="F15" t="s">
        <v>514</v>
      </c>
    </row>
    <row r="16" spans="1:8">
      <c r="A16">
        <f t="shared" si="0"/>
        <v>15</v>
      </c>
      <c r="B16">
        <v>1</v>
      </c>
      <c r="C16" t="str" cm="1">
        <f t="array" ref="C16">GetValue("Own","Name",B16)</f>
        <v>SoftLab</v>
      </c>
      <c r="D16" t="s">
        <v>341</v>
      </c>
      <c r="E16" s="4" t="s">
        <v>462</v>
      </c>
      <c r="F16" t="s">
        <v>515</v>
      </c>
    </row>
    <row r="17" spans="1:6">
      <c r="A17">
        <f t="shared" si="0"/>
        <v>16</v>
      </c>
      <c r="B17">
        <v>1</v>
      </c>
      <c r="C17" t="str" cm="1">
        <f t="array" ref="C17">GetValue("Own","Name",B17)</f>
        <v>SoftLab</v>
      </c>
      <c r="D17" t="s">
        <v>342</v>
      </c>
      <c r="E17" s="4" t="s">
        <v>463</v>
      </c>
      <c r="F17" t="s">
        <v>515</v>
      </c>
    </row>
    <row r="18" spans="1:6">
      <c r="A18">
        <f t="shared" si="0"/>
        <v>17</v>
      </c>
      <c r="B18">
        <v>1</v>
      </c>
      <c r="C18" t="str" cm="1">
        <f t="array" ref="C18">GetValue("Own","Name",B18)</f>
        <v>SoftLab</v>
      </c>
      <c r="D18" t="s">
        <v>267</v>
      </c>
      <c r="E18" s="2" t="s">
        <v>464</v>
      </c>
      <c r="F18" t="s">
        <v>514</v>
      </c>
    </row>
    <row r="19" spans="1:6">
      <c r="A19">
        <f t="shared" si="0"/>
        <v>18</v>
      </c>
      <c r="B19">
        <v>1</v>
      </c>
      <c r="C19" t="str" cm="1">
        <f t="array" ref="C19">GetValue("Own","Name",B19)</f>
        <v>SoftLab</v>
      </c>
      <c r="D19" t="s">
        <v>343</v>
      </c>
      <c r="E19" s="2" t="s">
        <v>465</v>
      </c>
      <c r="F19" t="s">
        <v>514</v>
      </c>
    </row>
    <row r="20" spans="1:6">
      <c r="A20">
        <f t="shared" si="0"/>
        <v>19</v>
      </c>
      <c r="B20">
        <v>1</v>
      </c>
      <c r="C20" t="str" cm="1">
        <f t="array" ref="C20">GetValue("Own","Name",B20)</f>
        <v>SoftLab</v>
      </c>
      <c r="D20" t="s">
        <v>268</v>
      </c>
      <c r="E20" s="2">
        <v>99999999999</v>
      </c>
      <c r="F20" t="s">
        <v>514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2" activePane="bottomLeft" state="frozen"/>
      <selection pane="bottomLeft" activeCell="C2" sqref="C2:C20"/>
    </sheetView>
  </sheetViews>
  <sheetFormatPr defaultColWidth="42.5546875" defaultRowHeight="14.4"/>
  <cols>
    <col min="1" max="1" width="3.6640625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561</v>
      </c>
      <c r="B1" s="1" t="s">
        <v>94</v>
      </c>
      <c r="C1" s="1" t="s">
        <v>112</v>
      </c>
      <c r="D1" s="1" t="s">
        <v>53</v>
      </c>
      <c r="E1" s="1" t="s">
        <v>107</v>
      </c>
      <c r="F1" s="8" t="s">
        <v>346</v>
      </c>
      <c r="G1" s="8" t="s">
        <v>347</v>
      </c>
      <c r="H1" s="9" t="s">
        <v>348</v>
      </c>
    </row>
    <row r="2" spans="1:8">
      <c r="A2">
        <f>ROW(A2)-1</f>
        <v>1</v>
      </c>
      <c r="B2">
        <v>21</v>
      </c>
      <c r="C2" t="str" cm="1">
        <f t="array" ref="C2">GetValue("Dmn","Name",B2)</f>
        <v>CHAR(1)</v>
      </c>
      <c r="D2">
        <v>1</v>
      </c>
      <c r="E2" t="str" cm="1">
        <f t="array" ref="E2">GetValue("Msk","Name",D2)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GetValue("Dmn","Name",B3)</f>
        <v>Raíz CNPJ</v>
      </c>
      <c r="D3">
        <v>2</v>
      </c>
      <c r="E3" t="str" cm="1">
        <f t="array" ref="E3">GetValue("Msk","Name",D3)</f>
        <v>CPF</v>
      </c>
      <c r="F3" s="10">
        <v>11</v>
      </c>
      <c r="G3" s="10" t="s">
        <v>443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GetValue("Dmn","Name",B4)</f>
        <v>CPF</v>
      </c>
      <c r="D4">
        <v>3</v>
      </c>
      <c r="E4" t="str" cm="1">
        <f t="array" ref="E4">GetValue("Msk","Name",D4)</f>
        <v>CNPJ</v>
      </c>
      <c r="F4" s="10">
        <v>11</v>
      </c>
      <c r="G4" s="10" t="s">
        <v>444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GetValue("Dmn","Name",B5)</f>
        <v>CNPJ</v>
      </c>
      <c r="D5">
        <v>4</v>
      </c>
      <c r="E5" t="str" cm="1">
        <f t="array" ref="E5">GetValue("Msk","Name",D5)</f>
        <v>CAEPF</v>
      </c>
      <c r="F5" s="10">
        <v>11</v>
      </c>
      <c r="G5" s="10" t="s">
        <v>242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GetValue("Dmn","Name",B6)</f>
        <v>RAIZ/CPF/CNPJ</v>
      </c>
      <c r="D6">
        <v>5</v>
      </c>
      <c r="E6" t="str" cm="1">
        <f t="array" ref="E6">GetValue("Msk","Name",D6)</f>
        <v>Credit Card</v>
      </c>
      <c r="F6" s="10">
        <v>11</v>
      </c>
      <c r="G6" s="10" t="s">
        <v>243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GetValue("Dmn","Name",B7)</f>
        <v>CAEPF</v>
      </c>
      <c r="D7">
        <v>6</v>
      </c>
      <c r="E7" t="str" cm="1">
        <f t="array" ref="E7">GetValue("Msk","Name",D7)</f>
        <v>RENAVAM</v>
      </c>
      <c r="F7" s="10">
        <v>11</v>
      </c>
      <c r="G7" s="10" t="s">
        <v>242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GetValue("Dmn","Name",B8)</f>
        <v>CREDIT CARD</v>
      </c>
      <c r="D8">
        <v>7</v>
      </c>
      <c r="E8" t="str" cm="1">
        <f t="array" ref="E8">GetValue("Msk","Name",D8)</f>
        <v>EAN-8</v>
      </c>
      <c r="F8" s="10">
        <v>11</v>
      </c>
      <c r="G8" s="10" t="s">
        <v>243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GetValue("Dmn","Name",B9)</f>
        <v>RENAVAM</v>
      </c>
      <c r="D9">
        <v>8</v>
      </c>
      <c r="E9" t="str" cm="1">
        <f t="array" ref="E9">GetValue("Msk","Name",D9)</f>
        <v>EAN-13</v>
      </c>
      <c r="F9" s="10">
        <v>10</v>
      </c>
      <c r="G9" s="10" t="s">
        <v>244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GetValue("Dmn","Name",B10)</f>
        <v>ISBN-10</v>
      </c>
      <c r="D10">
        <v>9</v>
      </c>
      <c r="E10" t="str" cm="1">
        <f t="array" ref="E10">GetValue("Msk","Name",D10)</f>
        <v>ISBN-10</v>
      </c>
      <c r="F10" s="10">
        <v>11</v>
      </c>
      <c r="G10" s="10" t="s">
        <v>245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GetValue("Dmn","Name",B11)</f>
        <v>ISBN-13</v>
      </c>
      <c r="D11">
        <v>10</v>
      </c>
      <c r="E11" t="str" cm="1">
        <f t="array" ref="E11">GetValue("Msk","Name",D11)</f>
        <v>ISBN-13</v>
      </c>
      <c r="F11" s="10">
        <v>10</v>
      </c>
      <c r="G11" t="s">
        <v>270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GetValue("Dmn","Name",B12)</f>
        <v>ISBN-13</v>
      </c>
      <c r="D12">
        <v>11</v>
      </c>
      <c r="E12" t="str" cm="1">
        <f t="array" ref="E12">GetValue("Msk","Name",D12)</f>
        <v>ISSN</v>
      </c>
      <c r="F12" s="10">
        <v>10</v>
      </c>
      <c r="G12" t="s">
        <v>246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GetValue("Dmn","Name",B13)</f>
        <v>ISSN</v>
      </c>
      <c r="D13">
        <v>12</v>
      </c>
      <c r="E13" t="str" cm="1">
        <f t="array" ref="E13">GetValue("Msk","Name",D13)</f>
        <v>CEP (BR)</v>
      </c>
      <c r="F13" s="10">
        <v>11</v>
      </c>
      <c r="G13" s="10" t="s">
        <v>247</v>
      </c>
      <c r="H13" s="12" t="s">
        <v>231</v>
      </c>
    </row>
    <row r="14" spans="1:8">
      <c r="A14">
        <f t="shared" si="0"/>
        <v>13</v>
      </c>
      <c r="B14">
        <v>33</v>
      </c>
      <c r="C14" t="str" cm="1">
        <f t="array" ref="C14">GetValue("Dmn","Name",B14)</f>
        <v>CEP (BR)</v>
      </c>
      <c r="D14">
        <v>13</v>
      </c>
      <c r="E14" t="str" cm="1">
        <f t="array" ref="E14">GetValue("Msk","Name",D14)</f>
        <v>Fone (BR)</v>
      </c>
      <c r="F14" s="10">
        <v>10</v>
      </c>
      <c r="G14" t="s">
        <v>246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GetValue("Dmn","Name",B15)</f>
        <v>NIS/PIS/PASEP</v>
      </c>
      <c r="D15">
        <v>14</v>
      </c>
      <c r="E15" t="str" cm="1">
        <f t="array" ref="E15">GetValue("Msk","Name",D15)</f>
        <v>Celular (BR)</v>
      </c>
      <c r="F15" s="10">
        <v>11</v>
      </c>
      <c r="G15" t="s">
        <v>248</v>
      </c>
      <c r="H15" s="12" t="s">
        <v>231</v>
      </c>
    </row>
    <row r="16" spans="1:8">
      <c r="A16">
        <f t="shared" si="0"/>
        <v>15</v>
      </c>
      <c r="B16">
        <v>34</v>
      </c>
      <c r="C16" t="str" cm="1">
        <f t="array" ref="C16">GetValue("Dmn","Name",B16)</f>
        <v>NIS/PIS/PASEP</v>
      </c>
      <c r="D16">
        <v>15</v>
      </c>
      <c r="E16" t="str" cm="1">
        <f t="array" ref="E16">GetValue("Msk","Name",D16)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GetValue("Dmn","Name",B17)</f>
        <v>NIS/PIS/PASEP</v>
      </c>
      <c r="D17">
        <v>16</v>
      </c>
      <c r="E17" t="str" cm="1">
        <f t="array" ref="E17">GetValue("Msk","Name",D17)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GetValue("Dmn","Name",B18)</f>
        <v>CNH</v>
      </c>
      <c r="D18">
        <v>17</v>
      </c>
      <c r="E18" t="str" cm="1">
        <f t="array" ref="E18">GetValue("Msk","Name",D18)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GetValue("Dmn","Name",B19)</f>
        <v>Fone (BR)</v>
      </c>
      <c r="D19">
        <v>18</v>
      </c>
      <c r="E19" t="str" cm="1">
        <f t="array" ref="E19">GetValue("Msk","Name",D19)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GetValue("Dmn","Name",B20)</f>
        <v>Celular (BR)</v>
      </c>
      <c r="D20">
        <v>19</v>
      </c>
      <c r="E20" t="str" cm="1">
        <f t="array" ref="E20">GetValue("Msk","Name",D20)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44140625" bestFit="1" customWidth="1"/>
    <col min="5" max="5" width="12.33203125" bestFit="1" customWidth="1"/>
  </cols>
  <sheetData>
    <row r="1" spans="1:5" s="1" customFormat="1">
      <c r="A1" s="1" t="s">
        <v>561</v>
      </c>
      <c r="B1" s="1" t="s">
        <v>594</v>
      </c>
      <c r="C1" s="1" t="s">
        <v>593</v>
      </c>
      <c r="D1" s="1" t="s">
        <v>0</v>
      </c>
      <c r="E1" s="1" t="s">
        <v>64</v>
      </c>
    </row>
    <row r="2" spans="1:5">
      <c r="A2">
        <f>ROW(A2)-1</f>
        <v>1</v>
      </c>
      <c r="B2">
        <v>1</v>
      </c>
      <c r="C2" t="str" cm="1">
        <f t="array" ref="C2">GetValue("Own","Name",B2)</f>
        <v>SoftLab</v>
      </c>
      <c r="D2" t="s">
        <v>118</v>
      </c>
      <c r="E2" t="s">
        <v>119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sheetPr codeName="Planilha31"/>
  <dimension ref="A1:G4"/>
  <sheetViews>
    <sheetView workbookViewId="0">
      <selection activeCell="C3" sqref="C3"/>
    </sheetView>
  </sheetViews>
  <sheetFormatPr defaultRowHeight="14.4"/>
  <cols>
    <col min="1" max="1" width="3.6640625" bestFit="1" customWidth="1"/>
    <col min="3" max="3" width="12.5546875" bestFit="1" customWidth="1"/>
    <col min="4" max="4" width="19.33203125" bestFit="1" customWidth="1"/>
    <col min="5" max="5" width="23.77734375" bestFit="1" customWidth="1"/>
    <col min="6" max="6" width="6" bestFit="1" customWidth="1"/>
    <col min="7" max="7" width="15.21875" bestFit="1" customWidth="1"/>
  </cols>
  <sheetData>
    <row r="1" spans="1:7" s="1" customFormat="1">
      <c r="A1" s="1" t="s">
        <v>561</v>
      </c>
      <c r="B1" s="1" t="s">
        <v>594</v>
      </c>
      <c r="C1" s="1" t="s">
        <v>593</v>
      </c>
      <c r="D1" s="1" t="s">
        <v>599</v>
      </c>
      <c r="E1" s="1" t="s">
        <v>600</v>
      </c>
      <c r="F1" s="1" t="s">
        <v>0</v>
      </c>
      <c r="G1" s="1" t="s">
        <v>64</v>
      </c>
    </row>
    <row r="2" spans="1:7">
      <c r="A2">
        <f>ROW(A2)-1</f>
        <v>1</v>
      </c>
      <c r="B2">
        <v>1</v>
      </c>
      <c r="C2" t="str" cm="1">
        <f t="array" ref="C2">GetValue("Own","Name",B2)</f>
        <v>SoftLab</v>
      </c>
      <c r="E2" t="str" cm="1">
        <f t="array" ref="E2">GetValue("Env","Name",D2)</f>
        <v/>
      </c>
      <c r="F2" t="s">
        <v>147</v>
      </c>
      <c r="G2" t="s">
        <v>596</v>
      </c>
    </row>
    <row r="3" spans="1:7">
      <c r="A3">
        <f t="shared" ref="A3:A4" si="0">ROW(A3)-1</f>
        <v>2</v>
      </c>
      <c r="B3">
        <v>1</v>
      </c>
      <c r="C3" t="str" cm="1">
        <f t="array" ref="C3">GetValue("Own","Name",B3)</f>
        <v>SoftLab</v>
      </c>
      <c r="D3">
        <v>1</v>
      </c>
      <c r="E3" t="str" cm="1">
        <f t="array" ref="E3">GetValue("Env","Name",D3)</f>
        <v>dev</v>
      </c>
      <c r="F3" t="s">
        <v>194</v>
      </c>
      <c r="G3" t="s">
        <v>598</v>
      </c>
    </row>
    <row r="4" spans="1:7">
      <c r="A4">
        <f t="shared" si="0"/>
        <v>3</v>
      </c>
      <c r="B4">
        <v>1</v>
      </c>
      <c r="C4" t="str" cm="1">
        <f t="array" ref="C4">GetValue("Own","Name",B4)</f>
        <v>SoftLab</v>
      </c>
      <c r="D4">
        <v>2</v>
      </c>
      <c r="E4" t="str" cm="1">
        <f t="array" ref="E4">GetValue("Env","Name",D4)</f>
        <v>hml</v>
      </c>
      <c r="F4" t="s">
        <v>195</v>
      </c>
      <c r="G4" t="s">
        <v>597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E2"/>
  <sheetViews>
    <sheetView workbookViewId="0">
      <pane ySplit="1" topLeftCell="A2" activePane="bottomLeft" state="frozen"/>
      <selection pane="bottomLeft" activeCell="E4" sqref="E4"/>
    </sheetView>
  </sheetViews>
  <sheetFormatPr defaultRowHeight="14.4"/>
  <cols>
    <col min="1" max="1" width="3.6640625" bestFit="1" customWidth="1"/>
    <col min="2" max="2" width="10.88671875" bestFit="1" customWidth="1"/>
    <col min="3" max="3" width="15.5546875" bestFit="1" customWidth="1"/>
    <col min="4" max="4" width="6.44140625" bestFit="1" customWidth="1"/>
    <col min="5" max="5" width="12.44140625" bestFit="1" customWidth="1"/>
  </cols>
  <sheetData>
    <row r="1" spans="1:5" s="1" customFormat="1">
      <c r="A1" s="1" t="s">
        <v>561</v>
      </c>
      <c r="B1" s="1" t="s">
        <v>82</v>
      </c>
      <c r="C1" s="1" t="s">
        <v>110</v>
      </c>
      <c r="D1" s="1" t="s">
        <v>0</v>
      </c>
      <c r="E1" s="1" t="s">
        <v>23</v>
      </c>
    </row>
    <row r="2" spans="1:5">
      <c r="A2">
        <f>ROW(A2)-1</f>
        <v>1</v>
      </c>
      <c r="B2">
        <v>1</v>
      </c>
      <c r="C2" t="str" cm="1">
        <f t="array" ref="C2">GetValue("Db","Name",B2)</f>
        <v>crudex</v>
      </c>
      <c r="D2" t="str">
        <f>C2</f>
        <v>crudex</v>
      </c>
      <c r="E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sheetPr codeName="Planilha32"/>
  <dimension ref="A1:G4"/>
  <sheetViews>
    <sheetView workbookViewId="0">
      <selection activeCell="G12" sqref="G12"/>
    </sheetView>
  </sheetViews>
  <sheetFormatPr defaultRowHeight="14.4"/>
  <cols>
    <col min="1" max="1" width="3.6640625" bestFit="1" customWidth="1"/>
    <col min="2" max="2" width="12.33203125" bestFit="1" customWidth="1"/>
    <col min="3" max="3" width="16.77734375" bestFit="1" customWidth="1"/>
    <col min="4" max="4" width="13.6640625" bestFit="1" customWidth="1"/>
    <col min="5" max="5" width="18.109375" bestFit="1" customWidth="1"/>
    <col min="6" max="6" width="8.6640625" bestFit="1" customWidth="1"/>
    <col min="7" max="7" width="108.5546875" customWidth="1"/>
  </cols>
  <sheetData>
    <row r="1" spans="1:7" s="1" customFormat="1">
      <c r="A1" s="1" t="s">
        <v>561</v>
      </c>
      <c r="B1" s="1" t="s">
        <v>663</v>
      </c>
      <c r="C1" s="1" t="s">
        <v>664</v>
      </c>
      <c r="D1" s="1" t="s">
        <v>665</v>
      </c>
      <c r="E1" s="1" t="s">
        <v>666</v>
      </c>
      <c r="F1" s="1" t="s">
        <v>240</v>
      </c>
      <c r="G1" s="1" t="s">
        <v>146</v>
      </c>
    </row>
    <row r="2" spans="1:7">
      <c r="A2">
        <f>ROW(A2)-1</f>
        <v>1</v>
      </c>
      <c r="B2">
        <v>1</v>
      </c>
      <c r="C2" t="str" cm="1">
        <f t="array" ref="C2">GetValue("Con","Name",B2)</f>
        <v>crudex</v>
      </c>
      <c r="D2">
        <v>1</v>
      </c>
      <c r="E2" t="str" cm="1">
        <f t="array" ref="E2">GetValue("Env","Name",D2)</f>
        <v>dev</v>
      </c>
      <c r="G2" t="s">
        <v>350</v>
      </c>
    </row>
    <row r="3" spans="1:7">
      <c r="A3">
        <f t="shared" ref="A3:A4" si="0">ROW(A3)-1</f>
        <v>2</v>
      </c>
      <c r="B3">
        <v>1</v>
      </c>
      <c r="C3" t="str" cm="1">
        <f t="array" ref="C3">GetValue("Con","Name",B3)</f>
        <v>crudex</v>
      </c>
      <c r="D3">
        <v>2</v>
      </c>
      <c r="E3" t="str" cm="1">
        <f t="array" ref="E3">GetValue("Env","Name",D3)</f>
        <v>hml</v>
      </c>
      <c r="G3" t="s">
        <v>351</v>
      </c>
    </row>
    <row r="4" spans="1:7">
      <c r="A4">
        <f t="shared" si="0"/>
        <v>3</v>
      </c>
      <c r="B4">
        <v>1</v>
      </c>
      <c r="C4" t="str" cm="1">
        <f t="array" ref="C4">GetValue("Con","Name",B4)</f>
        <v>crudex</v>
      </c>
      <c r="D4">
        <v>3</v>
      </c>
      <c r="E4" t="str" cm="1">
        <f t="array" ref="E4">GetValue("Env","Name",D4)</f>
        <v>prd</v>
      </c>
      <c r="G4" t="s">
        <v>352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E4" sqref="E4"/>
    </sheetView>
  </sheetViews>
  <sheetFormatPr defaultRowHeight="14.4"/>
  <cols>
    <col min="1" max="1" width="3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561</v>
      </c>
      <c r="B1" s="1" t="s">
        <v>82</v>
      </c>
      <c r="C1" s="1" t="s">
        <v>110</v>
      </c>
      <c r="D1" s="1" t="s">
        <v>264</v>
      </c>
      <c r="E1" s="1" t="s">
        <v>0</v>
      </c>
      <c r="F1" s="1" t="s">
        <v>64</v>
      </c>
      <c r="G1" s="1" t="s">
        <v>65</v>
      </c>
      <c r="H1" s="1" t="s">
        <v>23</v>
      </c>
    </row>
    <row r="2" spans="1:8">
      <c r="A2">
        <v>1</v>
      </c>
      <c r="B2">
        <v>1</v>
      </c>
      <c r="C2" t="str" cm="1">
        <f t="array" ref="C2">GetValue("Db","Name",B2)</f>
        <v>crudex</v>
      </c>
      <c r="D2" t="s">
        <v>265</v>
      </c>
      <c r="E2" t="s">
        <v>118</v>
      </c>
      <c r="F2" t="s">
        <v>119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1"/>
  <sheetViews>
    <sheetView workbookViewId="0">
      <pane ySplit="1" topLeftCell="A23" activePane="bottomLeft" state="frozen"/>
      <selection pane="bottomLeft" activeCell="I4" sqref="I4"/>
    </sheetView>
  </sheetViews>
  <sheetFormatPr defaultColWidth="8.33203125" defaultRowHeight="14.4"/>
  <cols>
    <col min="1" max="1" width="3.6640625" bestFit="1" customWidth="1"/>
    <col min="2" max="2" width="8.77734375" bestFit="1" customWidth="1"/>
    <col min="3" max="3" width="13.21875" bestFit="1" customWidth="1"/>
    <col min="4" max="4" width="13.33203125" bestFit="1" customWidth="1"/>
    <col min="5" max="5" width="19.33203125" bestFit="1" customWidth="1"/>
    <col min="6" max="6" width="9.21875" bestFit="1" customWidth="1"/>
    <col min="7" max="7" width="19" bestFit="1" customWidth="1"/>
    <col min="8" max="8" width="42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561</v>
      </c>
      <c r="B1" s="1" t="s">
        <v>66</v>
      </c>
      <c r="C1" s="1" t="s">
        <v>109</v>
      </c>
      <c r="D1" s="1" t="s">
        <v>71</v>
      </c>
      <c r="E1" s="1" t="s">
        <v>116</v>
      </c>
      <c r="F1" s="1" t="s">
        <v>67</v>
      </c>
      <c r="G1" s="1" t="s">
        <v>68</v>
      </c>
      <c r="H1" s="1" t="s">
        <v>69</v>
      </c>
      <c r="I1" s="1" t="s">
        <v>70</v>
      </c>
      <c r="J1" s="1" t="s">
        <v>23</v>
      </c>
    </row>
    <row r="2" spans="1:10">
      <c r="A2">
        <f>ROW(A2)-1</f>
        <v>1</v>
      </c>
      <c r="B2">
        <v>1</v>
      </c>
      <c r="C2" t="str" cm="1">
        <f t="array" ref="C2">GetValue("Sys","Name",B2)</f>
        <v>crudex</v>
      </c>
      <c r="E2" t="str" cm="1">
        <f t="array" ref="E2">GetValue("Mnu","Caption",D2)</f>
        <v/>
      </c>
      <c r="F2">
        <v>5</v>
      </c>
      <c r="G2" t="s">
        <v>365</v>
      </c>
      <c r="H2" t="s">
        <v>366</v>
      </c>
      <c r="J2" t="b">
        <v>1</v>
      </c>
    </row>
    <row r="3" spans="1:10">
      <c r="A3">
        <f t="shared" ref="A3:A41" si="0">ROW(A3)-1</f>
        <v>2</v>
      </c>
      <c r="B3">
        <v>1</v>
      </c>
      <c r="C3" t="str" cm="1">
        <f t="array" ref="C3">GetValue("Sys","Name",B3)</f>
        <v>crudex</v>
      </c>
      <c r="D3">
        <v>1</v>
      </c>
      <c r="E3" t="str" cm="1">
        <f t="array" ref="E3">GetValue("Mnu","Caption",D3)</f>
        <v>Manutenção</v>
      </c>
      <c r="F3">
        <f>F2+5</f>
        <v>10</v>
      </c>
      <c r="G3" t="s">
        <v>542</v>
      </c>
      <c r="H3" t="s">
        <v>367</v>
      </c>
      <c r="J3" t="b">
        <v>1</v>
      </c>
    </row>
    <row r="4" spans="1:10">
      <c r="A4">
        <f t="shared" si="0"/>
        <v>3</v>
      </c>
      <c r="B4">
        <v>1</v>
      </c>
      <c r="C4" t="str" cm="1">
        <f t="array" ref="C4">GetValue("Sys","Name",B4)</f>
        <v>crudex</v>
      </c>
      <c r="D4">
        <v>1</v>
      </c>
      <c r="E4" t="str" cm="1">
        <f t="array" ref="E4">GetValue("Mnu","Caption",D4)</f>
        <v>Manutenção</v>
      </c>
      <c r="F4">
        <f t="shared" ref="F4:F41" si="1">F3+5</f>
        <v>15</v>
      </c>
      <c r="G4" t="s">
        <v>545</v>
      </c>
      <c r="H4" t="s">
        <v>544</v>
      </c>
      <c r="J4" t="b">
        <v>1</v>
      </c>
    </row>
    <row r="5" spans="1:10">
      <c r="A5">
        <f t="shared" si="0"/>
        <v>4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f t="shared" si="1"/>
        <v>20</v>
      </c>
      <c r="G5" t="s">
        <v>543</v>
      </c>
      <c r="H5" t="s">
        <v>368</v>
      </c>
      <c r="J5" t="b">
        <v>1</v>
      </c>
    </row>
    <row r="6" spans="1:10">
      <c r="A6">
        <f t="shared" si="0"/>
        <v>5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GetValue("Mnu","Caption",D6)</f>
        <v>Manutenção</v>
      </c>
      <c r="F6">
        <f t="shared" si="1"/>
        <v>25</v>
      </c>
      <c r="G6" t="s">
        <v>480</v>
      </c>
      <c r="H6" t="str">
        <f>E6&amp;" de "&amp;G6</f>
        <v>Manutenção de Categorias</v>
      </c>
      <c r="I6" t="s">
        <v>608</v>
      </c>
      <c r="J6" t="b">
        <v>1</v>
      </c>
    </row>
    <row r="7" spans="1:10">
      <c r="A7">
        <f t="shared" si="0"/>
        <v>6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GetValue("Mnu","Caption",D7)</f>
        <v>Manutenção</v>
      </c>
      <c r="F7">
        <f t="shared" si="1"/>
        <v>30</v>
      </c>
      <c r="G7" t="s">
        <v>448</v>
      </c>
      <c r="H7" t="str">
        <f t="shared" ref="H7:H41" si="2">E7&amp;" de "&amp;G7</f>
        <v>Manutenção de Comparadores</v>
      </c>
      <c r="I7" t="s">
        <v>609</v>
      </c>
      <c r="J7" t="b">
        <v>1</v>
      </c>
    </row>
    <row r="8" spans="1:10">
      <c r="A8">
        <f t="shared" si="0"/>
        <v>7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GetValue("Mnu","Caption",D8)</f>
        <v>Manutenção</v>
      </c>
      <c r="F8">
        <f t="shared" si="1"/>
        <v>35</v>
      </c>
      <c r="G8" t="s">
        <v>604</v>
      </c>
      <c r="H8" t="str">
        <f t="shared" si="2"/>
        <v>Manutenção de Regras</v>
      </c>
      <c r="I8" t="s">
        <v>610</v>
      </c>
      <c r="J8" t="b">
        <v>1</v>
      </c>
    </row>
    <row r="9" spans="1:10">
      <c r="A9">
        <f t="shared" si="0"/>
        <v>8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GetValue("Mnu","Caption",D9)</f>
        <v>Manutenção</v>
      </c>
      <c r="F9">
        <f t="shared" si="1"/>
        <v>40</v>
      </c>
      <c r="G9" t="s">
        <v>281</v>
      </c>
      <c r="H9" t="str">
        <f t="shared" si="2"/>
        <v>Manutenção de SGBD's</v>
      </c>
      <c r="I9" t="s">
        <v>611</v>
      </c>
      <c r="J9" t="b">
        <v>1</v>
      </c>
    </row>
    <row r="10" spans="1:10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GetValue("Mnu","Caption",D10)</f>
        <v>Manutenção</v>
      </c>
      <c r="F10">
        <f t="shared" si="1"/>
        <v>45</v>
      </c>
      <c r="G10" t="s">
        <v>72</v>
      </c>
      <c r="H10" t="str">
        <f t="shared" si="2"/>
        <v>Manutenção de Tipos</v>
      </c>
      <c r="I10" t="s">
        <v>612</v>
      </c>
      <c r="J10" t="b">
        <v>1</v>
      </c>
    </row>
    <row r="11" spans="1:10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GetValue("Mnu","Caption",D11)</f>
        <v>Manutenção</v>
      </c>
      <c r="F11">
        <f t="shared" si="1"/>
        <v>50</v>
      </c>
      <c r="G11" t="s">
        <v>282</v>
      </c>
      <c r="H11" t="str">
        <f t="shared" si="2"/>
        <v>Manutenção de SGBD's x Tipos</v>
      </c>
      <c r="I11" t="s">
        <v>613</v>
      </c>
      <c r="J11" t="b">
        <v>1</v>
      </c>
    </row>
    <row r="12" spans="1:10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GetValue("Mnu","Caption",D12)</f>
        <v>Manutenção</v>
      </c>
      <c r="F12">
        <f t="shared" si="1"/>
        <v>55</v>
      </c>
      <c r="G12" t="s">
        <v>605</v>
      </c>
      <c r="H12" t="str">
        <f t="shared" si="2"/>
        <v>Manutenção de Proprietários</v>
      </c>
      <c r="I12" t="s">
        <v>614</v>
      </c>
      <c r="J12" t="b">
        <v>1</v>
      </c>
    </row>
    <row r="13" spans="1:10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2</v>
      </c>
      <c r="E13" t="str" cm="1">
        <f t="array" ref="E13">GetValue("Mnu","Caption",D13)</f>
        <v>Cadastro</v>
      </c>
      <c r="F13">
        <f t="shared" si="1"/>
        <v>60</v>
      </c>
      <c r="G13" t="s">
        <v>481</v>
      </c>
      <c r="H13" t="str">
        <f t="shared" si="2"/>
        <v>Cadastro de Domínios</v>
      </c>
      <c r="I13" t="s">
        <v>615</v>
      </c>
      <c r="J13" t="b">
        <v>1</v>
      </c>
    </row>
    <row r="14" spans="1:10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2</v>
      </c>
      <c r="E14" t="str" cm="1">
        <f t="array" ref="E14">GetValue("Mnu","Caption",D14)</f>
        <v>Cadastro</v>
      </c>
      <c r="F14">
        <f t="shared" si="1"/>
        <v>65</v>
      </c>
      <c r="G14" t="s">
        <v>482</v>
      </c>
      <c r="H14" t="str">
        <f t="shared" si="2"/>
        <v>Cadastro de Máscaras</v>
      </c>
      <c r="I14" t="s">
        <v>606</v>
      </c>
      <c r="J14" t="b">
        <v>1</v>
      </c>
    </row>
    <row r="15" spans="1:10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2</v>
      </c>
      <c r="E15" t="str" cm="1">
        <f t="array" ref="E15">GetValue("Mnu","Caption",D15)</f>
        <v>Cadastro</v>
      </c>
      <c r="F15">
        <f t="shared" si="1"/>
        <v>70</v>
      </c>
      <c r="G15" t="s">
        <v>479</v>
      </c>
      <c r="H15" t="str">
        <f t="shared" si="2"/>
        <v>Cadastro de Domínios x Máscaras</v>
      </c>
      <c r="I15" t="s">
        <v>607</v>
      </c>
      <c r="J15" t="b">
        <v>1</v>
      </c>
    </row>
    <row r="16" spans="1:10">
      <c r="A16">
        <f t="shared" si="0"/>
        <v>15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GetValue("Mnu","Caption",D16)</f>
        <v>Cadastro</v>
      </c>
      <c r="F16">
        <f t="shared" si="1"/>
        <v>75</v>
      </c>
      <c r="G16" t="s">
        <v>283</v>
      </c>
      <c r="H16" t="str">
        <f t="shared" si="2"/>
        <v>Cadastro de Bancos-de-dados</v>
      </c>
      <c r="I16" t="s">
        <v>639</v>
      </c>
      <c r="J16" t="b">
        <v>1</v>
      </c>
    </row>
    <row r="17" spans="1:10">
      <c r="A17">
        <f t="shared" si="0"/>
        <v>16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GetValue("Mnu","Caption",D17)</f>
        <v>Cadastro</v>
      </c>
      <c r="F17">
        <f>F15+5</f>
        <v>75</v>
      </c>
      <c r="G17" t="s">
        <v>641</v>
      </c>
      <c r="H17" t="s">
        <v>603</v>
      </c>
      <c r="I17" t="s">
        <v>642</v>
      </c>
      <c r="J17" t="b">
        <v>1</v>
      </c>
    </row>
    <row r="18" spans="1:10">
      <c r="A18">
        <f t="shared" si="0"/>
        <v>17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GetValue("Mnu","Caption",D18)</f>
        <v>Cadastro</v>
      </c>
      <c r="F18">
        <f>F16+5</f>
        <v>80</v>
      </c>
      <c r="G18" t="s">
        <v>483</v>
      </c>
      <c r="H18" t="str">
        <f t="shared" si="2"/>
        <v>Cadastro de Conexões</v>
      </c>
      <c r="I18" t="s">
        <v>640</v>
      </c>
      <c r="J18" t="b">
        <v>1</v>
      </c>
    </row>
    <row r="19" spans="1:10">
      <c r="A19">
        <f t="shared" si="0"/>
        <v>18</v>
      </c>
      <c r="B19">
        <v>1</v>
      </c>
      <c r="C19" t="str" cm="1">
        <f t="array" ref="C19">GetValue("Sys","Name",B19)</f>
        <v>crudex</v>
      </c>
      <c r="D19">
        <v>3</v>
      </c>
      <c r="E19" t="str" cm="1">
        <f t="array" ref="E19">GetValue("Mnu","Caption",D19)</f>
        <v>Definição</v>
      </c>
      <c r="F19">
        <f>F18+5</f>
        <v>85</v>
      </c>
      <c r="G19" t="s">
        <v>76</v>
      </c>
      <c r="H19" t="str">
        <f t="shared" si="2"/>
        <v>Definição de Sistemas</v>
      </c>
      <c r="I19" t="s">
        <v>616</v>
      </c>
      <c r="J19" t="b">
        <v>1</v>
      </c>
    </row>
    <row r="20" spans="1:10">
      <c r="A20">
        <f>ROW(A20)-1</f>
        <v>19</v>
      </c>
      <c r="B20">
        <v>1</v>
      </c>
      <c r="C20" t="str" cm="1">
        <f t="array" ref="C20">GetValue("Sys","Name",B20)</f>
        <v>crudex</v>
      </c>
      <c r="D20">
        <v>3</v>
      </c>
      <c r="E20" t="str" cm="1">
        <f t="array" ref="E20">GetValue("Mnu","Caption",D20)</f>
        <v>Definição</v>
      </c>
      <c r="F20">
        <f>F19+5</f>
        <v>90</v>
      </c>
      <c r="G20" t="s">
        <v>75</v>
      </c>
      <c r="H20" t="str">
        <f>E20&amp;" de "&amp;G20</f>
        <v>Definição de Menus</v>
      </c>
      <c r="I20" t="s">
        <v>617</v>
      </c>
      <c r="J20" t="b">
        <v>1</v>
      </c>
    </row>
    <row r="21" spans="1:10">
      <c r="A21">
        <f t="shared" si="0"/>
        <v>20</v>
      </c>
      <c r="B21">
        <v>1</v>
      </c>
      <c r="C21" t="str" cm="1">
        <f t="array" ref="C21">GetValue("Sys","Name",B21)</f>
        <v>crudex</v>
      </c>
      <c r="D21">
        <v>3</v>
      </c>
      <c r="E21" t="str" cm="1">
        <f t="array" ref="E21">GetValue("Mnu","Caption",D21)</f>
        <v>Definição</v>
      </c>
      <c r="F21">
        <f>F20+5</f>
        <v>95</v>
      </c>
      <c r="G21" t="s">
        <v>74</v>
      </c>
      <c r="H21" t="str">
        <f t="shared" si="2"/>
        <v>Definição de Tabelas</v>
      </c>
      <c r="I21" t="s">
        <v>618</v>
      </c>
      <c r="J21" t="b">
        <v>1</v>
      </c>
    </row>
    <row r="22" spans="1:10">
      <c r="A22">
        <f t="shared" si="0"/>
        <v>21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GetValue("Mnu","Caption",D22)</f>
        <v>Definição</v>
      </c>
      <c r="F22">
        <f t="shared" si="1"/>
        <v>100</v>
      </c>
      <c r="G22" t="s">
        <v>484</v>
      </c>
      <c r="H22" t="str">
        <f t="shared" si="2"/>
        <v>Definição de Colunas</v>
      </c>
      <c r="I22" t="s">
        <v>619</v>
      </c>
      <c r="J22" t="b">
        <v>1</v>
      </c>
    </row>
    <row r="23" spans="1:10">
      <c r="A23">
        <f t="shared" si="0"/>
        <v>22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GetValue("Mnu","Caption",D23)</f>
        <v>Definição</v>
      </c>
      <c r="F23">
        <f t="shared" si="1"/>
        <v>105</v>
      </c>
      <c r="G23" t="s">
        <v>485</v>
      </c>
      <c r="H23" t="str">
        <f t="shared" si="2"/>
        <v>Definição de Índices</v>
      </c>
      <c r="I23" t="s">
        <v>620</v>
      </c>
      <c r="J23" t="b">
        <v>1</v>
      </c>
    </row>
    <row r="24" spans="1:10">
      <c r="A24">
        <f t="shared" si="0"/>
        <v>23</v>
      </c>
      <c r="B24">
        <v>1</v>
      </c>
      <c r="C24" t="str" cm="1">
        <f t="array" ref="C24">GetValue("Sys","Name",B24)</f>
        <v>crudex</v>
      </c>
      <c r="D24">
        <v>4</v>
      </c>
      <c r="E24" t="str" cm="1">
        <f t="array" ref="E24">GetValue("Mnu","Caption",D24)</f>
        <v>Associação</v>
      </c>
      <c r="F24">
        <f t="shared" si="1"/>
        <v>110</v>
      </c>
      <c r="G24" t="s">
        <v>566</v>
      </c>
      <c r="H24" t="str">
        <f t="shared" si="2"/>
        <v>Associação de Chaves de índices</v>
      </c>
      <c r="I24" t="s">
        <v>621</v>
      </c>
      <c r="J24" t="b">
        <v>1</v>
      </c>
    </row>
    <row r="25" spans="1:10">
      <c r="A25">
        <f t="shared" si="0"/>
        <v>24</v>
      </c>
      <c r="B25">
        <v>1</v>
      </c>
      <c r="C25" t="str" cm="1">
        <f t="array" ref="C25">GetValue("Sys","Name",B25)</f>
        <v>crudex</v>
      </c>
      <c r="D25">
        <v>4</v>
      </c>
      <c r="E25" t="str" cm="1">
        <f t="array" ref="E25">GetValue("Mnu","Caption",D25)</f>
        <v>Associação</v>
      </c>
      <c r="F25">
        <f t="shared" si="1"/>
        <v>115</v>
      </c>
      <c r="G25" t="s">
        <v>486</v>
      </c>
      <c r="H25" t="str">
        <f t="shared" si="2"/>
        <v>Associação de Não-chaves</v>
      </c>
      <c r="I25" t="s">
        <v>622</v>
      </c>
      <c r="J25" t="b">
        <v>1</v>
      </c>
    </row>
    <row r="26" spans="1:10">
      <c r="A26">
        <f t="shared" si="0"/>
        <v>25</v>
      </c>
      <c r="B26">
        <v>1</v>
      </c>
      <c r="C26" t="str" cm="1">
        <f t="array" ref="C26">GetValue("Sys","Name",B26)</f>
        <v>crudex</v>
      </c>
      <c r="D26">
        <v>4</v>
      </c>
      <c r="E26" t="str" cm="1">
        <f t="array" ref="E26">GetValue("Mnu","Caption",D26)</f>
        <v>Associação</v>
      </c>
      <c r="F26">
        <f t="shared" si="1"/>
        <v>120</v>
      </c>
      <c r="G26" t="s">
        <v>487</v>
      </c>
      <c r="H26" t="str">
        <f t="shared" si="2"/>
        <v>Associação de Unicidades</v>
      </c>
      <c r="I26" t="s">
        <v>623</v>
      </c>
      <c r="J26" t="b">
        <v>1</v>
      </c>
    </row>
    <row r="27" spans="1:10">
      <c r="A27">
        <f t="shared" si="0"/>
        <v>26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GetValue("Mnu","Caption",D27)</f>
        <v>Associação</v>
      </c>
      <c r="F27">
        <f t="shared" si="1"/>
        <v>125</v>
      </c>
      <c r="G27" t="s">
        <v>497</v>
      </c>
      <c r="H27" t="str">
        <f t="shared" si="2"/>
        <v>Associação de Expressões</v>
      </c>
      <c r="I27" t="s">
        <v>624</v>
      </c>
      <c r="J27" t="b">
        <v>1</v>
      </c>
    </row>
    <row r="28" spans="1:10">
      <c r="A28">
        <f t="shared" si="0"/>
        <v>27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GetValue("Mnu","Caption",D28)</f>
        <v>Associação</v>
      </c>
      <c r="F28">
        <f t="shared" si="1"/>
        <v>130</v>
      </c>
      <c r="G28" t="s">
        <v>488</v>
      </c>
      <c r="H28" t="str">
        <f t="shared" si="2"/>
        <v>Associação de Condições</v>
      </c>
      <c r="I28" t="s">
        <v>625</v>
      </c>
      <c r="J28" t="b">
        <v>1</v>
      </c>
    </row>
    <row r="29" spans="1:10">
      <c r="A29">
        <f t="shared" si="0"/>
        <v>28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GetValue("Mnu","Caption",D29)</f>
        <v>Associação</v>
      </c>
      <c r="F29">
        <f t="shared" si="1"/>
        <v>135</v>
      </c>
      <c r="G29" t="s">
        <v>489</v>
      </c>
      <c r="H29" t="str">
        <f t="shared" si="2"/>
        <v>Associação de Referências</v>
      </c>
      <c r="I29" t="s">
        <v>626</v>
      </c>
      <c r="J29" t="b">
        <v>1</v>
      </c>
    </row>
    <row r="30" spans="1:10">
      <c r="A30">
        <f t="shared" si="0"/>
        <v>29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GetValue("Mnu","Caption",D30)</f>
        <v>Associação</v>
      </c>
      <c r="F30">
        <f t="shared" si="1"/>
        <v>140</v>
      </c>
      <c r="G30" t="s">
        <v>564</v>
      </c>
      <c r="H30" t="str">
        <f t="shared" si="2"/>
        <v>Associação de Chaves de referências</v>
      </c>
      <c r="I30" t="s">
        <v>627</v>
      </c>
      <c r="J30" t="b">
        <v>1</v>
      </c>
    </row>
    <row r="31" spans="1:10">
      <c r="A31">
        <f t="shared" si="0"/>
        <v>30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GetValue("Mnu","Caption",D31)</f>
        <v>Associação</v>
      </c>
      <c r="F31">
        <f t="shared" si="1"/>
        <v>145</v>
      </c>
      <c r="G31" t="s">
        <v>73</v>
      </c>
      <c r="H31" t="str">
        <f t="shared" si="2"/>
        <v>Associação de Usuários</v>
      </c>
      <c r="I31" t="s">
        <v>628</v>
      </c>
      <c r="J31" t="b">
        <v>1</v>
      </c>
    </row>
    <row r="32" spans="1:10">
      <c r="A32">
        <f t="shared" si="0"/>
        <v>31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GetValue("Mnu","Caption",D32)</f>
        <v>Associação</v>
      </c>
      <c r="F32">
        <f t="shared" si="1"/>
        <v>150</v>
      </c>
      <c r="G32" t="s">
        <v>490</v>
      </c>
      <c r="H32" t="str">
        <f t="shared" si="2"/>
        <v>Associação de Permissões</v>
      </c>
      <c r="I32" t="s">
        <v>629</v>
      </c>
      <c r="J32" t="b">
        <v>1</v>
      </c>
    </row>
    <row r="33" spans="1:10">
      <c r="A33">
        <f t="shared" si="0"/>
        <v>32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GetValue("Mnu","Caption",D33)</f>
        <v>Associação</v>
      </c>
      <c r="F33">
        <f t="shared" si="1"/>
        <v>155</v>
      </c>
      <c r="G33" t="s">
        <v>491</v>
      </c>
      <c r="H33" t="str">
        <f t="shared" si="2"/>
        <v>Associação de Propriedades</v>
      </c>
      <c r="I33" t="s">
        <v>630</v>
      </c>
      <c r="J33" t="b">
        <v>1</v>
      </c>
    </row>
    <row r="34" spans="1:10">
      <c r="A34">
        <f t="shared" si="0"/>
        <v>33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GetValue("Mnu","Caption",D34)</f>
        <v>Associação</v>
      </c>
      <c r="F34">
        <f t="shared" si="1"/>
        <v>160</v>
      </c>
      <c r="G34" t="s">
        <v>492</v>
      </c>
      <c r="H34" t="str">
        <f t="shared" si="2"/>
        <v>Associação de Comportamentos</v>
      </c>
      <c r="I34" t="s">
        <v>631</v>
      </c>
      <c r="J34" t="b">
        <v>1</v>
      </c>
    </row>
    <row r="35" spans="1:10">
      <c r="A35">
        <f t="shared" si="0"/>
        <v>34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GetValue("Mnu","Caption",D35)</f>
        <v>Associação</v>
      </c>
      <c r="F35">
        <f t="shared" si="1"/>
        <v>165</v>
      </c>
      <c r="G35" t="s">
        <v>493</v>
      </c>
      <c r="H35" t="str">
        <f t="shared" si="2"/>
        <v>Associação de Agendamentos</v>
      </c>
      <c r="I35" t="s">
        <v>632</v>
      </c>
      <c r="J35" t="b">
        <v>1</v>
      </c>
    </row>
    <row r="36" spans="1:10">
      <c r="A36">
        <f t="shared" si="0"/>
        <v>35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GetValue("Mnu","Caption",D36)</f>
        <v>Associação</v>
      </c>
      <c r="F36">
        <f t="shared" si="1"/>
        <v>170</v>
      </c>
      <c r="G36" t="s">
        <v>538</v>
      </c>
      <c r="H36" t="str">
        <f t="shared" si="2"/>
        <v>Associação de Snipers</v>
      </c>
      <c r="I36" t="s">
        <v>633</v>
      </c>
      <c r="J36" t="b">
        <v>1</v>
      </c>
    </row>
    <row r="37" spans="1:10">
      <c r="A37">
        <f t="shared" si="0"/>
        <v>36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GetValue("Mnu","Caption",D37)</f>
        <v>Associação</v>
      </c>
      <c r="F37">
        <f t="shared" si="1"/>
        <v>175</v>
      </c>
      <c r="G37" t="s">
        <v>403</v>
      </c>
      <c r="H37" t="str">
        <f t="shared" si="2"/>
        <v>Associação de Scripts</v>
      </c>
      <c r="I37" t="s">
        <v>634</v>
      </c>
      <c r="J37" t="b">
        <v>1</v>
      </c>
    </row>
    <row r="38" spans="1:10">
      <c r="A38">
        <f t="shared" si="0"/>
        <v>37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GetValue("Mnu","Caption",D38)</f>
        <v>Associação</v>
      </c>
      <c r="F38">
        <f t="shared" si="1"/>
        <v>180</v>
      </c>
      <c r="G38" t="s">
        <v>535</v>
      </c>
      <c r="H38" t="str">
        <f t="shared" si="2"/>
        <v>Associação de URL's</v>
      </c>
      <c r="I38" t="s">
        <v>635</v>
      </c>
      <c r="J38" t="b">
        <v>1</v>
      </c>
    </row>
    <row r="39" spans="1:10">
      <c r="A39">
        <f t="shared" si="0"/>
        <v>38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GetValue("Mnu","Caption",D39)</f>
        <v>Associação</v>
      </c>
      <c r="F39">
        <f t="shared" si="1"/>
        <v>185</v>
      </c>
      <c r="G39" t="s">
        <v>494</v>
      </c>
      <c r="H39" t="str">
        <f t="shared" si="2"/>
        <v>Associação de Sessões</v>
      </c>
      <c r="I39" t="s">
        <v>636</v>
      </c>
      <c r="J39" t="b">
        <v>1</v>
      </c>
    </row>
    <row r="40" spans="1:10">
      <c r="A40">
        <f t="shared" si="0"/>
        <v>39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GetValue("Mnu","Caption",D40)</f>
        <v>Associação</v>
      </c>
      <c r="F40">
        <f t="shared" si="1"/>
        <v>190</v>
      </c>
      <c r="G40" t="s">
        <v>495</v>
      </c>
      <c r="H40" t="str">
        <f t="shared" si="2"/>
        <v>Associação de Transações</v>
      </c>
      <c r="I40" t="s">
        <v>637</v>
      </c>
      <c r="J40" t="b">
        <v>1</v>
      </c>
    </row>
    <row r="41" spans="1:10">
      <c r="A41">
        <f t="shared" si="0"/>
        <v>40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GetValue("Mnu","Caption",D41)</f>
        <v>Associação</v>
      </c>
      <c r="F41">
        <f t="shared" si="1"/>
        <v>195</v>
      </c>
      <c r="G41" t="s">
        <v>496</v>
      </c>
      <c r="H41" t="str">
        <f t="shared" si="2"/>
        <v>Associação de Operações</v>
      </c>
      <c r="I41" t="s">
        <v>638</v>
      </c>
      <c r="J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38"/>
  <sheetViews>
    <sheetView zoomScaleNormal="100" workbookViewId="0">
      <pane ySplit="1" topLeftCell="A2" activePane="bottomLeft" state="frozen"/>
      <selection pane="bottomLeft" activeCell="I24" sqref="I24"/>
    </sheetView>
  </sheetViews>
  <sheetFormatPr defaultColWidth="10.5546875" defaultRowHeight="14.4"/>
  <cols>
    <col min="1" max="1" width="3.6640625" bestFit="1" customWidth="1"/>
    <col min="2" max="2" width="10.44140625" bestFit="1" customWidth="1"/>
    <col min="3" max="3" width="14.88671875" bestFit="1" customWidth="1"/>
    <col min="4" max="4" width="12.88671875" bestFit="1" customWidth="1"/>
    <col min="5" max="5" width="4.88671875" bestFit="1" customWidth="1"/>
    <col min="6" max="6" width="29.6640625" bestFit="1" customWidth="1"/>
    <col min="7" max="7" width="9" bestFit="1" customWidth="1"/>
  </cols>
  <sheetData>
    <row r="1" spans="1:7" s="1" customFormat="1">
      <c r="A1" s="1" t="s">
        <v>561</v>
      </c>
      <c r="B1" s="1" t="s">
        <v>82</v>
      </c>
      <c r="C1" s="1" t="s">
        <v>110</v>
      </c>
      <c r="D1" s="1" t="s">
        <v>0</v>
      </c>
      <c r="E1" s="1" t="s">
        <v>81</v>
      </c>
      <c r="F1" s="1" t="s">
        <v>64</v>
      </c>
      <c r="G1" s="1" t="s">
        <v>115</v>
      </c>
    </row>
    <row r="2" spans="1:7">
      <c r="A2">
        <f t="shared" ref="A2:A38" si="0">ROW(A2)-1</f>
        <v>1</v>
      </c>
      <c r="B2">
        <v>1</v>
      </c>
      <c r="C2" t="str" cm="1">
        <f t="array" ref="C2">GetValue("Db","Name",B2)</f>
        <v>crudex</v>
      </c>
      <c r="D2" t="s">
        <v>92</v>
      </c>
      <c r="E2" t="s">
        <v>249</v>
      </c>
      <c r="F2" t="s">
        <v>498</v>
      </c>
      <c r="G2" cm="1">
        <f t="array" ref="G2">GetLastId(A2)</f>
        <v>10</v>
      </c>
    </row>
    <row r="3" spans="1:7">
      <c r="A3">
        <f t="shared" si="0"/>
        <v>2</v>
      </c>
      <c r="B3">
        <v>1</v>
      </c>
      <c r="C3" t="str" cm="1">
        <f t="array" ref="C3">GetValue("Db","Name",B3)</f>
        <v>crudex</v>
      </c>
      <c r="D3" t="s">
        <v>446</v>
      </c>
      <c r="E3" t="s">
        <v>447</v>
      </c>
      <c r="F3" t="s">
        <v>448</v>
      </c>
      <c r="G3" cm="1">
        <f t="array" ref="G3">GetLastId(A3)</f>
        <v>14</v>
      </c>
    </row>
    <row r="4" spans="1:7">
      <c r="A4">
        <f t="shared" si="0"/>
        <v>3</v>
      </c>
      <c r="B4">
        <v>1</v>
      </c>
      <c r="C4" t="str" cm="1">
        <f t="array" ref="C4">GetValue("Db","Name",B4)</f>
        <v>crudex</v>
      </c>
      <c r="D4" t="s">
        <v>525</v>
      </c>
      <c r="E4" t="s">
        <v>526</v>
      </c>
      <c r="F4" t="s">
        <v>450</v>
      </c>
      <c r="G4" cm="1">
        <f t="array" ref="G4">GetLastId(A4)</f>
        <v>68</v>
      </c>
    </row>
    <row r="5" spans="1:7">
      <c r="A5">
        <f>ROW(A5)-1</f>
        <v>4</v>
      </c>
      <c r="B5">
        <v>1</v>
      </c>
      <c r="C5" t="str" cm="1">
        <f t="array" ref="C5">GetValue("Db","Name",B5)</f>
        <v>crudex</v>
      </c>
      <c r="D5" t="s">
        <v>276</v>
      </c>
      <c r="E5" t="s">
        <v>278</v>
      </c>
      <c r="F5" t="s">
        <v>281</v>
      </c>
      <c r="G5" cm="1">
        <f t="array" ref="G5">GetLastId(A5)</f>
        <v>10</v>
      </c>
    </row>
    <row r="6" spans="1:7">
      <c r="A6">
        <f t="shared" si="0"/>
        <v>5</v>
      </c>
      <c r="B6">
        <v>1</v>
      </c>
      <c r="C6" t="str" cm="1">
        <f t="array" ref="C6">GetValue("Db","Name",B6)</f>
        <v>crudex</v>
      </c>
      <c r="D6" t="s">
        <v>83</v>
      </c>
      <c r="E6" t="s">
        <v>250</v>
      </c>
      <c r="F6" t="s">
        <v>72</v>
      </c>
      <c r="G6" cm="1">
        <f t="array" ref="G6">GetLastId(A6)</f>
        <v>38</v>
      </c>
    </row>
    <row r="7" spans="1:7">
      <c r="A7">
        <f t="shared" si="0"/>
        <v>6</v>
      </c>
      <c r="B7">
        <v>1</v>
      </c>
      <c r="C7" t="str" cm="1">
        <f t="array" ref="C7">GetValue("Db","Name",B7)</f>
        <v>crudex</v>
      </c>
      <c r="D7" t="s">
        <v>521</v>
      </c>
      <c r="E7" t="s">
        <v>522</v>
      </c>
      <c r="F7" t="s">
        <v>282</v>
      </c>
      <c r="G7" cm="1">
        <f t="array" ref="G7">GetLastId(A7)</f>
        <v>380</v>
      </c>
    </row>
    <row r="8" spans="1:7">
      <c r="A8">
        <f t="shared" si="0"/>
        <v>7</v>
      </c>
      <c r="B8">
        <v>1</v>
      </c>
      <c r="C8" t="str" cm="1">
        <f t="array" ref="C8">GetValue("Db","Name",B8)</f>
        <v>crudex</v>
      </c>
      <c r="D8" t="s">
        <v>590</v>
      </c>
      <c r="E8" t="s">
        <v>591</v>
      </c>
      <c r="F8" t="s">
        <v>592</v>
      </c>
      <c r="G8" cm="1">
        <f t="array" ref="G8">GetLastId(A8)</f>
        <v>5</v>
      </c>
    </row>
    <row r="9" spans="1:7">
      <c r="A9">
        <f t="shared" si="0"/>
        <v>8</v>
      </c>
      <c r="B9">
        <v>1</v>
      </c>
      <c r="C9" t="str" cm="1">
        <f t="array" ref="C9">GetValue("Db","Name",B9)</f>
        <v>crudex</v>
      </c>
      <c r="D9" t="s">
        <v>84</v>
      </c>
      <c r="E9" t="s">
        <v>252</v>
      </c>
      <c r="F9" t="s">
        <v>499</v>
      </c>
      <c r="G9" cm="1">
        <f t="array" ref="G9">GetLastId(A9)</f>
        <v>53</v>
      </c>
    </row>
    <row r="10" spans="1:7">
      <c r="A10">
        <f t="shared" si="0"/>
        <v>9</v>
      </c>
      <c r="B10">
        <v>1</v>
      </c>
      <c r="C10" t="str" cm="1">
        <f t="array" ref="C10">GetValue("Db","Name",B10)</f>
        <v>crudex</v>
      </c>
      <c r="D10" t="s">
        <v>85</v>
      </c>
      <c r="E10" t="s">
        <v>251</v>
      </c>
      <c r="F10" t="s">
        <v>500</v>
      </c>
      <c r="G10" cm="1">
        <f t="array" ref="G10">GetLastId(A10)</f>
        <v>19</v>
      </c>
    </row>
    <row r="11" spans="1:7">
      <c r="A11">
        <f t="shared" si="0"/>
        <v>10</v>
      </c>
      <c r="B11">
        <v>1</v>
      </c>
      <c r="C11" t="str" cm="1">
        <f t="array" ref="C11">GetValue("Db","Name",B11)</f>
        <v>crudex</v>
      </c>
      <c r="D11" t="s">
        <v>523</v>
      </c>
      <c r="E11" t="s">
        <v>524</v>
      </c>
      <c r="F11" t="s">
        <v>479</v>
      </c>
      <c r="G11" cm="1">
        <f t="array" ref="G11">GetLastId(A11)</f>
        <v>19</v>
      </c>
    </row>
    <row r="12" spans="1:7">
      <c r="A12">
        <f t="shared" si="0"/>
        <v>11</v>
      </c>
      <c r="B12">
        <v>1</v>
      </c>
      <c r="C12" t="str" cm="1">
        <f t="array" ref="C12">GetValue("Db","Name",B12)</f>
        <v>crudex</v>
      </c>
      <c r="D12" t="s">
        <v>88</v>
      </c>
      <c r="E12" t="s">
        <v>256</v>
      </c>
      <c r="F12" t="s">
        <v>283</v>
      </c>
      <c r="G12" cm="1">
        <f t="array" ref="G12">GetLastId(A12)</f>
        <v>1</v>
      </c>
    </row>
    <row r="13" spans="1:7">
      <c r="A13">
        <f t="shared" si="0"/>
        <v>12</v>
      </c>
      <c r="B13">
        <v>1</v>
      </c>
      <c r="C13" t="str" cm="1">
        <f t="array" ref="C13">GetValue("Db","Name",B13)</f>
        <v>crudex</v>
      </c>
      <c r="D13" t="s">
        <v>601</v>
      </c>
      <c r="E13" t="s">
        <v>602</v>
      </c>
      <c r="F13" t="s">
        <v>603</v>
      </c>
      <c r="G13" cm="1">
        <f t="array" ref="G13">GetLastId(A13)</f>
        <v>3</v>
      </c>
    </row>
    <row r="14" spans="1:7">
      <c r="A14">
        <f t="shared" si="0"/>
        <v>13</v>
      </c>
      <c r="B14">
        <v>1</v>
      </c>
      <c r="C14" t="str" cm="1">
        <f t="array" ref="C14">GetValue("Db","Name",B14)</f>
        <v>crudex</v>
      </c>
      <c r="D14" t="s">
        <v>349</v>
      </c>
      <c r="E14" t="s">
        <v>416</v>
      </c>
      <c r="F14" t="s">
        <v>501</v>
      </c>
      <c r="G14" cm="1">
        <f t="array" ref="G14">GetLastId(A14)</f>
        <v>1</v>
      </c>
    </row>
    <row r="15" spans="1:7">
      <c r="A15">
        <f t="shared" si="0"/>
        <v>14</v>
      </c>
      <c r="B15">
        <v>1</v>
      </c>
      <c r="C15" t="str" cm="1">
        <f t="array" ref="C15">GetValue("Db","Name",B15)</f>
        <v>crudex</v>
      </c>
      <c r="D15" t="s">
        <v>669</v>
      </c>
      <c r="E15" t="s">
        <v>667</v>
      </c>
      <c r="F15" t="s">
        <v>668</v>
      </c>
      <c r="G15" cm="1">
        <f t="array" ref="G15">GetLastId(A15)</f>
        <v>3</v>
      </c>
    </row>
    <row r="16" spans="1:7">
      <c r="A16">
        <f t="shared" si="0"/>
        <v>15</v>
      </c>
      <c r="B16">
        <v>1</v>
      </c>
      <c r="C16" t="str" cm="1">
        <f t="array" ref="C16">GetValue("Db","Name",B16)</f>
        <v>crudex</v>
      </c>
      <c r="D16" t="s">
        <v>86</v>
      </c>
      <c r="E16" t="s">
        <v>253</v>
      </c>
      <c r="F16" t="s">
        <v>76</v>
      </c>
      <c r="G16" cm="1">
        <f t="array" ref="G16">GetLastId(A16)</f>
        <v>1</v>
      </c>
    </row>
    <row r="17" spans="1:7">
      <c r="A17">
        <f>ROW(A17)-1</f>
        <v>16</v>
      </c>
      <c r="B17">
        <v>1</v>
      </c>
      <c r="C17" t="str" cm="1">
        <f t="array" ref="C17">GetValue("Db","Name",B17)</f>
        <v>crudex</v>
      </c>
      <c r="D17" t="s">
        <v>75</v>
      </c>
      <c r="E17" t="s">
        <v>254</v>
      </c>
      <c r="F17" t="s">
        <v>502</v>
      </c>
      <c r="G17" cm="1">
        <f t="array" ref="G17">GetLastId(A17)</f>
        <v>40</v>
      </c>
    </row>
    <row r="18" spans="1:7">
      <c r="A18">
        <f>ROW(A18)-1</f>
        <v>17</v>
      </c>
      <c r="B18">
        <v>1</v>
      </c>
      <c r="C18" t="str" cm="1">
        <f t="array" ref="C18">GetValue("Db","Name",B18)</f>
        <v>crudex</v>
      </c>
      <c r="D18" t="s">
        <v>89</v>
      </c>
      <c r="E18" t="s">
        <v>257</v>
      </c>
      <c r="F18" t="s">
        <v>74</v>
      </c>
      <c r="G18" cm="1">
        <f t="array" ref="G18">GetLastId(A18)</f>
        <v>37</v>
      </c>
    </row>
    <row r="19" spans="1:7">
      <c r="A19">
        <f t="shared" si="0"/>
        <v>18</v>
      </c>
      <c r="B19">
        <v>1</v>
      </c>
      <c r="C19" t="str" cm="1">
        <f t="array" ref="C19">GetValue("Db","Name",B19)</f>
        <v>crudex</v>
      </c>
      <c r="D19" t="s">
        <v>90</v>
      </c>
      <c r="E19" t="s">
        <v>258</v>
      </c>
      <c r="F19" t="s">
        <v>503</v>
      </c>
      <c r="G19" cm="1">
        <f t="array" ref="G19">GetLastId(A19)</f>
        <v>236</v>
      </c>
    </row>
    <row r="20" spans="1:7">
      <c r="A20">
        <f t="shared" si="0"/>
        <v>19</v>
      </c>
      <c r="B20">
        <v>1</v>
      </c>
      <c r="C20" t="str" cm="1">
        <f t="array" ref="C20">GetValue("Db","Name",B20)</f>
        <v>crudex</v>
      </c>
      <c r="D20" t="s">
        <v>91</v>
      </c>
      <c r="E20" t="s">
        <v>259</v>
      </c>
      <c r="F20" t="s">
        <v>504</v>
      </c>
      <c r="G20" cm="1">
        <f t="array" ref="G20">GetLastId(A20)</f>
        <v>0</v>
      </c>
    </row>
    <row r="21" spans="1:7" ht="13.95" customHeight="1">
      <c r="A21">
        <f t="shared" si="0"/>
        <v>20</v>
      </c>
      <c r="B21">
        <v>1</v>
      </c>
      <c r="C21" t="str" cm="1">
        <f t="array" ref="C21">GetValue("Db","Name",B21)</f>
        <v>crudex</v>
      </c>
      <c r="D21" t="s">
        <v>99</v>
      </c>
      <c r="E21" t="s">
        <v>279</v>
      </c>
      <c r="F21" t="s">
        <v>505</v>
      </c>
      <c r="G21" cm="1">
        <f t="array" ref="G21">GetLastId(A21)</f>
        <v>0</v>
      </c>
    </row>
    <row r="22" spans="1:7" ht="13.95" customHeight="1">
      <c r="A22">
        <f t="shared" si="0"/>
        <v>21</v>
      </c>
      <c r="B22">
        <v>1</v>
      </c>
      <c r="C22" t="str" cm="1">
        <f t="array" ref="C22">GetValue("Db","Name",B22)</f>
        <v>crudex</v>
      </c>
      <c r="D22" t="s">
        <v>362</v>
      </c>
      <c r="E22" t="s">
        <v>363</v>
      </c>
      <c r="F22" t="s">
        <v>506</v>
      </c>
      <c r="G22" cm="1">
        <f t="array" ref="G22">GetLastId(A22)</f>
        <v>0</v>
      </c>
    </row>
    <row r="23" spans="1:7">
      <c r="A23">
        <f t="shared" si="0"/>
        <v>22</v>
      </c>
      <c r="B23">
        <v>1</v>
      </c>
      <c r="C23" t="str" cm="1">
        <f t="array" ref="C23">GetValue("Db","Name",B23)</f>
        <v>crudex</v>
      </c>
      <c r="D23" t="s">
        <v>142</v>
      </c>
      <c r="E23" t="s">
        <v>263</v>
      </c>
      <c r="F23" t="s">
        <v>507</v>
      </c>
      <c r="G23" cm="1">
        <f t="array" ref="G23">GetLastId(A23)</f>
        <v>0</v>
      </c>
    </row>
    <row r="24" spans="1:7">
      <c r="A24">
        <f t="shared" si="0"/>
        <v>23</v>
      </c>
      <c r="B24">
        <v>1</v>
      </c>
      <c r="C24" t="str" cm="1">
        <f t="array" ref="C24">GetValue("Db","Name",B24)</f>
        <v>crudex</v>
      </c>
      <c r="D24" t="s">
        <v>547</v>
      </c>
      <c r="E24" t="s">
        <v>361</v>
      </c>
      <c r="F24" t="s">
        <v>508</v>
      </c>
      <c r="G24" cm="1">
        <f t="array" ref="G24">GetLastId(A24)</f>
        <v>1</v>
      </c>
    </row>
    <row r="25" spans="1:7">
      <c r="A25">
        <f t="shared" si="0"/>
        <v>24</v>
      </c>
      <c r="B25">
        <v>1</v>
      </c>
      <c r="C25" t="str" cm="1">
        <f t="array" ref="C25">GetValue("Db","Name",B25)</f>
        <v>crudex</v>
      </c>
      <c r="D25" t="s">
        <v>277</v>
      </c>
      <c r="E25" t="s">
        <v>280</v>
      </c>
      <c r="F25" t="s">
        <v>509</v>
      </c>
      <c r="G25" cm="1">
        <f t="array" ref="G25">GetLastId(A25)</f>
        <v>0</v>
      </c>
    </row>
    <row r="26" spans="1:7">
      <c r="A26">
        <f>ROW(A26)-1</f>
        <v>25</v>
      </c>
      <c r="B26">
        <v>1</v>
      </c>
      <c r="C26" t="str" cm="1">
        <f t="array" ref="C26">GetValue("Db","Name",B26)</f>
        <v>crudex</v>
      </c>
      <c r="D26" t="s">
        <v>385</v>
      </c>
      <c r="E26" t="s">
        <v>384</v>
      </c>
      <c r="F26" t="s">
        <v>565</v>
      </c>
      <c r="G26" cm="1">
        <f t="array" ref="G26">GetLastId(A26)</f>
        <v>12</v>
      </c>
    </row>
    <row r="27" spans="1:7">
      <c r="A27">
        <f>ROW(A27)-1</f>
        <v>26</v>
      </c>
      <c r="B27">
        <v>1</v>
      </c>
      <c r="C27" t="str" cm="1">
        <f t="array" ref="C27">GetValue("Db","Name",B27)</f>
        <v>crudex</v>
      </c>
      <c r="D27" t="s">
        <v>562</v>
      </c>
      <c r="E27" t="s">
        <v>563</v>
      </c>
      <c r="F27" t="s">
        <v>564</v>
      </c>
      <c r="G27" cm="1">
        <f t="array" ref="G27">GetLastId(A27)</f>
        <v>26</v>
      </c>
    </row>
    <row r="28" spans="1:7">
      <c r="A28">
        <f>ROW(A28)-1</f>
        <v>27</v>
      </c>
      <c r="B28">
        <v>1</v>
      </c>
      <c r="C28" t="str" cm="1">
        <f t="array" ref="C28">GetValue("Db","Name",B28)</f>
        <v>crudex</v>
      </c>
      <c r="D28" t="s">
        <v>87</v>
      </c>
      <c r="E28" t="s">
        <v>255</v>
      </c>
      <c r="F28" t="s">
        <v>73</v>
      </c>
      <c r="G28" cm="1">
        <f t="array" ref="G28">GetLastId(A28)</f>
        <v>2</v>
      </c>
    </row>
    <row r="29" spans="1:7">
      <c r="A29">
        <f>ROW(A29)-1</f>
        <v>28</v>
      </c>
      <c r="B29">
        <v>1</v>
      </c>
      <c r="C29" t="str" cm="1">
        <f t="array" ref="C29">GetValue("Db","Name",B29)</f>
        <v>crudex</v>
      </c>
      <c r="D29" t="s">
        <v>379</v>
      </c>
      <c r="E29" t="s">
        <v>466</v>
      </c>
      <c r="F29" t="s">
        <v>510</v>
      </c>
      <c r="G29" cm="1">
        <f t="array" ref="G29">GetLastId(A29)</f>
        <v>54</v>
      </c>
    </row>
    <row r="30" spans="1:7">
      <c r="A30">
        <f t="shared" si="0"/>
        <v>29</v>
      </c>
      <c r="B30">
        <v>1</v>
      </c>
      <c r="C30" t="str" cm="1">
        <f t="array" ref="C30">GetValue("Db","Name",B30)</f>
        <v>crudex</v>
      </c>
      <c r="D30" t="s">
        <v>333</v>
      </c>
      <c r="E30" t="s">
        <v>332</v>
      </c>
      <c r="F30" t="s">
        <v>337</v>
      </c>
      <c r="G30" cm="1">
        <f t="array" ref="G30">GetLastId(A30)</f>
        <v>19</v>
      </c>
    </row>
    <row r="31" spans="1:7">
      <c r="A31">
        <f t="shared" si="0"/>
        <v>30</v>
      </c>
      <c r="B31">
        <v>1</v>
      </c>
      <c r="C31" t="str" cm="1">
        <f t="array" ref="C31">GetValue("Db","Name",B31)</f>
        <v>crudex</v>
      </c>
      <c r="D31" t="s">
        <v>335</v>
      </c>
      <c r="E31" t="s">
        <v>336</v>
      </c>
      <c r="F31" t="s">
        <v>511</v>
      </c>
      <c r="G31" cm="1">
        <f t="array" ref="G31">GetLastId(A31)</f>
        <v>1</v>
      </c>
    </row>
    <row r="32" spans="1:7">
      <c r="A32">
        <f t="shared" si="0"/>
        <v>31</v>
      </c>
      <c r="B32">
        <v>1</v>
      </c>
      <c r="C32" t="str" cm="1">
        <f t="array" ref="C32">GetValue("Db","Name",B32)</f>
        <v>crudex</v>
      </c>
      <c r="D32" t="s">
        <v>401</v>
      </c>
      <c r="E32" t="s">
        <v>402</v>
      </c>
      <c r="F32" t="s">
        <v>512</v>
      </c>
      <c r="G32" cm="1">
        <f t="array" ref="G32">GetLastId(A32)</f>
        <v>1</v>
      </c>
    </row>
    <row r="33" spans="1:7">
      <c r="A33">
        <f t="shared" si="0"/>
        <v>32</v>
      </c>
      <c r="B33">
        <v>1</v>
      </c>
      <c r="C33" t="str" cm="1">
        <f t="array" ref="C33">GetValue("Db","Name",B33)</f>
        <v>crudex</v>
      </c>
      <c r="D33" t="s">
        <v>538</v>
      </c>
      <c r="E33" t="s">
        <v>539</v>
      </c>
      <c r="F33" t="s">
        <v>540</v>
      </c>
      <c r="G33" cm="1">
        <f t="array" ref="G33">GetLastId(A33)</f>
        <v>1</v>
      </c>
    </row>
    <row r="34" spans="1:7">
      <c r="A34">
        <f>ROW(A34)-1</f>
        <v>33</v>
      </c>
      <c r="B34">
        <v>1</v>
      </c>
      <c r="C34" t="str" cm="1">
        <f t="array" ref="C34">GetValue("Db","Name",B34)</f>
        <v>crudex</v>
      </c>
      <c r="D34" t="s">
        <v>403</v>
      </c>
      <c r="E34" t="s">
        <v>404</v>
      </c>
      <c r="F34" t="s">
        <v>536</v>
      </c>
      <c r="G34" cm="1">
        <f t="array" ref="G34">GetLastId(A34)</f>
        <v>1</v>
      </c>
    </row>
    <row r="35" spans="1:7">
      <c r="A35">
        <f>ROW(A35)-1</f>
        <v>34</v>
      </c>
      <c r="B35">
        <v>1</v>
      </c>
      <c r="C35" t="str" cm="1">
        <f t="array" ref="C35">GetValue("Db","Name",B35)</f>
        <v>crudex</v>
      </c>
      <c r="D35" t="s">
        <v>527</v>
      </c>
      <c r="E35" t="s">
        <v>528</v>
      </c>
      <c r="F35" t="s">
        <v>537</v>
      </c>
      <c r="G35" cm="1">
        <f t="array" ref="G35">GetLastId(A35)</f>
        <v>1</v>
      </c>
    </row>
    <row r="36" spans="1:7">
      <c r="A36">
        <f t="shared" si="0"/>
        <v>35</v>
      </c>
      <c r="B36">
        <v>1</v>
      </c>
      <c r="C36" t="str" cm="1">
        <f t="array" ref="C36">GetValue("Db","Name",B36)</f>
        <v>crudex</v>
      </c>
      <c r="D36" t="s">
        <v>143</v>
      </c>
      <c r="E36" t="s">
        <v>260</v>
      </c>
      <c r="F36" t="s">
        <v>513</v>
      </c>
      <c r="G36" cm="1">
        <f t="array" ref="G36">GetLastId(A36)</f>
        <v>1</v>
      </c>
    </row>
    <row r="37" spans="1:7">
      <c r="A37">
        <f t="shared" si="0"/>
        <v>36</v>
      </c>
      <c r="B37">
        <v>1</v>
      </c>
      <c r="C37" t="str" cm="1">
        <f t="array" ref="C37">GetValue("Db","Name",B37)</f>
        <v>crudex</v>
      </c>
      <c r="D37" t="s">
        <v>124</v>
      </c>
      <c r="E37" t="s">
        <v>261</v>
      </c>
      <c r="F37" t="s">
        <v>381</v>
      </c>
      <c r="G37" cm="1">
        <f t="array" ref="G37">GetLastId(A37)</f>
        <v>1</v>
      </c>
    </row>
    <row r="38" spans="1:7">
      <c r="A38">
        <f t="shared" si="0"/>
        <v>37</v>
      </c>
      <c r="B38">
        <v>1</v>
      </c>
      <c r="C38" t="str" cm="1">
        <f t="array" ref="C38">GetValue("Db","Name",B38)</f>
        <v>crudex</v>
      </c>
      <c r="D38" t="s">
        <v>125</v>
      </c>
      <c r="E38" t="s">
        <v>262</v>
      </c>
      <c r="F38" t="s">
        <v>380</v>
      </c>
      <c r="G38" cm="1">
        <f t="array" ref="G38">GetLastId(A38)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U237"/>
  <sheetViews>
    <sheetView zoomScale="89" zoomScaleNormal="89" workbookViewId="0">
      <pane ySplit="1" topLeftCell="A16" activePane="bottomLeft" state="frozen"/>
      <selection pane="bottomLeft" sqref="A1:XFD1048576"/>
    </sheetView>
  </sheetViews>
  <sheetFormatPr defaultRowHeight="14.4"/>
  <cols>
    <col min="1" max="1" width="4" bestFit="1" customWidth="1"/>
    <col min="2" max="2" width="7.21875" bestFit="1" customWidth="1"/>
    <col min="3" max="3" width="10.44140625" bestFit="1" customWidth="1"/>
    <col min="4" max="4" width="9.21875" bestFit="1" customWidth="1"/>
    <col min="5" max="5" width="15.77734375" bestFit="1" customWidth="1"/>
    <col min="6" max="6" width="14.6640625" bestFit="1" customWidth="1"/>
    <col min="7" max="7" width="9.21875" bestFit="1" customWidth="1"/>
    <col min="8" max="10" width="23.88671875" bestFit="1" customWidth="1"/>
    <col min="11" max="11" width="11.77734375" bestFit="1" customWidth="1"/>
    <col min="12" max="12" width="12" bestFit="1" customWidth="1"/>
    <col min="13" max="13" width="15.21875" bestFit="1" customWidth="1"/>
    <col min="14" max="18" width="11.77734375" bestFit="1" customWidth="1"/>
    <col min="19" max="19" width="10.88671875" bestFit="1" customWidth="1"/>
    <col min="20" max="20" width="9.44140625" bestFit="1" customWidth="1"/>
    <col min="21" max="21" width="7.88671875" bestFit="1" customWidth="1"/>
  </cols>
  <sheetData>
    <row r="1" spans="1:21" s="1" customFormat="1">
      <c r="A1" s="17" t="s">
        <v>561</v>
      </c>
      <c r="B1" s="17" t="s">
        <v>93</v>
      </c>
      <c r="C1" s="17" t="s">
        <v>383</v>
      </c>
      <c r="D1" s="17" t="s">
        <v>94</v>
      </c>
      <c r="E1" s="17" t="s">
        <v>112</v>
      </c>
      <c r="F1" s="17" t="s">
        <v>105</v>
      </c>
      <c r="G1" s="17" t="s">
        <v>67</v>
      </c>
      <c r="H1" s="17" t="s">
        <v>0</v>
      </c>
      <c r="I1" s="17" t="s">
        <v>64</v>
      </c>
      <c r="J1" s="17" t="s">
        <v>68</v>
      </c>
      <c r="K1" s="17" t="s">
        <v>418</v>
      </c>
      <c r="L1" s="17" t="s">
        <v>660</v>
      </c>
      <c r="M1" s="17" t="s">
        <v>661</v>
      </c>
      <c r="N1" s="17" t="s">
        <v>95</v>
      </c>
      <c r="O1" s="17" t="s">
        <v>419</v>
      </c>
      <c r="P1" s="17" t="s">
        <v>420</v>
      </c>
      <c r="Q1" s="17" t="s">
        <v>421</v>
      </c>
      <c r="R1" s="17" t="s">
        <v>424</v>
      </c>
      <c r="S1" s="17" t="s">
        <v>423</v>
      </c>
      <c r="T1" s="17" t="s">
        <v>422</v>
      </c>
      <c r="U1" s="17" t="s">
        <v>541</v>
      </c>
    </row>
    <row r="2" spans="1:21">
      <c r="A2" s="20">
        <f t="shared" ref="A2:A4" si="0">ROW(A2)-1</f>
        <v>1</v>
      </c>
      <c r="B2" s="21">
        <v>1</v>
      </c>
      <c r="C2" s="20" t="str" cm="1">
        <f t="array" ref="C2">GetValue("Tbl","Alias",B2)</f>
        <v>Cat</v>
      </c>
      <c r="D2" s="20">
        <v>5</v>
      </c>
      <c r="E2" s="20" t="str" cm="1">
        <f t="array" ref="E2">GetValue("Dmn","Name",D2)</f>
        <v>TinyInteger</v>
      </c>
      <c r="F2" s="20" t="str" cm="1">
        <f t="array" ref="F2">GetValue("Dmn","#CategoryName",D2)</f>
        <v>number</v>
      </c>
      <c r="G2" s="20">
        <f>IF(H2="Id",5,G1+5)</f>
        <v>5</v>
      </c>
      <c r="H2" s="20" t="str" cm="1">
        <f t="array" ref="H2">GetColumnName(C2,IF(B2=B1,H1,""))</f>
        <v>Id</v>
      </c>
      <c r="I2" s="20" t="str">
        <f>H2</f>
        <v>Id</v>
      </c>
      <c r="J2" s="20" t="str">
        <f>H2</f>
        <v>Id</v>
      </c>
      <c r="K2" s="20" t="b">
        <v>1</v>
      </c>
      <c r="L2" s="20" t="b">
        <v>1</v>
      </c>
      <c r="M2" s="20" t="b">
        <v>1</v>
      </c>
      <c r="N2" s="20"/>
      <c r="O2" s="20" t="b">
        <v>1</v>
      </c>
      <c r="P2" s="20" t="b">
        <v>0</v>
      </c>
      <c r="Q2" s="20" t="b">
        <v>0</v>
      </c>
      <c r="R2" s="20"/>
      <c r="S2" s="20"/>
      <c r="T2" s="20" t="b">
        <v>0</v>
      </c>
      <c r="U2" s="20" t="b">
        <v>0</v>
      </c>
    </row>
    <row r="3" spans="1:21">
      <c r="A3" s="20">
        <f t="shared" si="0"/>
        <v>2</v>
      </c>
      <c r="B3" s="21">
        <v>1</v>
      </c>
      <c r="C3" s="20" t="str" cm="1">
        <f t="array" ref="C3">GetValue("Tbl","Alias",B3)</f>
        <v>Cat</v>
      </c>
      <c r="D3" s="20">
        <v>10</v>
      </c>
      <c r="E3" s="20" t="str" cm="1">
        <f t="array" ref="E3">GetValue("Dmn","Name",D3)</f>
        <v>NVARCHAR(25)</v>
      </c>
      <c r="F3" s="20" t="str" cm="1">
        <f t="array" ref="F3">GetValue("Dmn","#CategoryName",D3)</f>
        <v>string</v>
      </c>
      <c r="G3" s="20">
        <f t="shared" ref="G3:G71" si="1">IF(H3="Id",5,G2+5)</f>
        <v>10</v>
      </c>
      <c r="H3" s="20" t="str" cm="1">
        <f t="array" ref="H3">GetColumnName(C3,IF(B3=B2,H2,""))</f>
        <v>Name</v>
      </c>
      <c r="I3" s="20" t="str">
        <f t="shared" ref="I3:I67" si="2">H3</f>
        <v>Name</v>
      </c>
      <c r="J3" s="20" t="str">
        <f t="shared" ref="J3:J67" si="3">H3</f>
        <v>Name</v>
      </c>
      <c r="K3" s="20" t="b">
        <v>1</v>
      </c>
      <c r="L3" s="20" t="b">
        <v>0</v>
      </c>
      <c r="M3" s="20"/>
      <c r="N3" s="20" t="b">
        <v>1</v>
      </c>
      <c r="O3" s="20" t="b">
        <v>1</v>
      </c>
      <c r="P3" s="20" t="b">
        <v>1</v>
      </c>
      <c r="Q3" s="20" t="b">
        <v>1</v>
      </c>
      <c r="R3" s="20" t="b">
        <v>1</v>
      </c>
      <c r="S3" s="20" t="b">
        <v>0</v>
      </c>
      <c r="T3" s="20"/>
      <c r="U3" s="20" t="b">
        <v>0</v>
      </c>
    </row>
    <row r="4" spans="1:21">
      <c r="A4" s="20">
        <f t="shared" si="0"/>
        <v>3</v>
      </c>
      <c r="B4" s="21">
        <v>1</v>
      </c>
      <c r="C4" s="20" t="str" cm="1">
        <f t="array" ref="C4">GetValue("Tbl","Alias",B4)</f>
        <v>Cat</v>
      </c>
      <c r="D4" s="20">
        <v>6</v>
      </c>
      <c r="E4" s="20" t="str" cm="1">
        <f t="array" ref="E4">GetValue("Dmn","Name",D4)</f>
        <v>Boolean</v>
      </c>
      <c r="F4" s="20" t="str" cm="1">
        <f t="array" ref="F4">GetValue("Dmn","#CategoryName",D4)</f>
        <v>boolean</v>
      </c>
      <c r="G4" s="20">
        <f t="shared" si="1"/>
        <v>15</v>
      </c>
      <c r="H4" s="20" t="str" cm="1">
        <f t="array" ref="H4">GetColumnName(C4,IF(B4=B3,H3,""))</f>
        <v>AskDefault</v>
      </c>
      <c r="I4" s="20" t="str">
        <f t="shared" si="2"/>
        <v>AskDefault</v>
      </c>
      <c r="J4" s="20" t="str">
        <f t="shared" si="3"/>
        <v>AskDefault</v>
      </c>
      <c r="K4" s="20" t="b">
        <v>1</v>
      </c>
      <c r="L4" s="20" t="b">
        <v>0</v>
      </c>
      <c r="M4" s="20"/>
      <c r="N4" s="20" t="b">
        <v>0</v>
      </c>
      <c r="O4" s="20" t="b">
        <v>1</v>
      </c>
      <c r="P4" s="20" t="b">
        <v>1</v>
      </c>
      <c r="Q4" s="20" t="b">
        <v>1</v>
      </c>
      <c r="R4" s="20" t="b">
        <v>0</v>
      </c>
      <c r="S4" s="20" t="b">
        <v>0</v>
      </c>
      <c r="T4" s="20" t="b">
        <v>0</v>
      </c>
      <c r="U4" s="20" t="b">
        <v>0</v>
      </c>
    </row>
    <row r="5" spans="1:21">
      <c r="A5" s="20">
        <f>ROW(A5)-1</f>
        <v>4</v>
      </c>
      <c r="B5" s="21">
        <v>1</v>
      </c>
      <c r="C5" s="20" t="str" cm="1">
        <f t="array" ref="C5">GetValue("Tbl","Alias",B5)</f>
        <v>Cat</v>
      </c>
      <c r="D5" s="20">
        <v>6</v>
      </c>
      <c r="E5" s="20" t="str" cm="1">
        <f t="array" ref="E5">GetValue("Dmn","Name",D5)</f>
        <v>Boolean</v>
      </c>
      <c r="F5" s="20" t="str" cm="1">
        <f t="array" ref="F5">GetValue("Dmn","#CategoryName",D5)</f>
        <v>boolean</v>
      </c>
      <c r="G5" s="20">
        <f t="shared" si="1"/>
        <v>20</v>
      </c>
      <c r="H5" s="20" t="str" cm="1">
        <f t="array" ref="H5">GetColumnName(C5,IF(B5=B4,H4,""))</f>
        <v>AskMinimum</v>
      </c>
      <c r="I5" s="20" t="str">
        <f t="shared" si="2"/>
        <v>AskMinimum</v>
      </c>
      <c r="J5" s="20" t="str">
        <f t="shared" si="3"/>
        <v>AskMinimum</v>
      </c>
      <c r="K5" s="20" t="b">
        <v>1</v>
      </c>
      <c r="L5" s="20" t="b">
        <v>0</v>
      </c>
      <c r="M5" s="20"/>
      <c r="N5" s="20" t="b">
        <v>0</v>
      </c>
      <c r="O5" s="20" t="b">
        <v>1</v>
      </c>
      <c r="P5" s="20" t="b">
        <v>1</v>
      </c>
      <c r="Q5" s="20" t="b">
        <v>1</v>
      </c>
      <c r="R5" s="20" t="b">
        <v>0</v>
      </c>
      <c r="S5" s="20" t="b">
        <v>0</v>
      </c>
      <c r="T5" s="20" t="b">
        <v>0</v>
      </c>
      <c r="U5" s="20" t="b">
        <v>0</v>
      </c>
    </row>
    <row r="6" spans="1:21">
      <c r="A6" s="20">
        <f>ROW(A6)-1</f>
        <v>5</v>
      </c>
      <c r="B6" s="21">
        <v>1</v>
      </c>
      <c r="C6" s="20" t="str" cm="1">
        <f t="array" ref="C6">GetValue("Tbl","Alias",B6)</f>
        <v>Cat</v>
      </c>
      <c r="D6" s="20">
        <v>6</v>
      </c>
      <c r="E6" s="20" t="str" cm="1">
        <f t="array" ref="E6">GetValue("Dmn","Name",D6)</f>
        <v>Boolean</v>
      </c>
      <c r="F6" s="20" t="str" cm="1">
        <f t="array" ref="F6">GetValue("Dmn","#CategoryName",D6)</f>
        <v>boolean</v>
      </c>
      <c r="G6" s="20">
        <f t="shared" si="1"/>
        <v>25</v>
      </c>
      <c r="H6" s="20" t="str" cm="1">
        <f t="array" ref="H6">GetColumnName(C6,IF(B6=B5,H5,""))</f>
        <v>AskMaximum</v>
      </c>
      <c r="I6" s="20" t="str">
        <f t="shared" si="2"/>
        <v>AskMaximum</v>
      </c>
      <c r="J6" s="20" t="str">
        <f t="shared" si="3"/>
        <v>AskMaximum</v>
      </c>
      <c r="K6" s="20" t="b">
        <v>1</v>
      </c>
      <c r="L6" s="20" t="b">
        <v>0</v>
      </c>
      <c r="M6" s="20"/>
      <c r="N6" s="20" t="b">
        <v>0</v>
      </c>
      <c r="O6" s="20" t="b">
        <v>1</v>
      </c>
      <c r="P6" s="20" t="b">
        <v>1</v>
      </c>
      <c r="Q6" s="20" t="b">
        <v>1</v>
      </c>
      <c r="R6" s="20" t="b">
        <v>0</v>
      </c>
      <c r="S6" s="20" t="b">
        <v>0</v>
      </c>
      <c r="T6" s="20" t="b">
        <v>0</v>
      </c>
      <c r="U6" s="20" t="b">
        <v>0</v>
      </c>
    </row>
    <row r="7" spans="1:21">
      <c r="A7" s="20">
        <f>ROW(A7)-1</f>
        <v>6</v>
      </c>
      <c r="B7" s="21">
        <v>1</v>
      </c>
      <c r="C7" s="20" t="str" cm="1">
        <f t="array" ref="C7">GetValue("Tbl","Alias",B7)</f>
        <v>Cat</v>
      </c>
      <c r="D7" s="20">
        <v>6</v>
      </c>
      <c r="E7" s="20" t="str" cm="1">
        <f t="array" ref="E7">GetValue("Dmn","Name",D7)</f>
        <v>Boolean</v>
      </c>
      <c r="F7" s="20" t="str" cm="1">
        <f t="array" ref="F7">GetValue("Dmn","#CategoryName",D7)</f>
        <v>boolean</v>
      </c>
      <c r="G7" s="20">
        <f t="shared" si="1"/>
        <v>30</v>
      </c>
      <c r="H7" s="20" t="str" cm="1">
        <f t="array" ref="H7">GetColumnName(C7,IF(B7=B6,H6,""))</f>
        <v>AskInWords</v>
      </c>
      <c r="I7" s="20" t="str">
        <f t="shared" si="2"/>
        <v>AskInWords</v>
      </c>
      <c r="J7" s="20" t="str">
        <f t="shared" si="3"/>
        <v>AskInWords</v>
      </c>
      <c r="K7" s="20" t="b">
        <v>1</v>
      </c>
      <c r="L7" s="20" t="b">
        <v>0</v>
      </c>
      <c r="M7" s="20"/>
      <c r="N7" s="20" t="b">
        <v>0</v>
      </c>
      <c r="O7" s="20" t="b">
        <v>1</v>
      </c>
      <c r="P7" s="20" t="b">
        <v>1</v>
      </c>
      <c r="Q7" s="20" t="b">
        <v>1</v>
      </c>
      <c r="R7" s="20" t="b">
        <v>0</v>
      </c>
      <c r="S7" s="20" t="b">
        <v>0</v>
      </c>
      <c r="T7" s="20" t="b">
        <v>0</v>
      </c>
      <c r="U7" s="20" t="b">
        <v>0</v>
      </c>
    </row>
    <row r="8" spans="1:21">
      <c r="A8" s="20">
        <f>ROW(A8)-1</f>
        <v>7</v>
      </c>
      <c r="B8" s="21">
        <v>1</v>
      </c>
      <c r="C8" s="20" t="str" cm="1">
        <f t="array" ref="C8">GetValue("Tbl","Alias",B8)</f>
        <v>Cat</v>
      </c>
      <c r="D8" s="20">
        <v>6</v>
      </c>
      <c r="E8" s="20" t="str" cm="1">
        <f t="array" ref="E8">GetValue("Dmn","Name",D8)</f>
        <v>Boolean</v>
      </c>
      <c r="F8" s="20" t="str" cm="1">
        <f t="array" ref="F8">GetValue("Dmn","#CategoryName",D8)</f>
        <v>boolean</v>
      </c>
      <c r="G8" s="20">
        <f t="shared" si="1"/>
        <v>35</v>
      </c>
      <c r="H8" s="20" t="str" cm="1">
        <f t="array" ref="H8">GetColumnName(C8,IF(B8=B7,H7,""))</f>
        <v>AskMask</v>
      </c>
      <c r="I8" s="20" t="str">
        <f t="shared" si="2"/>
        <v>AskMask</v>
      </c>
      <c r="J8" s="20" t="str">
        <f t="shared" si="3"/>
        <v>AskMask</v>
      </c>
      <c r="K8" s="20" t="b">
        <v>1</v>
      </c>
      <c r="L8" s="20" t="b">
        <v>0</v>
      </c>
      <c r="M8" s="20"/>
      <c r="N8" s="20" t="b">
        <v>0</v>
      </c>
      <c r="O8" s="20" t="b">
        <v>1</v>
      </c>
      <c r="P8" s="20" t="b">
        <v>1</v>
      </c>
      <c r="Q8" s="20" t="b">
        <v>1</v>
      </c>
      <c r="R8" s="20" t="b">
        <v>0</v>
      </c>
      <c r="S8" s="20" t="b">
        <v>0</v>
      </c>
      <c r="T8" s="20" t="b">
        <v>0</v>
      </c>
      <c r="U8" s="20" t="b">
        <v>0</v>
      </c>
    </row>
    <row r="9" spans="1:21">
      <c r="A9" s="20">
        <f>ROW(A9)-1</f>
        <v>8</v>
      </c>
      <c r="B9" s="21">
        <v>1</v>
      </c>
      <c r="C9" s="20" t="str" cm="1">
        <f t="array" ref="C9">GetValue("Tbl","Alias",B9)</f>
        <v>Cat</v>
      </c>
      <c r="D9" s="20">
        <v>6</v>
      </c>
      <c r="E9" s="20" t="str" cm="1">
        <f t="array" ref="E9">GetValue("Dmn","Name",D9)</f>
        <v>Boolean</v>
      </c>
      <c r="F9" s="20" t="str" cm="1">
        <f t="array" ref="F9">GetValue("Dmn","#CategoryName",D9)</f>
        <v>boolean</v>
      </c>
      <c r="G9" s="20">
        <f t="shared" si="1"/>
        <v>40</v>
      </c>
      <c r="H9" s="20" t="str" cm="1">
        <f t="array" ref="H9">GetColumnName(C9,IF(B9=B8,H8,""))</f>
        <v>AskGridable</v>
      </c>
      <c r="I9" s="20" t="str">
        <f t="shared" si="2"/>
        <v>AskGridable</v>
      </c>
      <c r="J9" s="20" t="str">
        <f t="shared" si="3"/>
        <v>AskGridable</v>
      </c>
      <c r="K9" s="20" t="b">
        <v>1</v>
      </c>
      <c r="L9" s="20" t="b">
        <v>0</v>
      </c>
      <c r="M9" s="20"/>
      <c r="N9" s="20" t="b">
        <v>0</v>
      </c>
      <c r="O9" s="20" t="b">
        <v>1</v>
      </c>
      <c r="P9" s="20" t="b">
        <v>1</v>
      </c>
      <c r="Q9" s="20" t="b">
        <v>1</v>
      </c>
      <c r="R9" s="20" t="b">
        <v>0</v>
      </c>
      <c r="S9" s="20" t="b">
        <v>0</v>
      </c>
      <c r="T9" s="20" t="b">
        <v>0</v>
      </c>
      <c r="U9" s="20" t="b">
        <v>0</v>
      </c>
    </row>
    <row r="10" spans="1:21">
      <c r="A10" s="20">
        <f t="shared" ref="A10:A96" si="4">ROW(A10)-1</f>
        <v>9</v>
      </c>
      <c r="B10" s="21">
        <v>1</v>
      </c>
      <c r="C10" s="20" t="str" cm="1">
        <f t="array" ref="C10">GetValue("Tbl","Alias",B10)</f>
        <v>Cat</v>
      </c>
      <c r="D10" s="20">
        <v>6</v>
      </c>
      <c r="E10" s="20" t="str" cm="1">
        <f t="array" ref="E10">GetValue("Dmn","Name",D10)</f>
        <v>Boolean</v>
      </c>
      <c r="F10" s="20" t="str" cm="1">
        <f t="array" ref="F10">GetValue("Dmn","#CategoryName",D10)</f>
        <v>boolean</v>
      </c>
      <c r="G10" s="20">
        <f t="shared" si="1"/>
        <v>45</v>
      </c>
      <c r="H10" s="20" t="str" cm="1">
        <f t="array" ref="H10">GetColumnName(C10,IF(B10=B9,H9,""))</f>
        <v>AskFilterable</v>
      </c>
      <c r="I10" s="20" t="str">
        <f t="shared" si="2"/>
        <v>AskFilterable</v>
      </c>
      <c r="J10" s="20" t="str">
        <f t="shared" si="3"/>
        <v>AskFilterable</v>
      </c>
      <c r="K10" s="20" t="b">
        <v>1</v>
      </c>
      <c r="L10" s="20" t="b">
        <v>0</v>
      </c>
      <c r="M10" s="20"/>
      <c r="N10" s="20" t="b">
        <v>0</v>
      </c>
      <c r="O10" s="20" t="b">
        <v>1</v>
      </c>
      <c r="P10" s="20" t="b">
        <v>1</v>
      </c>
      <c r="Q10" s="20" t="b">
        <v>1</v>
      </c>
      <c r="R10" s="20" t="b">
        <v>0</v>
      </c>
      <c r="S10" s="20" t="b">
        <v>0</v>
      </c>
      <c r="T10" s="20" t="b">
        <v>0</v>
      </c>
      <c r="U10" s="20" t="b">
        <v>0</v>
      </c>
    </row>
    <row r="11" spans="1:21">
      <c r="A11" s="20">
        <f>ROW(A11)-1</f>
        <v>10</v>
      </c>
      <c r="B11" s="21">
        <v>1</v>
      </c>
      <c r="C11" s="20" t="str" cm="1">
        <f t="array" ref="C11">GetValue("Tbl","Alias",B11)</f>
        <v>Cat</v>
      </c>
      <c r="D11" s="20">
        <v>6</v>
      </c>
      <c r="E11" s="20" t="str" cm="1">
        <f t="array" ref="E11">GetValue("Dmn","Name",D11)</f>
        <v>Boolean</v>
      </c>
      <c r="F11" s="20" t="str" cm="1">
        <f t="array" ref="F11">GetValue("Dmn","#CategoryName",D11)</f>
        <v>boolean</v>
      </c>
      <c r="G11" s="20">
        <f t="shared" si="1"/>
        <v>50</v>
      </c>
      <c r="H11" s="20" t="str" cm="1">
        <f t="array" ref="H11">GetColumnName(C11,IF(B11=B10,H10,""))</f>
        <v>AskEncrypted</v>
      </c>
      <c r="I11" s="20" t="str">
        <f t="shared" si="2"/>
        <v>AskEncrypted</v>
      </c>
      <c r="J11" s="20" t="str">
        <f t="shared" si="3"/>
        <v>AskEncrypted</v>
      </c>
      <c r="K11" s="20" t="b">
        <v>1</v>
      </c>
      <c r="L11" s="20" t="b">
        <v>0</v>
      </c>
      <c r="M11" s="20"/>
      <c r="N11" s="20" t="b">
        <v>0</v>
      </c>
      <c r="O11" s="20" t="b">
        <v>1</v>
      </c>
      <c r="P11" s="20" t="b">
        <v>1</v>
      </c>
      <c r="Q11" s="20" t="b">
        <v>1</v>
      </c>
      <c r="R11" s="20" t="b">
        <v>0</v>
      </c>
      <c r="S11" s="20" t="b">
        <v>0</v>
      </c>
      <c r="T11" s="20" t="b">
        <v>0</v>
      </c>
      <c r="U11" s="20" t="b">
        <v>0</v>
      </c>
    </row>
    <row r="12" spans="1:21">
      <c r="A12" s="20">
        <f t="shared" si="4"/>
        <v>11</v>
      </c>
      <c r="B12" s="21">
        <v>1</v>
      </c>
      <c r="C12" s="20" t="str" cm="1">
        <f t="array" ref="C12">GetValue("Tbl","Alias",B12)</f>
        <v>Cat</v>
      </c>
      <c r="D12" s="20">
        <v>6</v>
      </c>
      <c r="E12" s="20" t="str" cm="1">
        <f t="array" ref="E12">GetValue("Dmn","Name",D12)</f>
        <v>Boolean</v>
      </c>
      <c r="F12" s="20" t="str" cm="1">
        <f t="array" ref="F12">GetValue("Dmn","#CategoryName",D12)</f>
        <v>boolean</v>
      </c>
      <c r="G12" s="20">
        <f t="shared" si="1"/>
        <v>55</v>
      </c>
      <c r="H12" s="20" t="str" cm="1">
        <f t="array" ref="H12">GetColumnName(C12,IF(B12=B11,H11,""))</f>
        <v>AskListable</v>
      </c>
      <c r="I12" s="20" t="str">
        <f t="shared" si="2"/>
        <v>AskListable</v>
      </c>
      <c r="J12" s="20" t="str">
        <f t="shared" si="3"/>
        <v>AskListable</v>
      </c>
      <c r="K12" s="20" t="b">
        <v>1</v>
      </c>
      <c r="L12" s="20" t="b">
        <v>0</v>
      </c>
      <c r="M12" s="20"/>
      <c r="N12" s="20" t="b">
        <v>0</v>
      </c>
      <c r="O12" s="20" t="b">
        <v>1</v>
      </c>
      <c r="P12" s="20" t="b">
        <v>1</v>
      </c>
      <c r="Q12" s="20" t="b">
        <v>1</v>
      </c>
      <c r="R12" s="20" t="b">
        <v>0</v>
      </c>
      <c r="S12" s="20" t="b">
        <v>0</v>
      </c>
      <c r="T12" s="20" t="b">
        <v>0</v>
      </c>
      <c r="U12" s="20" t="b">
        <v>0</v>
      </c>
    </row>
    <row r="13" spans="1:21">
      <c r="A13" s="20">
        <f t="shared" si="4"/>
        <v>12</v>
      </c>
      <c r="B13" s="21">
        <v>1</v>
      </c>
      <c r="C13" s="20" t="str" cm="1">
        <f t="array" ref="C13">GetValue("Tbl","Alias",B13)</f>
        <v>Cat</v>
      </c>
      <c r="D13" s="20">
        <v>6</v>
      </c>
      <c r="E13" s="20" t="str" cm="1">
        <f t="array" ref="E13">GetValue("Dmn","Name",D13)</f>
        <v>Boolean</v>
      </c>
      <c r="F13" s="20" t="str" cm="1">
        <f t="array" ref="F13">GetValue("Dmn","#CategoryName",D13)</f>
        <v>boolean</v>
      </c>
      <c r="G13" s="20">
        <f t="shared" ref="G13" si="5">IF(H13="Id",5,G12+5)</f>
        <v>60</v>
      </c>
      <c r="H13" s="20" t="str" cm="1">
        <f t="array" ref="H13">GetColumnName(C13,IF(B13=B12,H12,""))</f>
        <v>IsOrdenable</v>
      </c>
      <c r="I13" s="20" t="str">
        <f t="shared" ref="I13" si="6">H13</f>
        <v>IsOrdenable</v>
      </c>
      <c r="J13" s="20" t="str">
        <f t="shared" ref="J13" si="7">H13</f>
        <v>IsOrdenable</v>
      </c>
      <c r="K13" s="20" t="b">
        <v>1</v>
      </c>
      <c r="L13" s="20" t="b">
        <v>0</v>
      </c>
      <c r="M13" s="20"/>
      <c r="N13" s="20" t="b">
        <v>0</v>
      </c>
      <c r="O13" s="20" t="b">
        <v>1</v>
      </c>
      <c r="P13" s="20" t="b">
        <v>1</v>
      </c>
      <c r="Q13" s="20" t="b">
        <v>1</v>
      </c>
      <c r="R13" s="20" t="b">
        <v>0</v>
      </c>
      <c r="S13" s="20" t="b">
        <v>0</v>
      </c>
      <c r="T13" s="20" t="b">
        <v>0</v>
      </c>
      <c r="U13" s="20" t="b">
        <v>0</v>
      </c>
    </row>
    <row r="14" spans="1:21">
      <c r="A14" s="18">
        <f t="shared" si="4"/>
        <v>13</v>
      </c>
      <c r="B14" s="19">
        <v>2</v>
      </c>
      <c r="C14" s="18" t="str" cm="1">
        <f t="array" ref="C14">GetValue("Tbl","Alias",B14)</f>
        <v>Cmp</v>
      </c>
      <c r="D14" s="18">
        <v>5</v>
      </c>
      <c r="E14" s="18" t="str" cm="1">
        <f t="array" ref="E14">GetValue("Dmn","Name",D14)</f>
        <v>TinyInteger</v>
      </c>
      <c r="F14" s="18" t="str" cm="1">
        <f t="array" ref="F14">GetValue("Dmn","#CategoryName",D14)</f>
        <v>number</v>
      </c>
      <c r="G14" s="18">
        <f t="shared" si="1"/>
        <v>5</v>
      </c>
      <c r="H14" s="18" t="str" cm="1">
        <f t="array" ref="H14">GetColumnName(C14,IF(B14=B13,H13,""))</f>
        <v>Id</v>
      </c>
      <c r="I14" s="18" t="str">
        <f t="shared" si="2"/>
        <v>Id</v>
      </c>
      <c r="J14" s="18" t="str">
        <f t="shared" si="3"/>
        <v>Id</v>
      </c>
      <c r="K14" s="18" t="b">
        <v>1</v>
      </c>
      <c r="L14" s="18" t="b">
        <v>1</v>
      </c>
      <c r="M14" s="18" t="b">
        <v>1</v>
      </c>
      <c r="N14" s="18"/>
      <c r="O14" s="18" t="b">
        <v>1</v>
      </c>
      <c r="P14" s="18" t="b">
        <v>0</v>
      </c>
      <c r="Q14" s="18" t="b">
        <v>0</v>
      </c>
      <c r="R14" s="18" t="b">
        <v>0</v>
      </c>
      <c r="S14" s="18" t="b">
        <v>0</v>
      </c>
      <c r="T14" s="18" t="b">
        <v>0</v>
      </c>
      <c r="U14" s="18" t="b">
        <v>0</v>
      </c>
    </row>
    <row r="15" spans="1:21">
      <c r="A15" s="18">
        <f t="shared" si="4"/>
        <v>14</v>
      </c>
      <c r="B15" s="19">
        <v>2</v>
      </c>
      <c r="C15" s="18" t="str" cm="1">
        <f t="array" ref="C15">GetValue("Tbl","Alias",B15)</f>
        <v>Cmp</v>
      </c>
      <c r="D15" s="18">
        <v>14</v>
      </c>
      <c r="E15" s="18" t="str" cm="1">
        <f t="array" ref="E15">GetValue("Dmn","Name",D15)</f>
        <v>NCHAR(1)</v>
      </c>
      <c r="F15" s="18" t="str" cm="1">
        <f t="array" ref="F15">GetValue("Dmn","#CategoryName",D15)</f>
        <v>string</v>
      </c>
      <c r="G15" s="18">
        <f t="shared" si="1"/>
        <v>10</v>
      </c>
      <c r="H15" s="18" t="str" cm="1">
        <f t="array" ref="H15">GetColumnName(C15,IF(B15=B14,H14,""))</f>
        <v>Symbol</v>
      </c>
      <c r="I15" s="18" t="str">
        <f t="shared" si="2"/>
        <v>Symbol</v>
      </c>
      <c r="J15" s="18" t="str">
        <f t="shared" si="3"/>
        <v>Symbol</v>
      </c>
      <c r="K15" s="18" t="b">
        <v>1</v>
      </c>
      <c r="L15" s="18" t="b">
        <v>0</v>
      </c>
      <c r="M15" s="18"/>
      <c r="N15" s="18" t="b">
        <v>1</v>
      </c>
      <c r="O15" s="18" t="b">
        <v>1</v>
      </c>
      <c r="P15" s="18" t="b">
        <v>1</v>
      </c>
      <c r="Q15" s="18" t="b">
        <v>1</v>
      </c>
      <c r="R15" s="18" t="b">
        <v>1</v>
      </c>
      <c r="S15" s="18" t="b">
        <v>0</v>
      </c>
      <c r="T15" s="18" t="b">
        <v>0</v>
      </c>
      <c r="U15" s="18" t="b">
        <v>0</v>
      </c>
    </row>
    <row r="16" spans="1:21">
      <c r="A16" s="18">
        <f t="shared" si="4"/>
        <v>15</v>
      </c>
      <c r="B16" s="19">
        <v>2</v>
      </c>
      <c r="C16" s="18" t="str" cm="1">
        <f t="array" ref="C16">GetValue("Tbl","Alias",B16)</f>
        <v>Cmp</v>
      </c>
      <c r="D16" s="18">
        <v>11</v>
      </c>
      <c r="E16" s="18" t="str" cm="1">
        <f t="array" ref="E16">GetValue("Dmn","Name",D16)</f>
        <v>NVARCHAR(50)</v>
      </c>
      <c r="F16" s="18" t="str" cm="1">
        <f t="array" ref="F16">GetValue("Dmn","#CategoryName",D16)</f>
        <v>string</v>
      </c>
      <c r="G16" s="18">
        <f t="shared" si="1"/>
        <v>15</v>
      </c>
      <c r="H16" s="18" t="str" cm="1">
        <f t="array" ref="H16">GetColumnName(C16,IF(B16=B15,H15,""))</f>
        <v>Description</v>
      </c>
      <c r="I16" s="18" t="str">
        <f t="shared" si="2"/>
        <v>Description</v>
      </c>
      <c r="J16" s="18" t="str">
        <f t="shared" si="3"/>
        <v>Description</v>
      </c>
      <c r="K16" s="18" t="b">
        <v>1</v>
      </c>
      <c r="L16" s="18" t="b">
        <v>0</v>
      </c>
      <c r="M16" s="18"/>
      <c r="N16" s="18" t="b">
        <v>0</v>
      </c>
      <c r="O16" s="18" t="b">
        <v>1</v>
      </c>
      <c r="P16" s="18" t="b">
        <v>1</v>
      </c>
      <c r="Q16" s="18" t="b">
        <v>1</v>
      </c>
      <c r="R16" s="18" t="b">
        <v>0</v>
      </c>
      <c r="S16" s="18" t="b">
        <v>0</v>
      </c>
      <c r="T16" s="18" t="b">
        <v>0</v>
      </c>
      <c r="U16" s="18" t="b">
        <v>0</v>
      </c>
    </row>
    <row r="17" spans="1:21">
      <c r="A17" s="18">
        <f t="shared" si="4"/>
        <v>16</v>
      </c>
      <c r="B17" s="19">
        <v>2</v>
      </c>
      <c r="C17" s="18" t="str" cm="1">
        <f t="array" ref="C17">GetValue("Tbl","Alias",B17)</f>
        <v>Cmp</v>
      </c>
      <c r="D17" s="18">
        <v>5</v>
      </c>
      <c r="E17" s="18" t="str" cm="1">
        <f t="array" ref="E17">GetValue("Dmn","Name",D17)</f>
        <v>TinyInteger</v>
      </c>
      <c r="F17" s="18" t="str" cm="1">
        <f t="array" ref="F17">GetValue("Dmn","#CategoryName",D17)</f>
        <v>number</v>
      </c>
      <c r="G17" s="18">
        <f t="shared" si="1"/>
        <v>20</v>
      </c>
      <c r="H17" s="18" t="str" cm="1">
        <f t="array" ref="H17">GetColumnName(C17,IF(B17=B16,H16,""))</f>
        <v>Arity</v>
      </c>
      <c r="I17" s="18" t="str">
        <f t="shared" si="2"/>
        <v>Arity</v>
      </c>
      <c r="J17" s="18" t="str">
        <f t="shared" si="3"/>
        <v>Arity</v>
      </c>
      <c r="K17" s="18" t="b">
        <v>0</v>
      </c>
      <c r="L17" s="18" t="b">
        <v>0</v>
      </c>
      <c r="M17" s="18" t="b">
        <v>0</v>
      </c>
      <c r="N17" s="18" t="b">
        <v>0</v>
      </c>
      <c r="O17" s="18" t="b">
        <v>1</v>
      </c>
      <c r="P17" s="18" t="b">
        <v>1</v>
      </c>
      <c r="Q17" s="18" t="b">
        <v>1</v>
      </c>
      <c r="R17" s="18" t="b">
        <v>0</v>
      </c>
      <c r="S17" s="18" t="b">
        <v>0</v>
      </c>
      <c r="T17" s="18" t="b">
        <v>0</v>
      </c>
      <c r="U17" s="18" t="b">
        <v>0</v>
      </c>
    </row>
    <row r="18" spans="1:21">
      <c r="A18" s="20">
        <f t="shared" si="4"/>
        <v>17</v>
      </c>
      <c r="B18" s="21">
        <v>3</v>
      </c>
      <c r="C18" s="20" t="str" cm="1">
        <f t="array" ref="C18">GetValue("Tbl","Alias",B18)</f>
        <v>Rul</v>
      </c>
      <c r="D18" s="20">
        <v>5</v>
      </c>
      <c r="E18" s="20" t="str" cm="1">
        <f t="array" ref="E18">GetValue("Dmn","Name",D18)</f>
        <v>TinyInteger</v>
      </c>
      <c r="F18" s="20" t="str" cm="1">
        <f t="array" ref="F18">GetValue("Dmn","#CategoryName",D18)</f>
        <v>number</v>
      </c>
      <c r="G18" s="20">
        <f>IF(H18="Id",5,G17+5)</f>
        <v>5</v>
      </c>
      <c r="H18" s="20" t="str" cm="1">
        <f t="array" ref="H18">GetColumnName(C18,IF(B18=B17,H17,""))</f>
        <v>Id</v>
      </c>
      <c r="I18" s="20" t="str">
        <f t="shared" si="2"/>
        <v>Id</v>
      </c>
      <c r="J18" s="20" t="str">
        <f t="shared" si="3"/>
        <v>Id</v>
      </c>
      <c r="K18" s="20" t="b">
        <v>1</v>
      </c>
      <c r="L18" s="20" t="b">
        <v>1</v>
      </c>
      <c r="M18" s="20" t="b">
        <v>1</v>
      </c>
      <c r="N18" s="20"/>
      <c r="O18" s="20" t="b">
        <v>1</v>
      </c>
      <c r="P18" s="20" t="b">
        <v>0</v>
      </c>
      <c r="Q18" s="20" t="b">
        <v>0</v>
      </c>
      <c r="R18" s="20" t="b">
        <v>0</v>
      </c>
      <c r="S18" s="20" t="b">
        <v>0</v>
      </c>
      <c r="T18" s="20" t="b">
        <v>0</v>
      </c>
      <c r="U18" s="20" t="b">
        <v>0</v>
      </c>
    </row>
    <row r="19" spans="1:21">
      <c r="A19" s="20">
        <f t="shared" si="4"/>
        <v>18</v>
      </c>
      <c r="B19" s="21">
        <v>3</v>
      </c>
      <c r="C19" s="20" t="str" cm="1">
        <f t="array" ref="C19">GetValue("Tbl","Alias",B19)</f>
        <v>Rul</v>
      </c>
      <c r="D19" s="20">
        <v>5</v>
      </c>
      <c r="E19" s="20" t="str" cm="1">
        <f t="array" ref="E19">GetValue("Dmn","Name",D19)</f>
        <v>TinyInteger</v>
      </c>
      <c r="F19" s="20" t="str" cm="1">
        <f t="array" ref="F19">GetValue("Dmn","#CategoryName",D19)</f>
        <v>number</v>
      </c>
      <c r="G19" s="20">
        <f t="shared" si="1"/>
        <v>10</v>
      </c>
      <c r="H19" s="20" t="str" cm="1">
        <f t="array" ref="H19">GetColumnName(C19,IF(B19=B18,H18,""))</f>
        <v>CategoryId</v>
      </c>
      <c r="I19" s="20" t="str">
        <f t="shared" si="2"/>
        <v>CategoryId</v>
      </c>
      <c r="J19" s="20" t="str">
        <f t="shared" si="3"/>
        <v>CategoryId</v>
      </c>
      <c r="K19" s="20" t="b">
        <v>1</v>
      </c>
      <c r="L19" s="20" t="b">
        <v>0</v>
      </c>
      <c r="M19" s="20" t="b">
        <v>0</v>
      </c>
      <c r="N19" s="20" t="b">
        <v>0</v>
      </c>
      <c r="O19" s="20" t="b">
        <v>1</v>
      </c>
      <c r="P19" s="20" t="b">
        <v>1</v>
      </c>
      <c r="Q19" s="20" t="b">
        <v>1</v>
      </c>
      <c r="R19" s="20" t="b">
        <v>0</v>
      </c>
      <c r="S19" s="20" t="b">
        <v>0</v>
      </c>
      <c r="T19" s="20" t="b">
        <v>0</v>
      </c>
      <c r="U19" s="20" t="b">
        <v>0</v>
      </c>
    </row>
    <row r="20" spans="1:21">
      <c r="A20" s="20">
        <f t="shared" ref="A20:A28" si="8">ROW(A20)-1</f>
        <v>19</v>
      </c>
      <c r="B20" s="21">
        <v>3</v>
      </c>
      <c r="C20" s="20" t="str" cm="1">
        <f t="array" ref="C20">GetValue("Tbl","Alias",B20)</f>
        <v>Rul</v>
      </c>
      <c r="D20" s="20">
        <v>5</v>
      </c>
      <c r="E20" s="20" t="str" cm="1">
        <f t="array" ref="E20">GetValue("Dmn","Name",D20)</f>
        <v>TinyInteger</v>
      </c>
      <c r="F20" s="20" t="str" cm="1">
        <f t="array" ref="F20">GetValue("Dmn","#CategoryName",D20)</f>
        <v>number</v>
      </c>
      <c r="G20" s="20">
        <f t="shared" si="1"/>
        <v>15</v>
      </c>
      <c r="H20" s="20" t="str" cm="1">
        <f t="array" ref="H20">GetColumnName(C20,IF(B20=B19,H19,""))</f>
        <v>ComparatorId</v>
      </c>
      <c r="I20" s="20" t="str">
        <f t="shared" si="2"/>
        <v>ComparatorId</v>
      </c>
      <c r="J20" s="20" t="str">
        <f t="shared" si="3"/>
        <v>ComparatorId</v>
      </c>
      <c r="K20" s="20" t="b">
        <v>1</v>
      </c>
      <c r="L20" s="20" t="b">
        <v>0</v>
      </c>
      <c r="M20" s="20" t="b">
        <v>0</v>
      </c>
      <c r="N20" s="20" t="b">
        <v>0</v>
      </c>
      <c r="O20" s="20" t="b">
        <v>1</v>
      </c>
      <c r="P20" s="20" t="b">
        <v>1</v>
      </c>
      <c r="Q20" s="20" t="b">
        <v>1</v>
      </c>
      <c r="R20" s="20" t="b">
        <v>0</v>
      </c>
      <c r="S20" s="20" t="b">
        <v>0</v>
      </c>
      <c r="T20" s="20" t="b">
        <v>0</v>
      </c>
      <c r="U20" s="20" t="b">
        <v>0</v>
      </c>
    </row>
    <row r="21" spans="1:21">
      <c r="A21" s="18">
        <f t="shared" si="8"/>
        <v>20</v>
      </c>
      <c r="B21" s="19">
        <v>4</v>
      </c>
      <c r="C21" s="18" t="str" cm="1">
        <f t="array" ref="C21">GetValue("Tbl","Alias",B21)</f>
        <v>Eng</v>
      </c>
      <c r="D21" s="18">
        <v>5</v>
      </c>
      <c r="E21" s="18" t="str" cm="1">
        <f t="array" ref="E21">GetValue("Dmn","Name",D21)</f>
        <v>TinyInteger</v>
      </c>
      <c r="F21" s="18" t="str" cm="1">
        <f t="array" ref="F21">GetValue("Dmn","#CategoryName",D21)</f>
        <v>number</v>
      </c>
      <c r="G21" s="18">
        <f t="shared" si="1"/>
        <v>5</v>
      </c>
      <c r="H21" s="18" t="str" cm="1">
        <f t="array" ref="H21">GetColumnName(C21,IF(B21=B20,H20,""))</f>
        <v>Id</v>
      </c>
      <c r="I21" s="18" t="str">
        <f t="shared" si="2"/>
        <v>Id</v>
      </c>
      <c r="J21" s="18" t="str">
        <f t="shared" si="3"/>
        <v>Id</v>
      </c>
      <c r="K21" s="18" t="b">
        <v>1</v>
      </c>
      <c r="L21" s="18" t="b">
        <v>1</v>
      </c>
      <c r="M21" s="18" t="b">
        <v>1</v>
      </c>
      <c r="N21" s="18"/>
      <c r="O21" s="18" t="b">
        <v>1</v>
      </c>
      <c r="P21" s="18" t="b">
        <v>0</v>
      </c>
      <c r="Q21" s="18" t="b">
        <v>0</v>
      </c>
      <c r="R21" s="18" t="b">
        <v>0</v>
      </c>
      <c r="S21" s="18" t="b">
        <v>0</v>
      </c>
      <c r="T21" s="18" t="b">
        <v>0</v>
      </c>
      <c r="U21" s="18" t="b">
        <v>0</v>
      </c>
    </row>
    <row r="22" spans="1:21">
      <c r="A22" s="18">
        <f t="shared" si="8"/>
        <v>21</v>
      </c>
      <c r="B22" s="19">
        <v>4</v>
      </c>
      <c r="C22" s="18" t="str" cm="1">
        <f t="array" ref="C22">GetValue("Tbl","Alias",B22)</f>
        <v>Eng</v>
      </c>
      <c r="D22" s="18">
        <v>10</v>
      </c>
      <c r="E22" s="18" t="str" cm="1">
        <f t="array" ref="E22">GetValue("Dmn","Name",D22)</f>
        <v>NVARCHAR(25)</v>
      </c>
      <c r="F22" s="18" t="str" cm="1">
        <f t="array" ref="F22">GetValue("Dmn","#CategoryName",D22)</f>
        <v>string</v>
      </c>
      <c r="G22" s="18">
        <f t="shared" si="1"/>
        <v>10</v>
      </c>
      <c r="H22" s="18" t="str" cm="1">
        <f t="array" ref="H22">GetColumnName(C22,IF(B22=B21,H21,""))</f>
        <v>Name</v>
      </c>
      <c r="I22" s="18" t="str">
        <f t="shared" si="2"/>
        <v>Name</v>
      </c>
      <c r="J22" s="18" t="str">
        <f t="shared" si="3"/>
        <v>Name</v>
      </c>
      <c r="K22" s="18" t="b">
        <v>1</v>
      </c>
      <c r="L22" s="18" t="b">
        <v>0</v>
      </c>
      <c r="M22" s="18"/>
      <c r="N22" s="18" t="b">
        <v>1</v>
      </c>
      <c r="O22" s="18" t="b">
        <v>1</v>
      </c>
      <c r="P22" s="18" t="b">
        <v>1</v>
      </c>
      <c r="Q22" s="18" t="b">
        <v>1</v>
      </c>
      <c r="R22" s="18" t="b">
        <v>1</v>
      </c>
      <c r="S22" s="18" t="b">
        <v>0</v>
      </c>
      <c r="T22" s="18" t="b">
        <v>0</v>
      </c>
      <c r="U22" s="18" t="b">
        <v>0</v>
      </c>
    </row>
    <row r="23" spans="1:21">
      <c r="A23" s="18">
        <f t="shared" si="8"/>
        <v>22</v>
      </c>
      <c r="B23" s="19">
        <v>4</v>
      </c>
      <c r="C23" s="18" t="str" cm="1">
        <f t="array" ref="C23">GetValue("Tbl","Alias",B23)</f>
        <v>Eng</v>
      </c>
      <c r="D23" s="18">
        <v>11</v>
      </c>
      <c r="E23" s="18" t="str" cm="1">
        <f t="array" ref="E23">GetValue("Dmn","Name",D23)</f>
        <v>NVARCHAR(50)</v>
      </c>
      <c r="F23" s="18" t="str" cm="1">
        <f t="array" ref="F23">GetValue("Dmn","#CategoryName",D23)</f>
        <v>string</v>
      </c>
      <c r="G23" s="18">
        <f t="shared" si="1"/>
        <v>15</v>
      </c>
      <c r="H23" s="18" t="str" cm="1">
        <f t="array" ref="H23">GetColumnName(C23,IF(B23=B22,H22,""))</f>
        <v>Provider</v>
      </c>
      <c r="I23" s="18" t="str">
        <f t="shared" si="2"/>
        <v>Provider</v>
      </c>
      <c r="J23" s="18" t="str">
        <f t="shared" si="3"/>
        <v>Provider</v>
      </c>
      <c r="K23" s="18" t="b">
        <v>1</v>
      </c>
      <c r="L23" s="18" t="b">
        <v>0</v>
      </c>
      <c r="M23" s="18"/>
      <c r="N23" s="18" t="b">
        <v>0</v>
      </c>
      <c r="O23" s="18" t="b">
        <v>1</v>
      </c>
      <c r="P23" s="18" t="b">
        <v>1</v>
      </c>
      <c r="Q23" s="18" t="b">
        <v>1</v>
      </c>
      <c r="R23" s="18" t="b">
        <v>0</v>
      </c>
      <c r="S23" s="18" t="b">
        <v>0</v>
      </c>
      <c r="T23" s="18" t="b">
        <v>0</v>
      </c>
      <c r="U23" s="18" t="b">
        <v>0</v>
      </c>
    </row>
    <row r="24" spans="1:21">
      <c r="A24" s="18">
        <f>ROW(A24)-1</f>
        <v>23</v>
      </c>
      <c r="B24" s="19">
        <v>4</v>
      </c>
      <c r="C24" s="18" t="str" cm="1">
        <f t="array" ref="C24">GetValue("Tbl","Alias",B24)</f>
        <v>Eng</v>
      </c>
      <c r="D24" s="18">
        <v>11</v>
      </c>
      <c r="E24" s="18" t="str" cm="1">
        <f t="array" ref="E24">GetValue("Dmn","Name",D24)</f>
        <v>NVARCHAR(50)</v>
      </c>
      <c r="F24" s="18" t="str" cm="1">
        <f t="array" ref="F24">GetValue("Dmn","#CategoryName",D24)</f>
        <v>string</v>
      </c>
      <c r="G24" s="18">
        <f>IF(H24="Id",5,G23+5)</f>
        <v>20</v>
      </c>
      <c r="H24" s="18" t="str" cm="1">
        <f t="array" ref="H24">GetColumnName(C24,IF(B24=B23,H23,""))</f>
        <v>PackageName</v>
      </c>
      <c r="I24" s="18" t="str">
        <f>H24</f>
        <v>PackageName</v>
      </c>
      <c r="J24" s="18" t="str">
        <f>H24</f>
        <v>PackageName</v>
      </c>
      <c r="K24" s="18" t="b">
        <v>1</v>
      </c>
      <c r="L24" s="18" t="b">
        <v>0</v>
      </c>
      <c r="M24" s="18"/>
      <c r="N24" s="18" t="b">
        <v>0</v>
      </c>
      <c r="O24" s="18" t="b">
        <v>1</v>
      </c>
      <c r="P24" s="18" t="b">
        <v>1</v>
      </c>
      <c r="Q24" s="18" t="b">
        <v>1</v>
      </c>
      <c r="R24" s="18" t="b">
        <v>0</v>
      </c>
      <c r="S24" s="18" t="b">
        <v>0</v>
      </c>
      <c r="T24" s="18" t="b">
        <v>0</v>
      </c>
      <c r="U24" s="18" t="b">
        <v>0</v>
      </c>
    </row>
    <row r="25" spans="1:21">
      <c r="A25" s="18">
        <f t="shared" si="8"/>
        <v>24</v>
      </c>
      <c r="B25" s="19">
        <v>4</v>
      </c>
      <c r="C25" s="18" t="str" cm="1">
        <f t="array" ref="C25">GetValue("Tbl","Alias",B25)</f>
        <v>Eng</v>
      </c>
      <c r="D25" s="18">
        <v>8</v>
      </c>
      <c r="E25" s="18" t="str" cm="1">
        <f t="array" ref="E25">GetValue("Dmn","Name",D25)</f>
        <v>NVARCHAR(15)</v>
      </c>
      <c r="F25" s="18" t="str" cm="1">
        <f t="array" ref="F25">GetValue("Dmn","#CategoryName",D25)</f>
        <v>string</v>
      </c>
      <c r="G25" s="18">
        <f>IF(H25="Id",5,G24+5)</f>
        <v>25</v>
      </c>
      <c r="H25" s="18" t="str" cm="1">
        <f t="array" ref="H25">GetColumnName(C25,IF(B25=B24,H24,""))</f>
        <v>PackageVersion</v>
      </c>
      <c r="I25" s="18" t="str">
        <f t="shared" si="2"/>
        <v>PackageVersion</v>
      </c>
      <c r="J25" s="18" t="str">
        <f t="shared" si="3"/>
        <v>PackageVersion</v>
      </c>
      <c r="K25" s="18" t="b">
        <v>1</v>
      </c>
      <c r="L25" s="18" t="b">
        <v>0</v>
      </c>
      <c r="M25" s="18"/>
      <c r="N25" s="18" t="b">
        <v>0</v>
      </c>
      <c r="O25" s="18" t="b">
        <v>1</v>
      </c>
      <c r="P25" s="18" t="b">
        <v>1</v>
      </c>
      <c r="Q25" s="18" t="b">
        <v>1</v>
      </c>
      <c r="R25" s="18" t="b">
        <v>0</v>
      </c>
      <c r="S25" s="18" t="b">
        <v>0</v>
      </c>
      <c r="T25" s="18" t="b">
        <v>0</v>
      </c>
      <c r="U25" s="18" t="b">
        <v>0</v>
      </c>
    </row>
    <row r="26" spans="1:21">
      <c r="A26" s="18">
        <f t="shared" si="8"/>
        <v>25</v>
      </c>
      <c r="B26" s="19">
        <v>4</v>
      </c>
      <c r="C26" s="18" t="str" cm="1">
        <f t="array" ref="C26">GetValue("Tbl","Alias",B26)</f>
        <v>Eng</v>
      </c>
      <c r="D26" s="18">
        <v>6</v>
      </c>
      <c r="E26" s="18" t="str" cm="1">
        <f t="array" ref="E26">GetValue("Dmn","Name",D26)</f>
        <v>Boolean</v>
      </c>
      <c r="F26" s="18" t="str" cm="1">
        <f t="array" ref="F26">GetValue("Dmn","#CategoryName",D26)</f>
        <v>boolean</v>
      </c>
      <c r="G26" s="18">
        <f t="shared" si="1"/>
        <v>30</v>
      </c>
      <c r="H26" s="18" t="str" cm="1">
        <f t="array" ref="H26">GetColumnName(C26,IF(B26=B25,H25,""))</f>
        <v>AskDirectory</v>
      </c>
      <c r="I26" s="18" t="str">
        <f t="shared" si="2"/>
        <v>AskDirectory</v>
      </c>
      <c r="J26" s="18" t="str">
        <f t="shared" si="3"/>
        <v>AskDirectory</v>
      </c>
      <c r="K26" s="18" t="b">
        <v>0</v>
      </c>
      <c r="L26" s="18" t="b">
        <v>0</v>
      </c>
      <c r="M26" s="18"/>
      <c r="N26" s="18" t="b">
        <v>0</v>
      </c>
      <c r="O26" s="18" t="b">
        <v>1</v>
      </c>
      <c r="P26" s="18" t="b">
        <v>0</v>
      </c>
      <c r="Q26" s="18" t="b">
        <v>1</v>
      </c>
      <c r="R26" s="18" t="b">
        <v>0</v>
      </c>
      <c r="S26" s="18" t="b">
        <v>0</v>
      </c>
      <c r="T26" s="18" t="b">
        <v>0</v>
      </c>
      <c r="U26" s="18" t="b">
        <v>0</v>
      </c>
    </row>
    <row r="27" spans="1:21">
      <c r="A27" s="18">
        <f t="shared" si="8"/>
        <v>26</v>
      </c>
      <c r="B27" s="19">
        <v>4</v>
      </c>
      <c r="C27" s="18" t="str" cm="1">
        <f t="array" ref="C27">GetValue("Tbl","Alias",B27)</f>
        <v>Eng</v>
      </c>
      <c r="D27" s="18">
        <v>6</v>
      </c>
      <c r="E27" s="18" t="str" cm="1">
        <f t="array" ref="E27">GetValue("Dmn","Name",D27)</f>
        <v>Boolean</v>
      </c>
      <c r="F27" s="18" t="str" cm="1">
        <f t="array" ref="F27">GetValue("Dmn","#CategoryName",D27)</f>
        <v>boolean</v>
      </c>
      <c r="G27" s="18">
        <f t="shared" ref="G27:G28" si="9">IF(H27="Id",5,G26+5)</f>
        <v>35</v>
      </c>
      <c r="H27" s="18" t="str" cm="1">
        <f t="array" ref="H27">GetColumnName(C27,IF(B27=B26,H26,""))</f>
        <v>IsActive</v>
      </c>
      <c r="I27" s="18" t="str">
        <f t="shared" ref="I27" si="10">H27</f>
        <v>IsActive</v>
      </c>
      <c r="J27" s="18" t="str">
        <f t="shared" ref="J27" si="11">H27</f>
        <v>IsActive</v>
      </c>
      <c r="K27" s="18" t="b">
        <v>0</v>
      </c>
      <c r="L27" s="18" t="b">
        <v>0</v>
      </c>
      <c r="M27" s="18"/>
      <c r="N27" s="18" t="b">
        <v>0</v>
      </c>
      <c r="O27" s="18" t="b">
        <v>1</v>
      </c>
      <c r="P27" s="18" t="b">
        <v>0</v>
      </c>
      <c r="Q27" s="18" t="b">
        <v>1</v>
      </c>
      <c r="R27" s="18" t="b">
        <v>0</v>
      </c>
      <c r="S27" s="18" t="b">
        <v>0</v>
      </c>
      <c r="T27" s="18" t="b">
        <v>0</v>
      </c>
      <c r="U27" s="18" t="b">
        <v>0</v>
      </c>
    </row>
    <row r="28" spans="1:21">
      <c r="A28" s="20">
        <f t="shared" si="8"/>
        <v>27</v>
      </c>
      <c r="B28" s="21">
        <v>5</v>
      </c>
      <c r="C28" s="20" t="str" cm="1">
        <f t="array" ref="C28">GetValue("Tbl","Alias",B28)</f>
        <v>Typ</v>
      </c>
      <c r="D28" s="20">
        <v>5</v>
      </c>
      <c r="E28" s="20" t="str" cm="1">
        <f t="array" ref="E28">GetValue("Dmn","Name",D28)</f>
        <v>TinyInteger</v>
      </c>
      <c r="F28" s="20" t="str" cm="1">
        <f t="array" ref="F28">GetValue("Dmn","#CategoryName",D28)</f>
        <v>number</v>
      </c>
      <c r="G28" s="20">
        <f t="shared" si="9"/>
        <v>5</v>
      </c>
      <c r="H28" s="20" t="str" cm="1">
        <f t="array" ref="H28">GetColumnName(C28,IF(B28=B27,H27,""))</f>
        <v>Id</v>
      </c>
      <c r="I28" s="20" t="str">
        <f t="shared" si="2"/>
        <v>Id</v>
      </c>
      <c r="J28" s="20" t="str">
        <f t="shared" si="3"/>
        <v>Id</v>
      </c>
      <c r="K28" s="20" t="b">
        <v>1</v>
      </c>
      <c r="L28" s="20" t="b">
        <v>1</v>
      </c>
      <c r="M28" s="20" t="b">
        <v>1</v>
      </c>
      <c r="N28" s="20"/>
      <c r="O28" s="20" t="b">
        <v>1</v>
      </c>
      <c r="P28" s="20" t="b">
        <v>0</v>
      </c>
      <c r="Q28" s="20" t="b">
        <v>0</v>
      </c>
      <c r="R28" s="20" t="b">
        <v>0</v>
      </c>
      <c r="S28" s="20" t="b">
        <v>0</v>
      </c>
      <c r="T28" s="20" t="b">
        <v>0</v>
      </c>
      <c r="U28" s="20" t="b">
        <v>0</v>
      </c>
    </row>
    <row r="29" spans="1:21">
      <c r="A29" s="20">
        <f t="shared" si="4"/>
        <v>28</v>
      </c>
      <c r="B29" s="21">
        <v>5</v>
      </c>
      <c r="C29" s="20" t="str" cm="1">
        <f t="array" ref="C29">GetValue("Tbl","Alias",B29)</f>
        <v>Typ</v>
      </c>
      <c r="D29" s="20">
        <v>5</v>
      </c>
      <c r="E29" s="20" t="str" cm="1">
        <f t="array" ref="E29">GetValue("Dmn","Name",D29)</f>
        <v>TinyInteger</v>
      </c>
      <c r="F29" s="20" t="str" cm="1">
        <f t="array" ref="F29">GetValue("Dmn","#CategoryName",D29)</f>
        <v>number</v>
      </c>
      <c r="G29" s="20">
        <f t="shared" si="1"/>
        <v>10</v>
      </c>
      <c r="H29" s="20" t="str" cm="1">
        <f t="array" ref="H29">GetColumnName(C29,IF(B29=B28,H28,""))</f>
        <v>CategoryId</v>
      </c>
      <c r="I29" s="20" t="str">
        <f t="shared" si="2"/>
        <v>CategoryId</v>
      </c>
      <c r="J29" s="20" t="str">
        <f t="shared" si="3"/>
        <v>CategoryId</v>
      </c>
      <c r="K29" s="20" t="b">
        <v>1</v>
      </c>
      <c r="L29" s="20" t="b">
        <v>0</v>
      </c>
      <c r="M29" s="20" t="b">
        <v>0</v>
      </c>
      <c r="N29" s="20" t="b">
        <v>0</v>
      </c>
      <c r="O29" s="20" t="b">
        <v>1</v>
      </c>
      <c r="P29" s="20" t="b">
        <v>1</v>
      </c>
      <c r="Q29" s="20" t="b">
        <v>1</v>
      </c>
      <c r="R29" s="20" t="b">
        <v>0</v>
      </c>
      <c r="S29" s="20" t="b">
        <v>0</v>
      </c>
      <c r="T29" s="20" t="b">
        <v>0</v>
      </c>
      <c r="U29" s="20" t="b">
        <v>0</v>
      </c>
    </row>
    <row r="30" spans="1:21">
      <c r="A30" s="20">
        <f t="shared" si="4"/>
        <v>29</v>
      </c>
      <c r="B30" s="21">
        <v>5</v>
      </c>
      <c r="C30" s="20" t="str" cm="1">
        <f t="array" ref="C30">GetValue("Tbl","Alias",B30)</f>
        <v>Typ</v>
      </c>
      <c r="D30" s="20">
        <v>10</v>
      </c>
      <c r="E30" s="20" t="str" cm="1">
        <f t="array" ref="E30">GetValue("Dmn","Name",D30)</f>
        <v>NVARCHAR(25)</v>
      </c>
      <c r="F30" s="20" t="str" cm="1">
        <f t="array" ref="F30">GetValue("Dmn","#CategoryName",D30)</f>
        <v>string</v>
      </c>
      <c r="G30" s="20">
        <f t="shared" si="1"/>
        <v>15</v>
      </c>
      <c r="H30" s="20" t="str" cm="1">
        <f t="array" ref="H30">GetColumnName(C30,IF(B30=B29,H29,""))</f>
        <v>Name</v>
      </c>
      <c r="I30" s="20" t="str">
        <f t="shared" si="2"/>
        <v>Name</v>
      </c>
      <c r="J30" s="20" t="str">
        <f t="shared" si="3"/>
        <v>Name</v>
      </c>
      <c r="K30" s="20" t="b">
        <v>1</v>
      </c>
      <c r="L30" s="20" t="b">
        <v>0</v>
      </c>
      <c r="M30" s="20"/>
      <c r="N30" s="20" t="b">
        <v>1</v>
      </c>
      <c r="O30" s="20" t="b">
        <v>1</v>
      </c>
      <c r="P30" s="20" t="b">
        <v>1</v>
      </c>
      <c r="Q30" s="20" t="b">
        <v>1</v>
      </c>
      <c r="R30" s="20" t="b">
        <v>1</v>
      </c>
      <c r="S30" s="20" t="b">
        <v>0</v>
      </c>
      <c r="T30" s="20" t="b">
        <v>0</v>
      </c>
      <c r="U30" s="20" t="b">
        <v>0</v>
      </c>
    </row>
    <row r="31" spans="1:21">
      <c r="A31" s="20">
        <f t="shared" si="4"/>
        <v>30</v>
      </c>
      <c r="B31" s="21">
        <v>5</v>
      </c>
      <c r="C31" s="20" t="str" cm="1">
        <f t="array" ref="C31">GetValue("Tbl","Alias",B31)</f>
        <v>Typ</v>
      </c>
      <c r="D31" s="20">
        <v>42</v>
      </c>
      <c r="E31" s="20" t="str" cm="1">
        <f t="array" ref="E31">GetValue("Dmn","Name",D31)</f>
        <v>VARIANT</v>
      </c>
      <c r="F31" s="20" t="str" cm="1">
        <f t="array" ref="F31">GetValue("Dmn","#CategoryName",D31)</f>
        <v>text</v>
      </c>
      <c r="G31" s="20">
        <f t="shared" si="1"/>
        <v>20</v>
      </c>
      <c r="H31" s="20" t="str" cm="1">
        <f t="array" ref="H31">GetColumnName(C31,IF(B31=B30,H30,""))</f>
        <v>Minimum</v>
      </c>
      <c r="I31" s="20" t="str">
        <f t="shared" si="2"/>
        <v>Minimum</v>
      </c>
      <c r="J31" s="20" t="str">
        <f t="shared" si="3"/>
        <v>Minimum</v>
      </c>
      <c r="K31" s="20" t="b">
        <v>0</v>
      </c>
      <c r="L31" s="20" t="b">
        <v>0</v>
      </c>
      <c r="M31" s="20"/>
      <c r="N31" s="20"/>
      <c r="O31" s="20" t="b">
        <v>0</v>
      </c>
      <c r="P31" s="20" t="b">
        <v>1</v>
      </c>
      <c r="Q31" s="20" t="b">
        <v>1</v>
      </c>
      <c r="R31" s="20" t="b">
        <v>0</v>
      </c>
      <c r="S31" s="20" t="b">
        <v>0</v>
      </c>
      <c r="T31" s="20" t="b">
        <v>0</v>
      </c>
      <c r="U31" s="20" t="b">
        <v>0</v>
      </c>
    </row>
    <row r="32" spans="1:21">
      <c r="A32" s="20">
        <f t="shared" si="4"/>
        <v>31</v>
      </c>
      <c r="B32" s="21">
        <v>5</v>
      </c>
      <c r="C32" s="20" t="str" cm="1">
        <f t="array" ref="C32">GetValue("Tbl","Alias",B32)</f>
        <v>Typ</v>
      </c>
      <c r="D32" s="20">
        <v>42</v>
      </c>
      <c r="E32" s="20" t="str" cm="1">
        <f t="array" ref="E32">GetValue("Dmn","Name",D32)</f>
        <v>VARIANT</v>
      </c>
      <c r="F32" s="20" t="str" cm="1">
        <f t="array" ref="F32">GetValue("Dmn","#CategoryName",D32)</f>
        <v>text</v>
      </c>
      <c r="G32" s="20">
        <f t="shared" si="1"/>
        <v>25</v>
      </c>
      <c r="H32" s="20" t="str" cm="1">
        <f t="array" ref="H32">GetColumnName(C32,IF(B32=B31,H31,""))</f>
        <v>Maximum</v>
      </c>
      <c r="I32" s="20" t="str">
        <f t="shared" si="2"/>
        <v>Maximum</v>
      </c>
      <c r="J32" s="20" t="str">
        <f t="shared" si="3"/>
        <v>Maximum</v>
      </c>
      <c r="K32" s="20" t="b">
        <v>0</v>
      </c>
      <c r="L32" s="20" t="b">
        <v>0</v>
      </c>
      <c r="M32" s="20"/>
      <c r="N32" s="20"/>
      <c r="O32" s="20" t="b">
        <v>0</v>
      </c>
      <c r="P32" s="20" t="b">
        <v>1</v>
      </c>
      <c r="Q32" s="20" t="b">
        <v>1</v>
      </c>
      <c r="R32" s="20" t="b">
        <v>0</v>
      </c>
      <c r="S32" s="20" t="b">
        <v>0</v>
      </c>
      <c r="T32" s="20" t="b">
        <v>0</v>
      </c>
      <c r="U32" s="20" t="b">
        <v>0</v>
      </c>
    </row>
    <row r="33" spans="1:21">
      <c r="A33" s="20">
        <f t="shared" si="4"/>
        <v>32</v>
      </c>
      <c r="B33" s="21">
        <v>5</v>
      </c>
      <c r="C33" s="20" t="str" cm="1">
        <f t="array" ref="C33">GetValue("Tbl","Alias",B33)</f>
        <v>Typ</v>
      </c>
      <c r="D33" s="20">
        <v>6</v>
      </c>
      <c r="E33" s="20" t="str" cm="1">
        <f t="array" ref="E33">GetValue("Dmn","Name",D33)</f>
        <v>Boolean</v>
      </c>
      <c r="F33" s="20" t="str" cm="1">
        <f t="array" ref="F33">GetValue("Dmn","#CategoryName",D33)</f>
        <v>boolean</v>
      </c>
      <c r="G33" s="20">
        <f t="shared" si="1"/>
        <v>30</v>
      </c>
      <c r="H33" s="20" t="str" cm="1">
        <f t="array" ref="H33">GetColumnName(C33,IF(B33=B32,H32,""))</f>
        <v>AskLength</v>
      </c>
      <c r="I33" s="20" t="str">
        <f t="shared" si="2"/>
        <v>AskLength</v>
      </c>
      <c r="J33" s="20" t="str">
        <f t="shared" si="3"/>
        <v>AskLength</v>
      </c>
      <c r="K33" s="20" t="b">
        <v>1</v>
      </c>
      <c r="L33" s="20" t="b">
        <v>0</v>
      </c>
      <c r="M33" s="20"/>
      <c r="N33" s="20" t="b">
        <v>0</v>
      </c>
      <c r="O33" s="20" t="b">
        <v>1</v>
      </c>
      <c r="P33" s="20" t="b">
        <v>1</v>
      </c>
      <c r="Q33" s="20" t="b">
        <v>1</v>
      </c>
      <c r="R33" s="20" t="b">
        <v>0</v>
      </c>
      <c r="S33" s="20" t="b">
        <v>0</v>
      </c>
      <c r="T33" s="20" t="b">
        <v>0</v>
      </c>
      <c r="U33" s="20" t="b">
        <v>0</v>
      </c>
    </row>
    <row r="34" spans="1:21">
      <c r="A34" s="20">
        <f t="shared" ref="A34:A39" si="12">ROW(A34)-1</f>
        <v>33</v>
      </c>
      <c r="B34" s="21">
        <v>5</v>
      </c>
      <c r="C34" s="20" t="str" cm="1">
        <f t="array" ref="C34">GetValue("Tbl","Alias",B34)</f>
        <v>Typ</v>
      </c>
      <c r="D34" s="20">
        <v>6</v>
      </c>
      <c r="E34" s="20" t="str" cm="1">
        <f t="array" ref="E34">GetValue("Dmn","Name",D34)</f>
        <v>Boolean</v>
      </c>
      <c r="F34" s="20" t="str" cm="1">
        <f t="array" ref="F34">GetValue("Dmn","#CategoryName",D34)</f>
        <v>boolean</v>
      </c>
      <c r="G34" s="20">
        <f t="shared" si="1"/>
        <v>35</v>
      </c>
      <c r="H34" s="20" t="str" cm="1">
        <f t="array" ref="H34">GetColumnName(C34,IF(B34=B33,H33,""))</f>
        <v>AskDecimals</v>
      </c>
      <c r="I34" s="20" t="str">
        <f t="shared" si="2"/>
        <v>AskDecimals</v>
      </c>
      <c r="J34" s="20" t="str">
        <f t="shared" si="3"/>
        <v>AskDecimals</v>
      </c>
      <c r="K34" s="20" t="b">
        <v>1</v>
      </c>
      <c r="L34" s="20" t="b">
        <v>0</v>
      </c>
      <c r="M34" s="20"/>
      <c r="N34" s="20" t="b">
        <v>0</v>
      </c>
      <c r="O34" s="20" t="b">
        <v>1</v>
      </c>
      <c r="P34" s="20" t="b">
        <v>1</v>
      </c>
      <c r="Q34" s="20" t="b">
        <v>1</v>
      </c>
      <c r="R34" s="20" t="b">
        <v>0</v>
      </c>
      <c r="S34" s="20" t="b">
        <v>0</v>
      </c>
      <c r="T34" s="20" t="b">
        <v>0</v>
      </c>
      <c r="U34" s="20" t="b">
        <v>0</v>
      </c>
    </row>
    <row r="35" spans="1:21">
      <c r="A35" s="20">
        <f t="shared" si="12"/>
        <v>34</v>
      </c>
      <c r="B35" s="21">
        <v>5</v>
      </c>
      <c r="C35" s="20" t="str" cm="1">
        <f t="array" ref="C35">GetValue("Tbl","Alias",B35)</f>
        <v>Typ</v>
      </c>
      <c r="D35" s="20">
        <v>6</v>
      </c>
      <c r="E35" s="20" t="str" cm="1">
        <f t="array" ref="E35">GetValue("Dmn","Name",D35)</f>
        <v>Boolean</v>
      </c>
      <c r="F35" s="20" t="str" cm="1">
        <f t="array" ref="F35">GetValue("Dmn","#CategoryName",D35)</f>
        <v>boolean</v>
      </c>
      <c r="G35" s="20">
        <f t="shared" si="1"/>
        <v>40</v>
      </c>
      <c r="H35" s="20" t="str" cm="1">
        <f t="array" ref="H35">GetColumnName(C35,IF(B35=B34,H34,""))</f>
        <v>AskPrimarykey</v>
      </c>
      <c r="I35" s="20" t="str">
        <f t="shared" si="2"/>
        <v>AskPrimarykey</v>
      </c>
      <c r="J35" s="20" t="str">
        <f t="shared" si="3"/>
        <v>AskPrimarykey</v>
      </c>
      <c r="K35" s="20" t="b">
        <v>1</v>
      </c>
      <c r="L35" s="20" t="b">
        <v>0</v>
      </c>
      <c r="M35" s="20"/>
      <c r="N35" s="20" t="b">
        <v>0</v>
      </c>
      <c r="O35" s="20" t="b">
        <v>1</v>
      </c>
      <c r="P35" s="20" t="b">
        <v>1</v>
      </c>
      <c r="Q35" s="20" t="b">
        <v>1</v>
      </c>
      <c r="R35" s="20" t="b">
        <v>0</v>
      </c>
      <c r="S35" s="20" t="b">
        <v>0</v>
      </c>
      <c r="T35" s="20" t="b">
        <v>0</v>
      </c>
      <c r="U35" s="20" t="b">
        <v>0</v>
      </c>
    </row>
    <row r="36" spans="1:21">
      <c r="A36" s="20">
        <f t="shared" si="12"/>
        <v>35</v>
      </c>
      <c r="B36" s="21">
        <v>5</v>
      </c>
      <c r="C36" s="20" t="str" cm="1">
        <f t="array" ref="C36">GetValue("Tbl","Alias",B36)</f>
        <v>Typ</v>
      </c>
      <c r="D36" s="20">
        <v>6</v>
      </c>
      <c r="E36" s="20" t="str" cm="1">
        <f t="array" ref="E36">GetValue("Dmn","Name",D36)</f>
        <v>Boolean</v>
      </c>
      <c r="F36" s="20" t="str" cm="1">
        <f t="array" ref="F36">GetValue("Dmn","#CategoryName",D36)</f>
        <v>boolean</v>
      </c>
      <c r="G36" s="20">
        <f t="shared" si="1"/>
        <v>45</v>
      </c>
      <c r="H36" s="20" t="str" cm="1">
        <f t="array" ref="H36">GetColumnName(C36,IF(B36=B35,H35,""))</f>
        <v>AskAutoincrement</v>
      </c>
      <c r="I36" s="20" t="str">
        <f t="shared" si="2"/>
        <v>AskAutoincrement</v>
      </c>
      <c r="J36" s="20" t="str">
        <f t="shared" si="3"/>
        <v>AskAutoincrement</v>
      </c>
      <c r="K36" s="20" t="b">
        <v>1</v>
      </c>
      <c r="L36" s="20" t="b">
        <v>0</v>
      </c>
      <c r="M36" s="20"/>
      <c r="N36" s="20" t="b">
        <v>0</v>
      </c>
      <c r="O36" s="20" t="b">
        <v>1</v>
      </c>
      <c r="P36" s="20" t="b">
        <v>1</v>
      </c>
      <c r="Q36" s="20" t="b">
        <v>1</v>
      </c>
      <c r="R36" s="20" t="b">
        <v>0</v>
      </c>
      <c r="S36" s="20" t="b">
        <v>0</v>
      </c>
      <c r="T36" s="20" t="b">
        <v>0</v>
      </c>
      <c r="U36" s="20" t="b">
        <v>0</v>
      </c>
    </row>
    <row r="37" spans="1:21">
      <c r="A37" s="20">
        <f t="shared" si="12"/>
        <v>36</v>
      </c>
      <c r="B37" s="21">
        <v>5</v>
      </c>
      <c r="C37" s="20" t="str" cm="1">
        <f t="array" ref="C37">GetValue("Tbl","Alias",B37)</f>
        <v>Typ</v>
      </c>
      <c r="D37" s="20">
        <v>6</v>
      </c>
      <c r="E37" s="20" t="str" cm="1">
        <f t="array" ref="E37">GetValue("Dmn","Name",D37)</f>
        <v>Boolean</v>
      </c>
      <c r="F37" s="20" t="str" cm="1">
        <f t="array" ref="F37">GetValue("Dmn","#CategoryName",D37)</f>
        <v>boolean</v>
      </c>
      <c r="G37" s="20">
        <f t="shared" si="1"/>
        <v>50</v>
      </c>
      <c r="H37" s="20" t="str" cm="1">
        <f t="array" ref="H37">GetColumnName(C37,IF(B37=B36,H36,""))</f>
        <v>IsActive</v>
      </c>
      <c r="I37" s="20" t="str">
        <f t="shared" si="2"/>
        <v>IsActive</v>
      </c>
      <c r="J37" s="20" t="str">
        <f t="shared" si="3"/>
        <v>IsActive</v>
      </c>
      <c r="K37" s="20" t="b">
        <v>1</v>
      </c>
      <c r="L37" s="20" t="b">
        <v>0</v>
      </c>
      <c r="M37" s="20"/>
      <c r="N37" s="20" t="b">
        <v>0</v>
      </c>
      <c r="O37" s="20" t="b">
        <v>1</v>
      </c>
      <c r="P37" s="20" t="b">
        <v>1</v>
      </c>
      <c r="Q37" s="20" t="b">
        <v>1</v>
      </c>
      <c r="R37" s="20" t="b">
        <v>0</v>
      </c>
      <c r="S37" s="20" t="b">
        <v>0</v>
      </c>
      <c r="T37" s="20" t="b">
        <v>0</v>
      </c>
      <c r="U37" s="20" t="b">
        <v>0</v>
      </c>
    </row>
    <row r="38" spans="1:21">
      <c r="A38" s="20">
        <f t="shared" si="12"/>
        <v>37</v>
      </c>
      <c r="B38" s="21">
        <v>5</v>
      </c>
      <c r="C38" s="20" t="str" cm="1">
        <f t="array" ref="C38">GetValue("Tbl","Alias",B38)</f>
        <v>Typ</v>
      </c>
      <c r="D38" s="20">
        <v>6</v>
      </c>
      <c r="E38" s="20" t="str" cm="1">
        <f t="array" ref="E38">GetValue("Dmn","Name",D38)</f>
        <v>Boolean</v>
      </c>
      <c r="F38" s="20" t="str" cm="1">
        <f t="array" ref="F38">GetValue("Dmn","#CategoryName",D38)</f>
        <v>boolean</v>
      </c>
      <c r="G38" s="20" t="e">
        <f t="shared" si="1"/>
        <v>#VALUE!</v>
      </c>
      <c r="H38" s="20" t="e" cm="1">
        <f t="array" ref="H38">GetColumnName(C38,IF(B38=B37,H37,""))</f>
        <v>#VALUE!</v>
      </c>
      <c r="I38" s="20" t="e">
        <f t="shared" si="2"/>
        <v>#VALUE!</v>
      </c>
      <c r="J38" s="20" t="e">
        <f t="shared" si="3"/>
        <v>#VALUE!</v>
      </c>
      <c r="K38" s="20" t="b">
        <v>1</v>
      </c>
      <c r="L38" s="20" t="b">
        <v>0</v>
      </c>
      <c r="M38" s="20"/>
      <c r="N38" s="20" t="b">
        <v>0</v>
      </c>
      <c r="O38" s="20" t="b">
        <v>1</v>
      </c>
      <c r="P38" s="20" t="b">
        <v>1</v>
      </c>
      <c r="Q38" s="20" t="b">
        <v>1</v>
      </c>
      <c r="R38" s="20" t="b">
        <v>0</v>
      </c>
      <c r="S38" s="20" t="b">
        <v>0</v>
      </c>
      <c r="T38" s="20" t="b">
        <v>0</v>
      </c>
      <c r="U38" s="20" t="b">
        <v>0</v>
      </c>
    </row>
    <row r="39" spans="1:21">
      <c r="A39" s="20">
        <f t="shared" si="12"/>
        <v>38</v>
      </c>
      <c r="B39" s="21">
        <v>5</v>
      </c>
      <c r="C39" s="20" t="str" cm="1">
        <f t="array" ref="C39">GetValue("Tbl","Alias",B39)</f>
        <v>Typ</v>
      </c>
      <c r="D39" s="20">
        <v>6</v>
      </c>
      <c r="E39" s="20" t="str" cm="1">
        <f t="array" ref="E39">GetValue("Dmn","Name",D39)</f>
        <v>Boolean</v>
      </c>
      <c r="F39" s="20" t="str" cm="1">
        <f t="array" ref="F39">GetValue("Dmn","#CategoryName",D39)</f>
        <v>boolean</v>
      </c>
      <c r="G39" s="20" t="e">
        <f t="shared" si="1"/>
        <v>#VALUE!</v>
      </c>
      <c r="H39" s="20" t="e" cm="1">
        <f t="array" ref="H39">GetColumnName(C39,IF(B39=B38,H38,""))</f>
        <v>#VALUE!</v>
      </c>
      <c r="I39" s="20" t="e">
        <f t="shared" si="2"/>
        <v>#VALUE!</v>
      </c>
      <c r="J39" s="20" t="e">
        <f t="shared" si="3"/>
        <v>#VALUE!</v>
      </c>
      <c r="K39" s="20" t="b">
        <v>1</v>
      </c>
      <c r="L39" s="20" t="b">
        <v>0</v>
      </c>
      <c r="M39" s="20"/>
      <c r="N39" s="20" t="b">
        <v>0</v>
      </c>
      <c r="O39" s="20" t="b">
        <v>1</v>
      </c>
      <c r="P39" s="20" t="b">
        <v>1</v>
      </c>
      <c r="Q39" s="20" t="b">
        <v>1</v>
      </c>
      <c r="R39" s="20" t="b">
        <v>0</v>
      </c>
      <c r="S39" s="20" t="b">
        <v>0</v>
      </c>
      <c r="T39" s="20" t="b">
        <v>0</v>
      </c>
      <c r="U39" s="20" t="b">
        <v>0</v>
      </c>
    </row>
    <row r="40" spans="1:21">
      <c r="A40" s="18">
        <f t="shared" si="4"/>
        <v>39</v>
      </c>
      <c r="B40" s="19">
        <v>6</v>
      </c>
      <c r="C40" s="18" t="str" cm="1">
        <f t="array" ref="C40">GetValue("Tbl","Alias",B40)</f>
        <v>Map</v>
      </c>
      <c r="D40" s="18">
        <v>4</v>
      </c>
      <c r="E40" s="18" t="str" cm="1">
        <f t="array" ref="E40">GetValue("Dmn","Name",D40)</f>
        <v>SmallInteger</v>
      </c>
      <c r="F40" s="18" t="str" cm="1">
        <f t="array" ref="F40">GetValue("Dmn","#CategoryName",D40)</f>
        <v>number</v>
      </c>
      <c r="G40" s="18">
        <f t="shared" si="1"/>
        <v>5</v>
      </c>
      <c r="H40" s="18" t="str" cm="1">
        <f t="array" ref="H40">GetColumnName(C40,IF(B40=B39,H39,""))</f>
        <v>Id</v>
      </c>
      <c r="I40" s="18" t="str">
        <f t="shared" si="2"/>
        <v>Id</v>
      </c>
      <c r="J40" s="18" t="str">
        <f t="shared" si="3"/>
        <v>Id</v>
      </c>
      <c r="K40" s="18" t="b">
        <v>1</v>
      </c>
      <c r="L40" s="18" t="b">
        <v>1</v>
      </c>
      <c r="M40" s="18" t="b">
        <v>1</v>
      </c>
      <c r="N40" s="18"/>
      <c r="O40" s="18" t="b">
        <v>1</v>
      </c>
      <c r="P40" s="18" t="b">
        <v>0</v>
      </c>
      <c r="Q40" s="18" t="b">
        <v>0</v>
      </c>
      <c r="R40" s="18" t="b">
        <v>0</v>
      </c>
      <c r="S40" s="18" t="b">
        <v>0</v>
      </c>
      <c r="T40" s="18" t="b">
        <v>0</v>
      </c>
      <c r="U40" s="18" t="b">
        <v>0</v>
      </c>
    </row>
    <row r="41" spans="1:21">
      <c r="A41" s="18">
        <f t="shared" si="4"/>
        <v>40</v>
      </c>
      <c r="B41" s="19">
        <v>6</v>
      </c>
      <c r="C41" s="18" t="str" cm="1">
        <f t="array" ref="C41">GetValue("Tbl","Alias",B41)</f>
        <v>Map</v>
      </c>
      <c r="D41" s="18">
        <v>5</v>
      </c>
      <c r="E41" s="18" t="str" cm="1">
        <f t="array" ref="E41">GetValue("Dmn","Name",D41)</f>
        <v>TinyInteger</v>
      </c>
      <c r="F41" s="18" t="str" cm="1">
        <f t="array" ref="F41">GetValue("Dmn","#CategoryName",D41)</f>
        <v>number</v>
      </c>
      <c r="G41" s="18">
        <f t="shared" si="1"/>
        <v>10</v>
      </c>
      <c r="H41" s="18" t="str" cm="1">
        <f t="array" ref="H41">GetColumnName(C41,IF(B41=B40,H40,""))</f>
        <v>EngineId</v>
      </c>
      <c r="I41" s="18" t="str">
        <f t="shared" si="2"/>
        <v>EngineId</v>
      </c>
      <c r="J41" s="18" t="str">
        <f t="shared" si="3"/>
        <v>EngineId</v>
      </c>
      <c r="K41" s="18" t="b">
        <v>1</v>
      </c>
      <c r="L41" s="18" t="b">
        <v>0</v>
      </c>
      <c r="M41" s="18" t="b">
        <v>0</v>
      </c>
      <c r="N41" s="18" t="b">
        <v>0</v>
      </c>
      <c r="O41" s="18" t="b">
        <v>1</v>
      </c>
      <c r="P41" s="18" t="b">
        <v>1</v>
      </c>
      <c r="Q41" s="18" t="b">
        <v>1</v>
      </c>
      <c r="R41" s="18" t="b">
        <v>0</v>
      </c>
      <c r="S41" s="18" t="b">
        <v>0</v>
      </c>
      <c r="T41" s="18" t="b">
        <v>0</v>
      </c>
      <c r="U41" s="18" t="b">
        <v>0</v>
      </c>
    </row>
    <row r="42" spans="1:21">
      <c r="A42" s="18">
        <f t="shared" si="4"/>
        <v>41</v>
      </c>
      <c r="B42" s="19">
        <v>6</v>
      </c>
      <c r="C42" s="18" t="str" cm="1">
        <f t="array" ref="C42">GetValue("Tbl","Alias",B42)</f>
        <v>Map</v>
      </c>
      <c r="D42" s="18">
        <v>5</v>
      </c>
      <c r="E42" s="18" t="str" cm="1">
        <f t="array" ref="E42">GetValue("Dmn","Name",D42)</f>
        <v>TinyInteger</v>
      </c>
      <c r="F42" s="18" t="str" cm="1">
        <f t="array" ref="F42">GetValue("Dmn","#CategoryName",D42)</f>
        <v>number</v>
      </c>
      <c r="G42" s="18">
        <f t="shared" si="1"/>
        <v>15</v>
      </c>
      <c r="H42" s="18" t="str" cm="1">
        <f t="array" ref="H42">GetColumnName(C42,IF(B42=B41,H41,""))</f>
        <v>TypeId</v>
      </c>
      <c r="I42" s="18" t="str">
        <f t="shared" si="2"/>
        <v>TypeId</v>
      </c>
      <c r="J42" s="18" t="str">
        <f t="shared" si="3"/>
        <v>TypeId</v>
      </c>
      <c r="K42" s="18" t="b">
        <v>1</v>
      </c>
      <c r="L42" s="18" t="b">
        <v>0</v>
      </c>
      <c r="M42" s="18" t="b">
        <v>0</v>
      </c>
      <c r="N42" s="18" t="b">
        <v>0</v>
      </c>
      <c r="O42" s="18" t="b">
        <v>1</v>
      </c>
      <c r="P42" s="18" t="b">
        <v>1</v>
      </c>
      <c r="Q42" s="18" t="b">
        <v>1</v>
      </c>
      <c r="R42" s="18" t="b">
        <v>0</v>
      </c>
      <c r="S42" s="18" t="b">
        <v>0</v>
      </c>
      <c r="T42" s="18" t="b">
        <v>0</v>
      </c>
      <c r="U42" s="18" t="b">
        <v>0</v>
      </c>
    </row>
    <row r="43" spans="1:21">
      <c r="A43" s="18">
        <f t="shared" si="4"/>
        <v>42</v>
      </c>
      <c r="B43" s="19">
        <v>6</v>
      </c>
      <c r="C43" s="18" t="str" cm="1">
        <f t="array" ref="C43">GetValue("Tbl","Alias",B43)</f>
        <v>Map</v>
      </c>
      <c r="D43" s="18">
        <v>10</v>
      </c>
      <c r="E43" s="18" t="str" cm="1">
        <f t="array" ref="E43">GetValue("Dmn","Name",D43)</f>
        <v>NVARCHAR(25)</v>
      </c>
      <c r="F43" s="18" t="str" cm="1">
        <f t="array" ref="F43">GetValue("Dmn","#CategoryName",D43)</f>
        <v>string</v>
      </c>
      <c r="G43" s="18">
        <f t="shared" si="1"/>
        <v>20</v>
      </c>
      <c r="H43" s="18" t="str" cm="1">
        <f t="array" ref="H43">GetColumnName(C43,IF(B43=B42,H42,""))</f>
        <v>Name</v>
      </c>
      <c r="I43" s="18" t="str">
        <f t="shared" si="2"/>
        <v>Name</v>
      </c>
      <c r="J43" s="18" t="str">
        <f t="shared" si="3"/>
        <v>Name</v>
      </c>
      <c r="K43" s="18" t="b">
        <v>1</v>
      </c>
      <c r="L43" s="18" t="b">
        <v>0</v>
      </c>
      <c r="M43" s="18" t="b">
        <v>0</v>
      </c>
      <c r="N43" s="18" t="b">
        <v>1</v>
      </c>
      <c r="O43" s="18" t="b">
        <v>1</v>
      </c>
      <c r="P43" s="18" t="b">
        <v>1</v>
      </c>
      <c r="Q43" s="18" t="b">
        <v>1</v>
      </c>
      <c r="R43" s="18" t="b">
        <v>1</v>
      </c>
      <c r="S43" s="18" t="b">
        <v>0</v>
      </c>
      <c r="T43" s="18" t="b">
        <v>0</v>
      </c>
      <c r="U43" s="18" t="b">
        <v>0</v>
      </c>
    </row>
    <row r="44" spans="1:21">
      <c r="A44" s="18">
        <f t="shared" si="4"/>
        <v>43</v>
      </c>
      <c r="B44" s="19">
        <v>6</v>
      </c>
      <c r="C44" s="18" t="str" cm="1">
        <f t="array" ref="C44">GetValue("Tbl","Alias",B44)</f>
        <v>Map</v>
      </c>
      <c r="D44" s="18">
        <v>2</v>
      </c>
      <c r="E44" s="18" t="str" cm="1">
        <f t="array" ref="E44">GetValue("Dmn","Name",D44)</f>
        <v>Integer</v>
      </c>
      <c r="F44" s="18" t="str" cm="1">
        <f t="array" ref="F44">GetValue("Dmn","#CategoryName",D44)</f>
        <v>number</v>
      </c>
      <c r="G44" s="18">
        <f t="shared" si="1"/>
        <v>25</v>
      </c>
      <c r="H44" s="18" t="str" cm="1">
        <f t="array" ref="H44">GetColumnName(C44,IF(B44=B43,H43,""))</f>
        <v>Length</v>
      </c>
      <c r="I44" s="18" t="str">
        <f t="shared" si="2"/>
        <v>Length</v>
      </c>
      <c r="J44" s="18" t="str">
        <f t="shared" si="3"/>
        <v>Length</v>
      </c>
      <c r="K44" s="18" t="b">
        <v>0</v>
      </c>
      <c r="L44" s="18" t="b">
        <v>0</v>
      </c>
      <c r="M44" s="18" t="b">
        <v>0</v>
      </c>
      <c r="N44" s="18" t="b">
        <v>0</v>
      </c>
      <c r="O44" s="18" t="b">
        <v>0</v>
      </c>
      <c r="P44" s="18" t="b">
        <v>1</v>
      </c>
      <c r="Q44" s="18" t="b">
        <v>1</v>
      </c>
      <c r="R44" s="18" t="b">
        <v>0</v>
      </c>
      <c r="S44" s="18" t="b">
        <v>0</v>
      </c>
      <c r="T44" s="18" t="b">
        <v>0</v>
      </c>
      <c r="U44" s="18" t="b">
        <v>0</v>
      </c>
    </row>
    <row r="45" spans="1:21">
      <c r="A45" s="18">
        <f t="shared" si="4"/>
        <v>44</v>
      </c>
      <c r="B45" s="19">
        <v>6</v>
      </c>
      <c r="C45" s="18" t="str" cm="1">
        <f t="array" ref="C45">GetValue("Tbl","Alias",B45)</f>
        <v>Map</v>
      </c>
      <c r="D45" s="18">
        <v>5</v>
      </c>
      <c r="E45" s="18" t="str" cm="1">
        <f t="array" ref="E45">GetValue("Dmn","Name",D45)</f>
        <v>TinyInteger</v>
      </c>
      <c r="F45" s="18" t="str" cm="1">
        <f t="array" ref="F45">GetValue("Dmn","#CategoryName",D45)</f>
        <v>number</v>
      </c>
      <c r="G45" s="18">
        <f t="shared" si="1"/>
        <v>30</v>
      </c>
      <c r="H45" s="18" t="str" cm="1">
        <f t="array" ref="H45">GetColumnName(C45,IF(B45=B44,H44,""))</f>
        <v>Decimals</v>
      </c>
      <c r="I45" s="18" t="str">
        <f t="shared" si="2"/>
        <v>Decimals</v>
      </c>
      <c r="J45" s="18" t="str">
        <f t="shared" si="3"/>
        <v>Decimals</v>
      </c>
      <c r="K45" s="18" t="b">
        <v>0</v>
      </c>
      <c r="L45" s="18" t="b">
        <v>0</v>
      </c>
      <c r="M45" s="18" t="b">
        <v>0</v>
      </c>
      <c r="N45" s="18" t="b">
        <v>0</v>
      </c>
      <c r="O45" s="18" t="b">
        <v>0</v>
      </c>
      <c r="P45" s="18" t="b">
        <v>1</v>
      </c>
      <c r="Q45" s="18" t="b">
        <v>1</v>
      </c>
      <c r="R45" s="18" t="b">
        <v>0</v>
      </c>
      <c r="S45" s="18" t="b">
        <v>0</v>
      </c>
      <c r="T45" s="18" t="b">
        <v>0</v>
      </c>
      <c r="U45" s="18" t="b">
        <v>0</v>
      </c>
    </row>
    <row r="46" spans="1:21">
      <c r="A46" s="20">
        <f t="shared" si="4"/>
        <v>45</v>
      </c>
      <c r="B46" s="21">
        <v>7</v>
      </c>
      <c r="C46" s="20" t="str" cm="1">
        <f t="array" ref="C46">GetValue("Tbl","Alias",B46)</f>
        <v>Own</v>
      </c>
      <c r="D46" s="20">
        <v>4</v>
      </c>
      <c r="E46" s="20" t="str" cm="1">
        <f t="array" ref="E46">GetValue("Dmn","Name",D46)</f>
        <v>SmallInteger</v>
      </c>
      <c r="F46" s="20" t="str" cm="1">
        <f t="array" ref="F46">GetValue("Dmn","#CategoryName",D46)</f>
        <v>number</v>
      </c>
      <c r="G46" s="20">
        <f t="shared" si="1"/>
        <v>5</v>
      </c>
      <c r="H46" s="20" t="str" cm="1">
        <f t="array" ref="H46">GetColumnName(C46,IF(B46=B45,H45,""))</f>
        <v>Id</v>
      </c>
      <c r="I46" s="20" t="str">
        <f t="shared" si="2"/>
        <v>Id</v>
      </c>
      <c r="J46" s="20" t="str">
        <f t="shared" si="3"/>
        <v>Id</v>
      </c>
      <c r="K46" s="20" t="b">
        <v>1</v>
      </c>
      <c r="L46" s="20" t="b">
        <v>1</v>
      </c>
      <c r="M46" s="20" t="b">
        <v>1</v>
      </c>
      <c r="N46" s="20" t="b">
        <v>0</v>
      </c>
      <c r="O46" s="20" t="b">
        <v>1</v>
      </c>
      <c r="P46" s="20" t="b">
        <v>0</v>
      </c>
      <c r="Q46" s="20" t="b">
        <v>0</v>
      </c>
      <c r="R46" s="20" t="b">
        <v>0</v>
      </c>
      <c r="S46" s="20" t="b">
        <v>0</v>
      </c>
      <c r="T46" s="20" t="b">
        <v>0</v>
      </c>
      <c r="U46" s="20" t="b">
        <v>0</v>
      </c>
    </row>
    <row r="47" spans="1:21">
      <c r="A47" s="20">
        <f t="shared" si="4"/>
        <v>46</v>
      </c>
      <c r="B47" s="21">
        <v>7</v>
      </c>
      <c r="C47" s="20" t="str" cm="1">
        <f t="array" ref="C47">GetValue("Tbl","Alias",B47)</f>
        <v>Own</v>
      </c>
      <c r="D47" s="20">
        <v>10</v>
      </c>
      <c r="E47" s="20" t="str" cm="1">
        <f t="array" ref="E47">GetValue("Dmn","Name",D47)</f>
        <v>NVARCHAR(25)</v>
      </c>
      <c r="F47" s="20" t="str" cm="1">
        <f t="array" ref="F47">GetValue("Dmn","#CategoryName",D47)</f>
        <v>string</v>
      </c>
      <c r="G47" s="20">
        <f t="shared" si="1"/>
        <v>10</v>
      </c>
      <c r="H47" s="20" t="str" cm="1">
        <f t="array" ref="H47">GetColumnName(C47,IF(B47=B46,H46,""))</f>
        <v>Name</v>
      </c>
      <c r="I47" s="20" t="str">
        <f t="shared" si="2"/>
        <v>Name</v>
      </c>
      <c r="J47" s="20" t="str">
        <f t="shared" si="3"/>
        <v>Name</v>
      </c>
      <c r="K47" s="20" t="b">
        <v>1</v>
      </c>
      <c r="L47" s="20" t="b">
        <v>0</v>
      </c>
      <c r="M47" s="20" t="b">
        <v>0</v>
      </c>
      <c r="N47" s="20" t="b">
        <v>1</v>
      </c>
      <c r="O47" s="20" t="b">
        <v>1</v>
      </c>
      <c r="P47" s="20" t="b">
        <v>1</v>
      </c>
      <c r="Q47" s="20" t="b">
        <v>1</v>
      </c>
      <c r="R47" s="20" t="b">
        <v>1</v>
      </c>
      <c r="S47" s="20" t="b">
        <v>0</v>
      </c>
      <c r="T47" s="20" t="b">
        <v>0</v>
      </c>
      <c r="U47" s="20" t="b">
        <v>0</v>
      </c>
    </row>
    <row r="48" spans="1:21">
      <c r="A48" s="20">
        <f t="shared" si="4"/>
        <v>47</v>
      </c>
      <c r="B48" s="21">
        <v>7</v>
      </c>
      <c r="C48" s="20" t="str" cm="1">
        <f t="array" ref="C48">GetValue("Tbl","Alias",B48)</f>
        <v>Own</v>
      </c>
      <c r="D48" s="20">
        <v>53</v>
      </c>
      <c r="E48" s="20" t="str" cm="1">
        <f t="array" ref="E48">GetValue("Dmn","Name",D48)</f>
        <v>IMAGE</v>
      </c>
      <c r="F48" s="20" t="str" cm="1">
        <f t="array" ref="F48">GetValue("Dmn","#CategoryName",D48)</f>
        <v>text</v>
      </c>
      <c r="G48" s="20">
        <f t="shared" si="1"/>
        <v>15</v>
      </c>
      <c r="H48" s="20" t="str" cm="1">
        <f t="array" ref="H48">GetColumnName(C48,IF(B48=B47,H47,""))</f>
        <v>Logo</v>
      </c>
      <c r="I48" s="20" t="str">
        <f t="shared" si="2"/>
        <v>Logo</v>
      </c>
      <c r="J48" s="20" t="str">
        <f t="shared" si="3"/>
        <v>Logo</v>
      </c>
      <c r="K48" s="20" t="b">
        <v>0</v>
      </c>
      <c r="L48" s="20" t="b">
        <v>0</v>
      </c>
      <c r="M48" s="20" t="b">
        <v>0</v>
      </c>
      <c r="N48" s="20" t="b">
        <v>0</v>
      </c>
      <c r="O48" s="20" t="b">
        <v>0</v>
      </c>
      <c r="P48" s="20" t="b">
        <v>1</v>
      </c>
      <c r="Q48" s="20" t="b">
        <v>0</v>
      </c>
      <c r="R48" s="20" t="b">
        <v>0</v>
      </c>
      <c r="S48" s="20" t="b">
        <v>0</v>
      </c>
      <c r="T48" s="20" t="b">
        <v>0</v>
      </c>
      <c r="U48" s="20" t="b">
        <v>0</v>
      </c>
    </row>
    <row r="49" spans="1:21">
      <c r="A49" s="20">
        <f t="shared" si="4"/>
        <v>48</v>
      </c>
      <c r="B49" s="21">
        <v>7</v>
      </c>
      <c r="C49" s="20" t="str" cm="1">
        <f t="array" ref="C49">GetValue("Tbl","Alias",B49)</f>
        <v>Own</v>
      </c>
      <c r="D49" s="20">
        <v>5</v>
      </c>
      <c r="E49" s="20" t="str" cm="1">
        <f t="array" ref="E49">GetValue("Dmn","Name",D49)</f>
        <v>TinyInteger</v>
      </c>
      <c r="F49" s="20" t="str" cm="1">
        <f t="array" ref="F49">GetValue("Dmn","#CategoryName",D49)</f>
        <v>number</v>
      </c>
      <c r="G49" s="20">
        <f t="shared" si="1"/>
        <v>20</v>
      </c>
      <c r="H49" s="20" t="str" cm="1">
        <f t="array" ref="H49">GetColumnName(C49,IF(B49=B48,H48,""))</f>
        <v>EngineId</v>
      </c>
      <c r="I49" s="20" t="str">
        <f t="shared" si="2"/>
        <v>EngineId</v>
      </c>
      <c r="J49" s="20" t="str">
        <f t="shared" si="3"/>
        <v>EngineId</v>
      </c>
      <c r="K49" s="20" t="b">
        <v>1</v>
      </c>
      <c r="L49" s="20" t="b">
        <v>0</v>
      </c>
      <c r="M49" s="20" t="b">
        <v>0</v>
      </c>
      <c r="N49" s="20" t="b">
        <v>0</v>
      </c>
      <c r="O49" s="20" t="b">
        <v>1</v>
      </c>
      <c r="P49" s="20" t="b">
        <v>1</v>
      </c>
      <c r="Q49" s="20" t="b">
        <v>1</v>
      </c>
      <c r="R49" s="20" t="b">
        <v>0</v>
      </c>
      <c r="S49" s="20" t="b">
        <v>0</v>
      </c>
      <c r="T49" s="20" t="b">
        <v>0</v>
      </c>
      <c r="U49" s="20" t="b">
        <v>0</v>
      </c>
    </row>
    <row r="50" spans="1:21">
      <c r="A50" s="20">
        <f t="shared" si="4"/>
        <v>49</v>
      </c>
      <c r="B50" s="21">
        <v>7</v>
      </c>
      <c r="C50" s="20" t="str" cm="1">
        <f t="array" ref="C50">GetValue("Tbl","Alias",B50)</f>
        <v>Own</v>
      </c>
      <c r="D50" s="20">
        <v>6</v>
      </c>
      <c r="E50" s="20" t="str" cm="1">
        <f t="array" ref="E50">GetValue("Dmn","Name",D50)</f>
        <v>Boolean</v>
      </c>
      <c r="F50" s="20" t="str" cm="1">
        <f t="array" ref="F50">GetValue("Dmn","#CategoryName",D50)</f>
        <v>boolean</v>
      </c>
      <c r="G50" s="20">
        <f t="shared" si="1"/>
        <v>25</v>
      </c>
      <c r="H50" s="20" t="str" cm="1">
        <f t="array" ref="H50">GetColumnName(C50,IF(B50=B49,H49,""))</f>
        <v xml:space="preserve">AskDatabasePath </v>
      </c>
      <c r="I50" s="20" t="str">
        <f t="shared" si="2"/>
        <v xml:space="preserve">AskDatabasePath </v>
      </c>
      <c r="J50" s="20" t="str">
        <f t="shared" si="3"/>
        <v xml:space="preserve">AskDatabasePath </v>
      </c>
      <c r="K50" s="20" t="b">
        <v>1</v>
      </c>
      <c r="L50" s="20" t="b">
        <v>0</v>
      </c>
      <c r="M50" s="20" t="b">
        <v>0</v>
      </c>
      <c r="N50" s="20" t="b">
        <v>0</v>
      </c>
      <c r="O50" s="20" t="b">
        <v>1</v>
      </c>
      <c r="P50" s="20" t="b">
        <v>1</v>
      </c>
      <c r="Q50" s="20" t="b">
        <v>1</v>
      </c>
      <c r="R50" s="20" t="b">
        <v>0</v>
      </c>
      <c r="S50" s="20" t="b">
        <v>0</v>
      </c>
      <c r="T50" s="20" t="b">
        <v>0</v>
      </c>
      <c r="U50" s="20" t="b">
        <v>0</v>
      </c>
    </row>
    <row r="51" spans="1:21">
      <c r="A51" s="20">
        <f t="shared" si="4"/>
        <v>50</v>
      </c>
      <c r="B51" s="21">
        <v>7</v>
      </c>
      <c r="C51" s="20" t="str" cm="1">
        <f t="array" ref="C51">GetValue("Tbl","Alias",B51)</f>
        <v>Own</v>
      </c>
      <c r="D51" s="20">
        <v>6</v>
      </c>
      <c r="E51" s="20" t="str" cm="1">
        <f t="array" ref="E51">GetValue("Dmn","Name",D51)</f>
        <v>Boolean</v>
      </c>
      <c r="F51" s="20" t="str" cm="1">
        <f t="array" ref="F51">GetValue("Dmn","#CategoryName",D51)</f>
        <v>boolean</v>
      </c>
      <c r="G51" s="20">
        <f t="shared" ref="G51" si="13">IF(H51="Id",5,G50+5)</f>
        <v>30</v>
      </c>
      <c r="H51" s="20" t="str" cm="1">
        <f t="array" ref="H51">GetColumnName(C51,IF(B51=B50,H50,""))</f>
        <v>IsActive</v>
      </c>
      <c r="I51" s="20" t="str">
        <f t="shared" si="2"/>
        <v>IsActive</v>
      </c>
      <c r="J51" s="20" t="str">
        <f t="shared" si="3"/>
        <v>IsActive</v>
      </c>
      <c r="K51" s="20" t="b">
        <v>1</v>
      </c>
      <c r="L51" s="20" t="b">
        <v>0</v>
      </c>
      <c r="M51" s="20" t="b">
        <v>0</v>
      </c>
      <c r="N51" s="20" t="b">
        <v>0</v>
      </c>
      <c r="O51" s="20" t="b">
        <v>1</v>
      </c>
      <c r="P51" s="20" t="b">
        <v>1</v>
      </c>
      <c r="Q51" s="20" t="b">
        <v>1</v>
      </c>
      <c r="R51" s="20" t="b">
        <v>0</v>
      </c>
      <c r="S51" s="20" t="b">
        <v>0</v>
      </c>
      <c r="T51" s="20" t="b">
        <v>0</v>
      </c>
      <c r="U51" s="20" t="b">
        <v>0</v>
      </c>
    </row>
    <row r="52" spans="1:21">
      <c r="A52" s="18">
        <f t="shared" si="4"/>
        <v>51</v>
      </c>
      <c r="B52" s="19">
        <v>8</v>
      </c>
      <c r="C52" s="18" t="str" cm="1">
        <f t="array" ref="C52">GetValue("Tbl","Alias",B52)</f>
        <v>Dmn</v>
      </c>
      <c r="D52" s="18">
        <v>1</v>
      </c>
      <c r="E52" s="18" t="str" cm="1">
        <f t="array" ref="E52">GetValue("Dmn","Name",D52)</f>
        <v>BigInteger</v>
      </c>
      <c r="F52" s="18" t="str" cm="1">
        <f t="array" ref="F52">GetValue("Dmn","#CategoryName",D52)</f>
        <v>number</v>
      </c>
      <c r="G52" s="18">
        <f t="shared" si="1"/>
        <v>5</v>
      </c>
      <c r="H52" s="18" t="str" cm="1">
        <f t="array" ref="H52">GetColumnName(C52,IF(B52=B51,H51,""))</f>
        <v>Id</v>
      </c>
      <c r="I52" s="18" t="str">
        <f t="shared" si="2"/>
        <v>Id</v>
      </c>
      <c r="J52" s="18" t="str">
        <f t="shared" si="3"/>
        <v>Id</v>
      </c>
      <c r="K52" s="18" t="b">
        <v>1</v>
      </c>
      <c r="L52" s="18" t="b">
        <v>1</v>
      </c>
      <c r="M52" s="18" t="b">
        <v>1</v>
      </c>
      <c r="N52" s="18" t="b">
        <v>0</v>
      </c>
      <c r="O52" s="18" t="b">
        <v>1</v>
      </c>
      <c r="P52" s="18" t="b">
        <v>0</v>
      </c>
      <c r="Q52" s="18" t="b">
        <v>0</v>
      </c>
      <c r="R52" s="18" t="b">
        <v>0</v>
      </c>
      <c r="S52" s="18" t="b">
        <v>0</v>
      </c>
      <c r="T52" s="18" t="b">
        <v>0</v>
      </c>
      <c r="U52" s="18" t="b">
        <v>0</v>
      </c>
    </row>
    <row r="53" spans="1:21">
      <c r="A53" s="18">
        <f t="shared" si="4"/>
        <v>52</v>
      </c>
      <c r="B53" s="19">
        <v>8</v>
      </c>
      <c r="C53" s="18" t="str" cm="1">
        <f t="array" ref="C53">GetValue("Tbl","Alias",B53)</f>
        <v>Dmn</v>
      </c>
      <c r="D53" s="18">
        <v>4</v>
      </c>
      <c r="E53" s="18" t="str" cm="1">
        <f t="array" ref="E53">GetValue("Dmn","Name",D53)</f>
        <v>SmallInteger</v>
      </c>
      <c r="F53" s="18" t="str" cm="1">
        <f t="array" ref="F53">GetValue("Dmn","#CategoryName",D53)</f>
        <v>number</v>
      </c>
      <c r="G53" s="18">
        <f t="shared" si="1"/>
        <v>10</v>
      </c>
      <c r="H53" s="18" t="str" cm="1">
        <f t="array" ref="H53">GetColumnName(C53,IF(B53=B52,H52,""))</f>
        <v>OwnertId</v>
      </c>
      <c r="I53" s="18" t="str">
        <f t="shared" si="2"/>
        <v>OwnertId</v>
      </c>
      <c r="J53" s="18" t="str">
        <f t="shared" si="3"/>
        <v>OwnertId</v>
      </c>
      <c r="K53" s="18" t="b">
        <v>1</v>
      </c>
      <c r="L53" s="18" t="b">
        <v>0</v>
      </c>
      <c r="M53" s="18" t="b">
        <v>0</v>
      </c>
      <c r="N53" s="18" t="b">
        <v>0</v>
      </c>
      <c r="O53" s="18" t="b">
        <v>1</v>
      </c>
      <c r="P53" s="18" t="b">
        <v>1</v>
      </c>
      <c r="Q53" s="18" t="b">
        <v>1</v>
      </c>
      <c r="R53" s="18" t="b">
        <v>0</v>
      </c>
      <c r="S53" s="18" t="b">
        <v>0</v>
      </c>
      <c r="T53" s="18" t="b">
        <v>0</v>
      </c>
      <c r="U53" s="18" t="b">
        <v>0</v>
      </c>
    </row>
    <row r="54" spans="1:21">
      <c r="A54" s="18">
        <f t="shared" si="4"/>
        <v>53</v>
      </c>
      <c r="B54" s="19">
        <v>8</v>
      </c>
      <c r="C54" s="18" t="str" cm="1">
        <f t="array" ref="C54">GetValue("Tbl","Alias",B54)</f>
        <v>Dmn</v>
      </c>
      <c r="D54" s="18">
        <v>5</v>
      </c>
      <c r="E54" s="18" t="str" cm="1">
        <f t="array" ref="E54">GetValue("Dmn","Name",D54)</f>
        <v>TinyInteger</v>
      </c>
      <c r="F54" s="18" t="str" cm="1">
        <f t="array" ref="F54">GetValue("Dmn","#CategoryName",D54)</f>
        <v>number</v>
      </c>
      <c r="G54" s="18">
        <f t="shared" si="1"/>
        <v>15</v>
      </c>
      <c r="H54" s="18" t="str" cm="1">
        <f t="array" ref="H54">GetColumnName(C54,IF(B54=B53,H53,""))</f>
        <v>TypeId</v>
      </c>
      <c r="I54" s="18" t="str">
        <f t="shared" si="2"/>
        <v>TypeId</v>
      </c>
      <c r="J54" s="18" t="str">
        <f t="shared" si="3"/>
        <v>TypeId</v>
      </c>
      <c r="K54" s="18" t="b">
        <v>1</v>
      </c>
      <c r="L54" s="18" t="b">
        <v>0</v>
      </c>
      <c r="M54" s="18" t="b">
        <v>0</v>
      </c>
      <c r="N54" s="18" t="b">
        <v>0</v>
      </c>
      <c r="O54" s="18" t="b">
        <v>1</v>
      </c>
      <c r="P54" s="18" t="b">
        <v>1</v>
      </c>
      <c r="Q54" s="18" t="b">
        <v>1</v>
      </c>
      <c r="R54" s="18" t="b">
        <v>0</v>
      </c>
      <c r="S54" s="18" t="b">
        <v>0</v>
      </c>
      <c r="T54" s="18" t="b">
        <v>0</v>
      </c>
      <c r="U54" s="18" t="b">
        <v>0</v>
      </c>
    </row>
    <row r="55" spans="1:21">
      <c r="A55" s="18">
        <f t="shared" si="4"/>
        <v>54</v>
      </c>
      <c r="B55" s="19">
        <v>8</v>
      </c>
      <c r="C55" s="18" t="str" cm="1">
        <f t="array" ref="C55">GetValue("Tbl","Alias",B55)</f>
        <v>Dmn</v>
      </c>
      <c r="D55" s="18">
        <v>10</v>
      </c>
      <c r="E55" s="18" t="str" cm="1">
        <f t="array" ref="E55">GetValue("Dmn","Name",D55)</f>
        <v>NVARCHAR(25)</v>
      </c>
      <c r="F55" s="18" t="str" cm="1">
        <f t="array" ref="F55">GetValue("Dmn","#CategoryName",D55)</f>
        <v>string</v>
      </c>
      <c r="G55" s="18">
        <f t="shared" si="1"/>
        <v>20</v>
      </c>
      <c r="H55" s="18" t="str" cm="1">
        <f t="array" ref="H55">GetColumnName(C55,IF(B55=B54,H54,""))</f>
        <v>Name</v>
      </c>
      <c r="I55" s="18" t="str">
        <f t="shared" si="2"/>
        <v>Name</v>
      </c>
      <c r="J55" s="18" t="str">
        <f t="shared" si="3"/>
        <v>Name</v>
      </c>
      <c r="K55" s="18" t="b">
        <v>1</v>
      </c>
      <c r="L55" s="18" t="b">
        <v>0</v>
      </c>
      <c r="M55" s="18" t="b">
        <v>0</v>
      </c>
      <c r="N55" s="18" t="b">
        <v>1</v>
      </c>
      <c r="O55" s="18" t="b">
        <v>1</v>
      </c>
      <c r="P55" s="18" t="b">
        <v>1</v>
      </c>
      <c r="Q55" s="18" t="b">
        <v>1</v>
      </c>
      <c r="R55" s="18" t="b">
        <v>1</v>
      </c>
      <c r="S55" s="18" t="b">
        <v>0</v>
      </c>
      <c r="T55" s="18" t="b">
        <v>0</v>
      </c>
      <c r="U55" s="18" t="b">
        <v>0</v>
      </c>
    </row>
    <row r="56" spans="1:21">
      <c r="A56" s="18">
        <f t="shared" si="4"/>
        <v>55</v>
      </c>
      <c r="B56" s="19">
        <v>8</v>
      </c>
      <c r="C56" s="18" t="str" cm="1">
        <f t="array" ref="C56">GetValue("Tbl","Alias",B56)</f>
        <v>Dmn</v>
      </c>
      <c r="D56" s="18">
        <v>2</v>
      </c>
      <c r="E56" s="18" t="str" cm="1">
        <f t="array" ref="E56">GetValue("Dmn","Name",D56)</f>
        <v>Integer</v>
      </c>
      <c r="F56" s="18" t="str" cm="1">
        <f t="array" ref="F56">GetValue("Dmn","#CategoryName",D56)</f>
        <v>number</v>
      </c>
      <c r="G56" s="18">
        <f t="shared" si="1"/>
        <v>25</v>
      </c>
      <c r="H56" s="18" t="str" cm="1">
        <f t="array" ref="H56">GetColumnName(C56,IF(B56=B55,H55,""))</f>
        <v>Length</v>
      </c>
      <c r="I56" s="18" t="str">
        <f t="shared" si="2"/>
        <v>Length</v>
      </c>
      <c r="J56" s="18" t="str">
        <f t="shared" si="3"/>
        <v>Length</v>
      </c>
      <c r="K56" s="18" t="b">
        <v>0</v>
      </c>
      <c r="L56" s="18" t="b">
        <v>0</v>
      </c>
      <c r="M56" s="18" t="b">
        <v>0</v>
      </c>
      <c r="N56" s="18" t="b">
        <v>0</v>
      </c>
      <c r="O56" s="18" t="b">
        <v>0</v>
      </c>
      <c r="P56" s="18" t="b">
        <v>1</v>
      </c>
      <c r="Q56" s="18" t="b">
        <v>1</v>
      </c>
      <c r="R56" s="18" t="b">
        <v>0</v>
      </c>
      <c r="S56" s="18" t="b">
        <v>0</v>
      </c>
      <c r="T56" s="18" t="b">
        <v>0</v>
      </c>
      <c r="U56" s="18" t="b">
        <v>0</v>
      </c>
    </row>
    <row r="57" spans="1:21">
      <c r="A57" s="18">
        <f t="shared" si="4"/>
        <v>56</v>
      </c>
      <c r="B57" s="19">
        <v>8</v>
      </c>
      <c r="C57" s="18" t="str" cm="1">
        <f t="array" ref="C57">GetValue("Tbl","Alias",B57)</f>
        <v>Dmn</v>
      </c>
      <c r="D57" s="18">
        <v>5</v>
      </c>
      <c r="E57" s="18" t="str" cm="1">
        <f t="array" ref="E57">GetValue("Dmn","Name",D57)</f>
        <v>TinyInteger</v>
      </c>
      <c r="F57" s="18" t="str" cm="1">
        <f t="array" ref="F57">GetValue("Dmn","#CategoryName",D57)</f>
        <v>number</v>
      </c>
      <c r="G57" s="18">
        <f t="shared" si="1"/>
        <v>30</v>
      </c>
      <c r="H57" s="18" t="str" cm="1">
        <f t="array" ref="H57">GetColumnName(C57,IF(B57=B56,H56,""))</f>
        <v>Decimals</v>
      </c>
      <c r="I57" s="18" t="str">
        <f t="shared" si="2"/>
        <v>Decimals</v>
      </c>
      <c r="J57" s="18" t="str">
        <f t="shared" si="3"/>
        <v>Decimals</v>
      </c>
      <c r="K57" s="18" t="b">
        <v>0</v>
      </c>
      <c r="L57" s="18" t="b">
        <v>0</v>
      </c>
      <c r="M57" s="18" t="b">
        <v>0</v>
      </c>
      <c r="N57" s="18" t="b">
        <v>0</v>
      </c>
      <c r="O57" s="18" t="b">
        <v>0</v>
      </c>
      <c r="P57" s="18" t="b">
        <v>1</v>
      </c>
      <c r="Q57" s="18" t="b">
        <v>1</v>
      </c>
      <c r="R57" s="18" t="b">
        <v>0</v>
      </c>
      <c r="S57" s="18" t="b">
        <v>0</v>
      </c>
      <c r="T57" s="18" t="b">
        <v>0</v>
      </c>
      <c r="U57" s="18" t="b">
        <v>0</v>
      </c>
    </row>
    <row r="58" spans="1:21">
      <c r="A58" s="18">
        <f t="shared" si="4"/>
        <v>57</v>
      </c>
      <c r="B58" s="19">
        <v>8</v>
      </c>
      <c r="C58" s="18" t="str" cm="1">
        <f t="array" ref="C58">GetValue("Tbl","Alias",B58)</f>
        <v>Dmn</v>
      </c>
      <c r="D58" s="18">
        <v>42</v>
      </c>
      <c r="E58" s="18" t="str" cm="1">
        <f t="array" ref="E58">GetValue("Dmn","Name",D58)</f>
        <v>VARIANT</v>
      </c>
      <c r="F58" s="18" t="str" cm="1">
        <f t="array" ref="F58">GetValue("Dmn","#CategoryName",D58)</f>
        <v>text</v>
      </c>
      <c r="G58" s="18">
        <f t="shared" si="1"/>
        <v>35</v>
      </c>
      <c r="H58" s="18" t="str" cm="1">
        <f t="array" ref="H58">GetColumnName(C58,IF(B58=B57,H57,""))</f>
        <v>Default</v>
      </c>
      <c r="I58" s="18" t="str">
        <f t="shared" si="2"/>
        <v>Default</v>
      </c>
      <c r="J58" s="18" t="str">
        <f t="shared" si="3"/>
        <v>Default</v>
      </c>
      <c r="K58" s="18" t="b">
        <v>0</v>
      </c>
      <c r="L58" s="18" t="b">
        <v>0</v>
      </c>
      <c r="M58" s="18" t="b">
        <v>0</v>
      </c>
      <c r="N58" s="18" t="b">
        <v>0</v>
      </c>
      <c r="O58" s="18" t="b">
        <v>0</v>
      </c>
      <c r="P58" s="18" t="b">
        <v>1</v>
      </c>
      <c r="Q58" s="18" t="b">
        <v>0</v>
      </c>
      <c r="R58" s="18" t="b">
        <v>0</v>
      </c>
      <c r="S58" s="18" t="b">
        <v>0</v>
      </c>
      <c r="T58" s="18" t="b">
        <v>0</v>
      </c>
      <c r="U58" s="18" t="b">
        <v>0</v>
      </c>
    </row>
    <row r="59" spans="1:21">
      <c r="A59" s="18">
        <f t="shared" si="4"/>
        <v>58</v>
      </c>
      <c r="B59" s="19">
        <v>8</v>
      </c>
      <c r="C59" s="18" t="str" cm="1">
        <f t="array" ref="C59">GetValue("Tbl","Alias",B59)</f>
        <v>Dmn</v>
      </c>
      <c r="D59" s="18">
        <v>42</v>
      </c>
      <c r="E59" s="18" t="str" cm="1">
        <f t="array" ref="E59">GetValue("Dmn","Name",D59)</f>
        <v>VARIANT</v>
      </c>
      <c r="F59" s="18" t="str" cm="1">
        <f t="array" ref="F59">GetValue("Dmn","#CategoryName",D59)</f>
        <v>text</v>
      </c>
      <c r="G59" s="18">
        <f t="shared" si="1"/>
        <v>40</v>
      </c>
      <c r="H59" s="18" t="str" cm="1">
        <f t="array" ref="H59">GetColumnName(C59,IF(B59=B58,H58,""))</f>
        <v>Minimum</v>
      </c>
      <c r="I59" s="18" t="str">
        <f t="shared" si="2"/>
        <v>Minimum</v>
      </c>
      <c r="J59" s="18" t="str">
        <f t="shared" si="3"/>
        <v>Minimum</v>
      </c>
      <c r="K59" s="18" t="b">
        <v>0</v>
      </c>
      <c r="L59" s="18" t="b">
        <v>0</v>
      </c>
      <c r="M59" s="18" t="b">
        <v>0</v>
      </c>
      <c r="N59" s="18" t="b">
        <v>0</v>
      </c>
      <c r="O59" s="18" t="b">
        <v>0</v>
      </c>
      <c r="P59" s="18" t="b">
        <v>1</v>
      </c>
      <c r="Q59" s="18" t="b">
        <v>0</v>
      </c>
      <c r="R59" s="18" t="b">
        <v>0</v>
      </c>
      <c r="S59" s="18" t="b">
        <v>0</v>
      </c>
      <c r="T59" s="18" t="b">
        <v>0</v>
      </c>
      <c r="U59" s="18" t="b">
        <v>0</v>
      </c>
    </row>
    <row r="60" spans="1:21">
      <c r="A60" s="18">
        <f>ROW(A60)-1</f>
        <v>59</v>
      </c>
      <c r="B60" s="19">
        <v>8</v>
      </c>
      <c r="C60" s="18" t="str" cm="1">
        <f t="array" ref="C60">GetValue("Tbl","Alias",B60)</f>
        <v>Dmn</v>
      </c>
      <c r="D60" s="18">
        <v>42</v>
      </c>
      <c r="E60" s="18" t="str" cm="1">
        <f t="array" ref="E60">GetValue("Dmn","Name",D60)</f>
        <v>VARIANT</v>
      </c>
      <c r="F60" s="18" t="str" cm="1">
        <f t="array" ref="F60">GetValue("Dmn","#CategoryName",D60)</f>
        <v>text</v>
      </c>
      <c r="G60" s="18">
        <f t="shared" si="1"/>
        <v>45</v>
      </c>
      <c r="H60" s="18" t="str" cm="1">
        <f t="array" ref="H60">GetColumnName(C60,IF(B60=B59,H59,""))</f>
        <v>Maximum</v>
      </c>
      <c r="I60" s="18" t="str">
        <f t="shared" si="2"/>
        <v>Maximum</v>
      </c>
      <c r="J60" s="18" t="str">
        <f t="shared" si="3"/>
        <v>Maximum</v>
      </c>
      <c r="K60" s="18" t="b">
        <v>0</v>
      </c>
      <c r="L60" s="18" t="b">
        <v>0</v>
      </c>
      <c r="M60" s="18" t="b">
        <v>0</v>
      </c>
      <c r="N60" s="18" t="b">
        <v>0</v>
      </c>
      <c r="O60" s="18" t="b">
        <v>0</v>
      </c>
      <c r="P60" s="18" t="b">
        <v>1</v>
      </c>
      <c r="Q60" s="18" t="b">
        <v>0</v>
      </c>
      <c r="R60" s="18" t="b">
        <v>0</v>
      </c>
      <c r="S60" s="18" t="b">
        <v>0</v>
      </c>
      <c r="T60" s="18" t="b">
        <v>0</v>
      </c>
      <c r="U60" s="18" t="b">
        <v>0</v>
      </c>
    </row>
    <row r="61" spans="1:21">
      <c r="A61" s="18">
        <f>ROW(A61)-1</f>
        <v>60</v>
      </c>
      <c r="B61" s="19">
        <v>8</v>
      </c>
      <c r="C61" s="18" t="str" cm="1">
        <f t="array" ref="C61">GetValue("Tbl","Alias",B61)</f>
        <v>Dmn</v>
      </c>
      <c r="D61" s="18">
        <v>13</v>
      </c>
      <c r="E61" s="18" t="str" cm="1">
        <f t="array" ref="E61">GetValue("Dmn","Name",D61)</f>
        <v>NVARCHAR(max)</v>
      </c>
      <c r="F61" s="18" t="str" cm="1">
        <f t="array" ref="F61">GetValue("Dmn","#CategoryName",D61)</f>
        <v>text</v>
      </c>
      <c r="G61" s="18">
        <f t="shared" si="1"/>
        <v>50</v>
      </c>
      <c r="H61" s="18" t="str" cm="1">
        <f t="array" ref="H61">GetColumnName(C61,IF(B61=B60,H60,""))</f>
        <v>ValidChars</v>
      </c>
      <c r="I61" s="18" t="str">
        <f t="shared" si="2"/>
        <v>ValidChars</v>
      </c>
      <c r="J61" s="18" t="str">
        <f t="shared" si="3"/>
        <v>ValidChars</v>
      </c>
      <c r="K61" s="18" t="b">
        <v>0</v>
      </c>
      <c r="L61" s="18" t="b">
        <v>0</v>
      </c>
      <c r="M61" s="18" t="b">
        <v>0</v>
      </c>
      <c r="N61" s="18" t="b">
        <v>0</v>
      </c>
      <c r="O61" s="18" t="b">
        <v>0</v>
      </c>
      <c r="P61" s="18" t="b">
        <v>1</v>
      </c>
      <c r="Q61" s="18" t="b">
        <v>0</v>
      </c>
      <c r="R61" s="18" t="b">
        <v>0</v>
      </c>
      <c r="S61" s="18" t="b">
        <v>0</v>
      </c>
      <c r="T61" s="18" t="b">
        <v>0</v>
      </c>
      <c r="U61" s="18" t="b">
        <v>0</v>
      </c>
    </row>
    <row r="62" spans="1:21">
      <c r="A62" s="18">
        <f>ROW(A62)-1</f>
        <v>61</v>
      </c>
      <c r="B62" s="19">
        <v>8</v>
      </c>
      <c r="C62" s="18" t="str" cm="1">
        <f t="array" ref="C62">GetValue("Tbl","Alias",B62)</f>
        <v>Dmn</v>
      </c>
      <c r="D62" s="18">
        <v>13</v>
      </c>
      <c r="E62" s="18" t="str" cm="1">
        <f t="array" ref="E62">GetValue("Dmn","Name",D62)</f>
        <v>NVARCHAR(max)</v>
      </c>
      <c r="F62" s="18" t="str" cm="1">
        <f t="array" ref="F62">GetValue("Dmn","#CategoryName",D62)</f>
        <v>text</v>
      </c>
      <c r="G62" s="18">
        <f t="shared" si="1"/>
        <v>55</v>
      </c>
      <c r="H62" s="18" t="str" cm="1">
        <f t="array" ref="H62">GetColumnName(C62,IF(B62=B61,H61,""))</f>
        <v>ValidValues</v>
      </c>
      <c r="I62" s="18" t="str">
        <f t="shared" si="2"/>
        <v>ValidValues</v>
      </c>
      <c r="J62" s="18" t="str">
        <f t="shared" si="3"/>
        <v>ValidValues</v>
      </c>
      <c r="K62" s="18" t="b">
        <v>0</v>
      </c>
      <c r="L62" s="18" t="b">
        <v>0</v>
      </c>
      <c r="M62" s="18" t="b">
        <v>0</v>
      </c>
      <c r="N62" s="18" t="b">
        <v>0</v>
      </c>
      <c r="O62" s="18" t="b">
        <v>0</v>
      </c>
      <c r="P62" s="18" t="b">
        <v>1</v>
      </c>
      <c r="Q62" s="18" t="b">
        <v>0</v>
      </c>
      <c r="R62" s="18" t="b">
        <v>0</v>
      </c>
      <c r="S62" s="18" t="b">
        <v>0</v>
      </c>
      <c r="T62" s="18" t="b">
        <v>0</v>
      </c>
      <c r="U62" s="18" t="b">
        <v>0</v>
      </c>
    </row>
    <row r="63" spans="1:21">
      <c r="A63" s="18">
        <f>ROW(A63)-1</f>
        <v>62</v>
      </c>
      <c r="B63" s="19">
        <v>8</v>
      </c>
      <c r="C63" s="18" t="str" cm="1">
        <f t="array" ref="C63">GetValue("Tbl","Alias",B63)</f>
        <v>Dmn</v>
      </c>
      <c r="D63" s="18">
        <v>13</v>
      </c>
      <c r="E63" s="18" t="str" cm="1">
        <f t="array" ref="E63">GetValue("Dmn","Name",D63)</f>
        <v>NVARCHAR(max)</v>
      </c>
      <c r="F63" s="18" t="str" cm="1">
        <f t="array" ref="F63">GetValue("Dmn","#CategoryName",D63)</f>
        <v>text</v>
      </c>
      <c r="G63" s="18">
        <f t="shared" si="1"/>
        <v>60</v>
      </c>
      <c r="H63" s="18" t="str" cm="1">
        <f t="array" ref="H63">GetColumnName(C63,IF(B63=B62,H62,""))</f>
        <v>ListValues</v>
      </c>
      <c r="I63" s="18" t="str">
        <f t="shared" si="2"/>
        <v>ListValues</v>
      </c>
      <c r="J63" s="18" t="str">
        <f t="shared" si="3"/>
        <v>ListValues</v>
      </c>
      <c r="K63" s="18" t="b">
        <v>0</v>
      </c>
      <c r="L63" s="18" t="b">
        <v>0</v>
      </c>
      <c r="M63" s="18" t="b">
        <v>0</v>
      </c>
      <c r="N63" s="18" t="b">
        <v>0</v>
      </c>
      <c r="O63" s="18" t="b">
        <v>0</v>
      </c>
      <c r="P63" s="18" t="b">
        <v>1</v>
      </c>
      <c r="Q63" s="18" t="b">
        <v>0</v>
      </c>
      <c r="R63" s="18" t="b">
        <v>0</v>
      </c>
      <c r="S63" s="18" t="b">
        <v>0</v>
      </c>
      <c r="T63" s="18" t="b">
        <v>0</v>
      </c>
      <c r="U63" s="18" t="b">
        <v>0</v>
      </c>
    </row>
    <row r="64" spans="1:21">
      <c r="A64" s="20">
        <f t="shared" si="4"/>
        <v>63</v>
      </c>
      <c r="B64" s="21">
        <v>9</v>
      </c>
      <c r="C64" s="20" t="str" cm="1">
        <f t="array" ref="C64">GetValue("Tbl","Alias",B64)</f>
        <v>Msk</v>
      </c>
      <c r="D64" s="20">
        <v>1</v>
      </c>
      <c r="E64" s="20" t="str" cm="1">
        <f t="array" ref="E64">GetValue("Dmn","Name",D64)</f>
        <v>BigInteger</v>
      </c>
      <c r="F64" s="20" t="str" cm="1">
        <f t="array" ref="F64">GetValue("Dmn","#CategoryName",D64)</f>
        <v>number</v>
      </c>
      <c r="G64" s="20">
        <f>IF(H64="Id",5,G63+5)</f>
        <v>5</v>
      </c>
      <c r="H64" s="20" t="str" cm="1">
        <f t="array" ref="H64">GetColumnName(C64,IF(B64=B63,H63,""))</f>
        <v>Id</v>
      </c>
      <c r="I64" s="20" t="str">
        <f t="shared" si="2"/>
        <v>Id</v>
      </c>
      <c r="J64" s="20" t="str">
        <f t="shared" si="3"/>
        <v>Id</v>
      </c>
      <c r="K64" s="20" t="b">
        <v>1</v>
      </c>
      <c r="L64" s="20" t="b">
        <v>1</v>
      </c>
      <c r="M64" s="20" t="b">
        <v>1</v>
      </c>
      <c r="N64" s="20" t="b">
        <v>0</v>
      </c>
      <c r="O64" s="20" t="b">
        <v>1</v>
      </c>
      <c r="P64" s="20" t="b">
        <v>0</v>
      </c>
      <c r="Q64" s="20" t="b">
        <v>0</v>
      </c>
      <c r="R64" s="20" t="b">
        <v>0</v>
      </c>
      <c r="S64" s="20" t="b">
        <v>0</v>
      </c>
      <c r="T64" s="20" t="b">
        <v>0</v>
      </c>
      <c r="U64" s="20" t="b">
        <v>0</v>
      </c>
    </row>
    <row r="65" spans="1:21">
      <c r="A65" s="20">
        <f t="shared" si="4"/>
        <v>64</v>
      </c>
      <c r="B65" s="21">
        <v>9</v>
      </c>
      <c r="C65" s="20" t="str" cm="1">
        <f t="array" ref="C65">GetValue("Tbl","Alias",B65)</f>
        <v>Msk</v>
      </c>
      <c r="D65" s="20">
        <v>1</v>
      </c>
      <c r="E65" s="20" t="str" cm="1">
        <f t="array" ref="E65">GetValue("Dmn","Name",D65)</f>
        <v>BigInteger</v>
      </c>
      <c r="F65" s="20" t="str" cm="1">
        <f t="array" ref="F65">GetValue("Dmn","#CategoryName",D65)</f>
        <v>number</v>
      </c>
      <c r="G65" s="20">
        <f t="shared" si="1"/>
        <v>10</v>
      </c>
      <c r="H65" s="20" t="str" cm="1">
        <f t="array" ref="H65">GetColumnName(C65,IF(B65=B64,H64,""))</f>
        <v>OwnertId</v>
      </c>
      <c r="I65" s="20" t="str">
        <f t="shared" si="2"/>
        <v>OwnertId</v>
      </c>
      <c r="J65" s="20" t="str">
        <f t="shared" si="3"/>
        <v>OwnertId</v>
      </c>
      <c r="K65" s="20" t="b">
        <v>1</v>
      </c>
      <c r="L65" s="20" t="b">
        <v>0</v>
      </c>
      <c r="M65" s="20" t="b">
        <v>0</v>
      </c>
      <c r="N65" s="20" t="b">
        <v>0</v>
      </c>
      <c r="O65" s="20" t="b">
        <v>1</v>
      </c>
      <c r="P65" s="20" t="b">
        <v>1</v>
      </c>
      <c r="Q65" s="20" t="b">
        <v>1</v>
      </c>
      <c r="R65" s="20" t="b">
        <v>0</v>
      </c>
      <c r="S65" s="20" t="b">
        <v>0</v>
      </c>
      <c r="T65" s="20" t="b">
        <v>0</v>
      </c>
      <c r="U65" s="20" t="b">
        <v>0</v>
      </c>
    </row>
    <row r="66" spans="1:21">
      <c r="A66" s="20">
        <f t="shared" si="4"/>
        <v>65</v>
      </c>
      <c r="B66" s="21">
        <v>9</v>
      </c>
      <c r="C66" s="20" t="str" cm="1">
        <f t="array" ref="C66">GetValue("Tbl","Alias",B66)</f>
        <v>Msk</v>
      </c>
      <c r="D66" s="20">
        <v>10</v>
      </c>
      <c r="E66" s="20" t="str" cm="1">
        <f t="array" ref="E66">GetValue("Dmn","Name",D66)</f>
        <v>NVARCHAR(25)</v>
      </c>
      <c r="F66" s="20" t="str" cm="1">
        <f t="array" ref="F66">GetValue("Dmn","#CategoryName",D66)</f>
        <v>string</v>
      </c>
      <c r="G66" s="20">
        <f t="shared" si="1"/>
        <v>15</v>
      </c>
      <c r="H66" s="20" t="str" cm="1">
        <f t="array" ref="H66">GetColumnName(C66,IF(B66=B65,H65,""))</f>
        <v>Name</v>
      </c>
      <c r="I66" s="20" t="str">
        <f t="shared" si="2"/>
        <v>Name</v>
      </c>
      <c r="J66" s="20" t="str">
        <f t="shared" si="3"/>
        <v>Name</v>
      </c>
      <c r="K66" s="20" t="b">
        <v>1</v>
      </c>
      <c r="L66" s="20" t="b">
        <v>0</v>
      </c>
      <c r="M66" s="20" t="b">
        <v>0</v>
      </c>
      <c r="N66" s="20" t="b">
        <v>1</v>
      </c>
      <c r="O66" s="20" t="b">
        <v>1</v>
      </c>
      <c r="P66" s="20" t="b">
        <v>1</v>
      </c>
      <c r="Q66" s="20" t="b">
        <v>1</v>
      </c>
      <c r="R66" s="20" t="b">
        <v>1</v>
      </c>
      <c r="S66" s="20" t="b">
        <v>0</v>
      </c>
      <c r="T66" s="20" t="b">
        <v>0</v>
      </c>
      <c r="U66" s="20" t="b">
        <v>0</v>
      </c>
    </row>
    <row r="67" spans="1:21">
      <c r="A67" s="20">
        <f t="shared" si="4"/>
        <v>66</v>
      </c>
      <c r="B67" s="21">
        <v>9</v>
      </c>
      <c r="C67" s="20" t="str" cm="1">
        <f t="array" ref="C67">GetValue("Tbl","Alias",B67)</f>
        <v>Msk</v>
      </c>
      <c r="D67" s="20">
        <v>13</v>
      </c>
      <c r="E67" s="20" t="str" cm="1">
        <f t="array" ref="E67">GetValue("Dmn","Name",D67)</f>
        <v>NVARCHAR(max)</v>
      </c>
      <c r="F67" s="20" t="str" cm="1">
        <f t="array" ref="F67">GetValue("Dmn","#CategoryName",D67)</f>
        <v>text</v>
      </c>
      <c r="G67" s="20">
        <f t="shared" si="1"/>
        <v>20</v>
      </c>
      <c r="H67" s="20" t="str" cm="1">
        <f t="array" ref="H67">GetColumnName(C67,IF(B67=B66,H66,""))</f>
        <v>Mask</v>
      </c>
      <c r="I67" s="20" t="str">
        <f t="shared" si="2"/>
        <v>Mask</v>
      </c>
      <c r="J67" s="20" t="str">
        <f t="shared" si="3"/>
        <v>Mask</v>
      </c>
      <c r="K67" s="20" t="b">
        <v>0</v>
      </c>
      <c r="L67" s="20" t="b">
        <v>0</v>
      </c>
      <c r="M67" s="20" t="b">
        <v>0</v>
      </c>
      <c r="N67" s="20" t="b">
        <v>0</v>
      </c>
      <c r="O67" s="20" t="b">
        <v>0</v>
      </c>
      <c r="P67" s="20" t="b">
        <v>1</v>
      </c>
      <c r="Q67" s="20" t="b">
        <v>1</v>
      </c>
      <c r="R67" s="20" t="b">
        <v>0</v>
      </c>
      <c r="S67" s="20" t="b">
        <v>0</v>
      </c>
      <c r="T67" s="20" t="b">
        <v>0</v>
      </c>
      <c r="U67" s="20" t="b">
        <v>0</v>
      </c>
    </row>
    <row r="68" spans="1:21">
      <c r="A68" s="20">
        <f t="shared" si="4"/>
        <v>67</v>
      </c>
      <c r="B68" s="21">
        <v>9</v>
      </c>
      <c r="C68" s="20" t="str" cm="1">
        <f t="array" ref="C68">GetValue("Tbl","Alias",B68)</f>
        <v>Msk</v>
      </c>
      <c r="D68" s="20">
        <v>13</v>
      </c>
      <c r="E68" s="20" t="str" cm="1">
        <f t="array" ref="E68">GetValue("Dmn","Name",D68)</f>
        <v>NVARCHAR(max)</v>
      </c>
      <c r="F68" s="20" t="str" cm="1">
        <f t="array" ref="F68">GetValue("Dmn","#CategoryName",D68)</f>
        <v>text</v>
      </c>
      <c r="G68" s="20">
        <f t="shared" si="1"/>
        <v>25</v>
      </c>
      <c r="H68" s="20" t="str" cm="1">
        <f t="array" ref="H68">GetColumnName(C68,IF(B68=B67,H67,""))</f>
        <v>Modificators</v>
      </c>
      <c r="I68" s="20" t="str">
        <f t="shared" ref="I68:I134" si="14">H68</f>
        <v>Modificators</v>
      </c>
      <c r="J68" s="20" t="str">
        <f t="shared" ref="J68:J134" si="15">H68</f>
        <v>Modificators</v>
      </c>
      <c r="K68" s="20" t="b">
        <v>0</v>
      </c>
      <c r="L68" s="20" t="b">
        <v>0</v>
      </c>
      <c r="M68" s="20" t="b">
        <v>0</v>
      </c>
      <c r="N68" s="20" t="b">
        <v>0</v>
      </c>
      <c r="O68" s="20" t="b">
        <v>0</v>
      </c>
      <c r="P68" s="20" t="b">
        <v>1</v>
      </c>
      <c r="Q68" s="20" t="b">
        <v>1</v>
      </c>
      <c r="R68" s="20" t="b">
        <v>0</v>
      </c>
      <c r="S68" s="20" t="b">
        <v>0</v>
      </c>
      <c r="T68" s="20" t="b">
        <v>0</v>
      </c>
      <c r="U68" s="20" t="b">
        <v>0</v>
      </c>
    </row>
    <row r="69" spans="1:21">
      <c r="A69" s="18">
        <f t="shared" si="4"/>
        <v>68</v>
      </c>
      <c r="B69" s="19">
        <v>10</v>
      </c>
      <c r="C69" s="18" t="str" cm="1">
        <f t="array" ref="C69">GetValue("Tbl","Alias",B69)</f>
        <v>Mkg</v>
      </c>
      <c r="D69" s="18">
        <v>1</v>
      </c>
      <c r="E69" s="18" t="str" cm="1">
        <f t="array" ref="E69">GetValue("Dmn","Name",D69)</f>
        <v>BigInteger</v>
      </c>
      <c r="F69" s="18" t="str" cm="1">
        <f t="array" ref="F69">GetValue("Dmn","#CategoryName",D69)</f>
        <v>number</v>
      </c>
      <c r="G69" s="18">
        <f t="shared" si="1"/>
        <v>5</v>
      </c>
      <c r="H69" s="18" t="str" cm="1">
        <f t="array" ref="H69">GetColumnName(C69,IF(B69=B68,H68,""))</f>
        <v>Id</v>
      </c>
      <c r="I69" s="18" t="str">
        <f t="shared" si="14"/>
        <v>Id</v>
      </c>
      <c r="J69" s="18" t="str">
        <f t="shared" si="15"/>
        <v>Id</v>
      </c>
      <c r="K69" s="18" t="b">
        <v>1</v>
      </c>
      <c r="L69" s="18" t="b">
        <v>1</v>
      </c>
      <c r="M69" s="18" t="b">
        <v>1</v>
      </c>
      <c r="N69" s="18" t="b">
        <v>0</v>
      </c>
      <c r="O69" s="18" t="b">
        <v>1</v>
      </c>
      <c r="P69" s="18" t="b">
        <v>0</v>
      </c>
      <c r="Q69" s="18" t="b">
        <v>0</v>
      </c>
      <c r="R69" s="18" t="b">
        <v>0</v>
      </c>
      <c r="S69" s="18" t="b">
        <v>0</v>
      </c>
      <c r="T69" s="18" t="b">
        <v>0</v>
      </c>
      <c r="U69" s="18" t="b">
        <v>0</v>
      </c>
    </row>
    <row r="70" spans="1:21">
      <c r="A70" s="18">
        <f t="shared" si="4"/>
        <v>69</v>
      </c>
      <c r="B70" s="19">
        <v>10</v>
      </c>
      <c r="C70" s="18" t="str" cm="1">
        <f t="array" ref="C70">GetValue("Tbl","Alias",B70)</f>
        <v>Mkg</v>
      </c>
      <c r="D70" s="18">
        <v>1</v>
      </c>
      <c r="E70" s="18" t="str" cm="1">
        <f t="array" ref="E70">GetValue("Dmn","Name",D70)</f>
        <v>BigInteger</v>
      </c>
      <c r="F70" s="18" t="str" cm="1">
        <f t="array" ref="F70">GetValue("Dmn","#CategoryName",D70)</f>
        <v>number</v>
      </c>
      <c r="G70" s="18">
        <f t="shared" si="1"/>
        <v>10</v>
      </c>
      <c r="H70" s="18" t="str" cm="1">
        <f t="array" ref="H70">GetColumnName(C70,IF(B70=B69,H69,""))</f>
        <v>DomainId</v>
      </c>
      <c r="I70" s="18" t="str">
        <f t="shared" si="14"/>
        <v>DomainId</v>
      </c>
      <c r="J70" s="18" t="str">
        <f t="shared" si="15"/>
        <v>DomainId</v>
      </c>
      <c r="K70" s="18" t="b">
        <v>1</v>
      </c>
      <c r="L70" s="18" t="b">
        <v>0</v>
      </c>
      <c r="M70" s="18" t="b">
        <v>0</v>
      </c>
      <c r="N70" s="18" t="b">
        <v>0</v>
      </c>
      <c r="O70" s="18" t="b">
        <v>1</v>
      </c>
      <c r="P70" s="18" t="b">
        <v>1</v>
      </c>
      <c r="Q70" s="18" t="b">
        <v>1</v>
      </c>
      <c r="R70" s="18" t="b">
        <v>0</v>
      </c>
      <c r="S70" s="18" t="b">
        <v>0</v>
      </c>
      <c r="T70" s="18" t="b">
        <v>0</v>
      </c>
      <c r="U70" s="18" t="b">
        <v>0</v>
      </c>
    </row>
    <row r="71" spans="1:21">
      <c r="A71" s="18">
        <f t="shared" si="4"/>
        <v>70</v>
      </c>
      <c r="B71" s="19">
        <v>10</v>
      </c>
      <c r="C71" s="18" t="str" cm="1">
        <f t="array" ref="C71">GetValue("Tbl","Alias",B71)</f>
        <v>Mkg</v>
      </c>
      <c r="D71" s="18">
        <v>1</v>
      </c>
      <c r="E71" s="18" t="str" cm="1">
        <f t="array" ref="E71">GetValue("Dmn","Name",D71)</f>
        <v>BigInteger</v>
      </c>
      <c r="F71" s="18" t="str" cm="1">
        <f t="array" ref="F71">GetValue("Dmn","#CategoryName",D71)</f>
        <v>number</v>
      </c>
      <c r="G71" s="18">
        <f t="shared" si="1"/>
        <v>15</v>
      </c>
      <c r="H71" s="18" t="str" cm="1">
        <f t="array" ref="H71">GetColumnName(C71,IF(B71=B70,H70,""))</f>
        <v>MaskId</v>
      </c>
      <c r="I71" s="18" t="str">
        <f t="shared" si="14"/>
        <v>MaskId</v>
      </c>
      <c r="J71" s="18" t="str">
        <f t="shared" si="15"/>
        <v>MaskId</v>
      </c>
      <c r="K71" s="18" t="b">
        <v>1</v>
      </c>
      <c r="L71" s="18" t="b">
        <v>0</v>
      </c>
      <c r="M71" s="18" t="b">
        <v>0</v>
      </c>
      <c r="N71" s="18" t="b">
        <v>0</v>
      </c>
      <c r="O71" s="18" t="b">
        <v>1</v>
      </c>
      <c r="P71" s="18" t="b">
        <v>1</v>
      </c>
      <c r="Q71" s="18" t="b">
        <v>1</v>
      </c>
      <c r="R71" s="18" t="b">
        <v>0</v>
      </c>
      <c r="S71" s="18" t="b">
        <v>0</v>
      </c>
      <c r="T71" s="18" t="b">
        <v>0</v>
      </c>
      <c r="U71" s="18" t="b">
        <v>0</v>
      </c>
    </row>
    <row r="72" spans="1:21">
      <c r="A72" s="18">
        <f t="shared" si="4"/>
        <v>71</v>
      </c>
      <c r="B72" s="19">
        <v>10</v>
      </c>
      <c r="C72" s="18" t="str" cm="1">
        <f t="array" ref="C72">GetValue("Tbl","Alias",B72)</f>
        <v>Mkg</v>
      </c>
      <c r="D72" s="18">
        <v>5</v>
      </c>
      <c r="E72" s="18" t="str" cm="1">
        <f t="array" ref="E72">GetValue("Dmn","Name",D72)</f>
        <v>TinyInteger</v>
      </c>
      <c r="F72" s="18" t="str" cm="1">
        <f t="array" ref="F72">GetValue("Dmn","#CategoryName",D72)</f>
        <v>number</v>
      </c>
      <c r="G72" s="18">
        <f t="shared" ref="G72:G147" si="16">IF(H72="Id",5,G71+5)</f>
        <v>20</v>
      </c>
      <c r="H72" s="18" t="str" cm="1">
        <f t="array" ref="H72">GetColumnName(C72,IF(B72=B71,H71,""))</f>
        <v>CheckDigitModule</v>
      </c>
      <c r="I72" s="18" t="str">
        <f t="shared" si="14"/>
        <v>CheckDigitModule</v>
      </c>
      <c r="J72" s="18" t="str">
        <f t="shared" si="15"/>
        <v>CheckDigitModule</v>
      </c>
      <c r="K72" s="18" t="b">
        <v>0</v>
      </c>
      <c r="L72" s="18" t="b">
        <v>0</v>
      </c>
      <c r="M72" s="18" t="b">
        <v>0</v>
      </c>
      <c r="N72" s="18" t="b">
        <v>0</v>
      </c>
      <c r="O72" s="18" t="b">
        <v>1</v>
      </c>
      <c r="P72" s="18" t="b">
        <v>1</v>
      </c>
      <c r="Q72" s="18" t="b">
        <v>1</v>
      </c>
      <c r="R72" s="18" t="b">
        <v>0</v>
      </c>
      <c r="S72" s="18" t="b">
        <v>0</v>
      </c>
      <c r="T72" s="18" t="b">
        <v>0</v>
      </c>
      <c r="U72" s="18" t="b">
        <v>0</v>
      </c>
    </row>
    <row r="73" spans="1:21">
      <c r="A73" s="18">
        <f t="shared" si="4"/>
        <v>72</v>
      </c>
      <c r="B73" s="19">
        <v>10</v>
      </c>
      <c r="C73" s="18" t="str" cm="1">
        <f t="array" ref="C73">GetValue("Tbl","Alias",B73)</f>
        <v>Mkg</v>
      </c>
      <c r="D73" s="18">
        <v>13</v>
      </c>
      <c r="E73" s="18" t="str" cm="1">
        <f t="array" ref="E73">GetValue("Dmn","Name",D73)</f>
        <v>NVARCHAR(max)</v>
      </c>
      <c r="F73" s="18" t="str" cm="1">
        <f t="array" ref="F73">GetValue("Dmn","#CategoryName",D73)</f>
        <v>text</v>
      </c>
      <c r="G73" s="18">
        <f t="shared" si="16"/>
        <v>25</v>
      </c>
      <c r="H73" s="18" t="str" cm="1">
        <f t="array" ref="H73">GetColumnName(C73,IF(B73=B72,H72,""))</f>
        <v>CheckDigitFactors</v>
      </c>
      <c r="I73" s="18" t="str">
        <f t="shared" si="14"/>
        <v>CheckDigitFactors</v>
      </c>
      <c r="J73" s="18" t="str">
        <f t="shared" si="15"/>
        <v>CheckDigitFactors</v>
      </c>
      <c r="K73" s="18" t="b">
        <v>0</v>
      </c>
      <c r="L73" s="18" t="b">
        <v>0</v>
      </c>
      <c r="M73" s="18" t="b">
        <v>0</v>
      </c>
      <c r="N73" s="18" t="b">
        <v>0</v>
      </c>
      <c r="O73" s="18" t="b">
        <v>1</v>
      </c>
      <c r="P73" s="18" t="b">
        <v>1</v>
      </c>
      <c r="Q73" s="18" t="b">
        <v>1</v>
      </c>
      <c r="R73" s="18" t="b">
        <v>0</v>
      </c>
      <c r="S73" s="18" t="b">
        <v>0</v>
      </c>
      <c r="T73" s="18" t="b">
        <v>0</v>
      </c>
      <c r="U73" s="18" t="b">
        <v>0</v>
      </c>
    </row>
    <row r="74" spans="1:21">
      <c r="A74" s="18">
        <f t="shared" si="4"/>
        <v>73</v>
      </c>
      <c r="B74" s="19">
        <v>10</v>
      </c>
      <c r="C74" s="18" t="str" cm="1">
        <f t="array" ref="C74">GetValue("Tbl","Alias",B74)</f>
        <v>Mkg</v>
      </c>
      <c r="D74" s="18">
        <v>21</v>
      </c>
      <c r="E74" s="18" t="str" cm="1">
        <f t="array" ref="E74">GetValue("Dmn","Name",D74)</f>
        <v>CHAR(1)</v>
      </c>
      <c r="F74" s="18" t="str" cm="1">
        <f t="array" ref="F74">GetValue("Dmn","#CategoryName",D74)</f>
        <v>string</v>
      </c>
      <c r="G74" s="18">
        <f t="shared" si="16"/>
        <v>30</v>
      </c>
      <c r="H74" s="18" t="str" cm="1">
        <f t="array" ref="H74">GetColumnName(C74,IF(B74=B73,H73,""))</f>
        <v>CheckDigitGreaterThanNine</v>
      </c>
      <c r="I74" s="18" t="str">
        <f t="shared" si="14"/>
        <v>CheckDigitGreaterThanNine</v>
      </c>
      <c r="J74" s="18" t="str">
        <f t="shared" si="15"/>
        <v>CheckDigitGreaterThanNine</v>
      </c>
      <c r="K74" s="18" t="b">
        <v>0</v>
      </c>
      <c r="L74" s="18" t="b">
        <v>0</v>
      </c>
      <c r="M74" s="18" t="b">
        <v>0</v>
      </c>
      <c r="N74" s="18" t="b">
        <v>0</v>
      </c>
      <c r="O74" s="18" t="b">
        <v>1</v>
      </c>
      <c r="P74" s="18" t="b">
        <v>1</v>
      </c>
      <c r="Q74" s="18" t="b">
        <v>1</v>
      </c>
      <c r="R74" s="18" t="b">
        <v>0</v>
      </c>
      <c r="S74" s="18" t="b">
        <v>0</v>
      </c>
      <c r="T74" s="18" t="b">
        <v>0</v>
      </c>
      <c r="U74" s="18" t="b">
        <v>0</v>
      </c>
    </row>
    <row r="75" spans="1:21">
      <c r="A75" s="20">
        <f t="shared" si="4"/>
        <v>74</v>
      </c>
      <c r="B75" s="21">
        <v>11</v>
      </c>
      <c r="C75" s="20" t="str" cm="1">
        <f t="array" ref="C75">GetValue("Tbl","Alias",B75)</f>
        <v>Db</v>
      </c>
      <c r="D75" s="20">
        <v>1</v>
      </c>
      <c r="E75" s="20" t="str" cm="1">
        <f t="array" ref="E75">GetValue("Dmn","Name",D75)</f>
        <v>BigInteger</v>
      </c>
      <c r="F75" s="20" t="str" cm="1">
        <f t="array" ref="F75">GetValue("Dmn","#CategoryName",D75)</f>
        <v>number</v>
      </c>
      <c r="G75" s="20">
        <f t="shared" si="16"/>
        <v>5</v>
      </c>
      <c r="H75" s="20" t="str" cm="1">
        <f t="array" ref="H75">GetColumnName(C75,IF(B75=B74,H74,""))</f>
        <v>Id</v>
      </c>
      <c r="I75" s="20" t="str">
        <f t="shared" si="14"/>
        <v>Id</v>
      </c>
      <c r="J75" s="20" t="str">
        <f t="shared" si="15"/>
        <v>Id</v>
      </c>
      <c r="K75" s="20" t="b">
        <v>1</v>
      </c>
      <c r="L75" s="20" t="b">
        <v>1</v>
      </c>
      <c r="M75" s="20" t="b">
        <v>1</v>
      </c>
      <c r="N75" s="20" t="b">
        <v>0</v>
      </c>
      <c r="O75" s="20" t="b">
        <v>1</v>
      </c>
      <c r="P75" s="20" t="b">
        <v>0</v>
      </c>
      <c r="Q75" s="20" t="b">
        <v>0</v>
      </c>
      <c r="R75" s="20" t="b">
        <v>0</v>
      </c>
      <c r="S75" s="20" t="b">
        <v>0</v>
      </c>
      <c r="T75" s="20" t="b">
        <v>0</v>
      </c>
      <c r="U75" s="20" t="b">
        <v>0</v>
      </c>
    </row>
    <row r="76" spans="1:21">
      <c r="A76" s="20">
        <f>ROW(A76)-1</f>
        <v>75</v>
      </c>
      <c r="B76" s="21">
        <v>11</v>
      </c>
      <c r="C76" s="20" t="str" cm="1">
        <f t="array" ref="C76">GetValue("Tbl","Alias",B76)</f>
        <v>Db</v>
      </c>
      <c r="D76" s="20">
        <v>4</v>
      </c>
      <c r="E76" s="20" t="str" cm="1">
        <f t="array" ref="E76">GetValue("Dmn","Name",D76)</f>
        <v>SmallInteger</v>
      </c>
      <c r="F76" s="20" t="str" cm="1">
        <f t="array" ref="F76">GetValue("Dmn","#CategoryName",D76)</f>
        <v>number</v>
      </c>
      <c r="G76" s="20">
        <f t="shared" si="16"/>
        <v>10</v>
      </c>
      <c r="H76" s="20" t="str" cm="1">
        <f t="array" ref="H76">GetColumnName(C76,IF(B76=B75,H75,""))</f>
        <v>OwnertId</v>
      </c>
      <c r="I76" s="20" t="str">
        <f t="shared" si="14"/>
        <v>OwnertId</v>
      </c>
      <c r="J76" s="20" t="str">
        <f t="shared" si="15"/>
        <v>OwnertId</v>
      </c>
      <c r="K76" s="20" t="b">
        <v>1</v>
      </c>
      <c r="L76" s="20" t="b">
        <v>0</v>
      </c>
      <c r="M76" s="20" t="b">
        <v>0</v>
      </c>
      <c r="N76" s="20" t="b">
        <v>0</v>
      </c>
      <c r="O76" s="20" t="b">
        <v>1</v>
      </c>
      <c r="P76" s="20" t="b">
        <v>1</v>
      </c>
      <c r="Q76" s="20" t="b">
        <v>1</v>
      </c>
      <c r="R76" s="20" t="b">
        <v>0</v>
      </c>
      <c r="S76" s="20" t="b">
        <v>0</v>
      </c>
      <c r="T76" s="20" t="b">
        <v>0</v>
      </c>
      <c r="U76" s="20" t="b">
        <v>0</v>
      </c>
    </row>
    <row r="77" spans="1:21">
      <c r="A77" s="20">
        <f t="shared" si="4"/>
        <v>76</v>
      </c>
      <c r="B77" s="21">
        <v>11</v>
      </c>
      <c r="C77" s="20" t="str" cm="1">
        <f t="array" ref="C77">GetValue("Tbl","Alias",B77)</f>
        <v>Db</v>
      </c>
      <c r="D77" s="20">
        <v>10</v>
      </c>
      <c r="E77" s="20" t="str" cm="1">
        <f t="array" ref="E77">GetValue("Dmn","Name",D77)</f>
        <v>NVARCHAR(25)</v>
      </c>
      <c r="F77" s="20" t="str" cm="1">
        <f t="array" ref="F77">GetValue("Dmn","#CategoryName",D77)</f>
        <v>string</v>
      </c>
      <c r="G77" s="20">
        <f t="shared" si="16"/>
        <v>15</v>
      </c>
      <c r="H77" s="20" t="str" cm="1">
        <f t="array" ref="H77">GetColumnName(C77,IF(B77=B76,H76,""))</f>
        <v>Name</v>
      </c>
      <c r="I77" s="20" t="str">
        <f t="shared" si="14"/>
        <v>Name</v>
      </c>
      <c r="J77" s="20" t="str">
        <f t="shared" si="15"/>
        <v>Name</v>
      </c>
      <c r="K77" s="20" t="b">
        <v>1</v>
      </c>
      <c r="L77" s="20" t="b">
        <v>0</v>
      </c>
      <c r="M77" s="20" t="b">
        <v>0</v>
      </c>
      <c r="N77" s="20" t="b">
        <v>1</v>
      </c>
      <c r="O77" s="20" t="b">
        <v>1</v>
      </c>
      <c r="P77" s="20" t="b">
        <v>1</v>
      </c>
      <c r="Q77" s="20" t="b">
        <v>1</v>
      </c>
      <c r="R77" s="20" t="b">
        <v>1</v>
      </c>
      <c r="S77" s="20" t="b">
        <v>0</v>
      </c>
      <c r="T77" s="20" t="b">
        <v>0</v>
      </c>
      <c r="U77" s="20" t="b">
        <v>0</v>
      </c>
    </row>
    <row r="78" spans="1:21">
      <c r="A78" s="20">
        <f t="shared" si="4"/>
        <v>77</v>
      </c>
      <c r="B78" s="21">
        <v>11</v>
      </c>
      <c r="C78" s="20" t="str" cm="1">
        <f t="array" ref="C78">GetValue("Tbl","Alias",B78)</f>
        <v>Db</v>
      </c>
      <c r="D78" s="20">
        <v>10</v>
      </c>
      <c r="E78" s="20" t="str" cm="1">
        <f t="array" ref="E78">GetValue("Dmn","Name",D78)</f>
        <v>NVARCHAR(25)</v>
      </c>
      <c r="F78" s="20" t="str" cm="1">
        <f t="array" ref="F78">GetValue("Dmn","#CategoryName",D78)</f>
        <v>string</v>
      </c>
      <c r="G78" s="20">
        <f t="shared" si="16"/>
        <v>20</v>
      </c>
      <c r="H78" s="20" t="str" cm="1">
        <f t="array" ref="H78">GetColumnName(C78,IF(B78=B77,H77,""))</f>
        <v>Description</v>
      </c>
      <c r="I78" s="20" t="str">
        <f t="shared" si="14"/>
        <v>Description</v>
      </c>
      <c r="J78" s="20" t="str">
        <f t="shared" si="15"/>
        <v>Description</v>
      </c>
      <c r="K78" s="20" t="b">
        <v>1</v>
      </c>
      <c r="L78" s="20" t="b">
        <v>0</v>
      </c>
      <c r="M78" s="20" t="b">
        <v>0</v>
      </c>
      <c r="N78" s="20" t="b">
        <v>0</v>
      </c>
      <c r="O78" s="20" t="b">
        <v>0</v>
      </c>
      <c r="P78" s="20" t="b">
        <v>1</v>
      </c>
      <c r="Q78" s="20" t="b">
        <v>1</v>
      </c>
      <c r="R78" s="20" t="b">
        <v>0</v>
      </c>
      <c r="S78" s="20" t="b">
        <v>0</v>
      </c>
      <c r="T78" s="20" t="b">
        <v>0</v>
      </c>
      <c r="U78" s="20" t="b">
        <v>0</v>
      </c>
    </row>
    <row r="79" spans="1:21">
      <c r="A79" s="18">
        <f t="shared" ref="A79:A84" si="17">ROW(A79)-1</f>
        <v>78</v>
      </c>
      <c r="B79" s="19">
        <v>12</v>
      </c>
      <c r="C79" s="18" t="str" cm="1">
        <f t="array" ref="C79">GetValue("Tbl","Alias",B79)</f>
        <v>Env</v>
      </c>
      <c r="D79" s="18">
        <v>5</v>
      </c>
      <c r="E79" s="18" t="str" cm="1">
        <f t="array" ref="E79">GetValue("Dmn","Name",D79)</f>
        <v>TinyInteger</v>
      </c>
      <c r="F79" s="18" t="str" cm="1">
        <f t="array" ref="F79">GetValue("Dmn","#CategoryName",D79)</f>
        <v>number</v>
      </c>
      <c r="G79" s="18">
        <f t="shared" si="16"/>
        <v>5</v>
      </c>
      <c r="H79" s="18" t="str" cm="1">
        <f t="array" ref="H79">GetColumnName(C79,IF(B79=B78,H78,""))</f>
        <v>Id</v>
      </c>
      <c r="I79" s="18" t="str">
        <f t="shared" si="14"/>
        <v>Id</v>
      </c>
      <c r="J79" s="18" t="str">
        <f t="shared" si="15"/>
        <v>Id</v>
      </c>
      <c r="K79" s="18" t="b">
        <v>1</v>
      </c>
      <c r="L79" s="18" t="b">
        <v>1</v>
      </c>
      <c r="M79" s="18" t="b">
        <v>1</v>
      </c>
      <c r="N79" s="18" t="b">
        <v>0</v>
      </c>
      <c r="O79" s="18" t="b">
        <v>1</v>
      </c>
      <c r="P79" s="18" t="b">
        <v>0</v>
      </c>
      <c r="Q79" s="18" t="b">
        <v>0</v>
      </c>
      <c r="R79" s="18" t="b">
        <v>0</v>
      </c>
      <c r="S79" s="18" t="b">
        <v>0</v>
      </c>
      <c r="T79" s="18" t="b">
        <v>0</v>
      </c>
      <c r="U79" s="18" t="b">
        <v>0</v>
      </c>
    </row>
    <row r="80" spans="1:21">
      <c r="A80" s="18">
        <f t="shared" si="17"/>
        <v>79</v>
      </c>
      <c r="B80" s="19">
        <v>12</v>
      </c>
      <c r="C80" s="18" t="str" cm="1">
        <f t="array" ref="C80">GetValue("Tbl","Alias",B80)</f>
        <v>Env</v>
      </c>
      <c r="D80" s="18">
        <v>4</v>
      </c>
      <c r="E80" s="18" t="str" cm="1">
        <f t="array" ref="E80">GetValue("Dmn","Name",D80)</f>
        <v>SmallInteger</v>
      </c>
      <c r="F80" s="18" t="str" cm="1">
        <f t="array" ref="F80">GetValue("Dmn","#CategoryName",D80)</f>
        <v>number</v>
      </c>
      <c r="G80" s="18">
        <f t="shared" ref="G80:G85" si="18">IF(H80="Id",5,G79+5)</f>
        <v>10</v>
      </c>
      <c r="H80" s="18" t="str" cm="1">
        <f t="array" ref="H80">GetColumnName(C80,IF(B80=B79,H79,""))</f>
        <v>OwnertId</v>
      </c>
      <c r="I80" s="18" t="str">
        <f t="shared" si="14"/>
        <v>OwnertId</v>
      </c>
      <c r="J80" s="18" t="str">
        <f t="shared" si="15"/>
        <v>OwnertId</v>
      </c>
      <c r="K80" s="18" t="b">
        <v>1</v>
      </c>
      <c r="L80" s="18" t="b">
        <v>0</v>
      </c>
      <c r="M80" s="18" t="b">
        <v>0</v>
      </c>
      <c r="N80" s="18" t="b">
        <v>0</v>
      </c>
      <c r="O80" s="18" t="b">
        <v>1</v>
      </c>
      <c r="P80" s="18" t="b">
        <v>1</v>
      </c>
      <c r="Q80" s="18" t="b">
        <v>1</v>
      </c>
      <c r="R80" s="18" t="b">
        <v>0</v>
      </c>
      <c r="S80" s="18" t="b">
        <v>0</v>
      </c>
      <c r="T80" s="18" t="b">
        <v>0</v>
      </c>
      <c r="U80" s="18" t="b">
        <v>0</v>
      </c>
    </row>
    <row r="81" spans="1:21">
      <c r="A81" s="18">
        <f t="shared" si="17"/>
        <v>80</v>
      </c>
      <c r="B81" s="19">
        <v>12</v>
      </c>
      <c r="C81" s="18" t="str" cm="1">
        <f t="array" ref="C81">GetValue("Tbl","Alias",B81)</f>
        <v>Env</v>
      </c>
      <c r="D81" s="18">
        <v>5</v>
      </c>
      <c r="E81" s="18" t="str" cm="1">
        <f t="array" ref="E81">GetValue("Dmn","Name",D81)</f>
        <v>TinyInteger</v>
      </c>
      <c r="F81" s="18" t="str" cm="1">
        <f t="array" ref="F81">GetValue("Dmn","#CategoryName",D81)</f>
        <v>number</v>
      </c>
      <c r="G81" s="18">
        <f t="shared" si="18"/>
        <v>15</v>
      </c>
      <c r="H81" s="18" t="str" cm="1">
        <f t="array" ref="H81">GetColumnName(C81,IF(B81=B80,H80,""))</f>
        <v>ParentEnvironmentId</v>
      </c>
      <c r="I81" s="18" t="str">
        <f t="shared" si="14"/>
        <v>ParentEnvironmentId</v>
      </c>
      <c r="J81" s="18" t="str">
        <f t="shared" si="15"/>
        <v>ParentEnvironmentId</v>
      </c>
      <c r="K81" s="18" t="b">
        <v>0</v>
      </c>
      <c r="L81" s="18" t="b">
        <v>0</v>
      </c>
      <c r="M81" s="18" t="b">
        <v>0</v>
      </c>
      <c r="N81" s="18" t="b">
        <v>0</v>
      </c>
      <c r="O81" s="18" t="b">
        <v>1</v>
      </c>
      <c r="P81" s="18" t="b">
        <v>1</v>
      </c>
      <c r="Q81" s="18" t="b">
        <v>1</v>
      </c>
      <c r="R81" s="18" t="b">
        <v>0</v>
      </c>
      <c r="S81" s="18" t="b">
        <v>0</v>
      </c>
      <c r="T81" s="18" t="b">
        <v>0</v>
      </c>
      <c r="U81" s="18" t="b">
        <v>0</v>
      </c>
    </row>
    <row r="82" spans="1:21">
      <c r="A82" s="18">
        <f t="shared" si="17"/>
        <v>81</v>
      </c>
      <c r="B82" s="19">
        <v>12</v>
      </c>
      <c r="C82" s="18" t="str" cm="1">
        <f t="array" ref="C82">GetValue("Tbl","Alias",B82)</f>
        <v>Env</v>
      </c>
      <c r="D82" s="18">
        <v>10</v>
      </c>
      <c r="E82" s="18" t="str" cm="1">
        <f t="array" ref="E82">GetValue("Dmn","Name",D82)</f>
        <v>NVARCHAR(25)</v>
      </c>
      <c r="F82" s="18" t="str" cm="1">
        <f t="array" ref="F82">GetValue("Dmn","#CategoryName",D82)</f>
        <v>string</v>
      </c>
      <c r="G82" s="18">
        <f t="shared" si="18"/>
        <v>20</v>
      </c>
      <c r="H82" s="18" t="str" cm="1">
        <f t="array" ref="H82">GetColumnName(C82,IF(B82=B81,H81,""))</f>
        <v>Name</v>
      </c>
      <c r="I82" s="18" t="str">
        <f t="shared" si="14"/>
        <v>Name</v>
      </c>
      <c r="J82" s="18" t="str">
        <f t="shared" si="15"/>
        <v>Name</v>
      </c>
      <c r="K82" s="18" t="b">
        <v>1</v>
      </c>
      <c r="L82" s="18" t="b">
        <v>0</v>
      </c>
      <c r="M82" s="18" t="b">
        <v>0</v>
      </c>
      <c r="N82" s="18" t="b">
        <v>1</v>
      </c>
      <c r="O82" s="18" t="b">
        <v>1</v>
      </c>
      <c r="P82" s="18" t="b">
        <v>1</v>
      </c>
      <c r="Q82" s="18" t="b">
        <v>1</v>
      </c>
      <c r="R82" s="18" t="b">
        <v>1</v>
      </c>
      <c r="S82" s="18" t="b">
        <v>0</v>
      </c>
      <c r="T82" s="18" t="b">
        <v>0</v>
      </c>
      <c r="U82" s="18" t="b">
        <v>0</v>
      </c>
    </row>
    <row r="83" spans="1:21">
      <c r="A83" s="18">
        <f t="shared" si="17"/>
        <v>82</v>
      </c>
      <c r="B83" s="19">
        <v>12</v>
      </c>
      <c r="C83" s="18" t="str" cm="1">
        <f t="array" ref="C83">GetValue("Tbl","Alias",B83)</f>
        <v>Env</v>
      </c>
      <c r="D83" s="18">
        <v>11</v>
      </c>
      <c r="E83" s="18" t="str" cm="1">
        <f t="array" ref="E83">GetValue("Dmn","Name",D83)</f>
        <v>NVARCHAR(50)</v>
      </c>
      <c r="F83" s="18" t="str" cm="1">
        <f t="array" ref="F83">GetValue("Dmn","#CategoryName",D83)</f>
        <v>string</v>
      </c>
      <c r="G83" s="18">
        <f t="shared" si="18"/>
        <v>25</v>
      </c>
      <c r="H83" s="18" t="str" cm="1">
        <f t="array" ref="H83">GetColumnName(C83,IF(B83=B82,H82,""))</f>
        <v>Description</v>
      </c>
      <c r="I83" s="18" t="str">
        <f t="shared" si="14"/>
        <v>Description</v>
      </c>
      <c r="J83" s="18" t="str">
        <f t="shared" si="15"/>
        <v>Description</v>
      </c>
      <c r="K83" s="18" t="b">
        <v>0</v>
      </c>
      <c r="L83" s="18" t="b">
        <v>0</v>
      </c>
      <c r="M83" s="18" t="b">
        <v>0</v>
      </c>
      <c r="N83" s="18" t="b">
        <v>0</v>
      </c>
      <c r="O83" s="18" t="b">
        <v>1</v>
      </c>
      <c r="P83" s="18" t="b">
        <v>1</v>
      </c>
      <c r="Q83" s="18" t="b">
        <v>1</v>
      </c>
      <c r="R83" s="18" t="b">
        <v>0</v>
      </c>
      <c r="S83" s="18" t="b">
        <v>0</v>
      </c>
      <c r="T83" s="18" t="b">
        <v>0</v>
      </c>
      <c r="U83" s="18" t="b">
        <v>0</v>
      </c>
    </row>
    <row r="84" spans="1:21">
      <c r="A84" s="20">
        <f t="shared" si="17"/>
        <v>83</v>
      </c>
      <c r="B84" s="21">
        <v>13</v>
      </c>
      <c r="C84" s="20" t="str" cm="1">
        <f t="array" ref="C84">GetValue("Tbl","Alias",B84)</f>
        <v>Con</v>
      </c>
      <c r="D84" s="20">
        <v>1</v>
      </c>
      <c r="E84" s="20" t="str" cm="1">
        <f t="array" ref="E84">GetValue("Dmn","Name",D84)</f>
        <v>BigInteger</v>
      </c>
      <c r="F84" s="20" t="str" cm="1">
        <f t="array" ref="F84">GetValue("Dmn","#CategoryName",D84)</f>
        <v>number</v>
      </c>
      <c r="G84" s="20">
        <f t="shared" si="18"/>
        <v>5</v>
      </c>
      <c r="H84" s="20" t="str" cm="1">
        <f t="array" ref="H84">GetColumnName(C84,IF(B84=B83,H83,""))</f>
        <v>Id</v>
      </c>
      <c r="I84" s="20" t="str">
        <f t="shared" si="14"/>
        <v>Id</v>
      </c>
      <c r="J84" s="20" t="str">
        <f t="shared" si="15"/>
        <v>Id</v>
      </c>
      <c r="K84" s="20" t="b">
        <v>1</v>
      </c>
      <c r="L84" s="20" t="b">
        <v>1</v>
      </c>
      <c r="M84" s="20" t="b">
        <v>1</v>
      </c>
      <c r="N84" s="20" t="b">
        <v>0</v>
      </c>
      <c r="O84" s="20" t="b">
        <v>1</v>
      </c>
      <c r="P84" s="20" t="b">
        <v>0</v>
      </c>
      <c r="Q84" s="20" t="b">
        <v>0</v>
      </c>
      <c r="R84" s="20" t="b">
        <v>0</v>
      </c>
      <c r="S84" s="20" t="b">
        <v>0</v>
      </c>
      <c r="T84" s="20" t="b">
        <v>0</v>
      </c>
      <c r="U84" s="20" t="b">
        <v>0</v>
      </c>
    </row>
    <row r="85" spans="1:21">
      <c r="A85" s="20">
        <f t="shared" si="4"/>
        <v>84</v>
      </c>
      <c r="B85" s="21">
        <v>13</v>
      </c>
      <c r="C85" s="20" t="str" cm="1">
        <f t="array" ref="C85">GetValue("Tbl","Alias",B85)</f>
        <v>Con</v>
      </c>
      <c r="D85" s="20">
        <v>1</v>
      </c>
      <c r="E85" s="20" t="str" cm="1">
        <f t="array" ref="E85">GetValue("Dmn","Name",D85)</f>
        <v>BigInteger</v>
      </c>
      <c r="F85" s="20" t="str" cm="1">
        <f t="array" ref="F85">GetValue("Dmn","#CategoryName",D85)</f>
        <v>number</v>
      </c>
      <c r="G85" s="20">
        <f t="shared" si="18"/>
        <v>10</v>
      </c>
      <c r="H85" s="20" t="str" cm="1">
        <f t="array" ref="H85">GetColumnName(C85,IF(B85=B84,H84,""))</f>
        <v>DatabaseId</v>
      </c>
      <c r="I85" s="20" t="str">
        <f t="shared" si="14"/>
        <v>DatabaseId</v>
      </c>
      <c r="J85" s="20" t="str">
        <f t="shared" si="15"/>
        <v>DatabaseId</v>
      </c>
      <c r="K85" s="20" t="b">
        <v>1</v>
      </c>
      <c r="L85" s="20" t="b">
        <v>0</v>
      </c>
      <c r="M85" s="20" t="b">
        <v>0</v>
      </c>
      <c r="N85" s="20" t="b">
        <v>0</v>
      </c>
      <c r="O85" s="20" t="b">
        <v>1</v>
      </c>
      <c r="P85" s="20" t="b">
        <v>0</v>
      </c>
      <c r="Q85" s="20" t="b">
        <v>0</v>
      </c>
      <c r="R85" s="20" t="b">
        <v>0</v>
      </c>
      <c r="S85" s="20" t="b">
        <v>0</v>
      </c>
      <c r="T85" s="20" t="b">
        <v>0</v>
      </c>
      <c r="U85" s="20" t="b">
        <v>0</v>
      </c>
    </row>
    <row r="86" spans="1:21">
      <c r="A86" s="20">
        <f t="shared" si="4"/>
        <v>85</v>
      </c>
      <c r="B86" s="21">
        <v>13</v>
      </c>
      <c r="C86" s="20" t="str" cm="1">
        <f t="array" ref="C86">GetValue("Tbl","Alias",B86)</f>
        <v>Con</v>
      </c>
      <c r="D86" s="20">
        <v>10</v>
      </c>
      <c r="E86" s="20" t="str" cm="1">
        <f t="array" ref="E86">GetValue("Dmn","Name",D86)</f>
        <v>NVARCHAR(25)</v>
      </c>
      <c r="F86" s="20" t="str" cm="1">
        <f t="array" ref="F86">GetValue("Dmn","#CategoryName",D86)</f>
        <v>string</v>
      </c>
      <c r="G86" s="20">
        <f t="shared" ref="G86:G94" si="19">IF(H86="Id",5,G85+5)</f>
        <v>15</v>
      </c>
      <c r="H86" s="20" t="str" cm="1">
        <f t="array" ref="H86">GetColumnName(C86,IF(B86=B85,H85,""))</f>
        <v>Name</v>
      </c>
      <c r="I86" s="20" t="str">
        <f t="shared" si="14"/>
        <v>Name</v>
      </c>
      <c r="J86" s="20" t="str">
        <f t="shared" si="15"/>
        <v>Name</v>
      </c>
      <c r="K86" s="20" t="b">
        <v>1</v>
      </c>
      <c r="L86" s="20" t="b">
        <v>0</v>
      </c>
      <c r="M86" s="20" t="b">
        <v>0</v>
      </c>
      <c r="N86" s="20" t="b">
        <v>1</v>
      </c>
      <c r="O86" s="20" t="b">
        <v>1</v>
      </c>
      <c r="P86" s="20" t="b">
        <v>1</v>
      </c>
      <c r="Q86" s="20" t="b">
        <v>1</v>
      </c>
      <c r="R86" s="20" t="b">
        <v>0</v>
      </c>
      <c r="S86" s="20" t="b">
        <v>0</v>
      </c>
      <c r="T86" s="20" t="b">
        <v>0</v>
      </c>
      <c r="U86" s="20" t="b">
        <v>0</v>
      </c>
    </row>
    <row r="87" spans="1:21">
      <c r="A87" s="20">
        <f t="shared" si="4"/>
        <v>86</v>
      </c>
      <c r="B87" s="21">
        <v>13</v>
      </c>
      <c r="C87" s="20" t="str" cm="1">
        <f t="array" ref="C87">GetValue("Tbl","Alias",B87)</f>
        <v>Con</v>
      </c>
      <c r="D87" s="20">
        <v>6</v>
      </c>
      <c r="E87" s="20" t="str" cm="1">
        <f t="array" ref="E87">GetValue("Dmn","Name",D87)</f>
        <v>Boolean</v>
      </c>
      <c r="F87" s="20" t="str" cm="1">
        <f t="array" ref="F87">GetValue("Dmn","#CategoryName",D87)</f>
        <v>boolean</v>
      </c>
      <c r="G87" s="20">
        <f t="shared" si="19"/>
        <v>20</v>
      </c>
      <c r="H87" s="20" t="str" cm="1">
        <f t="array" ref="H87">GetColumnName(C87,IF(B87=B86,H86,""))</f>
        <v>IsActive</v>
      </c>
      <c r="I87" s="20" t="str">
        <f t="shared" si="14"/>
        <v>IsActive</v>
      </c>
      <c r="J87" s="20" t="str">
        <f t="shared" si="15"/>
        <v>IsActive</v>
      </c>
      <c r="K87" s="20" t="b">
        <v>1</v>
      </c>
      <c r="L87" s="20" t="b">
        <v>0</v>
      </c>
      <c r="M87" s="20" t="b">
        <v>0</v>
      </c>
      <c r="N87" s="20" t="b">
        <v>0</v>
      </c>
      <c r="O87" s="20" t="b">
        <v>1</v>
      </c>
      <c r="P87" s="20" t="b">
        <v>1</v>
      </c>
      <c r="Q87" s="20" t="b">
        <v>1</v>
      </c>
      <c r="R87" s="20" t="b">
        <v>0</v>
      </c>
      <c r="S87" s="20" t="b">
        <v>0</v>
      </c>
      <c r="T87" s="20" t="b">
        <v>0</v>
      </c>
      <c r="U87" s="20" t="b">
        <v>0</v>
      </c>
    </row>
    <row r="88" spans="1:21">
      <c r="A88" s="18">
        <f t="shared" si="4"/>
        <v>87</v>
      </c>
      <c r="B88" s="19">
        <v>14</v>
      </c>
      <c r="C88" s="18" t="str" cm="1">
        <f t="array" ref="C88">GetValue("Tbl","Alias",B88)</f>
        <v>Str</v>
      </c>
      <c r="D88" s="18">
        <v>1</v>
      </c>
      <c r="E88" s="18" t="str" cm="1">
        <f t="array" ref="E88">GetValue("Dmn","Name",D88)</f>
        <v>BigInteger</v>
      </c>
      <c r="F88" s="18" t="str" cm="1">
        <f t="array" ref="F88">GetValue("Dmn","#CategoryName",D88)</f>
        <v>number</v>
      </c>
      <c r="G88" s="18">
        <f t="shared" si="19"/>
        <v>5</v>
      </c>
      <c r="H88" s="18" t="str" cm="1">
        <f t="array" ref="H88">GetColumnName(C88,IF(B88=B87,H87,""))</f>
        <v>Id</v>
      </c>
      <c r="I88" s="18" t="str">
        <f t="shared" si="14"/>
        <v>Id</v>
      </c>
      <c r="J88" s="18" t="str">
        <f t="shared" si="15"/>
        <v>Id</v>
      </c>
      <c r="K88" s="18" t="b">
        <v>0</v>
      </c>
      <c r="L88" s="18" t="b">
        <v>0</v>
      </c>
      <c r="M88" s="18" t="b">
        <v>0</v>
      </c>
      <c r="N88" s="18" t="b">
        <v>0</v>
      </c>
      <c r="O88" s="18" t="b">
        <v>1</v>
      </c>
      <c r="P88" s="18" t="b">
        <v>1</v>
      </c>
      <c r="Q88" s="18" t="b">
        <v>1</v>
      </c>
      <c r="R88" s="18" t="b">
        <v>0</v>
      </c>
      <c r="S88" s="18" t="b">
        <v>0</v>
      </c>
      <c r="T88" s="18" t="b">
        <v>0</v>
      </c>
      <c r="U88" s="18" t="b">
        <v>0</v>
      </c>
    </row>
    <row r="89" spans="1:21">
      <c r="A89" s="18">
        <f t="shared" si="4"/>
        <v>88</v>
      </c>
      <c r="B89" s="19">
        <v>14</v>
      </c>
      <c r="C89" s="18" t="str" cm="1">
        <f t="array" ref="C89">GetValue("Tbl","Alias",B89)</f>
        <v>Str</v>
      </c>
      <c r="D89" s="18">
        <v>1</v>
      </c>
      <c r="E89" s="18" t="str" cm="1">
        <f t="array" ref="E89">GetValue("Dmn","Name",D89)</f>
        <v>BigInteger</v>
      </c>
      <c r="F89" s="18" t="str" cm="1">
        <f t="array" ref="F89">GetValue("Dmn","#CategoryName",D89)</f>
        <v>number</v>
      </c>
      <c r="G89" s="18">
        <f t="shared" si="19"/>
        <v>10</v>
      </c>
      <c r="H89" s="18" t="str" cm="1">
        <f t="array" ref="H89">GetColumnName(C89,IF(B89=B88,H88,""))</f>
        <v>ConnectionId</v>
      </c>
      <c r="I89" s="18" t="str">
        <f t="shared" si="14"/>
        <v>ConnectionId</v>
      </c>
      <c r="J89" s="18" t="str">
        <f t="shared" si="15"/>
        <v>ConnectionId</v>
      </c>
      <c r="K89" s="18" t="b">
        <v>1</v>
      </c>
      <c r="L89" s="18" t="b">
        <v>0</v>
      </c>
      <c r="M89" s="18" t="b">
        <v>0</v>
      </c>
      <c r="N89" s="18" t="b">
        <v>0</v>
      </c>
      <c r="O89" s="18" t="b">
        <v>1</v>
      </c>
      <c r="P89" s="18" t="b">
        <v>1</v>
      </c>
      <c r="Q89" s="18" t="b">
        <v>1</v>
      </c>
      <c r="R89" s="18" t="b">
        <v>0</v>
      </c>
      <c r="S89" s="18" t="b">
        <v>0</v>
      </c>
      <c r="T89" s="18" t="b">
        <v>0</v>
      </c>
      <c r="U89" s="18" t="b">
        <v>0</v>
      </c>
    </row>
    <row r="90" spans="1:21">
      <c r="A90" s="18">
        <f t="shared" si="4"/>
        <v>89</v>
      </c>
      <c r="B90" s="19">
        <v>14</v>
      </c>
      <c r="C90" s="18" t="str" cm="1">
        <f t="array" ref="C90">GetValue("Tbl","Alias",B90)</f>
        <v>Str</v>
      </c>
      <c r="D90" s="18">
        <v>5</v>
      </c>
      <c r="E90" s="18" t="str" cm="1">
        <f t="array" ref="E90">GetValue("Dmn","Name",D90)</f>
        <v>TinyInteger</v>
      </c>
      <c r="F90" s="18" t="str" cm="1">
        <f t="array" ref="F90">GetValue("Dmn","#CategoryName",D90)</f>
        <v>number</v>
      </c>
      <c r="G90" s="18">
        <f t="shared" si="19"/>
        <v>15</v>
      </c>
      <c r="H90" s="18" t="str" cm="1">
        <f t="array" ref="H90">GetColumnName(C90,IF(B90=B89,H89,""))</f>
        <v>EnvironmentId</v>
      </c>
      <c r="I90" s="18" t="str">
        <f t="shared" si="14"/>
        <v>EnvironmentId</v>
      </c>
      <c r="J90" s="18" t="str">
        <f t="shared" si="15"/>
        <v>EnvironmentId</v>
      </c>
      <c r="K90" s="18" t="b">
        <v>0</v>
      </c>
      <c r="L90" s="18" t="b">
        <v>0</v>
      </c>
      <c r="M90" s="18" t="b">
        <v>0</v>
      </c>
      <c r="N90" s="18" t="b">
        <v>0</v>
      </c>
      <c r="O90" s="18" t="b">
        <v>1</v>
      </c>
      <c r="P90" s="18" t="b">
        <v>1</v>
      </c>
      <c r="Q90" s="18" t="b">
        <v>1</v>
      </c>
      <c r="R90" s="18" t="b">
        <v>0</v>
      </c>
      <c r="S90" s="18" t="b">
        <v>0</v>
      </c>
      <c r="T90" s="18" t="b">
        <v>0</v>
      </c>
      <c r="U90" s="18" t="b">
        <v>0</v>
      </c>
    </row>
    <row r="91" spans="1:21">
      <c r="A91" s="18">
        <f t="shared" si="4"/>
        <v>90</v>
      </c>
      <c r="B91" s="19">
        <v>14</v>
      </c>
      <c r="C91" s="18" t="str" cm="1">
        <f t="array" ref="C91">GetValue("Tbl","Alias",B91)</f>
        <v>Str</v>
      </c>
      <c r="D91" s="18">
        <v>13</v>
      </c>
      <c r="E91" s="18" t="str" cm="1">
        <f t="array" ref="E91">GetValue("Dmn","Name",D91)</f>
        <v>NVARCHAR(max)</v>
      </c>
      <c r="F91" s="18" t="str" cm="1">
        <f t="array" ref="F91">GetValue("Dmn","#CategoryName",D91)</f>
        <v>text</v>
      </c>
      <c r="G91" s="18">
        <f t="shared" ref="G91:G92" si="20">IF(H91="Id",5,G90+5)</f>
        <v>20</v>
      </c>
      <c r="H91" s="18" t="str" cm="1">
        <f t="array" ref="H91">GetColumnName(C91,IF(B91=B90,H90,""))</f>
        <v>Directory</v>
      </c>
      <c r="I91" s="18" t="str">
        <f t="shared" ref="I91:I92" si="21">H91</f>
        <v>Directory</v>
      </c>
      <c r="J91" s="18" t="str">
        <f t="shared" ref="J91:J92" si="22">H91</f>
        <v>Directory</v>
      </c>
      <c r="K91" s="18" t="b">
        <v>1</v>
      </c>
      <c r="L91" s="18" t="b">
        <v>0</v>
      </c>
      <c r="M91" s="18" t="b">
        <v>0</v>
      </c>
      <c r="N91" s="18" t="b">
        <v>0</v>
      </c>
      <c r="O91" s="18" t="b">
        <v>1</v>
      </c>
      <c r="P91" s="18" t="b">
        <v>1</v>
      </c>
      <c r="Q91" s="18" t="b">
        <v>1</v>
      </c>
      <c r="R91" s="18" t="b">
        <v>0</v>
      </c>
      <c r="S91" s="18" t="b">
        <v>0</v>
      </c>
      <c r="T91" s="18" t="b">
        <v>0</v>
      </c>
      <c r="U91" s="18" t="b">
        <v>0</v>
      </c>
    </row>
    <row r="92" spans="1:21">
      <c r="A92" s="18">
        <f t="shared" si="4"/>
        <v>91</v>
      </c>
      <c r="B92" s="19">
        <v>14</v>
      </c>
      <c r="C92" s="18" t="str" cm="1">
        <f t="array" ref="C92">GetValue("Tbl","Alias",B92)</f>
        <v>Str</v>
      </c>
      <c r="D92" s="18">
        <v>13</v>
      </c>
      <c r="E92" s="18" t="str" cm="1">
        <f t="array" ref="E92">GetValue("Dmn","Name",D92)</f>
        <v>NVARCHAR(max)</v>
      </c>
      <c r="F92" s="18" t="str" cm="1">
        <f t="array" ref="F92">GetValue("Dmn","#CategoryName",D92)</f>
        <v>text</v>
      </c>
      <c r="G92" s="18">
        <f t="shared" si="20"/>
        <v>25</v>
      </c>
      <c r="H92" s="18" t="str" cm="1">
        <f t="array" ref="H92">GetColumnName(C92,IF(B92=B91,H91,""))</f>
        <v>ConnectionString</v>
      </c>
      <c r="I92" s="18" t="str">
        <f t="shared" si="21"/>
        <v>ConnectionString</v>
      </c>
      <c r="J92" s="18" t="str">
        <f t="shared" si="22"/>
        <v>ConnectionString</v>
      </c>
      <c r="K92" s="18" t="b">
        <v>0</v>
      </c>
      <c r="L92" s="18" t="b">
        <v>0</v>
      </c>
      <c r="M92" s="18" t="b">
        <v>0</v>
      </c>
      <c r="N92" s="18" t="b">
        <v>0</v>
      </c>
      <c r="O92" s="18" t="b">
        <v>1</v>
      </c>
      <c r="P92" s="18" t="b">
        <v>1</v>
      </c>
      <c r="Q92" s="18" t="b">
        <v>1</v>
      </c>
      <c r="R92" s="18" t="b">
        <v>0</v>
      </c>
      <c r="S92" s="18" t="b">
        <v>0</v>
      </c>
      <c r="T92" s="18" t="b">
        <v>0</v>
      </c>
      <c r="U92" s="18" t="b">
        <v>0</v>
      </c>
    </row>
    <row r="93" spans="1:21">
      <c r="A93" s="20">
        <f t="shared" si="4"/>
        <v>92</v>
      </c>
      <c r="B93" s="21">
        <v>15</v>
      </c>
      <c r="C93" s="20" t="str" cm="1">
        <f t="array" ref="C93">GetValue("Tbl","Alias",B93)</f>
        <v>Sys</v>
      </c>
      <c r="D93" s="20">
        <v>1</v>
      </c>
      <c r="E93" s="20" t="str" cm="1">
        <f t="array" ref="E93">GetValue("Dmn","Name",D93)</f>
        <v>BigInteger</v>
      </c>
      <c r="F93" s="20" t="str" cm="1">
        <f t="array" ref="F93">GetValue("Dmn","#CategoryName",D93)</f>
        <v>number</v>
      </c>
      <c r="G93" s="20">
        <f t="shared" si="19"/>
        <v>5</v>
      </c>
      <c r="H93" s="20" t="str" cm="1">
        <f t="array" ref="H93">GetColumnName(C93,IF(B93=B92,H92,""))</f>
        <v>Id</v>
      </c>
      <c r="I93" s="20" t="str">
        <f t="shared" si="14"/>
        <v>Id</v>
      </c>
      <c r="J93" s="20" t="str">
        <f t="shared" si="15"/>
        <v>Id</v>
      </c>
      <c r="K93" s="20" t="b">
        <v>1</v>
      </c>
      <c r="L93" s="20" t="b">
        <v>1</v>
      </c>
      <c r="M93" s="20" t="b">
        <v>1</v>
      </c>
      <c r="N93" s="20" t="b">
        <v>0</v>
      </c>
      <c r="O93" s="20" t="b">
        <v>1</v>
      </c>
      <c r="P93" s="20" t="b">
        <v>0</v>
      </c>
      <c r="Q93" s="20" t="b">
        <v>0</v>
      </c>
      <c r="R93" s="20" t="b">
        <v>0</v>
      </c>
      <c r="S93" s="20" t="b">
        <v>0</v>
      </c>
      <c r="T93" s="20" t="b">
        <v>0</v>
      </c>
      <c r="U93" s="20" t="b">
        <v>0</v>
      </c>
    </row>
    <row r="94" spans="1:21">
      <c r="A94" s="20">
        <f t="shared" si="4"/>
        <v>93</v>
      </c>
      <c r="B94" s="21">
        <v>15</v>
      </c>
      <c r="C94" s="20" t="str" cm="1">
        <f t="array" ref="C94">GetValue("Tbl","Alias",B94)</f>
        <v>Sys</v>
      </c>
      <c r="D94" s="20">
        <v>1</v>
      </c>
      <c r="E94" s="20" t="str" cm="1">
        <f t="array" ref="E94">GetValue("Dmn","Name",D94)</f>
        <v>BigInteger</v>
      </c>
      <c r="F94" s="20" t="str" cm="1">
        <f t="array" ref="F94">GetValue("Dmn","#CategoryName",D94)</f>
        <v>number</v>
      </c>
      <c r="G94" s="20">
        <f t="shared" si="19"/>
        <v>10</v>
      </c>
      <c r="H94" s="20" t="str" cm="1">
        <f t="array" ref="H94">GetColumnName(C94,IF(B94=B93,H93,""))</f>
        <v>DatabaseId</v>
      </c>
      <c r="I94" s="20" t="str">
        <f t="shared" si="14"/>
        <v>DatabaseId</v>
      </c>
      <c r="J94" s="20" t="str">
        <f t="shared" si="15"/>
        <v>DatabaseId</v>
      </c>
      <c r="K94" s="20" t="b">
        <v>1</v>
      </c>
      <c r="L94" s="20" t="b">
        <v>0</v>
      </c>
      <c r="M94" s="20" t="b">
        <v>0</v>
      </c>
      <c r="N94" s="20" t="b">
        <v>0</v>
      </c>
      <c r="O94" s="20" t="b">
        <v>1</v>
      </c>
      <c r="P94" s="20" t="b">
        <v>0</v>
      </c>
      <c r="Q94" s="20" t="b">
        <v>0</v>
      </c>
      <c r="R94" s="20" t="b">
        <v>0</v>
      </c>
      <c r="S94" s="20" t="b">
        <v>0</v>
      </c>
      <c r="T94" s="20" t="b">
        <v>0</v>
      </c>
      <c r="U94" s="20" t="b">
        <v>0</v>
      </c>
    </row>
    <row r="95" spans="1:21">
      <c r="A95" s="20">
        <f t="shared" si="4"/>
        <v>94</v>
      </c>
      <c r="B95" s="21">
        <v>15</v>
      </c>
      <c r="C95" s="20" t="str" cm="1">
        <f t="array" ref="C95">GetValue("Tbl","Alias",B95)</f>
        <v>Sys</v>
      </c>
      <c r="D95" s="20">
        <v>10</v>
      </c>
      <c r="E95" s="20" t="str" cm="1">
        <f t="array" ref="E95">GetValue("Dmn","Name",D95)</f>
        <v>NVARCHAR(25)</v>
      </c>
      <c r="F95" s="20" t="str" cm="1">
        <f t="array" ref="F95">GetValue("Dmn","#CategoryName",D95)</f>
        <v>string</v>
      </c>
      <c r="G95" s="20">
        <f t="shared" si="16"/>
        <v>15</v>
      </c>
      <c r="H95" s="20" t="str" cm="1">
        <f t="array" ref="H95">GetColumnName(C95,IF(B95=B94,H94,""))</f>
        <v>Prefix</v>
      </c>
      <c r="I95" s="20" t="str">
        <f t="shared" si="14"/>
        <v>Prefix</v>
      </c>
      <c r="J95" s="20" t="str">
        <f t="shared" si="15"/>
        <v>Prefix</v>
      </c>
      <c r="K95" s="20" t="b">
        <v>0</v>
      </c>
      <c r="L95" s="20" t="b">
        <v>0</v>
      </c>
      <c r="M95" s="20" t="b">
        <v>0</v>
      </c>
      <c r="N95" s="20" t="b">
        <v>0</v>
      </c>
      <c r="O95" s="20" t="b">
        <v>1</v>
      </c>
      <c r="P95" s="20" t="b">
        <v>1</v>
      </c>
      <c r="Q95" s="20" t="b">
        <v>1</v>
      </c>
      <c r="R95" s="20" t="b">
        <v>0</v>
      </c>
      <c r="S95" s="20" t="b">
        <v>0</v>
      </c>
      <c r="T95" s="20" t="b">
        <v>0</v>
      </c>
      <c r="U95" s="20" t="b">
        <v>0</v>
      </c>
    </row>
    <row r="96" spans="1:21">
      <c r="A96" s="20">
        <f t="shared" si="4"/>
        <v>95</v>
      </c>
      <c r="B96" s="21">
        <v>15</v>
      </c>
      <c r="C96" s="20" t="str" cm="1">
        <f t="array" ref="C96">GetValue("Tbl","Alias",B96)</f>
        <v>Sys</v>
      </c>
      <c r="D96" s="20">
        <v>10</v>
      </c>
      <c r="E96" s="20" t="str" cm="1">
        <f t="array" ref="E96">GetValue("Dmn","Name",D96)</f>
        <v>NVARCHAR(25)</v>
      </c>
      <c r="F96" s="20" t="str" cm="1">
        <f t="array" ref="F96">GetValue("Dmn","#CategoryName",D96)</f>
        <v>string</v>
      </c>
      <c r="G96" s="20">
        <f t="shared" si="16"/>
        <v>20</v>
      </c>
      <c r="H96" s="20" t="str" cm="1">
        <f t="array" ref="H96">GetColumnName(C96,IF(B96=B95,H95,""))</f>
        <v>Name</v>
      </c>
      <c r="I96" s="20" t="str">
        <f t="shared" si="14"/>
        <v>Name</v>
      </c>
      <c r="J96" s="20" t="str">
        <f t="shared" si="15"/>
        <v>Name</v>
      </c>
      <c r="K96" s="20" t="b">
        <v>1</v>
      </c>
      <c r="L96" s="20" t="b">
        <v>0</v>
      </c>
      <c r="M96" s="20" t="b">
        <v>0</v>
      </c>
      <c r="N96" s="20" t="b">
        <v>0</v>
      </c>
      <c r="O96" s="20" t="b">
        <v>1</v>
      </c>
      <c r="P96" s="20" t="b">
        <v>1</v>
      </c>
      <c r="Q96" s="20" t="b">
        <v>1</v>
      </c>
      <c r="R96" s="20" t="b">
        <v>1</v>
      </c>
      <c r="S96" s="20" t="b">
        <v>0</v>
      </c>
      <c r="T96" s="20" t="b">
        <v>0</v>
      </c>
      <c r="U96" s="20" t="b">
        <v>0</v>
      </c>
    </row>
    <row r="97" spans="1:21">
      <c r="A97" s="20">
        <f t="shared" ref="A97:A237" si="23">ROW(A97)-1</f>
        <v>96</v>
      </c>
      <c r="B97" s="21">
        <v>15</v>
      </c>
      <c r="C97" s="20" t="str" cm="1">
        <f t="array" ref="C97">GetValue("Tbl","Alias",B97)</f>
        <v>Sys</v>
      </c>
      <c r="D97" s="20">
        <v>11</v>
      </c>
      <c r="E97" s="20" t="str" cm="1">
        <f t="array" ref="E97">GetValue("Dmn","Name",D97)</f>
        <v>NVARCHAR(50)</v>
      </c>
      <c r="F97" s="20" t="str" cm="1">
        <f t="array" ref="F97">GetValue("Dmn","#CategoryName",D97)</f>
        <v>string</v>
      </c>
      <c r="G97" s="20">
        <f t="shared" si="16"/>
        <v>25</v>
      </c>
      <c r="H97" s="20" t="str" cm="1">
        <f t="array" ref="H97">GetColumnName(C97,IF(B97=B96,H96,""))</f>
        <v>Description</v>
      </c>
      <c r="I97" s="20" t="str">
        <f t="shared" si="14"/>
        <v>Description</v>
      </c>
      <c r="J97" s="20" t="str">
        <f t="shared" si="15"/>
        <v>Description</v>
      </c>
      <c r="K97" s="20" t="b">
        <v>1</v>
      </c>
      <c r="L97" s="20" t="b">
        <v>0</v>
      </c>
      <c r="M97" s="20" t="b">
        <v>0</v>
      </c>
      <c r="N97" s="20" t="b">
        <v>0</v>
      </c>
      <c r="O97" s="20" t="b">
        <v>0</v>
      </c>
      <c r="P97" s="20" t="b">
        <v>1</v>
      </c>
      <c r="Q97" s="20" t="b">
        <v>1</v>
      </c>
      <c r="R97" s="20" t="b">
        <v>0</v>
      </c>
      <c r="S97" s="20" t="b">
        <v>0</v>
      </c>
      <c r="T97" s="20" t="b">
        <v>0</v>
      </c>
      <c r="U97" s="20" t="b">
        <v>0</v>
      </c>
    </row>
    <row r="98" spans="1:21">
      <c r="A98" s="20">
        <f t="shared" si="23"/>
        <v>97</v>
      </c>
      <c r="B98" s="21">
        <v>15</v>
      </c>
      <c r="C98" s="20" t="str" cm="1">
        <f t="array" ref="C98">GetValue("Tbl","Alias",B98)</f>
        <v>Sys</v>
      </c>
      <c r="D98" s="20">
        <v>5</v>
      </c>
      <c r="E98" s="20" t="str" cm="1">
        <f t="array" ref="E98">GetValue("Dmn","Name",D98)</f>
        <v>TinyInteger</v>
      </c>
      <c r="F98" s="20" t="str" cm="1">
        <f t="array" ref="F98">GetValue("Dmn","#CategoryName",D98)</f>
        <v>number</v>
      </c>
      <c r="G98" s="20">
        <f t="shared" si="16"/>
        <v>30</v>
      </c>
      <c r="H98" s="20" t="str" cm="1">
        <f t="array" ref="H98">GetColumnName(C98,IF(B98=B97,H97,""))</f>
        <v>MaxRetryLogins</v>
      </c>
      <c r="I98" s="20" t="str">
        <f t="shared" si="14"/>
        <v>MaxRetryLogins</v>
      </c>
      <c r="J98" s="20" t="str">
        <f t="shared" si="15"/>
        <v>MaxRetryLogins</v>
      </c>
      <c r="K98" s="20" t="b">
        <v>1</v>
      </c>
      <c r="L98" s="20" t="b">
        <v>0</v>
      </c>
      <c r="M98" s="20" t="b">
        <v>0</v>
      </c>
      <c r="N98" s="20" t="b">
        <v>0</v>
      </c>
      <c r="O98" s="20" t="b">
        <v>0</v>
      </c>
      <c r="P98" s="20" t="b">
        <v>1</v>
      </c>
      <c r="Q98" s="20" t="b">
        <v>1</v>
      </c>
      <c r="R98" s="20" t="b">
        <v>0</v>
      </c>
      <c r="S98" s="20" t="b">
        <v>0</v>
      </c>
      <c r="T98" s="20" t="b">
        <v>0</v>
      </c>
      <c r="U98" s="20" t="b">
        <v>0</v>
      </c>
    </row>
    <row r="99" spans="1:21">
      <c r="A99" s="20">
        <f t="shared" si="23"/>
        <v>98</v>
      </c>
      <c r="B99" s="21">
        <v>15</v>
      </c>
      <c r="C99" s="20" t="str" cm="1">
        <f t="array" ref="C99">GetValue("Tbl","Alias",B99)</f>
        <v>Sys</v>
      </c>
      <c r="D99" s="20">
        <v>6</v>
      </c>
      <c r="E99" s="20" t="str" cm="1">
        <f t="array" ref="E99">GetValue("Dmn","Name",D99)</f>
        <v>Boolean</v>
      </c>
      <c r="F99" s="20" t="str" cm="1">
        <f t="array" ref="F99">GetValue("Dmn","#CategoryName",D99)</f>
        <v>boolean</v>
      </c>
      <c r="G99" s="20">
        <f t="shared" si="16"/>
        <v>35</v>
      </c>
      <c r="H99" s="20" t="str" cm="1">
        <f t="array" ref="H99">GetColumnName(C99,IF(B99=B98,H98,""))</f>
        <v>IsActive</v>
      </c>
      <c r="I99" s="20" t="str">
        <f t="shared" si="14"/>
        <v>IsActive</v>
      </c>
      <c r="J99" s="20" t="str">
        <f t="shared" si="15"/>
        <v>IsActive</v>
      </c>
      <c r="K99" s="20" t="b">
        <v>0</v>
      </c>
      <c r="L99" s="20" t="b">
        <v>0</v>
      </c>
      <c r="M99" s="20" t="b">
        <v>0</v>
      </c>
      <c r="N99" s="20" t="b">
        <v>0</v>
      </c>
      <c r="O99" s="20" t="b">
        <v>1</v>
      </c>
      <c r="P99" s="20" t="b">
        <v>1</v>
      </c>
      <c r="Q99" s="20" t="b">
        <v>1</v>
      </c>
      <c r="R99" s="20" t="b">
        <v>0</v>
      </c>
      <c r="S99" s="20" t="b">
        <v>0</v>
      </c>
      <c r="T99" s="20" t="b">
        <v>0</v>
      </c>
      <c r="U99" s="20" t="b">
        <v>0</v>
      </c>
    </row>
    <row r="100" spans="1:21">
      <c r="A100" s="18">
        <f t="shared" si="23"/>
        <v>99</v>
      </c>
      <c r="B100" s="19">
        <v>16</v>
      </c>
      <c r="C100" s="18" t="str" cm="1">
        <f t="array" ref="C100">GetValue("Tbl","Alias",B100)</f>
        <v>Mnu</v>
      </c>
      <c r="D100" s="18">
        <v>1</v>
      </c>
      <c r="E100" s="18" t="str" cm="1">
        <f t="array" ref="E100">GetValue("Dmn","Name",D100)</f>
        <v>BigInteger</v>
      </c>
      <c r="F100" s="18" t="str" cm="1">
        <f t="array" ref="F100">GetValue("Dmn","#CategoryName",D100)</f>
        <v>number</v>
      </c>
      <c r="G100" s="18">
        <f t="shared" si="16"/>
        <v>5</v>
      </c>
      <c r="H100" s="18" t="str" cm="1">
        <f t="array" ref="H100">GetColumnName(C100,IF(B100=B99,H99,""))</f>
        <v>Id</v>
      </c>
      <c r="I100" s="18" t="str">
        <f t="shared" si="14"/>
        <v>Id</v>
      </c>
      <c r="J100" s="18" t="str">
        <f t="shared" si="15"/>
        <v>Id</v>
      </c>
      <c r="K100" s="18" t="b">
        <v>1</v>
      </c>
      <c r="L100" s="18" t="b">
        <v>1</v>
      </c>
      <c r="M100" s="18" t="b">
        <v>1</v>
      </c>
      <c r="N100" s="18" t="b">
        <v>0</v>
      </c>
      <c r="O100" s="18" t="b">
        <v>1</v>
      </c>
      <c r="P100" s="18" t="b">
        <v>0</v>
      </c>
      <c r="Q100" s="18" t="b">
        <v>0</v>
      </c>
      <c r="R100" s="18" t="b">
        <v>0</v>
      </c>
      <c r="S100" s="18" t="b">
        <v>0</v>
      </c>
      <c r="T100" s="18" t="b">
        <v>0</v>
      </c>
      <c r="U100" s="18" t="b">
        <v>0</v>
      </c>
    </row>
    <row r="101" spans="1:21">
      <c r="A101" s="18">
        <f t="shared" si="23"/>
        <v>100</v>
      </c>
      <c r="B101" s="19">
        <v>16</v>
      </c>
      <c r="C101" s="18" t="str" cm="1">
        <f t="array" ref="C101">GetValue("Tbl","Alias",B101)</f>
        <v>Mnu</v>
      </c>
      <c r="D101" s="18">
        <v>1</v>
      </c>
      <c r="E101" s="18" t="str" cm="1">
        <f t="array" ref="E101">GetValue("Dmn","Name",D101)</f>
        <v>BigInteger</v>
      </c>
      <c r="F101" s="18" t="str" cm="1">
        <f t="array" ref="F101">GetValue("Dmn","#CategoryName",D101)</f>
        <v>number</v>
      </c>
      <c r="G101" s="18">
        <f t="shared" si="16"/>
        <v>10</v>
      </c>
      <c r="H101" s="18" t="str" cm="1">
        <f t="array" ref="H101">GetColumnName(C101,IF(B101=B100,H100,""))</f>
        <v>SystemId</v>
      </c>
      <c r="I101" s="18" t="str">
        <f t="shared" si="14"/>
        <v>SystemId</v>
      </c>
      <c r="J101" s="18" t="str">
        <f t="shared" si="15"/>
        <v>SystemId</v>
      </c>
      <c r="K101" s="18" t="b">
        <v>1</v>
      </c>
      <c r="L101" s="18" t="b">
        <v>0</v>
      </c>
      <c r="M101" s="18" t="b">
        <v>0</v>
      </c>
      <c r="N101" s="18" t="b">
        <v>0</v>
      </c>
      <c r="O101" s="18" t="b">
        <v>1</v>
      </c>
      <c r="P101" s="18" t="b">
        <v>1</v>
      </c>
      <c r="Q101" s="18" t="b">
        <v>1</v>
      </c>
      <c r="R101" s="18" t="b">
        <v>0</v>
      </c>
      <c r="S101" s="18" t="b">
        <v>0</v>
      </c>
      <c r="T101" s="18" t="b">
        <v>0</v>
      </c>
      <c r="U101" s="18" t="b">
        <v>0</v>
      </c>
    </row>
    <row r="102" spans="1:21">
      <c r="A102" s="18">
        <f>ROW(A102)-1</f>
        <v>101</v>
      </c>
      <c r="B102" s="19">
        <v>16</v>
      </c>
      <c r="C102" s="18" t="str" cm="1">
        <f t="array" ref="C102">GetValue("Tbl","Alias",B102)</f>
        <v>Mnu</v>
      </c>
      <c r="D102" s="18">
        <v>1</v>
      </c>
      <c r="E102" s="18" t="str" cm="1">
        <f t="array" ref="E102">GetValue("Dmn","Name",D102)</f>
        <v>BigInteger</v>
      </c>
      <c r="F102" s="18" t="str" cm="1">
        <f t="array" ref="F102">GetValue("Dmn","#CategoryName",D102)</f>
        <v>number</v>
      </c>
      <c r="G102" s="18">
        <f t="shared" si="16"/>
        <v>15</v>
      </c>
      <c r="H102" s="18" t="str" cm="1">
        <f t="array" ref="H102">GetColumnName(C102,IF(B102=B101,H101,""))</f>
        <v>ParentMenuId</v>
      </c>
      <c r="I102" s="18" t="str">
        <f t="shared" si="14"/>
        <v>ParentMenuId</v>
      </c>
      <c r="J102" s="18" t="str">
        <f t="shared" si="15"/>
        <v>ParentMenuId</v>
      </c>
      <c r="K102" s="18" t="b">
        <v>0</v>
      </c>
      <c r="L102" s="18" t="b">
        <v>0</v>
      </c>
      <c r="M102" s="18" t="b">
        <v>0</v>
      </c>
      <c r="N102" s="18" t="b">
        <v>0</v>
      </c>
      <c r="O102" s="18" t="b">
        <v>0</v>
      </c>
      <c r="P102" s="18" t="b">
        <v>1</v>
      </c>
      <c r="Q102" s="18" t="b">
        <v>0</v>
      </c>
      <c r="R102" s="18" t="b">
        <v>0</v>
      </c>
      <c r="S102" s="18" t="b">
        <v>0</v>
      </c>
      <c r="T102" s="18" t="b">
        <v>0</v>
      </c>
      <c r="U102" s="18" t="b">
        <v>0</v>
      </c>
    </row>
    <row r="103" spans="1:21">
      <c r="A103" s="18">
        <f t="shared" si="23"/>
        <v>102</v>
      </c>
      <c r="B103" s="19">
        <v>16</v>
      </c>
      <c r="C103" s="18" t="str" cm="1">
        <f t="array" ref="C103">GetValue("Tbl","Alias",B103)</f>
        <v>Mnu</v>
      </c>
      <c r="D103" s="18">
        <v>4</v>
      </c>
      <c r="E103" s="18" t="str" cm="1">
        <f t="array" ref="E103">GetValue("Dmn","Name",D103)</f>
        <v>SmallInteger</v>
      </c>
      <c r="F103" s="18" t="str" cm="1">
        <f t="array" ref="F103">GetValue("Dmn","#CategoryName",D103)</f>
        <v>number</v>
      </c>
      <c r="G103" s="18">
        <f t="shared" si="16"/>
        <v>20</v>
      </c>
      <c r="H103" s="18" t="str" cm="1">
        <f t="array" ref="H103">GetColumnName(C103,IF(B103=B102,H102,""))</f>
        <v>Sequence</v>
      </c>
      <c r="I103" s="18" t="str">
        <f t="shared" si="14"/>
        <v>Sequence</v>
      </c>
      <c r="J103" s="18" t="str">
        <f t="shared" si="15"/>
        <v>Sequence</v>
      </c>
      <c r="K103" s="18" t="b">
        <v>1</v>
      </c>
      <c r="L103" s="18" t="b">
        <v>0</v>
      </c>
      <c r="M103" s="18" t="b">
        <v>0</v>
      </c>
      <c r="N103" s="18" t="b">
        <v>0</v>
      </c>
      <c r="O103" s="18" t="b">
        <v>0</v>
      </c>
      <c r="P103" s="18" t="b">
        <v>1</v>
      </c>
      <c r="Q103" s="18" t="b">
        <v>1</v>
      </c>
      <c r="R103" s="18" t="b">
        <v>0</v>
      </c>
      <c r="S103" s="18" t="b">
        <v>0</v>
      </c>
      <c r="T103" s="18" t="b">
        <v>0</v>
      </c>
      <c r="U103" s="18" t="b">
        <v>0</v>
      </c>
    </row>
    <row r="104" spans="1:21">
      <c r="A104" s="18">
        <f t="shared" si="23"/>
        <v>103</v>
      </c>
      <c r="B104" s="19">
        <v>16</v>
      </c>
      <c r="C104" s="18" t="str" cm="1">
        <f t="array" ref="C104">GetValue("Tbl","Alias",B104)</f>
        <v>Mnu</v>
      </c>
      <c r="D104" s="18">
        <v>9</v>
      </c>
      <c r="E104" s="18" t="str" cm="1">
        <f t="array" ref="E104">GetValue("Dmn","Name",D104)</f>
        <v>NVARCHAR(20)</v>
      </c>
      <c r="F104" s="18" t="str" cm="1">
        <f t="array" ref="F104">GetValue("Dmn","#CategoryName",D104)</f>
        <v>string</v>
      </c>
      <c r="G104" s="18">
        <f t="shared" si="16"/>
        <v>25</v>
      </c>
      <c r="H104" s="18" t="str" cm="1">
        <f t="array" ref="H104">GetColumnName(C104,IF(B104=B103,H103,""))</f>
        <v>Caption</v>
      </c>
      <c r="I104" s="18" t="str">
        <f t="shared" si="14"/>
        <v>Caption</v>
      </c>
      <c r="J104" s="18" t="str">
        <f t="shared" si="15"/>
        <v>Caption</v>
      </c>
      <c r="K104" s="18" t="b">
        <v>1</v>
      </c>
      <c r="L104" s="18" t="b">
        <v>0</v>
      </c>
      <c r="M104" s="18" t="b">
        <v>0</v>
      </c>
      <c r="N104" s="18" t="b">
        <v>0</v>
      </c>
      <c r="O104" s="18" t="b">
        <v>1</v>
      </c>
      <c r="P104" s="18" t="b">
        <v>1</v>
      </c>
      <c r="Q104" s="18" t="b">
        <v>1</v>
      </c>
      <c r="R104" s="18" t="b">
        <v>0</v>
      </c>
      <c r="S104" s="18" t="b">
        <v>0</v>
      </c>
      <c r="T104" s="18" t="b">
        <v>0</v>
      </c>
      <c r="U104" s="18" t="b">
        <v>0</v>
      </c>
    </row>
    <row r="105" spans="1:21">
      <c r="A105" s="18">
        <f t="shared" si="23"/>
        <v>104</v>
      </c>
      <c r="B105" s="19">
        <v>16</v>
      </c>
      <c r="C105" s="18" t="str" cm="1">
        <f t="array" ref="C105">GetValue("Tbl","Alias",B105)</f>
        <v>Mnu</v>
      </c>
      <c r="D105" s="18">
        <v>11</v>
      </c>
      <c r="E105" s="18" t="str" cm="1">
        <f t="array" ref="E105">GetValue("Dmn","Name",D105)</f>
        <v>NVARCHAR(50)</v>
      </c>
      <c r="F105" s="18" t="str" cm="1">
        <f t="array" ref="F105">GetValue("Dmn","#CategoryName",D105)</f>
        <v>string</v>
      </c>
      <c r="G105" s="18">
        <f t="shared" si="16"/>
        <v>30</v>
      </c>
      <c r="H105" s="18" t="str" cm="1">
        <f t="array" ref="H105">GetColumnName(C105,IF(B105=B104,H104,""))</f>
        <v>Message</v>
      </c>
      <c r="I105" s="18" t="str">
        <f t="shared" si="14"/>
        <v>Message</v>
      </c>
      <c r="J105" s="18" t="str">
        <f t="shared" si="15"/>
        <v>Message</v>
      </c>
      <c r="K105" s="18" t="b">
        <v>1</v>
      </c>
      <c r="L105" s="18" t="b">
        <v>0</v>
      </c>
      <c r="M105" s="18" t="b">
        <v>0</v>
      </c>
      <c r="N105" s="18" t="b">
        <v>0</v>
      </c>
      <c r="O105" s="18" t="b">
        <v>0</v>
      </c>
      <c r="P105" s="18" t="b">
        <v>1</v>
      </c>
      <c r="Q105" s="18" t="b">
        <v>1</v>
      </c>
      <c r="R105" s="18" t="b">
        <v>0</v>
      </c>
      <c r="S105" s="18" t="b">
        <v>0</v>
      </c>
      <c r="T105" s="18" t="b">
        <v>0</v>
      </c>
      <c r="U105" s="18" t="b">
        <v>0</v>
      </c>
    </row>
    <row r="106" spans="1:21">
      <c r="A106" s="18">
        <f t="shared" si="23"/>
        <v>105</v>
      </c>
      <c r="B106" s="19">
        <v>16</v>
      </c>
      <c r="C106" s="18" t="str" cm="1">
        <f t="array" ref="C106">GetValue("Tbl","Alias",B106)</f>
        <v>Mnu</v>
      </c>
      <c r="D106" s="18">
        <v>11</v>
      </c>
      <c r="E106" s="18" t="str" cm="1">
        <f t="array" ref="E106">GetValue("Dmn","Name",D106)</f>
        <v>NVARCHAR(50)</v>
      </c>
      <c r="F106" s="18" t="str" cm="1">
        <f t="array" ref="F106">GetValue("Dmn","#CategoryName",D106)</f>
        <v>string</v>
      </c>
      <c r="G106" s="18">
        <f t="shared" si="16"/>
        <v>35</v>
      </c>
      <c r="H106" s="18" t="str" cm="1">
        <f t="array" ref="H106">GetColumnName(C106,IF(B106=B105,H105,""))</f>
        <v>Action</v>
      </c>
      <c r="I106" s="18" t="str">
        <f t="shared" si="14"/>
        <v>Action</v>
      </c>
      <c r="J106" s="18" t="str">
        <f t="shared" si="15"/>
        <v>Action</v>
      </c>
      <c r="K106" s="18" t="b">
        <v>0</v>
      </c>
      <c r="L106" s="18" t="b">
        <v>0</v>
      </c>
      <c r="M106" s="18" t="b">
        <v>0</v>
      </c>
      <c r="N106" s="18" t="b">
        <v>0</v>
      </c>
      <c r="O106" s="18" t="b">
        <v>0</v>
      </c>
      <c r="P106" s="18" t="b">
        <v>1</v>
      </c>
      <c r="Q106" s="18" t="b">
        <v>1</v>
      </c>
      <c r="R106" s="18" t="b">
        <v>0</v>
      </c>
      <c r="S106" s="18" t="b">
        <v>0</v>
      </c>
      <c r="T106" s="18" t="b">
        <v>0</v>
      </c>
      <c r="U106" s="18" t="b">
        <v>0</v>
      </c>
    </row>
    <row r="107" spans="1:21">
      <c r="A107" s="18">
        <f t="shared" ref="A107:A112" si="24">ROW(A107)-1</f>
        <v>106</v>
      </c>
      <c r="B107" s="19">
        <v>16</v>
      </c>
      <c r="C107" s="18" t="str" cm="1">
        <f t="array" ref="C107">GetValue("Tbl","Alias",B107)</f>
        <v>Mnu</v>
      </c>
      <c r="D107" s="18">
        <v>6</v>
      </c>
      <c r="E107" s="18" t="str" cm="1">
        <f t="array" ref="E107">GetValue("Dmn","Name",D107)</f>
        <v>Boolean</v>
      </c>
      <c r="F107" s="18" t="str" cm="1">
        <f t="array" ref="F107">GetValue("Dmn","#CategoryName",D107)</f>
        <v>boolean</v>
      </c>
      <c r="G107" s="18">
        <f t="shared" si="16"/>
        <v>40</v>
      </c>
      <c r="H107" s="18" t="str" cm="1">
        <f t="array" ref="H107">GetColumnName(C107,IF(B107=B106,H106,""))</f>
        <v>IsActive</v>
      </c>
      <c r="I107" s="18" t="str">
        <f t="shared" si="14"/>
        <v>IsActive</v>
      </c>
      <c r="J107" s="18" t="str">
        <f t="shared" si="15"/>
        <v>IsActive</v>
      </c>
      <c r="K107" s="18" t="b">
        <v>1</v>
      </c>
      <c r="L107" s="18" t="b">
        <v>0</v>
      </c>
      <c r="M107" s="18" t="b">
        <v>0</v>
      </c>
      <c r="N107" s="18" t="b">
        <v>0</v>
      </c>
      <c r="O107" s="18" t="b">
        <v>1</v>
      </c>
      <c r="P107" s="18" t="b">
        <v>0</v>
      </c>
      <c r="Q107" s="18" t="b">
        <v>0</v>
      </c>
      <c r="R107" s="18" t="b">
        <v>0</v>
      </c>
      <c r="S107" s="18" t="b">
        <v>0</v>
      </c>
      <c r="T107" s="18" t="b">
        <v>0</v>
      </c>
      <c r="U107" s="18" t="b">
        <v>0</v>
      </c>
    </row>
    <row r="108" spans="1:21">
      <c r="A108" s="20">
        <f t="shared" si="24"/>
        <v>107</v>
      </c>
      <c r="B108" s="21">
        <v>17</v>
      </c>
      <c r="C108" s="20" t="str" cm="1">
        <f t="array" ref="C108">GetValue("Tbl","Alias",B108)</f>
        <v>Tbl</v>
      </c>
      <c r="D108" s="20">
        <v>1</v>
      </c>
      <c r="E108" s="20" t="str" cm="1">
        <f t="array" ref="E108">GetValue("Dmn","Name",D108)</f>
        <v>BigInteger</v>
      </c>
      <c r="F108" s="20" t="str" cm="1">
        <f t="array" ref="F108">GetValue("Dmn","#CategoryName",D108)</f>
        <v>number</v>
      </c>
      <c r="G108" s="20">
        <f t="shared" si="16"/>
        <v>5</v>
      </c>
      <c r="H108" s="20" t="str" cm="1">
        <f t="array" ref="H108">GetColumnName(C108,IF(B108=B107,H107,""))</f>
        <v>Id</v>
      </c>
      <c r="I108" s="20" t="str">
        <f t="shared" si="14"/>
        <v>Id</v>
      </c>
      <c r="J108" s="20" t="str">
        <f t="shared" si="15"/>
        <v>Id</v>
      </c>
      <c r="K108" s="20" t="b">
        <v>1</v>
      </c>
      <c r="L108" s="20" t="b">
        <v>1</v>
      </c>
      <c r="M108" s="20" t="b">
        <v>1</v>
      </c>
      <c r="N108" s="20" t="b">
        <v>0</v>
      </c>
      <c r="O108" s="20" t="b">
        <v>1</v>
      </c>
      <c r="P108" s="20" t="b">
        <v>0</v>
      </c>
      <c r="Q108" s="20" t="b">
        <v>0</v>
      </c>
      <c r="R108" s="20" t="b">
        <v>0</v>
      </c>
      <c r="S108" s="20" t="b">
        <v>0</v>
      </c>
      <c r="T108" s="20" t="b">
        <v>0</v>
      </c>
      <c r="U108" s="20" t="b">
        <v>0</v>
      </c>
    </row>
    <row r="109" spans="1:21">
      <c r="A109" s="20">
        <f t="shared" si="24"/>
        <v>108</v>
      </c>
      <c r="B109" s="21">
        <v>17</v>
      </c>
      <c r="C109" s="20" t="str" cm="1">
        <f t="array" ref="C109">GetValue("Tbl","Alias",B109)</f>
        <v>Tbl</v>
      </c>
      <c r="D109" s="20">
        <v>1</v>
      </c>
      <c r="E109" s="20" t="str" cm="1">
        <f t="array" ref="E109">GetValue("Dmn","Name",D109)</f>
        <v>BigInteger</v>
      </c>
      <c r="F109" s="20" t="str" cm="1">
        <f t="array" ref="F109">GetValue("Dmn","#CategoryName",D109)</f>
        <v>number</v>
      </c>
      <c r="G109" s="20">
        <f t="shared" ref="G109:G110" si="25">IF(H109="Id",5,G108+5)</f>
        <v>10</v>
      </c>
      <c r="H109" s="20" t="str" cm="1">
        <f t="array" ref="H109">GetColumnName(C109,IF(B109=B108,H108,""))</f>
        <v>DatabaseId</v>
      </c>
      <c r="I109" s="20" t="str">
        <f t="shared" si="14"/>
        <v>DatabaseId</v>
      </c>
      <c r="J109" s="20" t="str">
        <f t="shared" si="15"/>
        <v>DatabaseId</v>
      </c>
      <c r="K109" s="20" t="b">
        <v>1</v>
      </c>
      <c r="L109" s="20" t="b">
        <v>0</v>
      </c>
      <c r="M109" s="20" t="b">
        <v>0</v>
      </c>
      <c r="N109" s="20" t="b">
        <v>0</v>
      </c>
      <c r="O109" s="20" t="b">
        <v>1</v>
      </c>
      <c r="P109" s="20" t="b">
        <v>1</v>
      </c>
      <c r="Q109" s="20" t="b">
        <v>1</v>
      </c>
      <c r="R109" s="20" t="b">
        <v>0</v>
      </c>
      <c r="S109" s="20" t="b">
        <v>0</v>
      </c>
      <c r="T109" s="20" t="b">
        <v>0</v>
      </c>
      <c r="U109" s="20" t="b">
        <v>0</v>
      </c>
    </row>
    <row r="110" spans="1:21">
      <c r="A110" s="20">
        <f t="shared" si="24"/>
        <v>109</v>
      </c>
      <c r="B110" s="21">
        <v>17</v>
      </c>
      <c r="C110" s="20" t="str" cm="1">
        <f t="array" ref="C110">GetValue("Tbl","Alias",B110)</f>
        <v>Tbl</v>
      </c>
      <c r="D110" s="20">
        <v>10</v>
      </c>
      <c r="E110" s="20" t="str" cm="1">
        <f t="array" ref="E110">GetValue("Dmn","Name",D110)</f>
        <v>NVARCHAR(25)</v>
      </c>
      <c r="F110" s="20" t="str" cm="1">
        <f t="array" ref="F110">GetValue("Dmn","#CategoryName",D110)</f>
        <v>string</v>
      </c>
      <c r="G110" s="20">
        <f t="shared" si="25"/>
        <v>15</v>
      </c>
      <c r="H110" s="20" t="str" cm="1">
        <f t="array" ref="H110">GetColumnName(C110,IF(B110=B109,H109,""))</f>
        <v>Name</v>
      </c>
      <c r="I110" s="20" t="str">
        <f t="shared" si="14"/>
        <v>Name</v>
      </c>
      <c r="J110" s="20" t="str">
        <f t="shared" si="15"/>
        <v>Name</v>
      </c>
      <c r="K110" s="20" t="b">
        <v>1</v>
      </c>
      <c r="L110" s="20" t="b">
        <v>0</v>
      </c>
      <c r="M110" s="20" t="b">
        <v>0</v>
      </c>
      <c r="N110" s="20" t="b">
        <v>1</v>
      </c>
      <c r="O110" s="20" t="b">
        <v>1</v>
      </c>
      <c r="P110" s="20" t="b">
        <v>1</v>
      </c>
      <c r="Q110" s="20" t="b">
        <v>1</v>
      </c>
      <c r="R110" s="20" t="b">
        <v>1</v>
      </c>
      <c r="S110" s="20" t="b">
        <v>0</v>
      </c>
      <c r="T110" s="20" t="b">
        <v>0</v>
      </c>
      <c r="U110" s="20" t="b">
        <v>0</v>
      </c>
    </row>
    <row r="111" spans="1:21">
      <c r="A111" s="20">
        <f t="shared" si="24"/>
        <v>110</v>
      </c>
      <c r="B111" s="21">
        <v>17</v>
      </c>
      <c r="C111" s="20" t="str" cm="1">
        <f t="array" ref="C111">GetValue("Tbl","Alias",B111)</f>
        <v>Tbl</v>
      </c>
      <c r="D111" s="20">
        <v>10</v>
      </c>
      <c r="E111" s="20" t="str" cm="1">
        <f t="array" ref="E111">GetValue("Dmn","Name",D111)</f>
        <v>NVARCHAR(25)</v>
      </c>
      <c r="F111" s="20" t="str" cm="1">
        <f t="array" ref="F111">GetValue("Dmn","#CategoryName",D111)</f>
        <v>string</v>
      </c>
      <c r="G111" s="20">
        <f t="shared" si="16"/>
        <v>20</v>
      </c>
      <c r="H111" s="20" t="str" cm="1">
        <f t="array" ref="H111">GetColumnName(C111,IF(B111=B110,H110,""))</f>
        <v>Alias</v>
      </c>
      <c r="I111" s="20" t="str">
        <f t="shared" si="14"/>
        <v>Alias</v>
      </c>
      <c r="J111" s="20" t="str">
        <f t="shared" si="15"/>
        <v>Alias</v>
      </c>
      <c r="K111" s="20" t="b">
        <v>1</v>
      </c>
      <c r="L111" s="20" t="b">
        <v>0</v>
      </c>
      <c r="M111" s="20" t="b">
        <v>0</v>
      </c>
      <c r="N111" s="20" t="b">
        <v>0</v>
      </c>
      <c r="O111" s="20" t="b">
        <v>1</v>
      </c>
      <c r="P111" s="20" t="b">
        <v>1</v>
      </c>
      <c r="Q111" s="20" t="b">
        <v>1</v>
      </c>
      <c r="R111" s="20" t="b">
        <v>0</v>
      </c>
      <c r="S111" s="20" t="b">
        <v>0</v>
      </c>
      <c r="T111" s="20" t="b">
        <v>0</v>
      </c>
      <c r="U111" s="20" t="b">
        <v>0</v>
      </c>
    </row>
    <row r="112" spans="1:21">
      <c r="A112" s="20">
        <f t="shared" si="24"/>
        <v>111</v>
      </c>
      <c r="B112" s="21">
        <v>17</v>
      </c>
      <c r="C112" s="20" t="str" cm="1">
        <f t="array" ref="C112">GetValue("Tbl","Alias",B112)</f>
        <v>Tbl</v>
      </c>
      <c r="D112" s="20">
        <v>11</v>
      </c>
      <c r="E112" s="20" t="str" cm="1">
        <f t="array" ref="E112">GetValue("Dmn","Name",D112)</f>
        <v>NVARCHAR(50)</v>
      </c>
      <c r="F112" s="20" t="str" cm="1">
        <f t="array" ref="F112">GetValue("Dmn","#CategoryName",D112)</f>
        <v>string</v>
      </c>
      <c r="G112" s="20">
        <f t="shared" si="16"/>
        <v>25</v>
      </c>
      <c r="H112" s="20" t="str" cm="1">
        <f t="array" ref="H112">GetColumnName(C112,IF(B112=B111,H111,""))</f>
        <v>Description</v>
      </c>
      <c r="I112" s="20" t="str">
        <f t="shared" si="14"/>
        <v>Description</v>
      </c>
      <c r="J112" s="20" t="str">
        <f t="shared" si="15"/>
        <v>Description</v>
      </c>
      <c r="K112" s="20" t="b">
        <v>1</v>
      </c>
      <c r="L112" s="20" t="b">
        <v>0</v>
      </c>
      <c r="M112" s="20" t="b">
        <v>0</v>
      </c>
      <c r="N112" s="20" t="b">
        <v>0</v>
      </c>
      <c r="O112" s="20" t="b">
        <v>0</v>
      </c>
      <c r="P112" s="20" t="b">
        <v>1</v>
      </c>
      <c r="Q112" s="20" t="b">
        <v>1</v>
      </c>
      <c r="R112" s="20" t="b">
        <v>0</v>
      </c>
      <c r="S112" s="20" t="b">
        <v>0</v>
      </c>
      <c r="T112" s="20" t="b">
        <v>0</v>
      </c>
      <c r="U112" s="20" t="b">
        <v>0</v>
      </c>
    </row>
    <row r="113" spans="1:21">
      <c r="A113" s="20">
        <f>ROW(A113)-1</f>
        <v>112</v>
      </c>
      <c r="B113" s="21">
        <v>17</v>
      </c>
      <c r="C113" s="20" t="str" cm="1">
        <f t="array" ref="C113">GetValue("Tbl","Alias",B113)</f>
        <v>Tbl</v>
      </c>
      <c r="D113" s="20">
        <v>1</v>
      </c>
      <c r="E113" s="20" t="str" cm="1">
        <f t="array" ref="E113">GetValue("Dmn","Name",D113)</f>
        <v>BigInteger</v>
      </c>
      <c r="F113" s="20" t="str" cm="1">
        <f t="array" ref="F113">GetValue("Dmn","#CategoryName",D113)</f>
        <v>number</v>
      </c>
      <c r="G113" s="20">
        <f>IF(H113="Id",5,G112+5)</f>
        <v>30</v>
      </c>
      <c r="H113" s="20" t="str" cm="1">
        <f t="array" ref="H113">GetColumnName(C113,IF(B113=B112,H112,""))</f>
        <v>CurrentId</v>
      </c>
      <c r="I113" s="20" t="str">
        <f t="shared" si="14"/>
        <v>CurrentId</v>
      </c>
      <c r="J113" s="20" t="str">
        <f t="shared" si="15"/>
        <v>CurrentId</v>
      </c>
      <c r="K113" s="20" t="b">
        <v>1</v>
      </c>
      <c r="L113" s="20" t="b">
        <v>0</v>
      </c>
      <c r="M113" s="20" t="b">
        <v>0</v>
      </c>
      <c r="N113" s="20" t="b">
        <v>0</v>
      </c>
      <c r="O113" s="20" t="b">
        <v>0</v>
      </c>
      <c r="P113" s="20" t="b">
        <v>0</v>
      </c>
      <c r="Q113" s="20" t="b">
        <v>0</v>
      </c>
      <c r="R113" s="20" t="b">
        <v>0</v>
      </c>
      <c r="S113" s="20" t="b">
        <v>0</v>
      </c>
      <c r="T113" s="20" t="b">
        <v>0</v>
      </c>
      <c r="U113" s="20" t="b">
        <v>0</v>
      </c>
    </row>
    <row r="114" spans="1:21">
      <c r="A114" s="18">
        <f>ROW(A114)-1</f>
        <v>113</v>
      </c>
      <c r="B114" s="19">
        <v>18</v>
      </c>
      <c r="C114" s="18" t="str" cm="1">
        <f t="array" ref="C114">GetValue("Tbl","Alias",B114)</f>
        <v>Col</v>
      </c>
      <c r="D114" s="18">
        <v>1</v>
      </c>
      <c r="E114" s="18" t="str" cm="1">
        <f t="array" ref="E114">GetValue("Dmn","Name",D114)</f>
        <v>BigInteger</v>
      </c>
      <c r="F114" s="18" t="str" cm="1">
        <f t="array" ref="F114">GetValue("Dmn","#CategoryName",D114)</f>
        <v>number</v>
      </c>
      <c r="G114" s="18">
        <f>IF(H114="Id",5,G113+5)</f>
        <v>5</v>
      </c>
      <c r="H114" s="18" t="str" cm="1">
        <f t="array" ref="H114">GetColumnName(C114,IF(B114=B113,H113,""))</f>
        <v>Id</v>
      </c>
      <c r="I114" s="18" t="str">
        <f t="shared" si="14"/>
        <v>Id</v>
      </c>
      <c r="J114" s="18" t="str">
        <f t="shared" si="15"/>
        <v>Id</v>
      </c>
      <c r="K114" s="18" t="b">
        <v>1</v>
      </c>
      <c r="L114" s="18" t="b">
        <v>1</v>
      </c>
      <c r="M114" s="18" t="b">
        <v>1</v>
      </c>
      <c r="N114" s="18" t="b">
        <v>0</v>
      </c>
      <c r="O114" s="18" t="b">
        <v>1</v>
      </c>
      <c r="P114" s="18" t="b">
        <v>0</v>
      </c>
      <c r="Q114" s="18" t="b">
        <v>0</v>
      </c>
      <c r="R114" s="18" t="b">
        <v>0</v>
      </c>
      <c r="S114" s="18" t="b">
        <v>0</v>
      </c>
      <c r="T114" s="18" t="b">
        <v>0</v>
      </c>
      <c r="U114" s="18" t="b">
        <v>0</v>
      </c>
    </row>
    <row r="115" spans="1:21">
      <c r="A115" s="18">
        <f>ROW(A115)-1</f>
        <v>114</v>
      </c>
      <c r="B115" s="19">
        <v>18</v>
      </c>
      <c r="C115" s="18" t="str" cm="1">
        <f t="array" ref="C115">GetValue("Tbl","Alias",B115)</f>
        <v>Col</v>
      </c>
      <c r="D115" s="18">
        <v>1</v>
      </c>
      <c r="E115" s="18" t="str" cm="1">
        <f t="array" ref="E115">GetValue("Dmn","Name",D115)</f>
        <v>BigInteger</v>
      </c>
      <c r="F115" s="18" t="str" cm="1">
        <f t="array" ref="F115">GetValue("Dmn","#CategoryName",D115)</f>
        <v>number</v>
      </c>
      <c r="G115" s="18">
        <f t="shared" ref="G115:G130" si="26">IF(H115="Id",5,G114+5)</f>
        <v>10</v>
      </c>
      <c r="H115" s="18" t="str" cm="1">
        <f t="array" ref="H115">GetColumnName(C115,IF(B115=B114,H114,""))</f>
        <v>TableId</v>
      </c>
      <c r="I115" s="18" t="str">
        <f t="shared" si="14"/>
        <v>TableId</v>
      </c>
      <c r="J115" s="18" t="str">
        <f t="shared" si="15"/>
        <v>TableId</v>
      </c>
      <c r="K115" s="18" t="b">
        <v>1</v>
      </c>
      <c r="L115" s="18" t="b">
        <v>0</v>
      </c>
      <c r="M115" s="18" t="b">
        <v>0</v>
      </c>
      <c r="N115" s="18" t="b">
        <v>0</v>
      </c>
      <c r="O115" s="18" t="b">
        <v>1</v>
      </c>
      <c r="P115" s="18" t="b">
        <v>1</v>
      </c>
      <c r="Q115" s="18" t="b">
        <v>1</v>
      </c>
      <c r="R115" s="18" t="b">
        <v>0</v>
      </c>
      <c r="S115" s="18" t="b">
        <v>0</v>
      </c>
      <c r="T115" s="18" t="b">
        <v>0</v>
      </c>
      <c r="U115" s="18" t="b">
        <v>0</v>
      </c>
    </row>
    <row r="116" spans="1:21">
      <c r="A116" s="18">
        <f>ROW(A116)-1</f>
        <v>115</v>
      </c>
      <c r="B116" s="19">
        <v>18</v>
      </c>
      <c r="C116" s="18" t="str" cm="1">
        <f t="array" ref="C116">GetValue("Tbl","Alias",B116)</f>
        <v>Col</v>
      </c>
      <c r="D116" s="18">
        <v>1</v>
      </c>
      <c r="E116" s="18" t="str" cm="1">
        <f t="array" ref="E116">GetValue("Dmn","Name",D116)</f>
        <v>BigInteger</v>
      </c>
      <c r="F116" s="18" t="str" cm="1">
        <f t="array" ref="F116">GetValue("Dmn","#CategoryName",D116)</f>
        <v>number</v>
      </c>
      <c r="G116" s="18">
        <f t="shared" si="26"/>
        <v>15</v>
      </c>
      <c r="H116" s="18" t="str" cm="1">
        <f t="array" ref="H116">GetColumnName(C116,IF(B116=B115,H115,""))</f>
        <v>DomainId</v>
      </c>
      <c r="I116" s="18" t="str">
        <f t="shared" si="14"/>
        <v>DomainId</v>
      </c>
      <c r="J116" s="18" t="str">
        <f t="shared" si="15"/>
        <v>DomainId</v>
      </c>
      <c r="K116" s="18" t="b">
        <v>1</v>
      </c>
      <c r="L116" s="18" t="b">
        <v>0</v>
      </c>
      <c r="M116" s="18" t="b">
        <v>0</v>
      </c>
      <c r="N116" s="18" t="b">
        <v>0</v>
      </c>
      <c r="O116" s="18" t="b">
        <v>1</v>
      </c>
      <c r="P116" s="18" t="b">
        <v>1</v>
      </c>
      <c r="Q116" s="18" t="b">
        <v>1</v>
      </c>
      <c r="R116" s="18" t="b">
        <v>0</v>
      </c>
      <c r="S116" s="18" t="b">
        <v>0</v>
      </c>
      <c r="T116" s="18" t="b">
        <v>0</v>
      </c>
      <c r="U116" s="18" t="b">
        <v>0</v>
      </c>
    </row>
    <row r="117" spans="1:21">
      <c r="A117" s="18">
        <f t="shared" si="23"/>
        <v>116</v>
      </c>
      <c r="B117" s="19">
        <v>18</v>
      </c>
      <c r="C117" s="18" t="str" cm="1">
        <f t="array" ref="C117">GetValue("Tbl","Alias",B117)</f>
        <v>Col</v>
      </c>
      <c r="D117" s="18">
        <v>4</v>
      </c>
      <c r="E117" s="18" t="str" cm="1">
        <f t="array" ref="E117">GetValue("Dmn","Name",D117)</f>
        <v>SmallInteger</v>
      </c>
      <c r="F117" s="18" t="str" cm="1">
        <f t="array" ref="F117">GetValue("Dmn","#CategoryName",D117)</f>
        <v>number</v>
      </c>
      <c r="G117" s="18">
        <f t="shared" si="26"/>
        <v>20</v>
      </c>
      <c r="H117" s="18" t="str" cm="1">
        <f t="array" ref="H117">GetColumnName(C117,IF(B117=B116,H116,""))</f>
        <v>Sequence</v>
      </c>
      <c r="I117" s="18" t="str">
        <f t="shared" si="14"/>
        <v>Sequence</v>
      </c>
      <c r="J117" s="18" t="str">
        <f t="shared" si="15"/>
        <v>Sequence</v>
      </c>
      <c r="K117" s="18" t="b">
        <v>1</v>
      </c>
      <c r="L117" s="18" t="b">
        <v>0</v>
      </c>
      <c r="M117" s="18" t="b">
        <v>0</v>
      </c>
      <c r="N117" s="18" t="b">
        <v>0</v>
      </c>
      <c r="O117" s="18" t="b">
        <v>1</v>
      </c>
      <c r="P117" s="18" t="b">
        <v>0</v>
      </c>
      <c r="Q117" s="18" t="b">
        <v>0</v>
      </c>
      <c r="R117" s="18" t="b">
        <v>0</v>
      </c>
      <c r="S117" s="18" t="b">
        <v>0</v>
      </c>
      <c r="T117" s="18" t="b">
        <v>0</v>
      </c>
      <c r="U117" s="18" t="b">
        <v>0</v>
      </c>
    </row>
    <row r="118" spans="1:21">
      <c r="A118" s="18">
        <f t="shared" si="23"/>
        <v>117</v>
      </c>
      <c r="B118" s="19">
        <v>18</v>
      </c>
      <c r="C118" s="18" t="str" cm="1">
        <f t="array" ref="C118">GetValue("Tbl","Alias",B118)</f>
        <v>Col</v>
      </c>
      <c r="D118" s="18">
        <v>10</v>
      </c>
      <c r="E118" s="18" t="str" cm="1">
        <f t="array" ref="E118">GetValue("Dmn","Name",D118)</f>
        <v>NVARCHAR(25)</v>
      </c>
      <c r="F118" s="18" t="str" cm="1">
        <f t="array" ref="F118">GetValue("Dmn","#CategoryName",D118)</f>
        <v>string</v>
      </c>
      <c r="G118" s="18">
        <f t="shared" si="26"/>
        <v>25</v>
      </c>
      <c r="H118" s="18" t="str" cm="1">
        <f t="array" ref="H118">GetColumnName(C118,IF(B118=B117,H117,""))</f>
        <v>Name</v>
      </c>
      <c r="I118" s="18" t="str">
        <f t="shared" si="14"/>
        <v>Name</v>
      </c>
      <c r="J118" s="18" t="str">
        <f t="shared" si="15"/>
        <v>Name</v>
      </c>
      <c r="K118" s="18" t="b">
        <v>1</v>
      </c>
      <c r="L118" s="18" t="b">
        <v>0</v>
      </c>
      <c r="M118" s="18" t="b">
        <v>0</v>
      </c>
      <c r="N118" s="18" t="b">
        <v>0</v>
      </c>
      <c r="O118" s="18" t="b">
        <v>1</v>
      </c>
      <c r="P118" s="18" t="b">
        <v>1</v>
      </c>
      <c r="Q118" s="18" t="b">
        <v>1</v>
      </c>
      <c r="R118" s="18" t="b">
        <v>1</v>
      </c>
      <c r="S118" s="18" t="b">
        <v>0</v>
      </c>
      <c r="T118" s="18" t="b">
        <v>0</v>
      </c>
      <c r="U118" s="18" t="b">
        <v>0</v>
      </c>
    </row>
    <row r="119" spans="1:21">
      <c r="A119" s="18">
        <f t="shared" si="23"/>
        <v>118</v>
      </c>
      <c r="B119" s="19">
        <v>18</v>
      </c>
      <c r="C119" s="18" t="str" cm="1">
        <f t="array" ref="C119">GetValue("Tbl","Alias",B119)</f>
        <v>Col</v>
      </c>
      <c r="D119" s="18">
        <v>11</v>
      </c>
      <c r="E119" s="18" t="str" cm="1">
        <f t="array" ref="E119">GetValue("Dmn","Name",D119)</f>
        <v>NVARCHAR(50)</v>
      </c>
      <c r="F119" s="18" t="str" cm="1">
        <f t="array" ref="F119">GetValue("Dmn","#CategoryName",D119)</f>
        <v>string</v>
      </c>
      <c r="G119" s="18">
        <f t="shared" si="26"/>
        <v>30</v>
      </c>
      <c r="H119" s="18" t="str" cm="1">
        <f t="array" ref="H119">GetColumnName(C119,IF(B119=B118,H118,""))</f>
        <v>Description</v>
      </c>
      <c r="I119" s="18" t="str">
        <f t="shared" si="14"/>
        <v>Description</v>
      </c>
      <c r="J119" s="18" t="str">
        <f t="shared" si="15"/>
        <v>Description</v>
      </c>
      <c r="K119" s="18" t="b">
        <v>1</v>
      </c>
      <c r="L119" s="18" t="b">
        <v>0</v>
      </c>
      <c r="M119" s="18" t="b">
        <v>0</v>
      </c>
      <c r="N119" s="18" t="b">
        <v>0</v>
      </c>
      <c r="O119" s="18" t="b">
        <v>0</v>
      </c>
      <c r="P119" s="18" t="b">
        <v>1</v>
      </c>
      <c r="Q119" s="18" t="b">
        <v>1</v>
      </c>
      <c r="R119" s="18" t="b">
        <v>0</v>
      </c>
      <c r="S119" s="18" t="b">
        <v>0</v>
      </c>
      <c r="T119" s="18" t="b">
        <v>0</v>
      </c>
      <c r="U119" s="18" t="b">
        <v>0</v>
      </c>
    </row>
    <row r="120" spans="1:21">
      <c r="A120" s="18">
        <f t="shared" si="23"/>
        <v>119</v>
      </c>
      <c r="B120" s="19">
        <v>18</v>
      </c>
      <c r="C120" s="18" t="str" cm="1">
        <f t="array" ref="C120">GetValue("Tbl","Alias",B120)</f>
        <v>Col</v>
      </c>
      <c r="D120" s="18">
        <v>9</v>
      </c>
      <c r="E120" s="18" t="str" cm="1">
        <f t="array" ref="E120">GetValue("Dmn","Name",D120)</f>
        <v>NVARCHAR(20)</v>
      </c>
      <c r="F120" s="18" t="str" cm="1">
        <f t="array" ref="F120">GetValue("Dmn","#CategoryName",D120)</f>
        <v>string</v>
      </c>
      <c r="G120" s="18">
        <f t="shared" si="26"/>
        <v>35</v>
      </c>
      <c r="H120" s="18" t="str" cm="1">
        <f t="array" ref="H120">GetColumnName(C120,IF(B120=B119,H119,""))</f>
        <v>Caption</v>
      </c>
      <c r="I120" s="18" t="str">
        <f t="shared" si="14"/>
        <v>Caption</v>
      </c>
      <c r="J120" s="18" t="str">
        <f t="shared" si="15"/>
        <v>Caption</v>
      </c>
      <c r="K120" s="18" t="b">
        <v>1</v>
      </c>
      <c r="L120" s="18" t="b">
        <v>0</v>
      </c>
      <c r="M120" s="18" t="b">
        <v>0</v>
      </c>
      <c r="N120" s="18" t="b">
        <v>0</v>
      </c>
      <c r="O120" s="18" t="b">
        <v>0</v>
      </c>
      <c r="P120" s="18" t="b">
        <v>1</v>
      </c>
      <c r="Q120" s="18" t="b">
        <v>1</v>
      </c>
      <c r="R120" s="18" t="b">
        <v>0</v>
      </c>
      <c r="S120" s="18" t="b">
        <v>0</v>
      </c>
      <c r="T120" s="18" t="b">
        <v>0</v>
      </c>
      <c r="U120" s="18" t="b">
        <v>0</v>
      </c>
    </row>
    <row r="121" spans="1:21">
      <c r="A121" s="18">
        <f t="shared" si="23"/>
        <v>120</v>
      </c>
      <c r="B121" s="19">
        <v>18</v>
      </c>
      <c r="C121" s="18" t="str" cm="1">
        <f t="array" ref="C121">GetValue("Tbl","Alias",B121)</f>
        <v>Col</v>
      </c>
      <c r="D121" s="18">
        <v>6</v>
      </c>
      <c r="E121" s="18" t="str" cm="1">
        <f t="array" ref="E121">GetValue("Dmn","Name",D121)</f>
        <v>Boolean</v>
      </c>
      <c r="F121" s="18" t="str" cm="1">
        <f t="array" ref="F121">GetValue("Dmn","#CategoryName",D121)</f>
        <v>boolean</v>
      </c>
      <c r="G121" s="18">
        <f t="shared" si="26"/>
        <v>40</v>
      </c>
      <c r="H121" s="18" t="str" cm="1">
        <f t="array" ref="H121">GetColumnName(C121,IF(B121=B120,H120,""))</f>
        <v>IsRequired</v>
      </c>
      <c r="I121" s="18" t="str">
        <f t="shared" si="14"/>
        <v>IsRequired</v>
      </c>
      <c r="J121" s="18" t="str">
        <f t="shared" si="15"/>
        <v>IsRequired</v>
      </c>
      <c r="K121" s="18" t="b">
        <v>1</v>
      </c>
      <c r="L121" s="18" t="b">
        <v>0</v>
      </c>
      <c r="M121" s="18" t="b">
        <v>0</v>
      </c>
      <c r="N121" s="18" t="b">
        <v>0</v>
      </c>
      <c r="O121" s="18" t="b">
        <v>1</v>
      </c>
      <c r="P121" s="18" t="b">
        <v>1</v>
      </c>
      <c r="Q121" s="18" t="b">
        <v>0</v>
      </c>
      <c r="R121" s="18" t="b">
        <v>0</v>
      </c>
      <c r="S121" s="18" t="b">
        <v>0</v>
      </c>
      <c r="T121" s="18" t="b">
        <v>0</v>
      </c>
      <c r="U121" s="18" t="b">
        <v>0</v>
      </c>
    </row>
    <row r="122" spans="1:21">
      <c r="A122" s="18">
        <f t="shared" si="23"/>
        <v>121</v>
      </c>
      <c r="B122" s="19">
        <v>18</v>
      </c>
      <c r="C122" s="18" t="str" cm="1">
        <f t="array" ref="C122">GetValue("Tbl","Alias",B122)</f>
        <v>Col</v>
      </c>
      <c r="D122" s="18">
        <v>6</v>
      </c>
      <c r="E122" s="18" t="str" cm="1">
        <f t="array" ref="E122">GetValue("Dmn","Name",D122)</f>
        <v>Boolean</v>
      </c>
      <c r="F122" s="18" t="str" cm="1">
        <f t="array" ref="F122">GetValue("Dmn","#CategoryName",D122)</f>
        <v>boolean</v>
      </c>
      <c r="G122" s="18">
        <f t="shared" si="26"/>
        <v>45</v>
      </c>
      <c r="H122" s="18" t="str" cm="1">
        <f t="array" ref="H122">GetColumnName(C122,IF(B122=B121,H121,""))</f>
        <v>IsPrimaryKey</v>
      </c>
      <c r="I122" s="18" t="str">
        <f t="shared" si="14"/>
        <v>IsPrimaryKey</v>
      </c>
      <c r="J122" s="18" t="str">
        <f t="shared" si="15"/>
        <v>IsPrimaryKey</v>
      </c>
      <c r="K122" s="18" t="b">
        <v>0</v>
      </c>
      <c r="L122" s="18" t="b">
        <v>0</v>
      </c>
      <c r="M122" s="18" t="b">
        <v>0</v>
      </c>
      <c r="N122" s="18" t="b">
        <v>0</v>
      </c>
      <c r="O122" s="18" t="b">
        <v>1</v>
      </c>
      <c r="P122" s="18" t="b">
        <v>1</v>
      </c>
      <c r="Q122" s="18" t="b">
        <v>1</v>
      </c>
      <c r="R122" s="18" t="b">
        <v>0</v>
      </c>
      <c r="S122" s="18" t="b">
        <v>0</v>
      </c>
      <c r="T122" s="18" t="b">
        <v>0</v>
      </c>
      <c r="U122" s="18" t="b">
        <v>0</v>
      </c>
    </row>
    <row r="123" spans="1:21">
      <c r="A123" s="18">
        <f t="shared" ref="A123:A133" si="27">ROW(A123)-1</f>
        <v>122</v>
      </c>
      <c r="B123" s="19">
        <v>18</v>
      </c>
      <c r="C123" s="18" t="str" cm="1">
        <f t="array" ref="C123">GetValue("Tbl","Alias",B123)</f>
        <v>Col</v>
      </c>
      <c r="D123" s="18">
        <v>6</v>
      </c>
      <c r="E123" s="18" t="str" cm="1">
        <f t="array" ref="E123">GetValue("Dmn","Name",D123)</f>
        <v>Boolean</v>
      </c>
      <c r="F123" s="18" t="str" cm="1">
        <f t="array" ref="F123">GetValue("Dmn","#CategoryName",D123)</f>
        <v>boolean</v>
      </c>
      <c r="G123" s="18">
        <f t="shared" si="26"/>
        <v>50</v>
      </c>
      <c r="H123" s="18" t="str" cm="1">
        <f t="array" ref="H123">GetColumnName(C123,IF(B123=B122,H122,""))</f>
        <v>IsAutoincrement</v>
      </c>
      <c r="I123" s="18" t="str">
        <f t="shared" si="14"/>
        <v>IsAutoincrement</v>
      </c>
      <c r="J123" s="18" t="str">
        <f t="shared" si="15"/>
        <v>IsAutoincrement</v>
      </c>
      <c r="K123" s="18" t="b">
        <v>0</v>
      </c>
      <c r="L123" s="18" t="b">
        <v>0</v>
      </c>
      <c r="M123" s="18" t="b">
        <v>0</v>
      </c>
      <c r="N123" s="18" t="b">
        <v>0</v>
      </c>
      <c r="O123" s="18" t="b">
        <v>1</v>
      </c>
      <c r="P123" s="18" t="b">
        <v>1</v>
      </c>
      <c r="Q123" s="18" t="b">
        <v>1</v>
      </c>
      <c r="R123" s="18" t="b">
        <v>0</v>
      </c>
      <c r="S123" s="18" t="b">
        <v>0</v>
      </c>
      <c r="T123" s="18" t="b">
        <v>0</v>
      </c>
      <c r="U123" s="18" t="b">
        <v>0</v>
      </c>
    </row>
    <row r="124" spans="1:21">
      <c r="A124" s="18">
        <f t="shared" si="27"/>
        <v>123</v>
      </c>
      <c r="B124" s="19">
        <v>18</v>
      </c>
      <c r="C124" s="18" t="str" cm="1">
        <f t="array" ref="C124">GetValue("Tbl","Alias",B124)</f>
        <v>Col</v>
      </c>
      <c r="D124" s="18">
        <v>6</v>
      </c>
      <c r="E124" s="18" t="str" cm="1">
        <f t="array" ref="E124">GetValue("Dmn","Name",D124)</f>
        <v>Boolean</v>
      </c>
      <c r="F124" s="18" t="str" cm="1">
        <f t="array" ref="F124">GetValue("Dmn","#CategoryName",D124)</f>
        <v>boolean</v>
      </c>
      <c r="G124" s="18">
        <f t="shared" si="26"/>
        <v>55</v>
      </c>
      <c r="H124" s="18" t="str" cm="1">
        <f t="array" ref="H124">GetColumnName(C124,IF(B124=B123,H123,""))</f>
        <v>IsUnique</v>
      </c>
      <c r="I124" s="18" t="str">
        <f t="shared" si="14"/>
        <v>IsUnique</v>
      </c>
      <c r="J124" s="18" t="str">
        <f t="shared" si="15"/>
        <v>IsUnique</v>
      </c>
      <c r="K124" s="18" t="b">
        <v>0</v>
      </c>
      <c r="L124" s="18" t="b">
        <v>0</v>
      </c>
      <c r="M124" s="18" t="b">
        <v>0</v>
      </c>
      <c r="N124" s="18" t="b">
        <v>0</v>
      </c>
      <c r="O124" s="18" t="b">
        <v>1</v>
      </c>
      <c r="P124" s="18" t="b">
        <v>1</v>
      </c>
      <c r="Q124" s="18" t="b">
        <v>1</v>
      </c>
      <c r="R124" s="18" t="b">
        <v>0</v>
      </c>
      <c r="S124" s="18" t="b">
        <v>0</v>
      </c>
      <c r="T124" s="18" t="b">
        <v>0</v>
      </c>
      <c r="U124" s="18" t="b">
        <v>0</v>
      </c>
    </row>
    <row r="125" spans="1:21">
      <c r="A125" s="18">
        <f t="shared" si="27"/>
        <v>124</v>
      </c>
      <c r="B125" s="19">
        <v>18</v>
      </c>
      <c r="C125" s="18" t="str" cm="1">
        <f t="array" ref="C125">GetValue("Tbl","Alias",B125)</f>
        <v>Col</v>
      </c>
      <c r="D125" s="18">
        <v>6</v>
      </c>
      <c r="E125" s="18" t="str" cm="1">
        <f t="array" ref="E125">GetValue("Dmn","Name",D125)</f>
        <v>Boolean</v>
      </c>
      <c r="F125" s="18" t="str" cm="1">
        <f t="array" ref="F125">GetValue("Dmn","#CategoryName",D125)</f>
        <v>boolean</v>
      </c>
      <c r="G125" s="18">
        <f t="shared" si="26"/>
        <v>60</v>
      </c>
      <c r="H125" s="18" t="str" cm="1">
        <f t="array" ref="H125">GetColumnName(C125,IF(B125=B124,H124,""))</f>
        <v>IsFilterable</v>
      </c>
      <c r="I125" s="18" t="str">
        <f t="shared" si="14"/>
        <v>IsFilterable</v>
      </c>
      <c r="J125" s="18" t="str">
        <f t="shared" si="15"/>
        <v>IsFilterable</v>
      </c>
      <c r="K125" s="18" t="b">
        <v>0</v>
      </c>
      <c r="L125" s="18" t="b">
        <v>0</v>
      </c>
      <c r="M125" s="18" t="b">
        <v>0</v>
      </c>
      <c r="N125" s="18" t="b">
        <v>0</v>
      </c>
      <c r="O125" s="18" t="b">
        <v>1</v>
      </c>
      <c r="P125" s="18" t="b">
        <v>1</v>
      </c>
      <c r="Q125" s="18" t="b">
        <v>1</v>
      </c>
      <c r="R125" s="18" t="b">
        <v>0</v>
      </c>
      <c r="S125" s="18" t="b">
        <v>0</v>
      </c>
      <c r="T125" s="18" t="b">
        <v>0</v>
      </c>
      <c r="U125" s="18" t="b">
        <v>0</v>
      </c>
    </row>
    <row r="126" spans="1:21">
      <c r="A126" s="18">
        <f t="shared" si="27"/>
        <v>125</v>
      </c>
      <c r="B126" s="19">
        <v>18</v>
      </c>
      <c r="C126" s="18" t="str" cm="1">
        <f t="array" ref="C126">GetValue("Tbl","Alias",B126)</f>
        <v>Col</v>
      </c>
      <c r="D126" s="18">
        <v>6</v>
      </c>
      <c r="E126" s="18" t="str" cm="1">
        <f t="array" ref="E126">GetValue("Dmn","Name",D126)</f>
        <v>Boolean</v>
      </c>
      <c r="F126" s="18" t="str" cm="1">
        <f t="array" ref="F126">GetValue("Dmn","#CategoryName",D126)</f>
        <v>boolean</v>
      </c>
      <c r="G126" s="18">
        <f t="shared" si="26"/>
        <v>65</v>
      </c>
      <c r="H126" s="18" t="str" cm="1">
        <f t="array" ref="H126">GetColumnName(C126,IF(B126=B125,H125,""))</f>
        <v>IsEditable</v>
      </c>
      <c r="I126" s="18" t="str">
        <f t="shared" si="14"/>
        <v>IsEditable</v>
      </c>
      <c r="J126" s="18" t="str">
        <f t="shared" si="15"/>
        <v>IsEditable</v>
      </c>
      <c r="K126" s="18" t="b">
        <v>0</v>
      </c>
      <c r="L126" s="18" t="b">
        <v>0</v>
      </c>
      <c r="M126" s="18" t="b">
        <v>0</v>
      </c>
      <c r="N126" s="18" t="b">
        <v>0</v>
      </c>
      <c r="O126" s="18" t="b">
        <v>1</v>
      </c>
      <c r="P126" s="18" t="b">
        <v>1</v>
      </c>
      <c r="Q126" s="18" t="b">
        <v>1</v>
      </c>
      <c r="R126" s="18" t="b">
        <v>0</v>
      </c>
      <c r="S126" s="18" t="b">
        <v>0</v>
      </c>
      <c r="T126" s="18" t="b">
        <v>0</v>
      </c>
      <c r="U126" s="18" t="b">
        <v>0</v>
      </c>
    </row>
    <row r="127" spans="1:21">
      <c r="A127" s="18">
        <f t="shared" si="27"/>
        <v>126</v>
      </c>
      <c r="B127" s="19">
        <v>18</v>
      </c>
      <c r="C127" s="18" t="str" cm="1">
        <f t="array" ref="C127">GetValue("Tbl","Alias",B127)</f>
        <v>Col</v>
      </c>
      <c r="D127" s="18">
        <v>6</v>
      </c>
      <c r="E127" s="18" t="str" cm="1">
        <f t="array" ref="E127">GetValue("Dmn","Name",D127)</f>
        <v>Boolean</v>
      </c>
      <c r="F127" s="18" t="str" cm="1">
        <f t="array" ref="F127">GetValue("Dmn","#CategoryName",D127)</f>
        <v>boolean</v>
      </c>
      <c r="G127" s="18">
        <f t="shared" si="26"/>
        <v>70</v>
      </c>
      <c r="H127" s="18" t="str" cm="1">
        <f t="array" ref="H127">GetColumnName(C127,IF(B127=B126,H126,""))</f>
        <v>IsGridable</v>
      </c>
      <c r="I127" s="18" t="str">
        <f t="shared" si="14"/>
        <v>IsGridable</v>
      </c>
      <c r="J127" s="18" t="str">
        <f t="shared" si="15"/>
        <v>IsGridable</v>
      </c>
      <c r="K127" s="18" t="b">
        <v>0</v>
      </c>
      <c r="L127" s="18" t="b">
        <v>0</v>
      </c>
      <c r="M127" s="18" t="b">
        <v>0</v>
      </c>
      <c r="N127" s="18" t="b">
        <v>0</v>
      </c>
      <c r="O127" s="18" t="b">
        <v>1</v>
      </c>
      <c r="P127" s="18" t="b">
        <v>1</v>
      </c>
      <c r="Q127" s="18" t="b">
        <v>1</v>
      </c>
      <c r="R127" s="18" t="b">
        <v>0</v>
      </c>
      <c r="S127" s="18" t="b">
        <v>0</v>
      </c>
      <c r="T127" s="18" t="b">
        <v>0</v>
      </c>
      <c r="U127" s="18" t="b">
        <v>0</v>
      </c>
    </row>
    <row r="128" spans="1:21">
      <c r="A128" s="18">
        <f t="shared" si="27"/>
        <v>127</v>
      </c>
      <c r="B128" s="19">
        <v>18</v>
      </c>
      <c r="C128" s="18" t="str" cm="1">
        <f t="array" ref="C128">GetValue("Tbl","Alias",B128)</f>
        <v>Col</v>
      </c>
      <c r="D128" s="18">
        <v>6</v>
      </c>
      <c r="E128" s="18" t="str" cm="1">
        <f t="array" ref="E128">GetValue("Dmn","Name",D128)</f>
        <v>Boolean</v>
      </c>
      <c r="F128" s="18" t="str" cm="1">
        <f t="array" ref="F128">GetValue("Dmn","#CategoryName",D128)</f>
        <v>boolean</v>
      </c>
      <c r="G128" s="18">
        <f t="shared" si="26"/>
        <v>75</v>
      </c>
      <c r="H128" s="18" t="str" cm="1">
        <f t="array" ref="H128">GetColumnName(C128,IF(B128=B127,H127,""))</f>
        <v>IsListable</v>
      </c>
      <c r="I128" s="18" t="str">
        <f t="shared" ref="I128" si="28">H128</f>
        <v>IsListable</v>
      </c>
      <c r="J128" s="18" t="str">
        <f t="shared" ref="J128" si="29">H128</f>
        <v>IsListable</v>
      </c>
      <c r="K128" s="18" t="b">
        <v>0</v>
      </c>
      <c r="L128" s="18" t="b">
        <v>0</v>
      </c>
      <c r="M128" s="18" t="b">
        <v>0</v>
      </c>
      <c r="N128" s="18" t="b">
        <v>0</v>
      </c>
      <c r="O128" s="18" t="b">
        <v>1</v>
      </c>
      <c r="P128" s="18" t="b">
        <v>1</v>
      </c>
      <c r="Q128" s="18" t="b">
        <v>1</v>
      </c>
      <c r="R128" s="18" t="b">
        <v>0</v>
      </c>
      <c r="S128" s="18" t="b">
        <v>0</v>
      </c>
      <c r="T128" s="18" t="b">
        <v>0</v>
      </c>
      <c r="U128" s="18" t="b">
        <v>0</v>
      </c>
    </row>
    <row r="129" spans="1:21">
      <c r="A129" s="18">
        <f t="shared" si="27"/>
        <v>128</v>
      </c>
      <c r="B129" s="19">
        <v>18</v>
      </c>
      <c r="C129" s="18" t="str" cm="1">
        <f t="array" ref="C129">GetValue("Tbl","Alias",B129)</f>
        <v>Col</v>
      </c>
      <c r="D129" s="18">
        <v>6</v>
      </c>
      <c r="E129" s="18" t="str" cm="1">
        <f t="array" ref="E129">GetValue("Dmn","Name",D129)</f>
        <v>Boolean</v>
      </c>
      <c r="F129" s="18" t="str" cm="1">
        <f t="array" ref="F129">GetValue("Dmn","#CategoryName",D129)</f>
        <v>boolean</v>
      </c>
      <c r="G129" s="18">
        <f t="shared" si="26"/>
        <v>80</v>
      </c>
      <c r="H129" s="18" t="str" cm="1">
        <f t="array" ref="H129">GetColumnName(C129,IF(B129=B128,H128,""))</f>
        <v>IsEncrypted</v>
      </c>
      <c r="I129" s="18" t="str">
        <f t="shared" si="14"/>
        <v>IsEncrypted</v>
      </c>
      <c r="J129" s="18" t="str">
        <f t="shared" si="15"/>
        <v>IsEncrypted</v>
      </c>
      <c r="K129" s="18" t="b">
        <v>0</v>
      </c>
      <c r="L129" s="18" t="b">
        <v>0</v>
      </c>
      <c r="M129" s="18" t="b">
        <v>0</v>
      </c>
      <c r="N129" s="18" t="b">
        <v>0</v>
      </c>
      <c r="O129" s="18" t="b">
        <v>1</v>
      </c>
      <c r="P129" s="18" t="b">
        <v>1</v>
      </c>
      <c r="Q129" s="18" t="b">
        <v>1</v>
      </c>
      <c r="R129" s="18" t="b">
        <v>0</v>
      </c>
      <c r="S129" s="18" t="b">
        <v>0</v>
      </c>
      <c r="T129" s="18" t="b">
        <v>0</v>
      </c>
      <c r="U129" s="18" t="b">
        <v>0</v>
      </c>
    </row>
    <row r="130" spans="1:21">
      <c r="A130" s="18">
        <f t="shared" si="27"/>
        <v>129</v>
      </c>
      <c r="B130" s="19">
        <v>18</v>
      </c>
      <c r="C130" s="18" t="str" cm="1">
        <f t="array" ref="C130">GetValue("Tbl","Alias",B130)</f>
        <v>Col</v>
      </c>
      <c r="D130" s="18">
        <v>6</v>
      </c>
      <c r="E130" s="18" t="str" cm="1">
        <f t="array" ref="E130">GetValue("Dmn","Name",D130)</f>
        <v>Boolean</v>
      </c>
      <c r="F130" s="18" t="str" cm="1">
        <f t="array" ref="F130">GetValue("Dmn","#CategoryName",D130)</f>
        <v>boolean</v>
      </c>
      <c r="G130" s="18">
        <f t="shared" si="26"/>
        <v>85</v>
      </c>
      <c r="H130" s="18" t="str" cm="1">
        <f t="array" ref="H130">GetColumnName(C130,IF(B130=B129,H129,""))</f>
        <v>IsInWords</v>
      </c>
      <c r="I130" s="18" t="str">
        <f t="shared" ref="I130" si="30">H130</f>
        <v>IsInWords</v>
      </c>
      <c r="J130" s="18" t="str">
        <f t="shared" ref="J130" si="31">H130</f>
        <v>IsInWords</v>
      </c>
      <c r="K130" s="18" t="b">
        <v>0</v>
      </c>
      <c r="L130" s="18" t="b">
        <v>0</v>
      </c>
      <c r="M130" s="18" t="b">
        <v>0</v>
      </c>
      <c r="N130" s="18" t="b">
        <v>0</v>
      </c>
      <c r="O130" s="18" t="b">
        <v>1</v>
      </c>
      <c r="P130" s="18" t="b">
        <v>1</v>
      </c>
      <c r="Q130" s="18" t="b">
        <v>0</v>
      </c>
      <c r="R130" s="18" t="b">
        <v>0</v>
      </c>
      <c r="S130" s="18" t="b">
        <v>0</v>
      </c>
      <c r="T130" s="18" t="b">
        <v>0</v>
      </c>
      <c r="U130" s="18" t="b">
        <v>0</v>
      </c>
    </row>
    <row r="131" spans="1:21">
      <c r="A131" s="20">
        <f t="shared" si="27"/>
        <v>130</v>
      </c>
      <c r="B131" s="21">
        <v>19</v>
      </c>
      <c r="C131" s="20" t="str" cm="1">
        <f t="array" ref="C131">GetValue("Tbl","Alias",B131)</f>
        <v>Idx</v>
      </c>
      <c r="D131" s="20">
        <v>1</v>
      </c>
      <c r="E131" s="20" t="str" cm="1">
        <f t="array" ref="E131">GetValue("Dmn","Name",D131)</f>
        <v>BigInteger</v>
      </c>
      <c r="F131" s="20" t="str" cm="1">
        <f t="array" ref="F131">GetValue("Dmn","#CategoryName",D131)</f>
        <v>number</v>
      </c>
      <c r="G131" s="20">
        <f t="shared" ref="G131:G132" si="32">IF(H131="Id",5,G130+5)</f>
        <v>5</v>
      </c>
      <c r="H131" s="20" t="str" cm="1">
        <f t="array" ref="H131">GetColumnName(C131,IF(B131=B130,H130,""))</f>
        <v>Id</v>
      </c>
      <c r="I131" s="20" t="str">
        <f t="shared" si="14"/>
        <v>Id</v>
      </c>
      <c r="J131" s="20" t="str">
        <f t="shared" si="15"/>
        <v>Id</v>
      </c>
      <c r="K131" s="20" t="b">
        <v>1</v>
      </c>
      <c r="L131" s="20" t="b">
        <v>1</v>
      </c>
      <c r="M131" s="20" t="b">
        <v>1</v>
      </c>
      <c r="N131" s="20" t="b">
        <v>0</v>
      </c>
      <c r="O131" s="20" t="b">
        <v>1</v>
      </c>
      <c r="P131" s="20" t="b">
        <v>0</v>
      </c>
      <c r="Q131" s="20" t="b">
        <v>0</v>
      </c>
      <c r="R131" s="20" t="b">
        <v>0</v>
      </c>
      <c r="S131" s="20" t="b">
        <v>0</v>
      </c>
      <c r="T131" s="20" t="b">
        <v>0</v>
      </c>
      <c r="U131" s="20" t="b">
        <v>0</v>
      </c>
    </row>
    <row r="132" spans="1:21">
      <c r="A132" s="20">
        <f t="shared" si="27"/>
        <v>131</v>
      </c>
      <c r="B132" s="21">
        <v>19</v>
      </c>
      <c r="C132" s="20" t="str" cm="1">
        <f t="array" ref="C132">GetValue("Tbl","Alias",B132)</f>
        <v>Idx</v>
      </c>
      <c r="D132" s="20">
        <v>1</v>
      </c>
      <c r="E132" s="20" t="str" cm="1">
        <f t="array" ref="E132">GetValue("Dmn","Name",D132)</f>
        <v>BigInteger</v>
      </c>
      <c r="F132" s="20" t="str" cm="1">
        <f t="array" ref="F132">GetValue("Dmn","#CategoryName",D132)</f>
        <v>number</v>
      </c>
      <c r="G132" s="20">
        <f t="shared" si="32"/>
        <v>10</v>
      </c>
      <c r="H132" s="20" t="str" cm="1">
        <f t="array" ref="H132">GetColumnName(C132,IF(B132=B131,H131,""))</f>
        <v>TableId</v>
      </c>
      <c r="I132" s="20" t="str">
        <f t="shared" si="14"/>
        <v>TableId</v>
      </c>
      <c r="J132" s="20" t="str">
        <f t="shared" si="15"/>
        <v>TableId</v>
      </c>
      <c r="K132" s="20" t="b">
        <v>1</v>
      </c>
      <c r="L132" s="20" t="b">
        <v>0</v>
      </c>
      <c r="M132" s="20" t="b">
        <v>0</v>
      </c>
      <c r="N132" s="20" t="b">
        <v>0</v>
      </c>
      <c r="O132" s="20" t="b">
        <v>1</v>
      </c>
      <c r="P132" s="20" t="b">
        <v>1</v>
      </c>
      <c r="Q132" s="20" t="b">
        <v>1</v>
      </c>
      <c r="R132" s="20" t="b">
        <v>0</v>
      </c>
      <c r="S132" s="20" t="b">
        <v>0</v>
      </c>
      <c r="T132" s="20" t="b">
        <v>0</v>
      </c>
      <c r="U132" s="20" t="b">
        <v>0</v>
      </c>
    </row>
    <row r="133" spans="1:21">
      <c r="A133" s="20">
        <f t="shared" si="27"/>
        <v>132</v>
      </c>
      <c r="B133" s="21">
        <v>19</v>
      </c>
      <c r="C133" s="20" t="str" cm="1">
        <f t="array" ref="C133">GetValue("Tbl","Alias",B133)</f>
        <v>Idx</v>
      </c>
      <c r="D133" s="20">
        <v>11</v>
      </c>
      <c r="E133" s="20" t="str" cm="1">
        <f t="array" ref="E133">GetValue("Dmn","Name",D133)</f>
        <v>NVARCHAR(50)</v>
      </c>
      <c r="F133" s="20" t="str" cm="1">
        <f t="array" ref="F133">GetValue("Dmn","#CategoryName",D133)</f>
        <v>string</v>
      </c>
      <c r="G133" s="20">
        <f t="shared" ref="G133" si="33">IF(H133="Id",5,G132+5)</f>
        <v>15</v>
      </c>
      <c r="H133" s="20" t="str" cm="1">
        <f t="array" ref="H133">GetColumnName(C133,IF(B133=B132,H132,""))</f>
        <v>Name</v>
      </c>
      <c r="I133" s="20" t="str">
        <f t="shared" si="14"/>
        <v>Name</v>
      </c>
      <c r="J133" s="20" t="str">
        <f t="shared" si="15"/>
        <v>Name</v>
      </c>
      <c r="K133" s="20" t="b">
        <v>1</v>
      </c>
      <c r="L133" s="20" t="b">
        <v>0</v>
      </c>
      <c r="M133" s="20" t="b">
        <v>0</v>
      </c>
      <c r="N133" s="20" t="b">
        <v>1</v>
      </c>
      <c r="O133" s="20" t="b">
        <v>1</v>
      </c>
      <c r="P133" s="20" t="b">
        <v>1</v>
      </c>
      <c r="Q133" s="20" t="b">
        <v>1</v>
      </c>
      <c r="R133" s="20" t="b">
        <v>1</v>
      </c>
      <c r="S133" s="20" t="b">
        <v>0</v>
      </c>
      <c r="T133" s="20" t="b">
        <v>0</v>
      </c>
      <c r="U133" s="20" t="b">
        <v>0</v>
      </c>
    </row>
    <row r="134" spans="1:21">
      <c r="A134" s="20">
        <f t="shared" si="23"/>
        <v>133</v>
      </c>
      <c r="B134" s="21">
        <v>19</v>
      </c>
      <c r="C134" s="20" t="str" cm="1">
        <f t="array" ref="C134">GetValue("Tbl","Alias",B134)</f>
        <v>Idx</v>
      </c>
      <c r="D134" s="20">
        <v>6</v>
      </c>
      <c r="E134" s="20" t="str" cm="1">
        <f t="array" ref="E134">GetValue("Dmn","Name",D134)</f>
        <v>Boolean</v>
      </c>
      <c r="F134" s="20" t="str" cm="1">
        <f t="array" ref="F134">GetValue("Dmn","#CategoryName",D134)</f>
        <v>boolean</v>
      </c>
      <c r="G134" s="20">
        <f>IF(H134="Id",5,G132+5)</f>
        <v>15</v>
      </c>
      <c r="H134" s="20" t="str" cm="1">
        <f t="array" ref="H134">GetColumnName(C134,IF(B134=B133,H133,""))</f>
        <v>IsUnique</v>
      </c>
      <c r="I134" s="20" t="str">
        <f t="shared" si="14"/>
        <v>IsUnique</v>
      </c>
      <c r="J134" s="20" t="str">
        <f t="shared" si="15"/>
        <v>IsUnique</v>
      </c>
      <c r="K134" s="20" t="b">
        <v>1</v>
      </c>
      <c r="L134" s="20" t="b">
        <v>0</v>
      </c>
      <c r="M134" s="20" t="b">
        <v>0</v>
      </c>
      <c r="N134" s="20" t="b">
        <v>0</v>
      </c>
      <c r="O134" s="20" t="b">
        <v>1</v>
      </c>
      <c r="P134" s="20" t="b">
        <v>0</v>
      </c>
      <c r="Q134" s="20" t="b">
        <v>0</v>
      </c>
      <c r="R134" s="20" t="b">
        <v>0</v>
      </c>
      <c r="S134" s="20" t="b">
        <v>0</v>
      </c>
      <c r="T134" s="20" t="b">
        <v>0</v>
      </c>
      <c r="U134" s="20" t="b">
        <v>0</v>
      </c>
    </row>
    <row r="135" spans="1:21">
      <c r="A135" s="18">
        <f t="shared" si="23"/>
        <v>134</v>
      </c>
      <c r="B135" s="19">
        <v>20</v>
      </c>
      <c r="C135" s="18" t="str" cm="1">
        <f t="array" ref="C135">GetValue("Tbl","Alias",B135)</f>
        <v>Idk</v>
      </c>
      <c r="D135" s="18">
        <v>1</v>
      </c>
      <c r="E135" s="18" t="str" cm="1">
        <f t="array" ref="E135">GetValue("Dmn","Name",D135)</f>
        <v>BigInteger</v>
      </c>
      <c r="F135" s="18" t="str" cm="1">
        <f t="array" ref="F135">GetValue("Dmn","#CategoryName",D135)</f>
        <v>number</v>
      </c>
      <c r="G135" s="18">
        <f t="shared" si="16"/>
        <v>5</v>
      </c>
      <c r="H135" s="18" t="str" cm="1">
        <f t="array" ref="H135">GetColumnName(C135,IF(B135=B134,H134,""))</f>
        <v>Id</v>
      </c>
      <c r="I135" s="18" t="str">
        <f t="shared" ref="I135:I199" si="34">H135</f>
        <v>Id</v>
      </c>
      <c r="J135" s="18" t="str">
        <f t="shared" ref="J135:J199" si="35">H135</f>
        <v>Id</v>
      </c>
      <c r="K135" s="18" t="b">
        <v>1</v>
      </c>
      <c r="L135" s="18" t="b">
        <v>1</v>
      </c>
      <c r="M135" s="18" t="b">
        <v>1</v>
      </c>
      <c r="N135" s="18" t="b">
        <v>0</v>
      </c>
      <c r="O135" s="18" t="b">
        <v>1</v>
      </c>
      <c r="P135" s="18" t="b">
        <v>0</v>
      </c>
      <c r="Q135" s="18" t="b">
        <v>0</v>
      </c>
      <c r="R135" s="18" t="b">
        <v>0</v>
      </c>
      <c r="S135" s="18" t="b">
        <v>0</v>
      </c>
      <c r="T135" s="18" t="b">
        <v>0</v>
      </c>
      <c r="U135" s="18" t="b">
        <v>0</v>
      </c>
    </row>
    <row r="136" spans="1:21">
      <c r="A136" s="18">
        <f t="shared" si="23"/>
        <v>135</v>
      </c>
      <c r="B136" s="19">
        <v>20</v>
      </c>
      <c r="C136" s="18" t="str" cm="1">
        <f t="array" ref="C136">GetValue("Tbl","Alias",B136)</f>
        <v>Idk</v>
      </c>
      <c r="D136" s="18">
        <v>1</v>
      </c>
      <c r="E136" s="18" t="str" cm="1">
        <f t="array" ref="E136">GetValue("Dmn","Name",D136)</f>
        <v>BigInteger</v>
      </c>
      <c r="F136" s="18" t="str" cm="1">
        <f t="array" ref="F136">GetValue("Dmn","#CategoryName",D136)</f>
        <v>number</v>
      </c>
      <c r="G136" s="18">
        <f t="shared" si="16"/>
        <v>10</v>
      </c>
      <c r="H136" s="18" t="str" cm="1">
        <f t="array" ref="H136">GetColumnName(C136,IF(B136=B135,H135,""))</f>
        <v>IndexId</v>
      </c>
      <c r="I136" s="18" t="str">
        <f t="shared" si="34"/>
        <v>IndexId</v>
      </c>
      <c r="J136" s="18" t="str">
        <f t="shared" si="35"/>
        <v>IndexId</v>
      </c>
      <c r="K136" s="18" t="b">
        <v>1</v>
      </c>
      <c r="L136" s="18" t="b">
        <v>0</v>
      </c>
      <c r="M136" s="18" t="b">
        <v>0</v>
      </c>
      <c r="N136" s="18" t="b">
        <v>0</v>
      </c>
      <c r="O136" s="18" t="b">
        <v>1</v>
      </c>
      <c r="P136" s="18" t="b">
        <v>1</v>
      </c>
      <c r="Q136" s="18" t="b">
        <v>1</v>
      </c>
      <c r="R136" s="18" t="b">
        <v>0</v>
      </c>
      <c r="S136" s="18" t="b">
        <v>0</v>
      </c>
      <c r="T136" s="18" t="b">
        <v>0</v>
      </c>
      <c r="U136" s="18" t="b">
        <v>0</v>
      </c>
    </row>
    <row r="137" spans="1:21">
      <c r="A137" s="18">
        <f t="shared" si="23"/>
        <v>136</v>
      </c>
      <c r="B137" s="19">
        <v>20</v>
      </c>
      <c r="C137" s="18" t="str" cm="1">
        <f t="array" ref="C137">GetValue("Tbl","Alias",B137)</f>
        <v>Idk</v>
      </c>
      <c r="D137" s="18">
        <v>1</v>
      </c>
      <c r="E137" s="18" t="str" cm="1">
        <f t="array" ref="E137">GetValue("Dmn","Name",D137)</f>
        <v>BigInteger</v>
      </c>
      <c r="F137" s="18" t="str" cm="1">
        <f t="array" ref="F137">GetValue("Dmn","#CategoryName",D137)</f>
        <v>number</v>
      </c>
      <c r="G137" s="18">
        <f t="shared" si="16"/>
        <v>15</v>
      </c>
      <c r="H137" s="18" t="str" cm="1">
        <f t="array" ref="H137">GetColumnName(C137,IF(B137=B136,H136,""))</f>
        <v>ColumnId</v>
      </c>
      <c r="I137" s="18" t="str">
        <f t="shared" si="34"/>
        <v>ColumnId</v>
      </c>
      <c r="J137" s="18" t="str">
        <f t="shared" si="35"/>
        <v>ColumnId</v>
      </c>
      <c r="K137" s="18" t="b">
        <v>1</v>
      </c>
      <c r="L137" s="18" t="b">
        <v>0</v>
      </c>
      <c r="M137" s="18" t="b">
        <v>0</v>
      </c>
      <c r="N137" s="18" t="b">
        <v>0</v>
      </c>
      <c r="O137" s="18" t="b">
        <v>1</v>
      </c>
      <c r="P137" s="18" t="b">
        <v>1</v>
      </c>
      <c r="Q137" s="18" t="b">
        <v>1</v>
      </c>
      <c r="R137" s="18" t="b">
        <v>0</v>
      </c>
      <c r="S137" s="18" t="b">
        <v>0</v>
      </c>
      <c r="T137" s="18" t="b">
        <v>0</v>
      </c>
      <c r="U137" s="18" t="b">
        <v>0</v>
      </c>
    </row>
    <row r="138" spans="1:21">
      <c r="A138" s="18">
        <f t="shared" si="23"/>
        <v>137</v>
      </c>
      <c r="B138" s="19">
        <v>20</v>
      </c>
      <c r="C138" s="18" t="str" cm="1">
        <f t="array" ref="C138">GetValue("Tbl","Alias",B138)</f>
        <v>Idk</v>
      </c>
      <c r="D138" s="18">
        <v>4</v>
      </c>
      <c r="E138" s="18" t="str" cm="1">
        <f t="array" ref="E138">GetValue("Dmn","Name",D138)</f>
        <v>SmallInteger</v>
      </c>
      <c r="F138" s="18" t="str" cm="1">
        <f t="array" ref="F138">GetValue("Dmn","#CategoryName",D138)</f>
        <v>number</v>
      </c>
      <c r="G138" s="18">
        <f t="shared" ref="G138:G139" si="36">IF(H138="Id",5,G137+5)</f>
        <v>20</v>
      </c>
      <c r="H138" s="18" t="str" cm="1">
        <f t="array" ref="H138">GetColumnName(C138,IF(B138=B137,H137,""))</f>
        <v>Sequence</v>
      </c>
      <c r="I138" s="18" t="str">
        <f t="shared" si="34"/>
        <v>Sequence</v>
      </c>
      <c r="J138" s="18" t="str">
        <f t="shared" si="35"/>
        <v>Sequence</v>
      </c>
      <c r="K138" s="18" t="b">
        <v>1</v>
      </c>
      <c r="L138" s="18" t="b">
        <v>0</v>
      </c>
      <c r="M138" s="18" t="b">
        <v>0</v>
      </c>
      <c r="N138" s="18" t="b">
        <v>0</v>
      </c>
      <c r="O138" s="18" t="b">
        <v>0</v>
      </c>
      <c r="P138" s="18" t="b">
        <v>1</v>
      </c>
      <c r="Q138" s="18" t="b">
        <v>1</v>
      </c>
      <c r="R138" s="18" t="b">
        <v>0</v>
      </c>
      <c r="S138" s="18" t="b">
        <v>0</v>
      </c>
      <c r="T138" s="18" t="b">
        <v>0</v>
      </c>
      <c r="U138" s="18" t="b">
        <v>0</v>
      </c>
    </row>
    <row r="139" spans="1:21">
      <c r="A139" s="18">
        <f t="shared" si="23"/>
        <v>138</v>
      </c>
      <c r="B139" s="19">
        <v>20</v>
      </c>
      <c r="C139" s="18" t="str" cm="1">
        <f t="array" ref="C139">GetValue("Tbl","Alias",B139)</f>
        <v>Idk</v>
      </c>
      <c r="D139" s="18">
        <v>6</v>
      </c>
      <c r="E139" s="18" t="str" cm="1">
        <f t="array" ref="E139">GetValue("Dmn","Name",D139)</f>
        <v>Boolean</v>
      </c>
      <c r="F139" s="18" t="str" cm="1">
        <f t="array" ref="F139">GetValue("Dmn","#CategoryName",D139)</f>
        <v>boolean</v>
      </c>
      <c r="G139" s="18">
        <f t="shared" si="36"/>
        <v>25</v>
      </c>
      <c r="H139" s="18" t="str" cm="1">
        <f t="array" ref="H139">GetColumnName(C139,IF(B139=B138,H138,""))</f>
        <v>IsDescending</v>
      </c>
      <c r="I139" s="18" t="str">
        <f t="shared" si="34"/>
        <v>IsDescending</v>
      </c>
      <c r="J139" s="18" t="str">
        <f t="shared" si="35"/>
        <v>IsDescending</v>
      </c>
      <c r="K139" s="18" t="b">
        <v>1</v>
      </c>
      <c r="L139" s="18" t="b">
        <v>0</v>
      </c>
      <c r="M139" s="18" t="b">
        <v>0</v>
      </c>
      <c r="N139" s="18" t="b">
        <v>0</v>
      </c>
      <c r="O139" s="18" t="b">
        <v>1</v>
      </c>
      <c r="P139" s="18" t="b">
        <v>1</v>
      </c>
      <c r="Q139" s="18" t="b">
        <v>1</v>
      </c>
      <c r="R139" s="18" t="b">
        <v>0</v>
      </c>
      <c r="S139" s="18" t="b">
        <v>0</v>
      </c>
      <c r="T139" s="18" t="b">
        <v>0</v>
      </c>
      <c r="U139" s="18" t="b">
        <v>0</v>
      </c>
    </row>
    <row r="140" spans="1:21">
      <c r="A140" s="20">
        <f t="shared" si="23"/>
        <v>139</v>
      </c>
      <c r="B140" s="21">
        <v>21</v>
      </c>
      <c r="C140" s="20" t="str" cm="1">
        <f t="array" ref="C140">GetValue("Tbl","Alias",B140)</f>
        <v>Inc</v>
      </c>
      <c r="D140" s="20">
        <v>1</v>
      </c>
      <c r="E140" s="20" t="str" cm="1">
        <f t="array" ref="E140">GetValue("Dmn","Name",D140)</f>
        <v>BigInteger</v>
      </c>
      <c r="F140" s="20" t="str" cm="1">
        <f t="array" ref="F140">GetValue("Dmn","#CategoryName",D140)</f>
        <v>number</v>
      </c>
      <c r="G140" s="20">
        <f t="shared" si="16"/>
        <v>5</v>
      </c>
      <c r="H140" s="20" t="str" cm="1">
        <f t="array" ref="H140">GetColumnName(C140,IF(B140=B139,H139,""))</f>
        <v>Id</v>
      </c>
      <c r="I140" s="20" t="str">
        <f t="shared" si="34"/>
        <v>Id</v>
      </c>
      <c r="J140" s="20" t="str">
        <f t="shared" si="35"/>
        <v>Id</v>
      </c>
      <c r="K140" s="20" t="b">
        <v>1</v>
      </c>
      <c r="L140" s="20" t="b">
        <v>1</v>
      </c>
      <c r="M140" s="20" t="b">
        <v>1</v>
      </c>
      <c r="N140" s="20" t="b">
        <v>0</v>
      </c>
      <c r="O140" s="20" t="b">
        <v>1</v>
      </c>
      <c r="P140" s="20" t="b">
        <v>0</v>
      </c>
      <c r="Q140" s="20" t="b">
        <v>0</v>
      </c>
      <c r="R140" s="20" t="b">
        <v>0</v>
      </c>
      <c r="S140" s="20" t="b">
        <v>0</v>
      </c>
      <c r="T140" s="20" t="b">
        <v>0</v>
      </c>
      <c r="U140" s="20" t="b">
        <v>0</v>
      </c>
    </row>
    <row r="141" spans="1:21">
      <c r="A141" s="20">
        <f t="shared" si="23"/>
        <v>140</v>
      </c>
      <c r="B141" s="21">
        <v>21</v>
      </c>
      <c r="C141" s="20" t="str" cm="1">
        <f t="array" ref="C141">GetValue("Tbl","Alias",B141)</f>
        <v>Inc</v>
      </c>
      <c r="D141" s="20">
        <v>1</v>
      </c>
      <c r="E141" s="20" t="str" cm="1">
        <f t="array" ref="E141">GetValue("Dmn","Name",D141)</f>
        <v>BigInteger</v>
      </c>
      <c r="F141" s="20" t="str" cm="1">
        <f t="array" ref="F141">GetValue("Dmn","#CategoryName",D141)</f>
        <v>number</v>
      </c>
      <c r="G141" s="20">
        <f t="shared" si="16"/>
        <v>10</v>
      </c>
      <c r="H141" s="20" t="str" cm="1">
        <f t="array" ref="H141">GetColumnName(C141,IF(B141=B140,H140,""))</f>
        <v>IndexId</v>
      </c>
      <c r="I141" s="20" t="str">
        <f t="shared" si="34"/>
        <v>IndexId</v>
      </c>
      <c r="J141" s="20" t="str">
        <f t="shared" si="35"/>
        <v>IndexId</v>
      </c>
      <c r="K141" s="20" t="b">
        <v>1</v>
      </c>
      <c r="L141" s="20" t="b">
        <v>0</v>
      </c>
      <c r="M141" s="20" t="b">
        <v>0</v>
      </c>
      <c r="N141" s="20" t="b">
        <v>0</v>
      </c>
      <c r="O141" s="20" t="b">
        <v>1</v>
      </c>
      <c r="P141" s="20" t="b">
        <v>1</v>
      </c>
      <c r="Q141" s="20" t="b">
        <v>1</v>
      </c>
      <c r="R141" s="20" t="b">
        <v>0</v>
      </c>
      <c r="S141" s="20" t="b">
        <v>0</v>
      </c>
      <c r="T141" s="20" t="b">
        <v>0</v>
      </c>
      <c r="U141" s="20" t="b">
        <v>0</v>
      </c>
    </row>
    <row r="142" spans="1:21">
      <c r="A142" s="20">
        <f t="shared" si="23"/>
        <v>141</v>
      </c>
      <c r="B142" s="21">
        <v>21</v>
      </c>
      <c r="C142" s="20" t="str" cm="1">
        <f t="array" ref="C142">GetValue("Tbl","Alias",B142)</f>
        <v>Inc</v>
      </c>
      <c r="D142" s="20">
        <v>1</v>
      </c>
      <c r="E142" s="20" t="str" cm="1">
        <f t="array" ref="E142">GetValue("Dmn","Name",D142)</f>
        <v>BigInteger</v>
      </c>
      <c r="F142" s="20" t="str" cm="1">
        <f t="array" ref="F142">GetValue("Dmn","#CategoryName",D142)</f>
        <v>number</v>
      </c>
      <c r="G142" s="20">
        <f t="shared" si="16"/>
        <v>15</v>
      </c>
      <c r="H142" s="20" t="str" cm="1">
        <f t="array" ref="H142">GetColumnName(C142,IF(B142=B141,H141,""))</f>
        <v>ColumnId</v>
      </c>
      <c r="I142" s="20" t="str">
        <f t="shared" si="34"/>
        <v>ColumnId</v>
      </c>
      <c r="J142" s="20" t="str">
        <f t="shared" si="35"/>
        <v>ColumnId</v>
      </c>
      <c r="K142" s="20" t="b">
        <v>1</v>
      </c>
      <c r="L142" s="20" t="b">
        <v>0</v>
      </c>
      <c r="M142" s="20" t="b">
        <v>0</v>
      </c>
      <c r="N142" s="20" t="b">
        <v>0</v>
      </c>
      <c r="O142" s="20" t="b">
        <v>1</v>
      </c>
      <c r="P142" s="20" t="b">
        <v>1</v>
      </c>
      <c r="Q142" s="20" t="b">
        <v>1</v>
      </c>
      <c r="R142" s="20" t="b">
        <v>0</v>
      </c>
      <c r="S142" s="20" t="b">
        <v>0</v>
      </c>
      <c r="T142" s="20" t="b">
        <v>0</v>
      </c>
      <c r="U142" s="20" t="b">
        <v>0</v>
      </c>
    </row>
    <row r="143" spans="1:21">
      <c r="A143" s="18">
        <f t="shared" si="23"/>
        <v>142</v>
      </c>
      <c r="B143" s="19">
        <v>22</v>
      </c>
      <c r="C143" s="18" t="str" cm="1">
        <f t="array" ref="C143">GetValue("Tbl","Alias",B143)</f>
        <v>Uni</v>
      </c>
      <c r="D143" s="18">
        <v>1</v>
      </c>
      <c r="E143" s="18" t="str" cm="1">
        <f t="array" ref="E143">GetValue("Dmn","Name",D143)</f>
        <v>BigInteger</v>
      </c>
      <c r="F143" s="18" t="str" cm="1">
        <f t="array" ref="F143">GetValue("Dmn","#CategoryName",D143)</f>
        <v>number</v>
      </c>
      <c r="G143" s="18">
        <f t="shared" si="16"/>
        <v>5</v>
      </c>
      <c r="H143" s="18" t="str" cm="1">
        <f t="array" ref="H143">GetColumnName(C143,IF(B143=B142,H142,""))</f>
        <v>Id</v>
      </c>
      <c r="I143" s="18" t="str">
        <f t="shared" si="34"/>
        <v>Id</v>
      </c>
      <c r="J143" s="18" t="str">
        <f t="shared" si="35"/>
        <v>Id</v>
      </c>
      <c r="K143" s="18" t="b">
        <v>1</v>
      </c>
      <c r="L143" s="18" t="b">
        <v>1</v>
      </c>
      <c r="M143" s="18" t="b">
        <v>1</v>
      </c>
      <c r="N143" s="18" t="b">
        <v>0</v>
      </c>
      <c r="O143" s="18" t="b">
        <v>1</v>
      </c>
      <c r="P143" s="18" t="b">
        <v>0</v>
      </c>
      <c r="Q143" s="18" t="b">
        <v>0</v>
      </c>
      <c r="R143" s="18" t="b">
        <v>0</v>
      </c>
      <c r="S143" s="18" t="b">
        <v>0</v>
      </c>
      <c r="T143" s="18" t="b">
        <v>0</v>
      </c>
      <c r="U143" s="18" t="b">
        <v>0</v>
      </c>
    </row>
    <row r="144" spans="1:21">
      <c r="A144" s="18">
        <f>ROW(A144)-1</f>
        <v>143</v>
      </c>
      <c r="B144" s="19">
        <v>22</v>
      </c>
      <c r="C144" s="18" t="str" cm="1">
        <f t="array" ref="C144">GetValue("Tbl","Alias",B144)</f>
        <v>Uni</v>
      </c>
      <c r="D144" s="18">
        <v>1</v>
      </c>
      <c r="E144" s="18" t="str" cm="1">
        <f t="array" ref="E144">GetValue("Dmn","Name",D144)</f>
        <v>BigInteger</v>
      </c>
      <c r="F144" s="18" t="str" cm="1">
        <f t="array" ref="F144">GetValue("Dmn","#CategoryName",D144)</f>
        <v>number</v>
      </c>
      <c r="G144" s="18">
        <f>IF(H144="Id",5,G143+5)</f>
        <v>10</v>
      </c>
      <c r="H144" s="18" t="str" cm="1">
        <f t="array" ref="H144">GetColumnName(C144,IF(B144=B143,H143,""))</f>
        <v>LeftColumnId</v>
      </c>
      <c r="I144" s="18" t="str">
        <f t="shared" si="34"/>
        <v>LeftColumnId</v>
      </c>
      <c r="J144" s="18" t="str">
        <f t="shared" si="35"/>
        <v>LeftColumnId</v>
      </c>
      <c r="K144" s="18" t="b">
        <v>1</v>
      </c>
      <c r="L144" s="18" t="b">
        <v>0</v>
      </c>
      <c r="M144" s="18" t="b">
        <v>0</v>
      </c>
      <c r="N144" s="18" t="b">
        <v>0</v>
      </c>
      <c r="O144" s="18" t="b">
        <v>1</v>
      </c>
      <c r="P144" s="18" t="b">
        <v>1</v>
      </c>
      <c r="Q144" s="18" t="b">
        <v>1</v>
      </c>
      <c r="R144" s="18" t="b">
        <v>0</v>
      </c>
      <c r="S144" s="18" t="b">
        <v>0</v>
      </c>
      <c r="T144" s="18" t="b">
        <v>0</v>
      </c>
      <c r="U144" s="18" t="b">
        <v>0</v>
      </c>
    </row>
    <row r="145" spans="1:21">
      <c r="A145" s="18">
        <f t="shared" si="23"/>
        <v>144</v>
      </c>
      <c r="B145" s="19">
        <v>22</v>
      </c>
      <c r="C145" s="18" t="str" cm="1">
        <f t="array" ref="C145">GetValue("Tbl","Alias",B145)</f>
        <v>Uni</v>
      </c>
      <c r="D145" s="18">
        <v>1</v>
      </c>
      <c r="E145" s="18" t="str" cm="1">
        <f t="array" ref="E145">GetValue("Dmn","Name",D145)</f>
        <v>BigInteger</v>
      </c>
      <c r="F145" s="18" t="str" cm="1">
        <f t="array" ref="F145">GetValue("Dmn","#CategoryName",D145)</f>
        <v>number</v>
      </c>
      <c r="G145" s="18">
        <f>IF(H145="Id",5,G144+5)</f>
        <v>15</v>
      </c>
      <c r="H145" s="18" t="str" cm="1">
        <f t="array" ref="H145">GetColumnName(C145,IF(B145=B144,H144,""))</f>
        <v>RightColumnId</v>
      </c>
      <c r="I145" s="18" t="str">
        <f t="shared" si="34"/>
        <v>RightColumnId</v>
      </c>
      <c r="J145" s="18" t="str">
        <f t="shared" si="35"/>
        <v>RightColumnId</v>
      </c>
      <c r="K145" s="18" t="b">
        <v>1</v>
      </c>
      <c r="L145" s="18" t="b">
        <v>0</v>
      </c>
      <c r="M145" s="18" t="b">
        <v>0</v>
      </c>
      <c r="N145" s="18" t="b">
        <v>0</v>
      </c>
      <c r="O145" s="18" t="b">
        <v>1</v>
      </c>
      <c r="P145" s="18" t="b">
        <v>0</v>
      </c>
      <c r="Q145" s="18" t="b">
        <v>0</v>
      </c>
      <c r="R145" s="18" t="b">
        <v>0</v>
      </c>
      <c r="S145" s="18" t="b">
        <v>0</v>
      </c>
      <c r="T145" s="18" t="b">
        <v>0</v>
      </c>
      <c r="U145" s="18" t="b">
        <v>0</v>
      </c>
    </row>
    <row r="146" spans="1:21">
      <c r="A146" s="18">
        <f t="shared" si="23"/>
        <v>145</v>
      </c>
      <c r="B146" s="19">
        <v>22</v>
      </c>
      <c r="C146" s="18" t="str" cm="1">
        <f t="array" ref="C146">GetValue("Tbl","Alias",B146)</f>
        <v>Uni</v>
      </c>
      <c r="D146" s="18">
        <v>6</v>
      </c>
      <c r="E146" s="18" t="str" cm="1">
        <f t="array" ref="E146">GetValue("Dmn","Name",D146)</f>
        <v>Boolean</v>
      </c>
      <c r="F146" s="18" t="str" cm="1">
        <f t="array" ref="F146">GetValue("Dmn","#CategoryName",D146)</f>
        <v>boolean</v>
      </c>
      <c r="G146" s="18">
        <f t="shared" si="16"/>
        <v>20</v>
      </c>
      <c r="H146" s="18" t="str" cm="1">
        <f t="array" ref="H146">GetColumnName(C146,IF(B146=B145,H145,""))</f>
        <v>IsBirectional</v>
      </c>
      <c r="I146" s="18" t="str">
        <f t="shared" si="34"/>
        <v>IsBirectional</v>
      </c>
      <c r="J146" s="18" t="str">
        <f t="shared" si="35"/>
        <v>IsBirectional</v>
      </c>
      <c r="K146" s="18" t="b">
        <v>0</v>
      </c>
      <c r="L146" s="18" t="b">
        <v>0</v>
      </c>
      <c r="M146" s="18" t="b">
        <v>0</v>
      </c>
      <c r="N146" s="18" t="b">
        <v>0</v>
      </c>
      <c r="O146" s="18" t="b">
        <v>1</v>
      </c>
      <c r="P146" s="18" t="b">
        <v>1</v>
      </c>
      <c r="Q146" s="18" t="b">
        <v>1</v>
      </c>
      <c r="R146" s="18" t="b">
        <v>0</v>
      </c>
      <c r="S146" s="18" t="b">
        <v>0</v>
      </c>
      <c r="T146" s="18" t="b">
        <v>0</v>
      </c>
      <c r="U146" s="18" t="b">
        <v>0</v>
      </c>
    </row>
    <row r="147" spans="1:21">
      <c r="A147" s="20">
        <f t="shared" si="23"/>
        <v>146</v>
      </c>
      <c r="B147" s="21">
        <v>23</v>
      </c>
      <c r="C147" s="20" t="str" cm="1">
        <f t="array" ref="C147">GetValue("Tbl","Alias",B147)</f>
        <v>Exp</v>
      </c>
      <c r="D147" s="20">
        <v>1</v>
      </c>
      <c r="E147" s="20" t="str" cm="1">
        <f t="array" ref="E147">GetValue("Dmn","Name",D147)</f>
        <v>BigInteger</v>
      </c>
      <c r="F147" s="20" t="str" cm="1">
        <f t="array" ref="F147">GetValue("Dmn","#CategoryName",D147)</f>
        <v>number</v>
      </c>
      <c r="G147" s="20">
        <f t="shared" si="16"/>
        <v>5</v>
      </c>
      <c r="H147" s="20" t="str" cm="1">
        <f t="array" ref="H147">GetColumnName(C147,IF(B147=B146,H146,""))</f>
        <v>Id</v>
      </c>
      <c r="I147" s="20" t="str">
        <f t="shared" si="34"/>
        <v>Id</v>
      </c>
      <c r="J147" s="20" t="str">
        <f t="shared" si="35"/>
        <v>Id</v>
      </c>
      <c r="K147" s="20" t="b">
        <v>1</v>
      </c>
      <c r="L147" s="20" t="b">
        <v>1</v>
      </c>
      <c r="M147" s="20" t="b">
        <v>1</v>
      </c>
      <c r="N147" s="20" t="b">
        <v>0</v>
      </c>
      <c r="O147" s="20" t="b">
        <v>1</v>
      </c>
      <c r="P147" s="20" t="b">
        <v>0</v>
      </c>
      <c r="Q147" s="20" t="b">
        <v>0</v>
      </c>
      <c r="R147" s="20" t="b">
        <v>0</v>
      </c>
      <c r="S147" s="20" t="b">
        <v>0</v>
      </c>
      <c r="T147" s="20" t="b">
        <v>0</v>
      </c>
      <c r="U147" s="20" t="b">
        <v>0</v>
      </c>
    </row>
    <row r="148" spans="1:21">
      <c r="A148" s="20">
        <f t="shared" si="23"/>
        <v>147</v>
      </c>
      <c r="B148" s="21">
        <v>23</v>
      </c>
      <c r="C148" s="20" t="str" cm="1">
        <f t="array" ref="C148">GetValue("Tbl","Alias",B148)</f>
        <v>Exp</v>
      </c>
      <c r="D148" s="20">
        <v>1</v>
      </c>
      <c r="E148" s="20" t="str" cm="1">
        <f t="array" ref="E148">GetValue("Dmn","Name",D148)</f>
        <v>BigInteger</v>
      </c>
      <c r="F148" s="20" t="str" cm="1">
        <f t="array" ref="F148">GetValue("Dmn","#CategoryName",D148)</f>
        <v>number</v>
      </c>
      <c r="G148" s="20">
        <f>IF(H148="Id",5,G147+5)</f>
        <v>10</v>
      </c>
      <c r="H148" s="20" t="str" cm="1">
        <f t="array" ref="H148">GetColumnName(C148,IF(B148=B147,H147,""))</f>
        <v>TableId</v>
      </c>
      <c r="I148" s="20" t="str">
        <f t="shared" si="34"/>
        <v>TableId</v>
      </c>
      <c r="J148" s="20" t="str">
        <f t="shared" si="35"/>
        <v>TableId</v>
      </c>
      <c r="K148" s="20" t="b">
        <v>1</v>
      </c>
      <c r="L148" s="20" t="b">
        <v>0</v>
      </c>
      <c r="M148" s="20" t="b">
        <v>0</v>
      </c>
      <c r="N148" s="20" t="b">
        <v>0</v>
      </c>
      <c r="O148" s="20" t="b">
        <v>1</v>
      </c>
      <c r="P148" s="20" t="b">
        <v>0</v>
      </c>
      <c r="Q148" s="20" t="b">
        <v>0</v>
      </c>
      <c r="R148" s="20" t="b">
        <v>0</v>
      </c>
      <c r="S148" s="20" t="b">
        <v>0</v>
      </c>
      <c r="T148" s="20" t="b">
        <v>0</v>
      </c>
      <c r="U148" s="20" t="b">
        <v>0</v>
      </c>
    </row>
    <row r="149" spans="1:21">
      <c r="A149" s="20">
        <f t="shared" si="23"/>
        <v>148</v>
      </c>
      <c r="B149" s="21">
        <v>23</v>
      </c>
      <c r="C149" s="20" t="str" cm="1">
        <f t="array" ref="C149">GetValue("Tbl","Alias",B149)</f>
        <v>Exp</v>
      </c>
      <c r="D149" s="20">
        <v>10</v>
      </c>
      <c r="E149" s="20" t="str" cm="1">
        <f t="array" ref="E149">GetValue("Dmn","Name",D149)</f>
        <v>NVARCHAR(25)</v>
      </c>
      <c r="F149" s="20" t="str" cm="1">
        <f t="array" ref="F149">GetValue("Dmn","#CategoryName",D149)</f>
        <v>string</v>
      </c>
      <c r="G149" s="20">
        <f t="shared" ref="G149:G152" si="37">IF(H149="Id",5,G148+5)</f>
        <v>15</v>
      </c>
      <c r="H149" s="20" t="str" cm="1">
        <f t="array" ref="H149">GetColumnName(C149,IF(B149=B148,H148,""))</f>
        <v>Name</v>
      </c>
      <c r="I149" s="20" t="str">
        <f t="shared" si="34"/>
        <v>Name</v>
      </c>
      <c r="J149" s="20" t="str">
        <f t="shared" si="35"/>
        <v>Name</v>
      </c>
      <c r="K149" s="20" t="b">
        <v>1</v>
      </c>
      <c r="L149" s="20" t="b">
        <v>0</v>
      </c>
      <c r="M149" s="20" t="b">
        <v>0</v>
      </c>
      <c r="N149" s="20" t="b">
        <v>0</v>
      </c>
      <c r="O149" s="20" t="b">
        <v>1</v>
      </c>
      <c r="P149" s="20" t="b">
        <v>1</v>
      </c>
      <c r="Q149" s="20" t="b">
        <v>1</v>
      </c>
      <c r="R149" s="20" t="b">
        <v>1</v>
      </c>
      <c r="S149" s="20" t="b">
        <v>0</v>
      </c>
      <c r="T149" s="20" t="b">
        <v>0</v>
      </c>
      <c r="U149" s="20" t="b">
        <v>0</v>
      </c>
    </row>
    <row r="150" spans="1:21">
      <c r="A150" s="18">
        <f t="shared" si="23"/>
        <v>149</v>
      </c>
      <c r="B150" s="19">
        <v>24</v>
      </c>
      <c r="C150" s="18" t="str" cm="1">
        <f t="array" ref="C150">GetValue("Tbl","Alias",B150)</f>
        <v>Cnd</v>
      </c>
      <c r="D150" s="18">
        <v>1</v>
      </c>
      <c r="E150" s="18" t="str" cm="1">
        <f t="array" ref="E150">GetValue("Dmn","Name",D150)</f>
        <v>BigInteger</v>
      </c>
      <c r="F150" s="18" t="str" cm="1">
        <f t="array" ref="F150">GetValue("Dmn","#CategoryName",D150)</f>
        <v>number</v>
      </c>
      <c r="G150" s="18">
        <f t="shared" si="37"/>
        <v>5</v>
      </c>
      <c r="H150" s="18" t="str" cm="1">
        <f t="array" ref="H150">GetColumnName(C150,IF(B150=B149,H149,""))</f>
        <v>Id</v>
      </c>
      <c r="I150" s="18" t="str">
        <f t="shared" si="34"/>
        <v>Id</v>
      </c>
      <c r="J150" s="18" t="str">
        <f t="shared" si="35"/>
        <v>Id</v>
      </c>
      <c r="K150" s="18" t="b">
        <v>1</v>
      </c>
      <c r="L150" s="18" t="b">
        <v>1</v>
      </c>
      <c r="M150" s="18" t="b">
        <v>0</v>
      </c>
      <c r="N150" s="18" t="b">
        <v>0</v>
      </c>
      <c r="O150" s="18" t="b">
        <v>1</v>
      </c>
      <c r="P150" s="18" t="b">
        <v>0</v>
      </c>
      <c r="Q150" s="18" t="b">
        <v>0</v>
      </c>
      <c r="R150" s="18" t="b">
        <v>0</v>
      </c>
      <c r="S150" s="18" t="b">
        <v>0</v>
      </c>
      <c r="T150" s="18" t="b">
        <v>0</v>
      </c>
      <c r="U150" s="18" t="b">
        <v>0</v>
      </c>
    </row>
    <row r="151" spans="1:21">
      <c r="A151" s="18">
        <f t="shared" si="23"/>
        <v>150</v>
      </c>
      <c r="B151" s="19">
        <v>24</v>
      </c>
      <c r="C151" s="18" t="str" cm="1">
        <f t="array" ref="C151">GetValue("Tbl","Alias",B151)</f>
        <v>Cnd</v>
      </c>
      <c r="D151" s="18">
        <v>1</v>
      </c>
      <c r="E151" s="18" t="str" cm="1">
        <f t="array" ref="E151">GetValue("Dmn","Name",D151)</f>
        <v>BigInteger</v>
      </c>
      <c r="F151" s="18" t="str" cm="1">
        <f t="array" ref="F151">GetValue("Dmn","#CategoryName",D151)</f>
        <v>number</v>
      </c>
      <c r="G151" s="18">
        <f t="shared" si="37"/>
        <v>10</v>
      </c>
      <c r="H151" s="18" t="str" cm="1">
        <f t="array" ref="H151">GetColumnName(C151,IF(B151=B150,H150,""))</f>
        <v>ExpressionId</v>
      </c>
      <c r="I151" s="18" t="str">
        <f t="shared" si="34"/>
        <v>ExpressionId</v>
      </c>
      <c r="J151" s="18" t="str">
        <f t="shared" si="35"/>
        <v>ExpressionId</v>
      </c>
      <c r="K151" s="18" t="b">
        <v>1</v>
      </c>
      <c r="L151" s="18" t="b">
        <v>0</v>
      </c>
      <c r="M151" s="18" t="b">
        <v>0</v>
      </c>
      <c r="N151" s="18" t="b">
        <v>0</v>
      </c>
      <c r="O151" s="18" t="b">
        <v>1</v>
      </c>
      <c r="P151" s="18" t="b">
        <v>1</v>
      </c>
      <c r="Q151" s="18" t="b">
        <v>1</v>
      </c>
      <c r="R151" s="18" t="b">
        <v>0</v>
      </c>
      <c r="S151" s="18" t="b">
        <v>0</v>
      </c>
      <c r="T151" s="18" t="b">
        <v>0</v>
      </c>
      <c r="U151" s="18" t="b">
        <v>0</v>
      </c>
    </row>
    <row r="152" spans="1:21">
      <c r="A152" s="18">
        <f t="shared" si="23"/>
        <v>151</v>
      </c>
      <c r="B152" s="19">
        <v>24</v>
      </c>
      <c r="C152" s="18" t="str" cm="1">
        <f t="array" ref="C152">GetValue("Tbl","Alias",B152)</f>
        <v>Cnd</v>
      </c>
      <c r="D152" s="18">
        <v>4</v>
      </c>
      <c r="E152" s="18" t="str" cm="1">
        <f t="array" ref="E152">GetValue("Dmn","Name",D152)</f>
        <v>SmallInteger</v>
      </c>
      <c r="F152" s="18" t="str" cm="1">
        <f t="array" ref="F152">GetValue("Dmn","#CategoryName",D152)</f>
        <v>number</v>
      </c>
      <c r="G152" s="18">
        <f t="shared" si="37"/>
        <v>15</v>
      </c>
      <c r="H152" s="18" t="str" cm="1">
        <f t="array" ref="H152">GetColumnName(C152,IF(B152=B151,H151,""))</f>
        <v>Sequence</v>
      </c>
      <c r="I152" s="18" t="str">
        <f t="shared" si="34"/>
        <v>Sequence</v>
      </c>
      <c r="J152" s="18" t="str">
        <f t="shared" si="35"/>
        <v>Sequence</v>
      </c>
      <c r="K152" s="18" t="b">
        <v>1</v>
      </c>
      <c r="L152" s="18" t="b">
        <v>0</v>
      </c>
      <c r="M152" s="18" t="b">
        <v>0</v>
      </c>
      <c r="N152" s="18" t="b">
        <v>0</v>
      </c>
      <c r="O152" s="18" t="b">
        <v>1</v>
      </c>
      <c r="P152" s="18" t="b">
        <v>0</v>
      </c>
      <c r="Q152" s="18" t="b">
        <v>0</v>
      </c>
      <c r="R152" s="18" t="b">
        <v>0</v>
      </c>
      <c r="S152" s="18" t="b">
        <v>0</v>
      </c>
      <c r="T152" s="18" t="b">
        <v>0</v>
      </c>
      <c r="U152" s="18" t="b">
        <v>0</v>
      </c>
    </row>
    <row r="153" spans="1:21">
      <c r="A153" s="18">
        <f t="shared" si="23"/>
        <v>152</v>
      </c>
      <c r="B153" s="19">
        <v>24</v>
      </c>
      <c r="C153" s="18" t="str" cm="1">
        <f t="array" ref="C153">GetValue("Tbl","Alias",B153)</f>
        <v>Cnd</v>
      </c>
      <c r="D153" s="18">
        <v>45</v>
      </c>
      <c r="E153" s="18" t="str" cm="1">
        <f t="array" ref="E153">GetValue("Dmn","Name",D153)</f>
        <v>Logical Connector</v>
      </c>
      <c r="F153" s="18" t="str" cm="1">
        <f t="array" ref="F153">GetValue("Dmn","#CategoryName",D153)</f>
        <v>text</v>
      </c>
      <c r="G153" s="18">
        <f t="shared" ref="G153:G155" si="38">IF(H153="Id",5,G152+5)</f>
        <v>20</v>
      </c>
      <c r="H153" s="18" t="str" cm="1">
        <f t="array" ref="H153">GetColumnName(C153,IF(B153=B152,H152,""))</f>
        <v>Connector</v>
      </c>
      <c r="I153" s="18" t="str">
        <f t="shared" si="34"/>
        <v>Connector</v>
      </c>
      <c r="J153" s="18" t="str">
        <f t="shared" si="35"/>
        <v>Connector</v>
      </c>
      <c r="K153" s="18" t="b">
        <v>0</v>
      </c>
      <c r="L153" s="18" t="b">
        <v>0</v>
      </c>
      <c r="M153" s="18" t="b">
        <v>0</v>
      </c>
      <c r="N153" s="18" t="b">
        <v>0</v>
      </c>
      <c r="O153" s="18" t="b">
        <v>1</v>
      </c>
      <c r="P153" s="18" t="b">
        <v>1</v>
      </c>
      <c r="Q153" s="18" t="b">
        <v>1</v>
      </c>
      <c r="R153" s="18" t="b">
        <v>0</v>
      </c>
      <c r="S153" s="18" t="b">
        <v>0</v>
      </c>
      <c r="T153" s="18" t="b">
        <v>0</v>
      </c>
      <c r="U153" s="18" t="b">
        <v>0</v>
      </c>
    </row>
    <row r="154" spans="1:21">
      <c r="A154" s="18">
        <f t="shared" si="23"/>
        <v>153</v>
      </c>
      <c r="B154" s="19">
        <v>24</v>
      </c>
      <c r="C154" s="18" t="str" cm="1">
        <f t="array" ref="C154">GetValue("Tbl","Alias",B154)</f>
        <v>Cnd</v>
      </c>
      <c r="D154" s="18">
        <v>8</v>
      </c>
      <c r="E154" s="18" t="str" cm="1">
        <f t="array" ref="E154">GetValue("Dmn","Name",D154)</f>
        <v>NVARCHAR(15)</v>
      </c>
      <c r="F154" s="18" t="str" cm="1">
        <f t="array" ref="F154">GetValue("Dmn","#CategoryName",D154)</f>
        <v>string</v>
      </c>
      <c r="G154" s="18">
        <f t="shared" si="38"/>
        <v>25</v>
      </c>
      <c r="H154" s="18" t="str" cm="1">
        <f t="array" ref="H154">GetColumnName(C154,IF(B154=B153,H153,""))</f>
        <v>LeftParenthesis</v>
      </c>
      <c r="I154" s="18" t="str">
        <f t="shared" si="34"/>
        <v>LeftParenthesis</v>
      </c>
      <c r="J154" s="18" t="str">
        <f t="shared" si="35"/>
        <v>LeftParenthesis</v>
      </c>
      <c r="K154" s="18" t="b">
        <v>0</v>
      </c>
      <c r="L154" s="18" t="b">
        <v>0</v>
      </c>
      <c r="M154" s="18" t="b">
        <v>0</v>
      </c>
      <c r="N154" s="18" t="b">
        <v>0</v>
      </c>
      <c r="O154" s="18" t="b">
        <v>1</v>
      </c>
      <c r="P154" s="18" t="b">
        <v>1</v>
      </c>
      <c r="Q154" s="18" t="b">
        <v>1</v>
      </c>
      <c r="R154" s="18" t="b">
        <v>0</v>
      </c>
      <c r="S154" s="18" t="b">
        <v>0</v>
      </c>
      <c r="T154" s="18" t="b">
        <v>0</v>
      </c>
      <c r="U154" s="18" t="b">
        <v>0</v>
      </c>
    </row>
    <row r="155" spans="1:21">
      <c r="A155" s="18">
        <f t="shared" si="23"/>
        <v>154</v>
      </c>
      <c r="B155" s="19">
        <v>24</v>
      </c>
      <c r="C155" s="18" t="str" cm="1">
        <f t="array" ref="C155">GetValue("Tbl","Alias",B155)</f>
        <v>Cnd</v>
      </c>
      <c r="D155" s="18">
        <v>1</v>
      </c>
      <c r="E155" s="18" t="str" cm="1">
        <f t="array" ref="E155">GetValue("Dmn","Name",D155)</f>
        <v>BigInteger</v>
      </c>
      <c r="F155" s="18" t="str" cm="1">
        <f t="array" ref="F155">GetValue("Dmn","#CategoryName",D155)</f>
        <v>number</v>
      </c>
      <c r="G155" s="18">
        <f t="shared" si="38"/>
        <v>30</v>
      </c>
      <c r="H155" s="18" t="str" cm="1">
        <f t="array" ref="H155">GetColumnName(C155,IF(B155=B154,H154,""))</f>
        <v>LeftColumnId</v>
      </c>
      <c r="I155" s="18" t="str">
        <f t="shared" si="34"/>
        <v>LeftColumnId</v>
      </c>
      <c r="J155" s="18" t="str">
        <f t="shared" si="35"/>
        <v>LeftColumnId</v>
      </c>
      <c r="K155" s="18" t="b">
        <v>1</v>
      </c>
      <c r="L155" s="18" t="b">
        <v>0</v>
      </c>
      <c r="M155" s="18" t="b">
        <v>0</v>
      </c>
      <c r="N155" s="18" t="b">
        <v>0</v>
      </c>
      <c r="O155" s="18" t="b">
        <v>1</v>
      </c>
      <c r="P155" s="18" t="b">
        <v>0</v>
      </c>
      <c r="Q155" s="18" t="b">
        <v>0</v>
      </c>
      <c r="R155" s="18" t="b">
        <v>0</v>
      </c>
      <c r="S155" s="18" t="b">
        <v>0</v>
      </c>
      <c r="T155" s="18" t="b">
        <v>0</v>
      </c>
      <c r="U155" s="18" t="b">
        <v>0</v>
      </c>
    </row>
    <row r="156" spans="1:21">
      <c r="A156" s="18">
        <f t="shared" si="23"/>
        <v>155</v>
      </c>
      <c r="B156" s="19">
        <v>24</v>
      </c>
      <c r="C156" s="18" t="str" cm="1">
        <f t="array" ref="C156">GetValue("Tbl","Alias",B156)</f>
        <v>Cnd</v>
      </c>
      <c r="D156" s="18">
        <v>5</v>
      </c>
      <c r="E156" s="18" t="str" cm="1">
        <f t="array" ref="E156">GetValue("Dmn","Name",D156)</f>
        <v>TinyInteger</v>
      </c>
      <c r="F156" s="18" t="str" cm="1">
        <f t="array" ref="F156">GetValue("Dmn","#CategoryName",D156)</f>
        <v>number</v>
      </c>
      <c r="G156" s="18">
        <f t="shared" ref="G156:G157" si="39">IF(H156="Id",5,G155+5)</f>
        <v>35</v>
      </c>
      <c r="H156" s="18" t="str" cm="1">
        <f t="array" ref="H156">GetColumnName(C156,IF(B156=B155,H155,""))</f>
        <v>ComparatorId</v>
      </c>
      <c r="I156" s="18" t="str">
        <f t="shared" si="34"/>
        <v>ComparatorId</v>
      </c>
      <c r="J156" s="18" t="str">
        <f t="shared" si="35"/>
        <v>ComparatorId</v>
      </c>
      <c r="K156" s="18" t="b">
        <v>0</v>
      </c>
      <c r="L156" s="18" t="b">
        <v>0</v>
      </c>
      <c r="M156" s="18" t="b">
        <v>0</v>
      </c>
      <c r="N156" s="18" t="b">
        <v>0</v>
      </c>
      <c r="O156" s="18" t="b">
        <v>1</v>
      </c>
      <c r="P156" s="18" t="b">
        <v>1</v>
      </c>
      <c r="Q156" s="18" t="b">
        <v>1</v>
      </c>
      <c r="R156" s="18" t="b">
        <v>0</v>
      </c>
      <c r="S156" s="18" t="b">
        <v>0</v>
      </c>
      <c r="T156" s="18" t="b">
        <v>0</v>
      </c>
      <c r="U156" s="18" t="b">
        <v>0</v>
      </c>
    </row>
    <row r="157" spans="1:21">
      <c r="A157" s="18">
        <f t="shared" si="23"/>
        <v>156</v>
      </c>
      <c r="B157" s="19">
        <v>24</v>
      </c>
      <c r="C157" s="18" t="str" cm="1">
        <f t="array" ref="C157">GetValue("Tbl","Alias",B157)</f>
        <v>Cnd</v>
      </c>
      <c r="D157" s="18">
        <v>1</v>
      </c>
      <c r="E157" s="18" t="str" cm="1">
        <f t="array" ref="E157">GetValue("Dmn","Name",D157)</f>
        <v>BigInteger</v>
      </c>
      <c r="F157" s="18" t="str" cm="1">
        <f t="array" ref="F157">GetValue("Dmn","#CategoryName",D157)</f>
        <v>number</v>
      </c>
      <c r="G157" s="18">
        <f t="shared" si="39"/>
        <v>40</v>
      </c>
      <c r="H157" s="18" t="str" cm="1">
        <f t="array" ref="H157">GetColumnName(C157,IF(B157=B156,H156,""))</f>
        <v>RightColumnId</v>
      </c>
      <c r="I157" s="18" t="str">
        <f t="shared" si="34"/>
        <v>RightColumnId</v>
      </c>
      <c r="J157" s="18" t="str">
        <f t="shared" si="35"/>
        <v>RightColumnId</v>
      </c>
      <c r="K157" s="18" t="b">
        <v>0</v>
      </c>
      <c r="L157" s="18" t="b">
        <v>0</v>
      </c>
      <c r="M157" s="18" t="b">
        <v>0</v>
      </c>
      <c r="N157" s="18" t="b">
        <v>0</v>
      </c>
      <c r="O157" s="18" t="b">
        <v>1</v>
      </c>
      <c r="P157" s="18" t="b">
        <v>1</v>
      </c>
      <c r="Q157" s="18" t="b">
        <v>1</v>
      </c>
      <c r="R157" s="18" t="b">
        <v>0</v>
      </c>
      <c r="S157" s="18" t="b">
        <v>0</v>
      </c>
      <c r="T157" s="18" t="b">
        <v>0</v>
      </c>
      <c r="U157" s="18" t="b">
        <v>0</v>
      </c>
    </row>
    <row r="158" spans="1:21">
      <c r="A158" s="18">
        <f>ROW(A158)-1</f>
        <v>157</v>
      </c>
      <c r="B158" s="19">
        <v>24</v>
      </c>
      <c r="C158" s="18" t="str" cm="1">
        <f t="array" ref="C158">GetValue("Tbl","Alias",B158)</f>
        <v>Cnd</v>
      </c>
      <c r="D158" s="18">
        <v>13</v>
      </c>
      <c r="E158" s="18" t="str" cm="1">
        <f t="array" ref="E158">GetValue("Dmn","Name",D158)</f>
        <v>NVARCHAR(max)</v>
      </c>
      <c r="F158" s="18" t="str" cm="1">
        <f t="array" ref="F158">GetValue("Dmn","#CategoryName",D158)</f>
        <v>text</v>
      </c>
      <c r="G158" s="18">
        <f>IF(H158="Id",5,G157+5)</f>
        <v>45</v>
      </c>
      <c r="H158" s="18" t="str" cm="1">
        <f t="array" ref="H158">GetColumnName(C158,IF(B158=B157,H157,""))</f>
        <v>RightValues</v>
      </c>
      <c r="I158" s="18" t="str">
        <f t="shared" si="34"/>
        <v>RightValues</v>
      </c>
      <c r="J158" s="18" t="str">
        <f t="shared" si="35"/>
        <v>RightValues</v>
      </c>
      <c r="K158" s="18" t="b">
        <v>0</v>
      </c>
      <c r="L158" s="18" t="b">
        <v>0</v>
      </c>
      <c r="M158" s="18" t="b">
        <v>0</v>
      </c>
      <c r="N158" s="18" t="b">
        <v>0</v>
      </c>
      <c r="O158" s="18" t="b">
        <v>1</v>
      </c>
      <c r="P158" s="18" t="b">
        <v>1</v>
      </c>
      <c r="Q158" s="18" t="b">
        <v>1</v>
      </c>
      <c r="R158" s="18" t="b">
        <v>0</v>
      </c>
      <c r="S158" s="18" t="b">
        <v>0</v>
      </c>
      <c r="T158" s="18" t="b">
        <v>0</v>
      </c>
      <c r="U158" s="18" t="b">
        <v>0</v>
      </c>
    </row>
    <row r="159" spans="1:21">
      <c r="A159" s="18">
        <f>ROW(A159)-1</f>
        <v>158</v>
      </c>
      <c r="B159" s="19">
        <v>24</v>
      </c>
      <c r="C159" s="18" t="str" cm="1">
        <f t="array" ref="C159">GetValue("Tbl","Alias",B159)</f>
        <v>Cnd</v>
      </c>
      <c r="D159" s="18">
        <v>8</v>
      </c>
      <c r="E159" s="18" t="str" cm="1">
        <f t="array" ref="E159">GetValue("Dmn","Name",D159)</f>
        <v>NVARCHAR(15)</v>
      </c>
      <c r="F159" s="18" t="str" cm="1">
        <f t="array" ref="F159">GetValue("Dmn","#CategoryName",D159)</f>
        <v>string</v>
      </c>
      <c r="G159" s="18">
        <f>IF(H159="Id",5,G158+5)</f>
        <v>50</v>
      </c>
      <c r="H159" s="18" t="str" cm="1">
        <f t="array" ref="H159">GetColumnName(C159,IF(B159=B158,H158,""))</f>
        <v>RightParenthesis</v>
      </c>
      <c r="I159" s="18" t="str">
        <f t="shared" si="34"/>
        <v>RightParenthesis</v>
      </c>
      <c r="J159" s="18" t="str">
        <f t="shared" si="35"/>
        <v>RightParenthesis</v>
      </c>
      <c r="K159" s="18" t="b">
        <v>0</v>
      </c>
      <c r="L159" s="18" t="b">
        <v>0</v>
      </c>
      <c r="M159" s="18" t="b">
        <v>0</v>
      </c>
      <c r="N159" s="18" t="b">
        <v>0</v>
      </c>
      <c r="O159" s="18" t="b">
        <v>1</v>
      </c>
      <c r="P159" s="18" t="b">
        <v>1</v>
      </c>
      <c r="Q159" s="18" t="b">
        <v>1</v>
      </c>
      <c r="R159" s="18" t="b">
        <v>0</v>
      </c>
      <c r="S159" s="18" t="b">
        <v>0</v>
      </c>
      <c r="T159" s="18" t="b">
        <v>0</v>
      </c>
      <c r="U159" s="18" t="b">
        <v>0</v>
      </c>
    </row>
    <row r="160" spans="1:21">
      <c r="A160" s="20">
        <f>ROW(A160)-1</f>
        <v>159</v>
      </c>
      <c r="B160" s="21">
        <v>25</v>
      </c>
      <c r="C160" s="20" t="str" cm="1">
        <f t="array" ref="C160">GetValue("Tbl","Alias",B160)</f>
        <v>Ref</v>
      </c>
      <c r="D160" s="20">
        <v>1</v>
      </c>
      <c r="E160" s="20" t="str" cm="1">
        <f t="array" ref="E160">GetValue("Dmn","Name",D160)</f>
        <v>BigInteger</v>
      </c>
      <c r="F160" s="20" t="str" cm="1">
        <f t="array" ref="F160">GetValue("Dmn","#CategoryName",D160)</f>
        <v>number</v>
      </c>
      <c r="G160" s="20">
        <f>IF(H160="Id",5,G159+5)</f>
        <v>5</v>
      </c>
      <c r="H160" s="20" t="str" cm="1">
        <f t="array" ref="H160">GetColumnName(C160,IF(B160=B159,H159,""))</f>
        <v>Id</v>
      </c>
      <c r="I160" s="20" t="str">
        <f t="shared" si="34"/>
        <v>Id</v>
      </c>
      <c r="J160" s="20" t="str">
        <f t="shared" si="35"/>
        <v>Id</v>
      </c>
      <c r="K160" s="20" t="b">
        <v>1</v>
      </c>
      <c r="L160" s="20" t="b">
        <v>1</v>
      </c>
      <c r="M160" s="20" t="b">
        <v>0</v>
      </c>
      <c r="N160" s="20" t="b">
        <v>0</v>
      </c>
      <c r="O160" s="20" t="b">
        <v>1</v>
      </c>
      <c r="P160" s="20" t="b">
        <v>0</v>
      </c>
      <c r="Q160" s="20" t="b">
        <v>0</v>
      </c>
      <c r="R160" s="20" t="b">
        <v>0</v>
      </c>
      <c r="S160" s="20" t="b">
        <v>0</v>
      </c>
      <c r="T160" s="20" t="b">
        <v>0</v>
      </c>
      <c r="U160" s="20" t="b">
        <v>0</v>
      </c>
    </row>
    <row r="161" spans="1:21">
      <c r="A161" s="20">
        <f t="shared" si="23"/>
        <v>160</v>
      </c>
      <c r="B161" s="21">
        <v>25</v>
      </c>
      <c r="C161" s="20" t="str" cm="1">
        <f t="array" ref="C161">GetValue("Tbl","Alias",B161)</f>
        <v>Ref</v>
      </c>
      <c r="D161" s="20">
        <v>1</v>
      </c>
      <c r="E161" s="20" t="str" cm="1">
        <f t="array" ref="E161">GetValue("Dmn","Name",D161)</f>
        <v>BigInteger</v>
      </c>
      <c r="F161" s="20" t="str" cm="1">
        <f t="array" ref="F161">GetValue("Dmn","#CategoryName",D161)</f>
        <v>number</v>
      </c>
      <c r="G161" s="20">
        <f>IF(H161="Id",5,G160+5)</f>
        <v>10</v>
      </c>
      <c r="H161" s="20" t="str" cm="1">
        <f t="array" ref="H161">GetColumnName(C161,IF(B161=B160,H160,""))</f>
        <v>FkTableId</v>
      </c>
      <c r="I161" s="20" t="str">
        <f t="shared" si="34"/>
        <v>FkTableId</v>
      </c>
      <c r="J161" s="20" t="str">
        <f t="shared" si="35"/>
        <v>FkTableId</v>
      </c>
      <c r="K161" s="20" t="b">
        <v>1</v>
      </c>
      <c r="L161" s="20" t="b">
        <v>0</v>
      </c>
      <c r="M161" s="20" t="b">
        <v>0</v>
      </c>
      <c r="N161" s="20" t="b">
        <v>0</v>
      </c>
      <c r="O161" s="20" t="b">
        <v>1</v>
      </c>
      <c r="P161" s="20" t="b">
        <v>1</v>
      </c>
      <c r="Q161" s="20" t="b">
        <v>1</v>
      </c>
      <c r="R161" s="20" t="b">
        <v>0</v>
      </c>
      <c r="S161" s="20" t="b">
        <v>0</v>
      </c>
      <c r="T161" s="20" t="b">
        <v>0</v>
      </c>
      <c r="U161" s="20" t="b">
        <v>0</v>
      </c>
    </row>
    <row r="162" spans="1:21">
      <c r="A162" s="20">
        <f t="shared" si="23"/>
        <v>161</v>
      </c>
      <c r="B162" s="21">
        <v>25</v>
      </c>
      <c r="C162" s="20" t="str" cm="1">
        <f t="array" ref="C162">GetValue("Tbl","Alias",B162)</f>
        <v>Ref</v>
      </c>
      <c r="D162" s="20">
        <v>1</v>
      </c>
      <c r="E162" s="20" t="str" cm="1">
        <f t="array" ref="E162">GetValue("Dmn","Name",D162)</f>
        <v>BigInteger</v>
      </c>
      <c r="F162" s="20" t="str" cm="1">
        <f t="array" ref="F162">GetValue("Dmn","#CategoryName",D162)</f>
        <v>number</v>
      </c>
      <c r="G162" s="20">
        <f t="shared" ref="G162:G165" si="40">IF(H162="Id",5,G161+5)</f>
        <v>15</v>
      </c>
      <c r="H162" s="20" t="str" cm="1">
        <f t="array" ref="H162">GetColumnName(C162,IF(B162=B161,H161,""))</f>
        <v>PkTableId</v>
      </c>
      <c r="I162" s="20" t="str">
        <f t="shared" si="34"/>
        <v>PkTableId</v>
      </c>
      <c r="J162" s="20" t="str">
        <f t="shared" si="35"/>
        <v>PkTableId</v>
      </c>
      <c r="K162" s="20" t="b">
        <v>0</v>
      </c>
      <c r="L162" s="20" t="b">
        <v>0</v>
      </c>
      <c r="M162" s="20" t="b">
        <v>0</v>
      </c>
      <c r="N162" s="20" t="b">
        <v>0</v>
      </c>
      <c r="O162" s="20" t="b">
        <v>1</v>
      </c>
      <c r="P162" s="20" t="b">
        <v>1</v>
      </c>
      <c r="Q162" s="20" t="b">
        <v>1</v>
      </c>
      <c r="R162" s="20" t="b">
        <v>0</v>
      </c>
      <c r="S162" s="20" t="b">
        <v>0</v>
      </c>
      <c r="T162" s="20" t="b">
        <v>0</v>
      </c>
      <c r="U162" s="20" t="b">
        <v>0</v>
      </c>
    </row>
    <row r="163" spans="1:21">
      <c r="A163" s="20">
        <f t="shared" si="23"/>
        <v>162</v>
      </c>
      <c r="B163" s="21">
        <v>25</v>
      </c>
      <c r="C163" s="20" t="str" cm="1">
        <f t="array" ref="C163">GetValue("Tbl","Alias",B163)</f>
        <v>Ref</v>
      </c>
      <c r="D163" s="20">
        <v>10</v>
      </c>
      <c r="E163" s="20" t="str" cm="1">
        <f t="array" ref="E163">GetValue("Dmn","Name",D163)</f>
        <v>NVARCHAR(25)</v>
      </c>
      <c r="F163" s="20" t="str" cm="1">
        <f t="array" ref="F163">GetValue("Dmn","#CategoryName",D163)</f>
        <v>string</v>
      </c>
      <c r="G163" s="20">
        <f t="shared" si="40"/>
        <v>20</v>
      </c>
      <c r="H163" s="20" t="str" cm="1">
        <f t="array" ref="H163">GetColumnName(C163,IF(B163=B162,H162,""))</f>
        <v>Name</v>
      </c>
      <c r="I163" s="20" t="str">
        <f t="shared" si="34"/>
        <v>Name</v>
      </c>
      <c r="J163" s="20" t="str">
        <f t="shared" si="35"/>
        <v>Name</v>
      </c>
      <c r="K163" s="20" t="b">
        <v>0</v>
      </c>
      <c r="L163" s="20" t="b">
        <v>0</v>
      </c>
      <c r="M163" s="20" t="b">
        <v>0</v>
      </c>
      <c r="N163" s="20" t="b">
        <v>0</v>
      </c>
      <c r="O163" s="20" t="b">
        <v>1</v>
      </c>
      <c r="P163" s="20" t="b">
        <v>1</v>
      </c>
      <c r="Q163" s="20" t="b">
        <v>1</v>
      </c>
      <c r="R163" s="20" t="b">
        <v>1</v>
      </c>
      <c r="S163" s="20" t="b">
        <v>0</v>
      </c>
      <c r="T163" s="20" t="b">
        <v>0</v>
      </c>
      <c r="U163" s="20" t="b">
        <v>0</v>
      </c>
    </row>
    <row r="164" spans="1:21">
      <c r="A164" s="20">
        <f t="shared" si="23"/>
        <v>163</v>
      </c>
      <c r="B164" s="21">
        <v>25</v>
      </c>
      <c r="C164" s="20" t="str" cm="1">
        <f t="array" ref="C164">GetValue("Tbl","Alias",B164)</f>
        <v>Ref</v>
      </c>
      <c r="D164" s="20">
        <v>8</v>
      </c>
      <c r="E164" s="20" t="str" cm="1">
        <f t="array" ref="E164">GetValue("Dmn","Name",D164)</f>
        <v>NVARCHAR(15)</v>
      </c>
      <c r="F164" s="20" t="str" cm="1">
        <f t="array" ref="F164">GetValue("Dmn","#CategoryName",D164)</f>
        <v>string</v>
      </c>
      <c r="G164" s="20">
        <f t="shared" si="40"/>
        <v>25</v>
      </c>
      <c r="H164" s="20" t="str" cm="1">
        <f t="array" ref="H164">GetColumnName(C164,IF(B164=B163,H163,""))</f>
        <v>IsParentChildren</v>
      </c>
      <c r="I164" s="20" t="str">
        <f t="shared" si="34"/>
        <v>IsParentChildren</v>
      </c>
      <c r="J164" s="20" t="str">
        <f t="shared" si="35"/>
        <v>IsParentChildren</v>
      </c>
      <c r="K164" s="20" t="b">
        <v>0</v>
      </c>
      <c r="L164" s="20" t="b">
        <v>0</v>
      </c>
      <c r="M164" s="20" t="b">
        <v>0</v>
      </c>
      <c r="N164" s="20" t="b">
        <v>0</v>
      </c>
      <c r="O164" s="20" t="b">
        <v>1</v>
      </c>
      <c r="P164" s="20" t="b">
        <v>1</v>
      </c>
      <c r="Q164" s="20" t="b">
        <v>1</v>
      </c>
      <c r="R164" s="20" t="b">
        <v>0</v>
      </c>
      <c r="S164" s="20" t="b">
        <v>0</v>
      </c>
      <c r="T164" s="20" t="b">
        <v>0</v>
      </c>
      <c r="U164" s="20" t="b">
        <v>0</v>
      </c>
    </row>
    <row r="165" spans="1:21">
      <c r="A165" s="18">
        <f t="shared" si="23"/>
        <v>164</v>
      </c>
      <c r="B165" s="19">
        <v>26</v>
      </c>
      <c r="C165" s="18" t="str" cm="1">
        <f t="array" ref="C165">GetValue("Tbl","Alias",B165)</f>
        <v>Rfk</v>
      </c>
      <c r="D165" s="18">
        <v>1</v>
      </c>
      <c r="E165" s="18" t="str" cm="1">
        <f t="array" ref="E165">GetValue("Dmn","Name",D165)</f>
        <v>BigInteger</v>
      </c>
      <c r="F165" s="18" t="str" cm="1">
        <f t="array" ref="F165">GetValue("Dmn","#CategoryName",D165)</f>
        <v>number</v>
      </c>
      <c r="G165" s="18">
        <f t="shared" si="40"/>
        <v>5</v>
      </c>
      <c r="H165" s="18" t="str" cm="1">
        <f t="array" ref="H165">GetColumnName(C165,IF(B165=B164,H164,""))</f>
        <v>Id</v>
      </c>
      <c r="I165" s="18" t="str">
        <f t="shared" si="34"/>
        <v>Id</v>
      </c>
      <c r="J165" s="18" t="str">
        <f t="shared" si="35"/>
        <v>Id</v>
      </c>
      <c r="K165" s="18" t="b">
        <v>1</v>
      </c>
      <c r="L165" s="18" t="b">
        <v>1</v>
      </c>
      <c r="M165" s="18" t="b">
        <v>0</v>
      </c>
      <c r="N165" s="18" t="b">
        <v>0</v>
      </c>
      <c r="O165" s="18" t="b">
        <v>1</v>
      </c>
      <c r="P165" s="18" t="b">
        <v>0</v>
      </c>
      <c r="Q165" s="18" t="b">
        <v>0</v>
      </c>
      <c r="R165" s="18" t="b">
        <v>0</v>
      </c>
      <c r="S165" s="18" t="b">
        <v>0</v>
      </c>
      <c r="T165" s="18" t="b">
        <v>0</v>
      </c>
      <c r="U165" s="18" t="b">
        <v>0</v>
      </c>
    </row>
    <row r="166" spans="1:21">
      <c r="A166" s="18">
        <f t="shared" si="23"/>
        <v>165</v>
      </c>
      <c r="B166" s="19">
        <v>26</v>
      </c>
      <c r="C166" s="18" t="str" cm="1">
        <f t="array" ref="C166">GetValue("Tbl","Alias",B166)</f>
        <v>Rfk</v>
      </c>
      <c r="D166" s="18">
        <v>1</v>
      </c>
      <c r="E166" s="18" t="str" cm="1">
        <f t="array" ref="E166">GetValue("Dmn","Name",D166)</f>
        <v>BigInteger</v>
      </c>
      <c r="F166" s="18" t="str" cm="1">
        <f t="array" ref="F166">GetValue("Dmn","#CategoryName",D166)</f>
        <v>number</v>
      </c>
      <c r="G166" s="18">
        <f t="shared" ref="G166:G169" si="41">IF(H166="Id",5,G165+5)</f>
        <v>10</v>
      </c>
      <c r="H166" s="18" t="str" cm="1">
        <f t="array" ref="H166">GetColumnName(C166,IF(B166=B165,H165,""))</f>
        <v>ReferenceId</v>
      </c>
      <c r="I166" s="18" t="str">
        <f t="shared" si="34"/>
        <v>ReferenceId</v>
      </c>
      <c r="J166" s="18" t="str">
        <f t="shared" si="35"/>
        <v>ReferenceId</v>
      </c>
      <c r="K166" s="18" t="b">
        <v>1</v>
      </c>
      <c r="L166" s="18" t="b">
        <v>0</v>
      </c>
      <c r="M166" s="18" t="b">
        <v>0</v>
      </c>
      <c r="N166" s="18" t="b">
        <v>0</v>
      </c>
      <c r="O166" s="18" t="b">
        <v>1</v>
      </c>
      <c r="P166" s="18" t="b">
        <v>1</v>
      </c>
      <c r="Q166" s="18" t="b">
        <v>1</v>
      </c>
      <c r="R166" s="18" t="b">
        <v>0</v>
      </c>
      <c r="S166" s="18" t="b">
        <v>0</v>
      </c>
      <c r="T166" s="18" t="b">
        <v>0</v>
      </c>
      <c r="U166" s="18" t="b">
        <v>0</v>
      </c>
    </row>
    <row r="167" spans="1:21">
      <c r="A167" s="18">
        <f t="shared" si="23"/>
        <v>166</v>
      </c>
      <c r="B167" s="19">
        <v>26</v>
      </c>
      <c r="C167" s="18" t="str" cm="1">
        <f t="array" ref="C167">GetValue("Tbl","Alias",B167)</f>
        <v>Rfk</v>
      </c>
      <c r="D167" s="18">
        <v>1</v>
      </c>
      <c r="E167" s="18" t="str" cm="1">
        <f t="array" ref="E167">GetValue("Dmn","Name",D167)</f>
        <v>BigInteger</v>
      </c>
      <c r="F167" s="18" t="str" cm="1">
        <f t="array" ref="F167">GetValue("Dmn","#CategoryName",D167)</f>
        <v>number</v>
      </c>
      <c r="G167" s="18">
        <f t="shared" si="41"/>
        <v>15</v>
      </c>
      <c r="H167" s="18" t="str" cm="1">
        <f t="array" ref="H167">GetColumnName(C167,IF(B167=B166,H166,""))</f>
        <v>FkColumnId</v>
      </c>
      <c r="I167" s="18" t="str">
        <f t="shared" si="34"/>
        <v>FkColumnId</v>
      </c>
      <c r="J167" s="18" t="str">
        <f t="shared" si="35"/>
        <v>FkColumnId</v>
      </c>
      <c r="K167" s="18" t="b">
        <v>0</v>
      </c>
      <c r="L167" s="18" t="b">
        <v>0</v>
      </c>
      <c r="M167" s="18" t="b">
        <v>0</v>
      </c>
      <c r="N167" s="18" t="b">
        <v>0</v>
      </c>
      <c r="O167" s="18" t="b">
        <v>1</v>
      </c>
      <c r="P167" s="18" t="b">
        <v>1</v>
      </c>
      <c r="Q167" s="18" t="b">
        <v>1</v>
      </c>
      <c r="R167" s="18" t="b">
        <v>0</v>
      </c>
      <c r="S167" s="18" t="b">
        <v>0</v>
      </c>
      <c r="T167" s="18" t="b">
        <v>0</v>
      </c>
      <c r="U167" s="18" t="b">
        <v>0</v>
      </c>
    </row>
    <row r="168" spans="1:21">
      <c r="A168" s="18">
        <f t="shared" si="23"/>
        <v>167</v>
      </c>
      <c r="B168" s="19">
        <v>26</v>
      </c>
      <c r="C168" s="18" t="str" cm="1">
        <f t="array" ref="C168">GetValue("Tbl","Alias",B168)</f>
        <v>Rfk</v>
      </c>
      <c r="D168" s="18">
        <v>4</v>
      </c>
      <c r="E168" s="18" t="str" cm="1">
        <f t="array" ref="E168">GetValue("Dmn","Name",D168)</f>
        <v>SmallInteger</v>
      </c>
      <c r="F168" s="18" t="str" cm="1">
        <f t="array" ref="F168">GetValue("Dmn","#CategoryName",D168)</f>
        <v>number</v>
      </c>
      <c r="G168" s="18">
        <f t="shared" si="41"/>
        <v>20</v>
      </c>
      <c r="H168" s="18" t="str" cm="1">
        <f t="array" ref="H168">GetColumnName(C168,IF(B168=B167,H167,""))</f>
        <v>Sequence</v>
      </c>
      <c r="I168" s="18" t="str">
        <f t="shared" si="34"/>
        <v>Sequence</v>
      </c>
      <c r="J168" s="18" t="str">
        <f t="shared" si="35"/>
        <v>Sequence</v>
      </c>
      <c r="K168" s="18" t="b">
        <v>1</v>
      </c>
      <c r="L168" s="18" t="b">
        <v>0</v>
      </c>
      <c r="M168" s="18" t="b">
        <v>0</v>
      </c>
      <c r="N168" s="18" t="b">
        <v>0</v>
      </c>
      <c r="O168" s="18" t="b">
        <v>0</v>
      </c>
      <c r="P168" s="18" t="b">
        <v>1</v>
      </c>
      <c r="Q168" s="18" t="b">
        <v>1</v>
      </c>
      <c r="R168" s="18" t="b">
        <v>0</v>
      </c>
      <c r="S168" s="18" t="b">
        <v>0</v>
      </c>
      <c r="T168" s="18" t="b">
        <v>0</v>
      </c>
      <c r="U168" s="18" t="b">
        <v>0</v>
      </c>
    </row>
    <row r="169" spans="1:21">
      <c r="A169" s="20">
        <f t="shared" si="23"/>
        <v>168</v>
      </c>
      <c r="B169" s="21">
        <v>27</v>
      </c>
      <c r="C169" s="20" t="str" cm="1">
        <f t="array" ref="C169">GetValue("Tbl","Alias",B169)</f>
        <v>Usr</v>
      </c>
      <c r="D169" s="20">
        <v>1</v>
      </c>
      <c r="E169" s="20" t="str" cm="1">
        <f t="array" ref="E169">GetValue("Dmn","Name",D169)</f>
        <v>BigInteger</v>
      </c>
      <c r="F169" s="20" t="str" cm="1">
        <f t="array" ref="F169">GetValue("Dmn","#CategoryName",D169)</f>
        <v>number</v>
      </c>
      <c r="G169" s="20">
        <f t="shared" si="41"/>
        <v>5</v>
      </c>
      <c r="H169" s="20" t="str" cm="1">
        <f t="array" ref="H169">GetColumnName(C169,IF(B169=B168,H168,""))</f>
        <v>Id</v>
      </c>
      <c r="I169" s="20" t="str">
        <f t="shared" si="34"/>
        <v>Id</v>
      </c>
      <c r="J169" s="20" t="str">
        <f t="shared" si="35"/>
        <v>Id</v>
      </c>
      <c r="K169" s="20" t="b">
        <v>1</v>
      </c>
      <c r="L169" s="20" t="b">
        <v>1</v>
      </c>
      <c r="M169" s="20" t="b">
        <v>1</v>
      </c>
      <c r="N169" s="20" t="b">
        <v>0</v>
      </c>
      <c r="O169" s="20" t="b">
        <v>1</v>
      </c>
      <c r="P169" s="20" t="b">
        <v>0</v>
      </c>
      <c r="Q169" s="20" t="b">
        <v>0</v>
      </c>
      <c r="R169" s="20" t="b">
        <v>0</v>
      </c>
      <c r="S169" s="20" t="b">
        <v>0</v>
      </c>
      <c r="T169" s="20" t="b">
        <v>0</v>
      </c>
      <c r="U169" s="20" t="b">
        <v>0</v>
      </c>
    </row>
    <row r="170" spans="1:21">
      <c r="A170" s="20">
        <f t="shared" si="23"/>
        <v>169</v>
      </c>
      <c r="B170" s="21">
        <v>27</v>
      </c>
      <c r="C170" s="20" t="str" cm="1">
        <f t="array" ref="C170">GetValue("Tbl","Alias",B170)</f>
        <v>Usr</v>
      </c>
      <c r="D170" s="20">
        <v>4</v>
      </c>
      <c r="E170" s="20" t="str" cm="1">
        <f t="array" ref="E170">GetValue("Dmn","Name",D170)</f>
        <v>SmallInteger</v>
      </c>
      <c r="F170" s="20" t="str" cm="1">
        <f t="array" ref="F170">GetValue("Dmn","#CategoryName",D170)</f>
        <v>number</v>
      </c>
      <c r="G170" s="20">
        <f>IF(H170="Id",5,G169+5)</f>
        <v>10</v>
      </c>
      <c r="H170" s="20" t="str" cm="1">
        <f t="array" ref="H170">GetColumnName(C170,IF(B170=B169,H169,""))</f>
        <v>OwnertId</v>
      </c>
      <c r="I170" s="20" t="str">
        <f t="shared" si="34"/>
        <v>OwnertId</v>
      </c>
      <c r="J170" s="20" t="str">
        <f t="shared" si="35"/>
        <v>OwnertId</v>
      </c>
      <c r="K170" s="20" t="b">
        <v>1</v>
      </c>
      <c r="L170" s="20" t="b">
        <v>0</v>
      </c>
      <c r="M170" s="20" t="b">
        <v>0</v>
      </c>
      <c r="N170" s="20" t="b">
        <v>0</v>
      </c>
      <c r="O170" s="20" t="b">
        <v>1</v>
      </c>
      <c r="P170" s="20" t="b">
        <v>0</v>
      </c>
      <c r="Q170" s="20" t="b">
        <v>0</v>
      </c>
      <c r="R170" s="20" t="b">
        <v>0</v>
      </c>
      <c r="S170" s="20" t="b">
        <v>0</v>
      </c>
      <c r="T170" s="20" t="b">
        <v>0</v>
      </c>
      <c r="U170" s="20" t="b">
        <v>0</v>
      </c>
    </row>
    <row r="171" spans="1:21">
      <c r="A171" s="20">
        <f t="shared" si="23"/>
        <v>170</v>
      </c>
      <c r="B171" s="21">
        <v>27</v>
      </c>
      <c r="C171" s="20" t="str" cm="1">
        <f t="array" ref="C171">GetValue("Tbl","Alias",B171)</f>
        <v>Usr</v>
      </c>
      <c r="D171" s="20">
        <v>10</v>
      </c>
      <c r="E171" s="20" t="str" cm="1">
        <f t="array" ref="E171">GetValue("Dmn","Name",D171)</f>
        <v>NVARCHAR(25)</v>
      </c>
      <c r="F171" s="20" t="str" cm="1">
        <f t="array" ref="F171">GetValue("Dmn","#CategoryName",D171)</f>
        <v>string</v>
      </c>
      <c r="G171" s="20">
        <f t="shared" ref="G171:G176" si="42">IF(H171="Id",5,G170+5)</f>
        <v>15</v>
      </c>
      <c r="H171" s="20" t="str" cm="1">
        <f t="array" ref="H171">GetColumnName(C171,IF(B171=B170,H170,""))</f>
        <v>Name</v>
      </c>
      <c r="I171" s="20" t="str">
        <f t="shared" si="34"/>
        <v>Name</v>
      </c>
      <c r="J171" s="20" t="str">
        <f t="shared" si="35"/>
        <v>Name</v>
      </c>
      <c r="K171" s="20" t="b">
        <v>1</v>
      </c>
      <c r="L171" s="20" t="b">
        <v>0</v>
      </c>
      <c r="M171" s="20" t="b">
        <v>0</v>
      </c>
      <c r="N171" s="20" t="b">
        <v>0</v>
      </c>
      <c r="O171" s="20" t="b">
        <v>1</v>
      </c>
      <c r="P171" s="20" t="b">
        <v>1</v>
      </c>
      <c r="Q171" s="20" t="b">
        <v>1</v>
      </c>
      <c r="R171" s="20" t="b">
        <v>1</v>
      </c>
      <c r="S171" s="20" t="b">
        <v>0</v>
      </c>
      <c r="T171" s="20" t="b">
        <v>0</v>
      </c>
      <c r="U171" s="20" t="b">
        <v>0</v>
      </c>
    </row>
    <row r="172" spans="1:21">
      <c r="A172" s="20">
        <f t="shared" si="23"/>
        <v>171</v>
      </c>
      <c r="B172" s="21">
        <v>27</v>
      </c>
      <c r="C172" s="20" t="str" cm="1">
        <f t="array" ref="C172">GetValue("Tbl","Alias",B172)</f>
        <v>Usr</v>
      </c>
      <c r="D172" s="20">
        <v>12</v>
      </c>
      <c r="E172" s="20" t="str" cm="1">
        <f t="array" ref="E172">GetValue("Dmn","Name",D172)</f>
        <v>NVARCHAR(256)</v>
      </c>
      <c r="F172" s="20" t="str" cm="1">
        <f t="array" ref="F172">GetValue("Dmn","#CategoryName",D172)</f>
        <v>string</v>
      </c>
      <c r="G172" s="20">
        <f t="shared" si="42"/>
        <v>20</v>
      </c>
      <c r="H172" s="20" t="str" cm="1">
        <f t="array" ref="H172">GetColumnName(C172,IF(B172=B171,H171,""))</f>
        <v>Password</v>
      </c>
      <c r="I172" s="20" t="str">
        <f t="shared" si="34"/>
        <v>Password</v>
      </c>
      <c r="J172" s="20" t="str">
        <f t="shared" si="35"/>
        <v>Password</v>
      </c>
      <c r="K172" s="20" t="b">
        <v>1</v>
      </c>
      <c r="L172" s="20" t="b">
        <v>0</v>
      </c>
      <c r="M172" s="20" t="b">
        <v>0</v>
      </c>
      <c r="N172" s="20" t="b">
        <v>0</v>
      </c>
      <c r="O172" s="20" t="b">
        <v>0</v>
      </c>
      <c r="P172" s="20" t="b">
        <v>1</v>
      </c>
      <c r="Q172" s="20" t="b">
        <v>0</v>
      </c>
      <c r="R172" s="20" t="b">
        <v>0</v>
      </c>
      <c r="S172" s="20" t="b">
        <v>0</v>
      </c>
      <c r="T172" s="20" t="b">
        <v>0</v>
      </c>
      <c r="U172" s="20" t="b">
        <v>0</v>
      </c>
    </row>
    <row r="173" spans="1:21">
      <c r="A173" s="20">
        <f t="shared" si="23"/>
        <v>172</v>
      </c>
      <c r="B173" s="21">
        <v>27</v>
      </c>
      <c r="C173" s="20" t="str" cm="1">
        <f t="array" ref="C173">GetValue("Tbl","Alias",B173)</f>
        <v>Usr</v>
      </c>
      <c r="D173" s="20">
        <v>5</v>
      </c>
      <c r="E173" s="20" t="str" cm="1">
        <f t="array" ref="E173">GetValue("Dmn","Name",D173)</f>
        <v>TinyInteger</v>
      </c>
      <c r="F173" s="20" t="str" cm="1">
        <f t="array" ref="F173">GetValue("Dmn","#CategoryName",D173)</f>
        <v>number</v>
      </c>
      <c r="G173" s="20">
        <f t="shared" si="42"/>
        <v>25</v>
      </c>
      <c r="H173" s="20" t="str" cm="1">
        <f t="array" ref="H173">GetColumnName(C173,IF(B173=B172,H172,""))</f>
        <v>RetryLogins</v>
      </c>
      <c r="I173" s="20" t="str">
        <f t="shared" si="34"/>
        <v>RetryLogins</v>
      </c>
      <c r="J173" s="20" t="str">
        <f t="shared" si="35"/>
        <v>RetryLogins</v>
      </c>
      <c r="K173" s="20" t="b">
        <v>1</v>
      </c>
      <c r="L173" s="20" t="b">
        <v>0</v>
      </c>
      <c r="M173" s="20" t="b">
        <v>0</v>
      </c>
      <c r="N173" s="20" t="b">
        <v>0</v>
      </c>
      <c r="O173" s="20" t="b">
        <v>0</v>
      </c>
      <c r="P173" s="20" t="b">
        <v>1</v>
      </c>
      <c r="Q173" s="20" t="b">
        <v>1</v>
      </c>
      <c r="R173" s="20" t="b">
        <v>0</v>
      </c>
      <c r="S173" s="20" t="b">
        <v>0</v>
      </c>
      <c r="T173" s="20" t="b">
        <v>0</v>
      </c>
      <c r="U173" s="20" t="b">
        <v>0</v>
      </c>
    </row>
    <row r="174" spans="1:21">
      <c r="A174" s="20">
        <f t="shared" si="23"/>
        <v>173</v>
      </c>
      <c r="B174" s="21">
        <v>27</v>
      </c>
      <c r="C174" s="20" t="str" cm="1">
        <f t="array" ref="C174">GetValue("Tbl","Alias",B174)</f>
        <v>Usr</v>
      </c>
      <c r="D174" s="20">
        <v>6</v>
      </c>
      <c r="E174" s="20" t="str" cm="1">
        <f t="array" ref="E174">GetValue("Dmn","Name",D174)</f>
        <v>Boolean</v>
      </c>
      <c r="F174" s="20" t="str" cm="1">
        <f t="array" ref="F174">GetValue("Dmn","#CategoryName",D174)</f>
        <v>boolean</v>
      </c>
      <c r="G174" s="20">
        <f t="shared" si="42"/>
        <v>30</v>
      </c>
      <c r="H174" s="20" t="str" cm="1">
        <f t="array" ref="H174">GetColumnName(C174,IF(B174=B173,H173,""))</f>
        <v>IsActive</v>
      </c>
      <c r="I174" s="20" t="str">
        <f t="shared" si="34"/>
        <v>IsActive</v>
      </c>
      <c r="J174" s="20" t="str">
        <f t="shared" si="35"/>
        <v>IsActive</v>
      </c>
      <c r="K174" s="20" t="b">
        <v>1</v>
      </c>
      <c r="L174" s="20" t="b">
        <v>0</v>
      </c>
      <c r="M174" s="20" t="b">
        <v>0</v>
      </c>
      <c r="N174" s="20" t="b">
        <v>0</v>
      </c>
      <c r="O174" s="20" t="b">
        <v>1</v>
      </c>
      <c r="P174" s="20" t="b">
        <v>1</v>
      </c>
      <c r="Q174" s="20" t="b">
        <v>1</v>
      </c>
      <c r="R174" s="20" t="b">
        <v>0</v>
      </c>
      <c r="S174" s="20" t="b">
        <v>0</v>
      </c>
      <c r="T174" s="20" t="b">
        <v>0</v>
      </c>
      <c r="U174" s="20" t="b">
        <v>0</v>
      </c>
    </row>
    <row r="175" spans="1:21">
      <c r="A175" s="18">
        <f t="shared" si="23"/>
        <v>174</v>
      </c>
      <c r="B175" s="19">
        <v>28</v>
      </c>
      <c r="C175" s="18" t="str" cm="1">
        <f t="array" ref="C175">GetValue("Tbl","Alias",B175)</f>
        <v>Prm</v>
      </c>
      <c r="D175" s="18">
        <v>1</v>
      </c>
      <c r="E175" s="18" t="str" cm="1">
        <f t="array" ref="E175">GetValue("Dmn","Name",D175)</f>
        <v>BigInteger</v>
      </c>
      <c r="F175" s="18" t="str" cm="1">
        <f t="array" ref="F175">GetValue("Dmn","#CategoryName",D175)</f>
        <v>number</v>
      </c>
      <c r="G175" s="18">
        <f t="shared" si="42"/>
        <v>5</v>
      </c>
      <c r="H175" s="18" t="str" cm="1">
        <f t="array" ref="H175">GetColumnName(C175,IF(B175=B174,H174,""))</f>
        <v>Id</v>
      </c>
      <c r="I175" s="18" t="str">
        <f t="shared" si="34"/>
        <v>Id</v>
      </c>
      <c r="J175" s="18" t="str">
        <f t="shared" si="35"/>
        <v>Id</v>
      </c>
      <c r="K175" s="18" t="b">
        <v>1</v>
      </c>
      <c r="L175" s="18" t="b">
        <v>1</v>
      </c>
      <c r="M175" s="18" t="b">
        <v>1</v>
      </c>
      <c r="N175" s="18" t="b">
        <v>0</v>
      </c>
      <c r="O175" s="18" t="b">
        <v>1</v>
      </c>
      <c r="P175" s="18" t="b">
        <v>0</v>
      </c>
      <c r="Q175" s="18" t="b">
        <v>0</v>
      </c>
      <c r="R175" s="18" t="b">
        <v>0</v>
      </c>
      <c r="S175" s="18" t="b">
        <v>0</v>
      </c>
      <c r="T175" s="18" t="b">
        <v>0</v>
      </c>
      <c r="U175" s="18" t="b">
        <v>0</v>
      </c>
    </row>
    <row r="176" spans="1:21">
      <c r="A176" s="18">
        <f t="shared" si="23"/>
        <v>175</v>
      </c>
      <c r="B176" s="19">
        <v>28</v>
      </c>
      <c r="C176" s="18" t="str" cm="1">
        <f t="array" ref="C176">GetValue("Tbl","Alias",B176)</f>
        <v>Prm</v>
      </c>
      <c r="D176" s="18">
        <v>1</v>
      </c>
      <c r="E176" s="18" t="str" cm="1">
        <f t="array" ref="E176">GetValue("Dmn","Name",D176)</f>
        <v>BigInteger</v>
      </c>
      <c r="F176" s="18" t="str" cm="1">
        <f t="array" ref="F176">GetValue("Dmn","#CategoryName",D176)</f>
        <v>number</v>
      </c>
      <c r="G176" s="18">
        <f t="shared" si="42"/>
        <v>10</v>
      </c>
      <c r="H176" s="18" t="str" cm="1">
        <f t="array" ref="H176">GetColumnName(C176,IF(B176=B175,H175,""))</f>
        <v>SystemId</v>
      </c>
      <c r="I176" s="18" t="str">
        <f t="shared" si="34"/>
        <v>SystemId</v>
      </c>
      <c r="J176" s="18" t="str">
        <f t="shared" si="35"/>
        <v>SystemId</v>
      </c>
      <c r="K176" s="18" t="b">
        <v>1</v>
      </c>
      <c r="L176" s="18" t="b">
        <v>0</v>
      </c>
      <c r="M176" s="18" t="b">
        <v>0</v>
      </c>
      <c r="N176" s="18" t="b">
        <v>0</v>
      </c>
      <c r="O176" s="18" t="b">
        <v>1</v>
      </c>
      <c r="P176" s="18" t="b">
        <v>0</v>
      </c>
      <c r="Q176" s="18" t="b">
        <v>0</v>
      </c>
      <c r="R176" s="18" t="b">
        <v>0</v>
      </c>
      <c r="S176" s="18" t="b">
        <v>0</v>
      </c>
      <c r="T176" s="18" t="b">
        <v>0</v>
      </c>
      <c r="U176" s="18" t="b">
        <v>0</v>
      </c>
    </row>
    <row r="177" spans="1:21">
      <c r="A177" s="18">
        <f t="shared" si="23"/>
        <v>176</v>
      </c>
      <c r="B177" s="19">
        <v>28</v>
      </c>
      <c r="C177" s="18" t="str" cm="1">
        <f t="array" ref="C177">GetValue("Tbl","Alias",B177)</f>
        <v>Prm</v>
      </c>
      <c r="D177" s="18">
        <v>1</v>
      </c>
      <c r="E177" s="18" t="str" cm="1">
        <f t="array" ref="E177">GetValue("Dmn","Name",D177)</f>
        <v>BigInteger</v>
      </c>
      <c r="F177" s="18" t="str" cm="1">
        <f t="array" ref="F177">GetValue("Dmn","#CategoryName",D177)</f>
        <v>number</v>
      </c>
      <c r="G177" s="18">
        <f t="shared" ref="G177:G184" si="43">IF(H177="Id",5,G176+5)</f>
        <v>15</v>
      </c>
      <c r="H177" s="18" t="str" cm="1">
        <f t="array" ref="H177">GetColumnName(C177,IF(B177=B176,H176,""))</f>
        <v>UserId</v>
      </c>
      <c r="I177" s="18" t="str">
        <f t="shared" si="34"/>
        <v>UserId</v>
      </c>
      <c r="J177" s="18" t="str">
        <f t="shared" si="35"/>
        <v>UserId</v>
      </c>
      <c r="K177" s="18" t="b">
        <v>1</v>
      </c>
      <c r="L177" s="18" t="b">
        <v>0</v>
      </c>
      <c r="M177" s="18" t="b">
        <v>0</v>
      </c>
      <c r="N177" s="18" t="b">
        <v>0</v>
      </c>
      <c r="O177" s="18" t="b">
        <v>1</v>
      </c>
      <c r="P177" s="18" t="b">
        <v>1</v>
      </c>
      <c r="Q177" s="18" t="b">
        <v>1</v>
      </c>
      <c r="R177" s="18" t="b">
        <v>0</v>
      </c>
      <c r="S177" s="18" t="b">
        <v>0</v>
      </c>
      <c r="T177" s="18" t="b">
        <v>0</v>
      </c>
      <c r="U177" s="18" t="b">
        <v>0</v>
      </c>
    </row>
    <row r="178" spans="1:21">
      <c r="A178" s="18">
        <f t="shared" si="23"/>
        <v>177</v>
      </c>
      <c r="B178" s="19">
        <v>28</v>
      </c>
      <c r="C178" s="18" t="str" cm="1">
        <f t="array" ref="C178">GetValue("Tbl","Alias",B178)</f>
        <v>Prm</v>
      </c>
      <c r="D178" s="18">
        <v>1</v>
      </c>
      <c r="E178" s="18" t="str" cm="1">
        <f t="array" ref="E178">GetValue("Dmn","Name",D178)</f>
        <v>BigInteger</v>
      </c>
      <c r="F178" s="18" t="str" cm="1">
        <f t="array" ref="F178">GetValue("Dmn","#CategoryName",D178)</f>
        <v>number</v>
      </c>
      <c r="G178" s="18">
        <f t="shared" si="43"/>
        <v>20</v>
      </c>
      <c r="H178" s="18" t="str" cm="1">
        <f t="array" ref="H178">GetColumnName(C178,IF(B178=B177,H177,""))</f>
        <v>TableId</v>
      </c>
      <c r="I178" s="18" t="str">
        <f t="shared" si="34"/>
        <v>TableId</v>
      </c>
      <c r="J178" s="18" t="str">
        <f t="shared" si="35"/>
        <v>TableId</v>
      </c>
      <c r="K178" s="18" t="b">
        <v>1</v>
      </c>
      <c r="L178" s="18" t="b">
        <v>0</v>
      </c>
      <c r="M178" s="18" t="b">
        <v>0</v>
      </c>
      <c r="N178" s="18" t="b">
        <v>0</v>
      </c>
      <c r="O178" s="18" t="b">
        <v>1</v>
      </c>
      <c r="P178" s="18" t="b">
        <v>1</v>
      </c>
      <c r="Q178" s="18" t="b">
        <v>1</v>
      </c>
      <c r="R178" s="18" t="b">
        <v>0</v>
      </c>
      <c r="S178" s="18" t="b">
        <v>0</v>
      </c>
      <c r="T178" s="18" t="b">
        <v>0</v>
      </c>
      <c r="U178" s="18" t="b">
        <v>0</v>
      </c>
    </row>
    <row r="179" spans="1:21">
      <c r="A179" s="18">
        <f t="shared" si="23"/>
        <v>178</v>
      </c>
      <c r="B179" s="19">
        <v>28</v>
      </c>
      <c r="C179" s="18" t="str" cm="1">
        <f t="array" ref="C179">GetValue("Tbl","Alias",B179)</f>
        <v>Prm</v>
      </c>
      <c r="D179" s="18">
        <v>6</v>
      </c>
      <c r="E179" s="18" t="str" cm="1">
        <f t="array" ref="E179">GetValue("Dmn","Name",D179)</f>
        <v>Boolean</v>
      </c>
      <c r="F179" s="18" t="str" cm="1">
        <f t="array" ref="F179">GetValue("Dmn","#CategoryName",D179)</f>
        <v>boolean</v>
      </c>
      <c r="G179" s="18">
        <f t="shared" si="43"/>
        <v>25</v>
      </c>
      <c r="H179" s="18" t="str" cm="1">
        <f t="array" ref="H179">GetColumnName(C179,IF(B179=B178,H178,""))</f>
        <v>CanCreate</v>
      </c>
      <c r="I179" s="18" t="str">
        <f t="shared" si="34"/>
        <v>CanCreate</v>
      </c>
      <c r="J179" s="18" t="str">
        <f t="shared" si="35"/>
        <v>CanCreate</v>
      </c>
      <c r="K179" s="18" t="b">
        <v>0</v>
      </c>
      <c r="L179" s="18" t="b">
        <v>0</v>
      </c>
      <c r="M179" s="18" t="b">
        <v>0</v>
      </c>
      <c r="N179" s="18" t="b">
        <v>0</v>
      </c>
      <c r="O179" s="18" t="b">
        <v>1</v>
      </c>
      <c r="P179" s="18" t="b">
        <v>1</v>
      </c>
      <c r="Q179" s="18" t="b">
        <v>1</v>
      </c>
      <c r="R179" s="18" t="b">
        <v>0</v>
      </c>
      <c r="S179" s="18" t="b">
        <v>0</v>
      </c>
      <c r="T179" s="18" t="b">
        <v>0</v>
      </c>
      <c r="U179" s="18" t="b">
        <v>0</v>
      </c>
    </row>
    <row r="180" spans="1:21">
      <c r="A180" s="18">
        <f t="shared" si="23"/>
        <v>179</v>
      </c>
      <c r="B180" s="19">
        <v>28</v>
      </c>
      <c r="C180" s="18" t="str" cm="1">
        <f t="array" ref="C180">GetValue("Tbl","Alias",B180)</f>
        <v>Prm</v>
      </c>
      <c r="D180" s="18">
        <v>6</v>
      </c>
      <c r="E180" s="18" t="str" cm="1">
        <f t="array" ref="E180">GetValue("Dmn","Name",D180)</f>
        <v>Boolean</v>
      </c>
      <c r="F180" s="18" t="str" cm="1">
        <f t="array" ref="F180">GetValue("Dmn","#CategoryName",D180)</f>
        <v>boolean</v>
      </c>
      <c r="G180" s="18">
        <f t="shared" si="43"/>
        <v>30</v>
      </c>
      <c r="H180" s="18" t="str" cm="1">
        <f t="array" ref="H180">GetColumnName(C180,IF(B180=B179,H179,""))</f>
        <v>CanRead</v>
      </c>
      <c r="I180" s="18" t="str">
        <f t="shared" si="34"/>
        <v>CanRead</v>
      </c>
      <c r="J180" s="18" t="str">
        <f t="shared" si="35"/>
        <v>CanRead</v>
      </c>
      <c r="K180" s="18" t="b">
        <v>0</v>
      </c>
      <c r="L180" s="18" t="b">
        <v>0</v>
      </c>
      <c r="M180" s="18" t="b">
        <v>0</v>
      </c>
      <c r="N180" s="18" t="b">
        <v>0</v>
      </c>
      <c r="O180" s="18" t="b">
        <v>1</v>
      </c>
      <c r="P180" s="18" t="b">
        <v>1</v>
      </c>
      <c r="Q180" s="18" t="b">
        <v>1</v>
      </c>
      <c r="R180" s="18" t="b">
        <v>0</v>
      </c>
      <c r="S180" s="18" t="b">
        <v>0</v>
      </c>
      <c r="T180" s="18" t="b">
        <v>0</v>
      </c>
      <c r="U180" s="18" t="b">
        <v>0</v>
      </c>
    </row>
    <row r="181" spans="1:21">
      <c r="A181" s="18">
        <f t="shared" si="23"/>
        <v>180</v>
      </c>
      <c r="B181" s="19">
        <v>28</v>
      </c>
      <c r="C181" s="18" t="str" cm="1">
        <f t="array" ref="C181">GetValue("Tbl","Alias",B181)</f>
        <v>Prm</v>
      </c>
      <c r="D181" s="18">
        <v>6</v>
      </c>
      <c r="E181" s="18" t="str" cm="1">
        <f t="array" ref="E181">GetValue("Dmn","Name",D181)</f>
        <v>Boolean</v>
      </c>
      <c r="F181" s="18" t="str" cm="1">
        <f t="array" ref="F181">GetValue("Dmn","#CategoryName",D181)</f>
        <v>boolean</v>
      </c>
      <c r="G181" s="18">
        <f t="shared" si="43"/>
        <v>35</v>
      </c>
      <c r="H181" s="18" t="str" cm="1">
        <f t="array" ref="H181">GetColumnName(C181,IF(B181=B180,H180,""))</f>
        <v>CanUpdate</v>
      </c>
      <c r="I181" s="18" t="str">
        <f t="shared" si="34"/>
        <v>CanUpdate</v>
      </c>
      <c r="J181" s="18" t="str">
        <f t="shared" si="35"/>
        <v>CanUpdate</v>
      </c>
      <c r="K181" s="18" t="b">
        <v>0</v>
      </c>
      <c r="L181" s="18" t="b">
        <v>0</v>
      </c>
      <c r="M181" s="18" t="b">
        <v>0</v>
      </c>
      <c r="N181" s="18" t="b">
        <v>0</v>
      </c>
      <c r="O181" s="18" t="b">
        <v>1</v>
      </c>
      <c r="P181" s="18" t="b">
        <v>1</v>
      </c>
      <c r="Q181" s="18" t="b">
        <v>1</v>
      </c>
      <c r="R181" s="18" t="b">
        <v>0</v>
      </c>
      <c r="S181" s="18" t="b">
        <v>0</v>
      </c>
      <c r="T181" s="18" t="b">
        <v>0</v>
      </c>
      <c r="U181" s="18" t="b">
        <v>0</v>
      </c>
    </row>
    <row r="182" spans="1:21">
      <c r="A182" s="18">
        <f t="shared" si="23"/>
        <v>181</v>
      </c>
      <c r="B182" s="19">
        <v>28</v>
      </c>
      <c r="C182" s="18" t="str" cm="1">
        <f t="array" ref="C182">GetValue("Tbl","Alias",B182)</f>
        <v>Prm</v>
      </c>
      <c r="D182" s="18">
        <v>6</v>
      </c>
      <c r="E182" s="18" t="str" cm="1">
        <f t="array" ref="E182">GetValue("Dmn","Name",D182)</f>
        <v>Boolean</v>
      </c>
      <c r="F182" s="18" t="str" cm="1">
        <f t="array" ref="F182">GetValue("Dmn","#CategoryName",D182)</f>
        <v>boolean</v>
      </c>
      <c r="G182" s="18">
        <f t="shared" si="43"/>
        <v>40</v>
      </c>
      <c r="H182" s="18" t="str" cm="1">
        <f t="array" ref="H182">GetColumnName(C182,IF(B182=B181,H181,""))</f>
        <v>CanDelete</v>
      </c>
      <c r="I182" s="18" t="str">
        <f t="shared" si="34"/>
        <v>CanDelete</v>
      </c>
      <c r="J182" s="18" t="str">
        <f t="shared" si="35"/>
        <v>CanDelete</v>
      </c>
      <c r="K182" s="18" t="b">
        <v>0</v>
      </c>
      <c r="L182" s="18" t="b">
        <v>0</v>
      </c>
      <c r="M182" s="18" t="b">
        <v>0</v>
      </c>
      <c r="N182" s="18" t="b">
        <v>0</v>
      </c>
      <c r="O182" s="18" t="b">
        <v>1</v>
      </c>
      <c r="P182" s="18" t="b">
        <v>1</v>
      </c>
      <c r="Q182" s="18" t="b">
        <v>1</v>
      </c>
      <c r="R182" s="18" t="b">
        <v>0</v>
      </c>
      <c r="S182" s="18" t="b">
        <v>0</v>
      </c>
      <c r="T182" s="18" t="b">
        <v>0</v>
      </c>
      <c r="U182" s="18" t="b">
        <v>0</v>
      </c>
    </row>
    <row r="183" spans="1:21">
      <c r="A183" s="20">
        <f t="shared" si="23"/>
        <v>182</v>
      </c>
      <c r="B183" s="21">
        <v>29</v>
      </c>
      <c r="C183" s="20" t="str" cm="1">
        <f t="array" ref="C183">GetValue("Tbl","Alias",B183)</f>
        <v>Prp</v>
      </c>
      <c r="D183" s="20">
        <v>5</v>
      </c>
      <c r="E183" s="20" t="str" cm="1">
        <f t="array" ref="E183">GetValue("Dmn","Name",D183)</f>
        <v>TinyInteger</v>
      </c>
      <c r="F183" s="20" t="str" cm="1">
        <f t="array" ref="F183">GetValue("Dmn","#CategoryName",D183)</f>
        <v>number</v>
      </c>
      <c r="G183" s="20">
        <f t="shared" si="43"/>
        <v>5</v>
      </c>
      <c r="H183" s="20" t="str" cm="1">
        <f t="array" ref="H183">GetColumnName(C183,IF(B183=B182,H182,""))</f>
        <v>Id</v>
      </c>
      <c r="I183" s="20" t="str">
        <f t="shared" si="34"/>
        <v>Id</v>
      </c>
      <c r="J183" s="20" t="str">
        <f t="shared" si="35"/>
        <v>Id</v>
      </c>
      <c r="K183" s="20" t="b">
        <v>1</v>
      </c>
      <c r="L183" s="20" t="b">
        <v>1</v>
      </c>
      <c r="M183" s="20" t="b">
        <v>0</v>
      </c>
      <c r="N183" s="20" t="b">
        <v>0</v>
      </c>
      <c r="O183" s="20" t="b">
        <v>1</v>
      </c>
      <c r="P183" s="20" t="b">
        <v>0</v>
      </c>
      <c r="Q183" s="20" t="b">
        <v>0</v>
      </c>
      <c r="R183" s="20" t="b">
        <v>0</v>
      </c>
      <c r="S183" s="20" t="b">
        <v>0</v>
      </c>
      <c r="T183" s="20" t="b">
        <v>0</v>
      </c>
      <c r="U183" s="20" t="b">
        <v>0</v>
      </c>
    </row>
    <row r="184" spans="1:21">
      <c r="A184" s="20">
        <f t="shared" si="23"/>
        <v>183</v>
      </c>
      <c r="B184" s="21">
        <v>29</v>
      </c>
      <c r="C184" s="20" t="str" cm="1">
        <f t="array" ref="C184">GetValue("Tbl","Alias",B184)</f>
        <v>Prp</v>
      </c>
      <c r="D184" s="20">
        <v>10</v>
      </c>
      <c r="E184" s="20" t="str" cm="1">
        <f t="array" ref="E184">GetValue("Dmn","Name",D184)</f>
        <v>NVARCHAR(25)</v>
      </c>
      <c r="F184" s="20" t="str" cm="1">
        <f t="array" ref="F184">GetValue("Dmn","#CategoryName",D184)</f>
        <v>string</v>
      </c>
      <c r="G184" s="20">
        <f t="shared" si="43"/>
        <v>10</v>
      </c>
      <c r="H184" s="20" t="str" cm="1">
        <f t="array" ref="H184">GetColumnName(C184,IF(B184=B183,H183,""))</f>
        <v>Name</v>
      </c>
      <c r="I184" s="20" t="str">
        <f t="shared" si="34"/>
        <v>Name</v>
      </c>
      <c r="J184" s="20" t="str">
        <f t="shared" si="35"/>
        <v>Name</v>
      </c>
      <c r="K184" s="20" t="b">
        <v>1</v>
      </c>
      <c r="L184" s="20" t="b">
        <v>0</v>
      </c>
      <c r="M184" s="20" t="b">
        <v>0</v>
      </c>
      <c r="N184" s="20" t="b">
        <v>1</v>
      </c>
      <c r="O184" s="20" t="b">
        <v>1</v>
      </c>
      <c r="P184" s="20" t="b">
        <v>0</v>
      </c>
      <c r="Q184" s="20" t="b">
        <v>0</v>
      </c>
      <c r="R184" s="20" t="b">
        <v>1</v>
      </c>
      <c r="S184" s="20" t="b">
        <v>0</v>
      </c>
      <c r="T184" s="20" t="b">
        <v>0</v>
      </c>
      <c r="U184" s="20" t="b">
        <v>0</v>
      </c>
    </row>
    <row r="185" spans="1:21">
      <c r="A185" s="20">
        <f t="shared" si="23"/>
        <v>184</v>
      </c>
      <c r="B185" s="21">
        <v>29</v>
      </c>
      <c r="C185" s="20" t="str" cm="1">
        <f t="array" ref="C185">GetValue("Tbl","Alias",B185)</f>
        <v>Prp</v>
      </c>
      <c r="D185" s="20">
        <v>5</v>
      </c>
      <c r="E185" s="20" t="str" cm="1">
        <f t="array" ref="E185">GetValue("Dmn","Name",D185)</f>
        <v>TinyInteger</v>
      </c>
      <c r="F185" s="20" t="str" cm="1">
        <f t="array" ref="F185">GetValue("Dmn","#CategoryName",D185)</f>
        <v>number</v>
      </c>
      <c r="G185" s="20">
        <f t="shared" ref="G185:G189" si="44">IF(H185="Id",5,G184+5)</f>
        <v>15</v>
      </c>
      <c r="H185" s="20" t="str" cm="1">
        <f t="array" ref="H185">GetColumnName(C185,IF(B185=B184,H184,""))</f>
        <v>CategoryId</v>
      </c>
      <c r="I185" s="20" t="str">
        <f t="shared" si="34"/>
        <v>CategoryId</v>
      </c>
      <c r="J185" s="20" t="str">
        <f t="shared" si="35"/>
        <v>CategoryId</v>
      </c>
      <c r="K185" s="20" t="b">
        <v>0</v>
      </c>
      <c r="L185" s="20" t="b">
        <v>0</v>
      </c>
      <c r="M185" s="20" t="b">
        <v>0</v>
      </c>
      <c r="N185" s="20" t="b">
        <v>0</v>
      </c>
      <c r="O185" s="20" t="b">
        <v>1</v>
      </c>
      <c r="P185" s="20" t="b">
        <v>1</v>
      </c>
      <c r="Q185" s="20" t="b">
        <v>1</v>
      </c>
      <c r="R185" s="20" t="b">
        <v>0</v>
      </c>
      <c r="S185" s="20" t="b">
        <v>0</v>
      </c>
      <c r="T185" s="20" t="b">
        <v>0</v>
      </c>
      <c r="U185" s="20" t="b">
        <v>0</v>
      </c>
    </row>
    <row r="186" spans="1:21">
      <c r="A186" s="20">
        <f t="shared" si="23"/>
        <v>185</v>
      </c>
      <c r="B186" s="21">
        <v>29</v>
      </c>
      <c r="C186" s="20" t="str" cm="1">
        <f t="array" ref="C186">GetValue("Tbl","Alias",B186)</f>
        <v>Prp</v>
      </c>
      <c r="D186" s="20">
        <v>11</v>
      </c>
      <c r="E186" s="20" t="str" cm="1">
        <f t="array" ref="E186">GetValue("Dmn","Name",D186)</f>
        <v>NVARCHAR(50)</v>
      </c>
      <c r="F186" s="20" t="str" cm="1">
        <f t="array" ref="F186">GetValue("Dmn","#CategoryName",D186)</f>
        <v>string</v>
      </c>
      <c r="G186" s="20">
        <f t="shared" si="44"/>
        <v>20</v>
      </c>
      <c r="H186" s="20" t="str" cm="1">
        <f t="array" ref="H186">GetColumnName(C186,IF(B186=B185,H185,""))</f>
        <v>Description</v>
      </c>
      <c r="I186" s="20" t="str">
        <f t="shared" si="34"/>
        <v>Description</v>
      </c>
      <c r="J186" s="20" t="str">
        <f t="shared" si="35"/>
        <v>Description</v>
      </c>
      <c r="K186" s="20" t="b">
        <v>0</v>
      </c>
      <c r="L186" s="20" t="b">
        <v>0</v>
      </c>
      <c r="M186" s="20" t="b">
        <v>0</v>
      </c>
      <c r="N186" s="20" t="b">
        <v>0</v>
      </c>
      <c r="O186" s="20" t="b">
        <v>1</v>
      </c>
      <c r="P186" s="20" t="b">
        <v>1</v>
      </c>
      <c r="Q186" s="20" t="b">
        <v>1</v>
      </c>
      <c r="R186" s="20" t="b">
        <v>0</v>
      </c>
      <c r="S186" s="20" t="b">
        <v>0</v>
      </c>
      <c r="T186" s="20" t="b">
        <v>0</v>
      </c>
      <c r="U186" s="20" t="b">
        <v>0</v>
      </c>
    </row>
    <row r="187" spans="1:21">
      <c r="A187" s="20">
        <f t="shared" si="23"/>
        <v>186</v>
      </c>
      <c r="B187" s="21">
        <v>29</v>
      </c>
      <c r="C187" s="20" t="str" cm="1">
        <f t="array" ref="C187">GetValue("Tbl","Alias",B187)</f>
        <v>Prp</v>
      </c>
      <c r="D187" s="20">
        <v>6</v>
      </c>
      <c r="E187" s="20" t="str" cm="1">
        <f t="array" ref="E187">GetValue("Dmn","Name",D187)</f>
        <v>Boolean</v>
      </c>
      <c r="F187" s="20" t="str" cm="1">
        <f t="array" ref="F187">GetValue("Dmn","#CategoryName",D187)</f>
        <v>boolean</v>
      </c>
      <c r="G187" s="20">
        <f t="shared" si="44"/>
        <v>25</v>
      </c>
      <c r="H187" s="20" t="str" cm="1">
        <f t="array" ref="H187">GetColumnName(C187,IF(B187=B186,H186,""))</f>
        <v>IsActive</v>
      </c>
      <c r="I187" s="20" t="str">
        <f t="shared" si="34"/>
        <v>IsActive</v>
      </c>
      <c r="J187" s="20" t="str">
        <f t="shared" si="35"/>
        <v>IsActive</v>
      </c>
      <c r="K187" s="20" t="b">
        <v>0</v>
      </c>
      <c r="L187" s="20" t="b">
        <v>0</v>
      </c>
      <c r="M187" s="20" t="b">
        <v>0</v>
      </c>
      <c r="N187" s="20" t="b">
        <v>0</v>
      </c>
      <c r="O187" s="20" t="b">
        <v>1</v>
      </c>
      <c r="P187" s="20" t="b">
        <v>1</v>
      </c>
      <c r="Q187" s="20" t="b">
        <v>1</v>
      </c>
      <c r="R187" s="20" t="b">
        <v>0</v>
      </c>
      <c r="S187" s="20" t="b">
        <v>0</v>
      </c>
      <c r="T187" s="20" t="b">
        <v>0</v>
      </c>
      <c r="U187" s="20" t="b">
        <v>0</v>
      </c>
    </row>
    <row r="188" spans="1:21">
      <c r="A188" s="18">
        <f t="shared" si="23"/>
        <v>187</v>
      </c>
      <c r="B188" s="19">
        <v>30</v>
      </c>
      <c r="C188" s="18" t="str" cm="1">
        <f t="array" ref="C188">GetValue("Tbl","Alias",B188)</f>
        <v>Bhv</v>
      </c>
      <c r="D188" s="18">
        <v>1</v>
      </c>
      <c r="E188" s="18" t="str" cm="1">
        <f t="array" ref="E188">GetValue("Dmn","Name",D188)</f>
        <v>BigInteger</v>
      </c>
      <c r="F188" s="18" t="str" cm="1">
        <f t="array" ref="F188">GetValue("Dmn","#CategoryName",D188)</f>
        <v>number</v>
      </c>
      <c r="G188" s="18">
        <f t="shared" si="44"/>
        <v>5</v>
      </c>
      <c r="H188" s="18" t="str" cm="1">
        <f t="array" ref="H188">GetColumnName(C188,IF(B188=B187,H187,""))</f>
        <v>Id</v>
      </c>
      <c r="I188" s="18" t="str">
        <f t="shared" si="34"/>
        <v>Id</v>
      </c>
      <c r="J188" s="18" t="str">
        <f t="shared" si="35"/>
        <v>Id</v>
      </c>
      <c r="K188" s="18" t="b">
        <v>1</v>
      </c>
      <c r="L188" s="18" t="b">
        <v>1</v>
      </c>
      <c r="M188" s="18" t="b">
        <v>0</v>
      </c>
      <c r="N188" s="18" t="b">
        <v>0</v>
      </c>
      <c r="O188" s="18" t="b">
        <v>1</v>
      </c>
      <c r="P188" s="18" t="b">
        <v>1</v>
      </c>
      <c r="Q188" s="18" t="b">
        <v>1</v>
      </c>
      <c r="R188" s="18" t="b">
        <v>0</v>
      </c>
      <c r="S188" s="18" t="b">
        <v>0</v>
      </c>
      <c r="T188" s="18" t="b">
        <v>0</v>
      </c>
      <c r="U188" s="18" t="b">
        <v>0</v>
      </c>
    </row>
    <row r="189" spans="1:21">
      <c r="A189" s="18">
        <f t="shared" si="23"/>
        <v>188</v>
      </c>
      <c r="B189" s="19">
        <v>30</v>
      </c>
      <c r="C189" s="18" t="str" cm="1">
        <f t="array" ref="C189">GetValue("Tbl","Alias",B189)</f>
        <v>Bhv</v>
      </c>
      <c r="D189" s="18">
        <v>1</v>
      </c>
      <c r="E189" s="18" t="str" cm="1">
        <f t="array" ref="E189">GetValue("Dmn","Name",D189)</f>
        <v>BigInteger</v>
      </c>
      <c r="F189" s="18" t="str" cm="1">
        <f t="array" ref="F189">GetValue("Dmn","#CategoryName",D189)</f>
        <v>number</v>
      </c>
      <c r="G189" s="18">
        <f t="shared" si="44"/>
        <v>10</v>
      </c>
      <c r="H189" s="18" t="str" cm="1">
        <f t="array" ref="H189">GetColumnName(C189,IF(B189=B188,H188,""))</f>
        <v>ColumnId</v>
      </c>
      <c r="I189" s="18" t="str">
        <f t="shared" si="34"/>
        <v>ColumnId</v>
      </c>
      <c r="J189" s="18" t="str">
        <f t="shared" si="35"/>
        <v>ColumnId</v>
      </c>
      <c r="K189" s="18" t="b">
        <v>1</v>
      </c>
      <c r="L189" s="18" t="b">
        <v>0</v>
      </c>
      <c r="M189" s="18" t="b">
        <v>0</v>
      </c>
      <c r="N189" s="18" t="b">
        <v>0</v>
      </c>
      <c r="O189" s="18" t="b">
        <v>1</v>
      </c>
      <c r="P189" s="18" t="b">
        <v>0</v>
      </c>
      <c r="Q189" s="18" t="b">
        <v>0</v>
      </c>
      <c r="R189" s="18" t="b">
        <v>0</v>
      </c>
      <c r="S189" s="18" t="b">
        <v>0</v>
      </c>
      <c r="T189" s="18" t="b">
        <v>0</v>
      </c>
      <c r="U189" s="18" t="b">
        <v>0</v>
      </c>
    </row>
    <row r="190" spans="1:21">
      <c r="A190" s="18">
        <f t="shared" si="23"/>
        <v>189</v>
      </c>
      <c r="B190" s="19">
        <v>30</v>
      </c>
      <c r="C190" s="18" t="str" cm="1">
        <f t="array" ref="C190">GetValue("Tbl","Alias",B190)</f>
        <v>Bhv</v>
      </c>
      <c r="D190" s="18">
        <v>1</v>
      </c>
      <c r="E190" s="18" t="str" cm="1">
        <f t="array" ref="E190">GetValue("Dmn","Name",D190)</f>
        <v>BigInteger</v>
      </c>
      <c r="F190" s="18" t="str" cm="1">
        <f t="array" ref="F190">GetValue("Dmn","#CategoryName",D190)</f>
        <v>number</v>
      </c>
      <c r="G190" s="18">
        <f t="shared" ref="G190:G192" si="45">IF(H190="Id",5,G189+5)</f>
        <v>15</v>
      </c>
      <c r="H190" s="18" t="str" cm="1">
        <f t="array" ref="H190">GetColumnName(C190,IF(B190=B189,H189,""))</f>
        <v>ExpressionId</v>
      </c>
      <c r="I190" s="18" t="str">
        <f t="shared" si="34"/>
        <v>ExpressionId</v>
      </c>
      <c r="J190" s="18" t="str">
        <f t="shared" si="35"/>
        <v>ExpressionId</v>
      </c>
      <c r="K190" s="18" t="b">
        <v>1</v>
      </c>
      <c r="L190" s="18" t="b">
        <v>0</v>
      </c>
      <c r="M190" s="18" t="b">
        <v>0</v>
      </c>
      <c r="N190" s="18" t="b">
        <v>0</v>
      </c>
      <c r="O190" s="18" t="b">
        <v>1</v>
      </c>
      <c r="P190" s="18" t="b">
        <v>1</v>
      </c>
      <c r="Q190" s="18" t="b">
        <v>1</v>
      </c>
      <c r="R190" s="18" t="b">
        <v>0</v>
      </c>
      <c r="S190" s="18" t="b">
        <v>0</v>
      </c>
      <c r="T190" s="18" t="b">
        <v>0</v>
      </c>
      <c r="U190" s="18" t="b">
        <v>0</v>
      </c>
    </row>
    <row r="191" spans="1:21">
      <c r="A191" s="18">
        <f t="shared" si="23"/>
        <v>190</v>
      </c>
      <c r="B191" s="19">
        <v>30</v>
      </c>
      <c r="C191" s="18" t="str" cm="1">
        <f t="array" ref="C191">GetValue("Tbl","Alias",B191)</f>
        <v>Bhv</v>
      </c>
      <c r="D191" s="18">
        <v>5</v>
      </c>
      <c r="E191" s="18" t="str" cm="1">
        <f t="array" ref="E191">GetValue("Dmn","Name",D191)</f>
        <v>TinyInteger</v>
      </c>
      <c r="F191" s="18" t="str" cm="1">
        <f t="array" ref="F191">GetValue("Dmn","#CategoryName",D191)</f>
        <v>number</v>
      </c>
      <c r="G191" s="18">
        <f t="shared" si="45"/>
        <v>20</v>
      </c>
      <c r="H191" s="18" t="str" cm="1">
        <f t="array" ref="H191">GetColumnName(C191,IF(B191=B190,H190,""))</f>
        <v>PropertyId</v>
      </c>
      <c r="I191" s="18" t="str">
        <f t="shared" si="34"/>
        <v>PropertyId</v>
      </c>
      <c r="J191" s="18" t="str">
        <f t="shared" si="35"/>
        <v>PropertyId</v>
      </c>
      <c r="K191" s="18" t="b">
        <v>1</v>
      </c>
      <c r="L191" s="18" t="b">
        <v>0</v>
      </c>
      <c r="M191" s="18" t="b">
        <v>0</v>
      </c>
      <c r="N191" s="18" t="b">
        <v>0</v>
      </c>
      <c r="O191" s="18" t="b">
        <v>1</v>
      </c>
      <c r="P191" s="18" t="b">
        <v>1</v>
      </c>
      <c r="Q191" s="18" t="b">
        <v>1</v>
      </c>
      <c r="R191" s="18" t="b">
        <v>0</v>
      </c>
      <c r="S191" s="18" t="b">
        <v>0</v>
      </c>
      <c r="T191" s="18" t="b">
        <v>0</v>
      </c>
      <c r="U191" s="18" t="b">
        <v>0</v>
      </c>
    </row>
    <row r="192" spans="1:21">
      <c r="A192" s="18">
        <f t="shared" si="23"/>
        <v>191</v>
      </c>
      <c r="B192" s="19">
        <v>30</v>
      </c>
      <c r="C192" s="18" t="str" cm="1">
        <f t="array" ref="C192">GetValue("Tbl","Alias",B192)</f>
        <v>Bhv</v>
      </c>
      <c r="D192" s="18">
        <v>42</v>
      </c>
      <c r="E192" s="18" t="str" cm="1">
        <f t="array" ref="E192">GetValue("Dmn","Name",D192)</f>
        <v>VARIANT</v>
      </c>
      <c r="F192" s="18" t="str" cm="1">
        <f t="array" ref="F192">GetValue("Dmn","#CategoryName",D192)</f>
        <v>text</v>
      </c>
      <c r="G192" s="18">
        <f t="shared" si="45"/>
        <v>25</v>
      </c>
      <c r="H192" s="18" t="str" cm="1">
        <f t="array" ref="H192">GetColumnName(C192,IF(B192=B191,H191,""))</f>
        <v>Value</v>
      </c>
      <c r="I192" s="18" t="str">
        <f t="shared" si="34"/>
        <v>Value</v>
      </c>
      <c r="J192" s="18" t="str">
        <f t="shared" si="35"/>
        <v>Value</v>
      </c>
      <c r="K192" s="18" t="b">
        <v>1</v>
      </c>
      <c r="L192" s="18" t="b">
        <v>0</v>
      </c>
      <c r="M192" s="18" t="b">
        <v>0</v>
      </c>
      <c r="N192" s="18" t="b">
        <v>0</v>
      </c>
      <c r="O192" s="18" t="b">
        <v>0</v>
      </c>
      <c r="P192" s="18" t="b">
        <v>1</v>
      </c>
      <c r="Q192" s="18" t="b">
        <v>1</v>
      </c>
      <c r="R192" s="18" t="b">
        <v>0</v>
      </c>
      <c r="S192" s="18" t="b">
        <v>0</v>
      </c>
      <c r="T192" s="18" t="b">
        <v>0</v>
      </c>
      <c r="U192" s="18" t="b">
        <v>0</v>
      </c>
    </row>
    <row r="193" spans="1:21">
      <c r="A193" s="18">
        <f t="shared" si="23"/>
        <v>192</v>
      </c>
      <c r="B193" s="19">
        <v>30</v>
      </c>
      <c r="C193" s="18" t="str" cm="1">
        <f t="array" ref="C193">GetValue("Tbl","Alias",B193)</f>
        <v>Bhv</v>
      </c>
      <c r="D193" s="18">
        <v>42</v>
      </c>
      <c r="E193" s="18" t="str" cm="1">
        <f t="array" ref="E193">GetValue("Dmn","Name",D193)</f>
        <v>VARIANT</v>
      </c>
      <c r="F193" s="18" t="str" cm="1">
        <f t="array" ref="F193">GetValue("Dmn","#CategoryName",D193)</f>
        <v>text</v>
      </c>
      <c r="G193" s="18">
        <f t="shared" ref="G193" si="46">IF(H193="Id",5,G192+5)</f>
        <v>30</v>
      </c>
      <c r="H193" s="18" t="str" cm="1">
        <f t="array" ref="H193">GetColumnName(C193,IF(B193=B192,H192,""))</f>
        <v>ElseValue</v>
      </c>
      <c r="I193" s="18" t="str">
        <f t="shared" ref="I193" si="47">H193</f>
        <v>ElseValue</v>
      </c>
      <c r="J193" s="18" t="str">
        <f t="shared" ref="J193" si="48">H193</f>
        <v>ElseValue</v>
      </c>
      <c r="K193" s="18" t="b">
        <v>0</v>
      </c>
      <c r="L193" s="18" t="b">
        <v>0</v>
      </c>
      <c r="M193" s="18" t="b">
        <v>0</v>
      </c>
      <c r="N193" s="18" t="b">
        <v>0</v>
      </c>
      <c r="O193" s="18" t="b">
        <v>1</v>
      </c>
      <c r="P193" s="18" t="b">
        <v>1</v>
      </c>
      <c r="Q193" s="18" t="b">
        <v>1</v>
      </c>
      <c r="R193" s="18" t="b">
        <v>0</v>
      </c>
      <c r="S193" s="18" t="b">
        <v>0</v>
      </c>
      <c r="T193" s="18" t="b">
        <v>0</v>
      </c>
      <c r="U193" s="18" t="b">
        <v>0</v>
      </c>
    </row>
    <row r="194" spans="1:21">
      <c r="A194" s="20">
        <f t="shared" si="23"/>
        <v>193</v>
      </c>
      <c r="B194" s="21">
        <v>31</v>
      </c>
      <c r="C194" s="20" t="str" cm="1">
        <f t="array" ref="C194">GetValue("Tbl","Alias",B194)</f>
        <v>Sch</v>
      </c>
      <c r="D194" s="20">
        <v>1</v>
      </c>
      <c r="E194" s="20" t="str" cm="1">
        <f t="array" ref="E194">GetValue("Dmn","Name",D194)</f>
        <v>BigInteger</v>
      </c>
      <c r="F194" s="20" t="str" cm="1">
        <f t="array" ref="F194">GetValue("Dmn","#CategoryName",D194)</f>
        <v>number</v>
      </c>
      <c r="G194" s="20">
        <f t="shared" ref="G194:G206" si="49">IF(H194="Id",5,G193+5)</f>
        <v>5</v>
      </c>
      <c r="H194" s="20" t="str" cm="1">
        <f t="array" ref="H194">GetColumnName(C194,IF(B194=B193,H193,""))</f>
        <v>Id</v>
      </c>
      <c r="I194" s="20" t="str">
        <f t="shared" si="34"/>
        <v>Id</v>
      </c>
      <c r="J194" s="20" t="str">
        <f t="shared" si="35"/>
        <v>Id</v>
      </c>
      <c r="K194" s="20" t="b">
        <v>1</v>
      </c>
      <c r="L194" s="20" t="b">
        <v>1</v>
      </c>
      <c r="M194" s="20" t="b">
        <v>1</v>
      </c>
      <c r="N194" s="20" t="b">
        <v>0</v>
      </c>
      <c r="O194" s="20" t="b">
        <v>1</v>
      </c>
      <c r="P194" s="20" t="b">
        <v>0</v>
      </c>
      <c r="Q194" s="20" t="b">
        <v>0</v>
      </c>
      <c r="R194" s="20" t="b">
        <v>0</v>
      </c>
      <c r="S194" s="20" t="b">
        <v>0</v>
      </c>
      <c r="T194" s="20" t="b">
        <v>0</v>
      </c>
      <c r="U194" s="20" t="b">
        <v>0</v>
      </c>
    </row>
    <row r="195" spans="1:21">
      <c r="A195" s="20">
        <f t="shared" si="23"/>
        <v>194</v>
      </c>
      <c r="B195" s="21">
        <v>31</v>
      </c>
      <c r="C195" s="20" t="str" cm="1">
        <f t="array" ref="C195">GetValue("Tbl","Alias",B195)</f>
        <v>Sch</v>
      </c>
      <c r="D195" s="20">
        <v>1</v>
      </c>
      <c r="E195" s="20" t="str" cm="1">
        <f t="array" ref="E195">GetValue("Dmn","Name",D195)</f>
        <v>BigInteger</v>
      </c>
      <c r="F195" s="20" t="str" cm="1">
        <f t="array" ref="F195">GetValue("Dmn","#CategoryName",D195)</f>
        <v>number</v>
      </c>
      <c r="G195" s="20">
        <f t="shared" si="49"/>
        <v>10</v>
      </c>
      <c r="H195" s="20" t="str" cm="1">
        <f t="array" ref="H195">GetColumnName(C195,IF(B195=B194,H194,""))</f>
        <v>OwnertId</v>
      </c>
      <c r="I195" s="20" t="str">
        <f t="shared" si="34"/>
        <v>OwnertId</v>
      </c>
      <c r="J195" s="20" t="str">
        <f t="shared" si="35"/>
        <v>OwnertId</v>
      </c>
      <c r="K195" s="20" t="b">
        <v>1</v>
      </c>
      <c r="L195" s="20" t="b">
        <v>0</v>
      </c>
      <c r="M195" s="20" t="b">
        <v>0</v>
      </c>
      <c r="N195" s="20" t="b">
        <v>0</v>
      </c>
      <c r="O195" s="20" t="b">
        <v>1</v>
      </c>
      <c r="P195" s="20" t="b">
        <v>1</v>
      </c>
      <c r="Q195" s="20" t="b">
        <v>1</v>
      </c>
      <c r="R195" s="20" t="b">
        <v>0</v>
      </c>
      <c r="S195" s="20" t="b">
        <v>0</v>
      </c>
      <c r="T195" s="20" t="b">
        <v>0</v>
      </c>
      <c r="U195" s="20" t="b">
        <v>0</v>
      </c>
    </row>
    <row r="196" spans="1:21">
      <c r="A196" s="20">
        <f t="shared" si="23"/>
        <v>195</v>
      </c>
      <c r="B196" s="21">
        <v>31</v>
      </c>
      <c r="C196" s="20" t="str" cm="1">
        <f t="array" ref="C196">GetValue("Tbl","Alias",B196)</f>
        <v>Sch</v>
      </c>
      <c r="D196" s="20">
        <v>10</v>
      </c>
      <c r="E196" s="20" t="str" cm="1">
        <f t="array" ref="E196">GetValue("Dmn","Name",D196)</f>
        <v>NVARCHAR(25)</v>
      </c>
      <c r="F196" s="20" t="str" cm="1">
        <f t="array" ref="F196">GetValue("Dmn","#CategoryName",D196)</f>
        <v>string</v>
      </c>
      <c r="G196" s="20">
        <f t="shared" si="49"/>
        <v>15</v>
      </c>
      <c r="H196" s="20" t="str" cm="1">
        <f t="array" ref="H196">GetColumnName(C196,IF(B196=B195,H195,""))</f>
        <v>Name</v>
      </c>
      <c r="I196" s="20" t="str">
        <f t="shared" si="34"/>
        <v>Name</v>
      </c>
      <c r="J196" s="20" t="str">
        <f t="shared" si="35"/>
        <v>Name</v>
      </c>
      <c r="K196" s="20" t="b">
        <v>1</v>
      </c>
      <c r="L196" s="20" t="b">
        <v>0</v>
      </c>
      <c r="M196" s="20" t="b">
        <v>0</v>
      </c>
      <c r="N196" s="20" t="b">
        <v>0</v>
      </c>
      <c r="O196" s="20" t="b">
        <v>1</v>
      </c>
      <c r="P196" s="20" t="b">
        <v>1</v>
      </c>
      <c r="Q196" s="20" t="b">
        <v>1</v>
      </c>
      <c r="R196" s="20" t="b">
        <v>1</v>
      </c>
      <c r="S196" s="20" t="b">
        <v>0</v>
      </c>
      <c r="T196" s="20" t="b">
        <v>0</v>
      </c>
      <c r="U196" s="20" t="b">
        <v>0</v>
      </c>
    </row>
    <row r="197" spans="1:21">
      <c r="A197" s="20">
        <f t="shared" si="23"/>
        <v>196</v>
      </c>
      <c r="B197" s="21">
        <v>31</v>
      </c>
      <c r="C197" s="20" t="str" cm="1">
        <f t="array" ref="C197">GetValue("Tbl","Alias",B197)</f>
        <v>Sch</v>
      </c>
      <c r="D197" s="20">
        <v>5</v>
      </c>
      <c r="E197" s="20" t="str" cm="1">
        <f t="array" ref="E197">GetValue("Dmn","Name",D197)</f>
        <v>TinyInteger</v>
      </c>
      <c r="F197" s="20" t="str" cm="1">
        <f t="array" ref="F197">GetValue("Dmn","#CategoryName",D197)</f>
        <v>number</v>
      </c>
      <c r="G197" s="20">
        <f t="shared" si="49"/>
        <v>20</v>
      </c>
      <c r="H197" s="20" t="str" cm="1">
        <f t="array" ref="H197">GetColumnName(C197,IF(B197=B196,H196,""))</f>
        <v>Interval</v>
      </c>
      <c r="I197" s="20" t="str">
        <f t="shared" si="34"/>
        <v>Interval</v>
      </c>
      <c r="J197" s="20" t="str">
        <f t="shared" si="35"/>
        <v>Interval</v>
      </c>
      <c r="K197" s="20" t="b">
        <v>0</v>
      </c>
      <c r="L197" s="20" t="b">
        <v>0</v>
      </c>
      <c r="M197" s="20" t="b">
        <v>0</v>
      </c>
      <c r="N197" s="20" t="b">
        <v>0</v>
      </c>
      <c r="O197" s="20" t="b">
        <v>1</v>
      </c>
      <c r="P197" s="20" t="b">
        <v>1</v>
      </c>
      <c r="Q197" s="20" t="b">
        <v>1</v>
      </c>
      <c r="R197" s="20" t="b">
        <v>0</v>
      </c>
      <c r="S197" s="20" t="b">
        <v>0</v>
      </c>
      <c r="T197" s="20" t="b">
        <v>0</v>
      </c>
      <c r="U197" s="20" t="b">
        <v>0</v>
      </c>
    </row>
    <row r="198" spans="1:21">
      <c r="A198" s="20">
        <f t="shared" si="23"/>
        <v>197</v>
      </c>
      <c r="B198" s="21">
        <v>31</v>
      </c>
      <c r="C198" s="20" t="str" cm="1">
        <f t="array" ref="C198">GetValue("Tbl","Alias",B198)</f>
        <v>Sch</v>
      </c>
      <c r="D198" s="20">
        <v>8</v>
      </c>
      <c r="E198" s="20" t="str" cm="1">
        <f t="array" ref="E198">GetValue("Dmn","Name",D198)</f>
        <v>NVARCHAR(15)</v>
      </c>
      <c r="F198" s="20" t="str" cm="1">
        <f t="array" ref="F198">GetValue("Dmn","#CategoryName",D198)</f>
        <v>string</v>
      </c>
      <c r="G198" s="20">
        <f t="shared" si="49"/>
        <v>25</v>
      </c>
      <c r="H198" s="20" t="str" cm="1">
        <f t="array" ref="H198">GetColumnName(C198,IF(B198=B197,H197,""))</f>
        <v>Periodicity</v>
      </c>
      <c r="I198" s="20" t="str">
        <f t="shared" si="34"/>
        <v>Periodicity</v>
      </c>
      <c r="J198" s="20" t="str">
        <f t="shared" si="35"/>
        <v>Periodicity</v>
      </c>
      <c r="K198" s="20" t="b">
        <v>0</v>
      </c>
      <c r="L198" s="20" t="b">
        <v>0</v>
      </c>
      <c r="M198" s="20" t="b">
        <v>0</v>
      </c>
      <c r="N198" s="20" t="b">
        <v>0</v>
      </c>
      <c r="O198" s="20" t="b">
        <v>1</v>
      </c>
      <c r="P198" s="20" t="b">
        <v>1</v>
      </c>
      <c r="Q198" s="20" t="b">
        <v>1</v>
      </c>
      <c r="R198" s="20" t="b">
        <v>0</v>
      </c>
      <c r="S198" s="20" t="b">
        <v>0</v>
      </c>
      <c r="T198" s="20" t="b">
        <v>0</v>
      </c>
      <c r="U198" s="20" t="b">
        <v>0</v>
      </c>
    </row>
    <row r="199" spans="1:21">
      <c r="A199" s="20">
        <f t="shared" si="23"/>
        <v>198</v>
      </c>
      <c r="B199" s="21">
        <v>31</v>
      </c>
      <c r="C199" s="20" t="str" cm="1">
        <f t="array" ref="C199">GetValue("Tbl","Alias",B199)</f>
        <v>Sch</v>
      </c>
      <c r="D199" s="20">
        <v>51</v>
      </c>
      <c r="E199" s="20" t="str" cm="1">
        <f t="array" ref="E199">GetValue("Dmn","Name",D199)</f>
        <v>TIME</v>
      </c>
      <c r="F199" s="20" t="str" cm="1">
        <f t="array" ref="F199">GetValue("Dmn","#CategoryName",D199)</f>
        <v>time</v>
      </c>
      <c r="G199" s="20">
        <f t="shared" si="49"/>
        <v>30</v>
      </c>
      <c r="H199" s="20" t="str" cm="1">
        <f t="array" ref="H199">GetColumnName(C199,IF(B199=B198,H198,""))</f>
        <v>TimeOfDay</v>
      </c>
      <c r="I199" s="20" t="str">
        <f t="shared" si="34"/>
        <v>TimeOfDay</v>
      </c>
      <c r="J199" s="20" t="str">
        <f t="shared" si="35"/>
        <v>TimeOfDay</v>
      </c>
      <c r="K199" s="20" t="b">
        <v>0</v>
      </c>
      <c r="L199" s="20" t="b">
        <v>0</v>
      </c>
      <c r="M199" s="20" t="b">
        <v>0</v>
      </c>
      <c r="N199" s="20" t="b">
        <v>0</v>
      </c>
      <c r="O199" s="20" t="b">
        <v>1</v>
      </c>
      <c r="P199" s="20" t="b">
        <v>1</v>
      </c>
      <c r="Q199" s="20" t="b">
        <v>1</v>
      </c>
      <c r="R199" s="20" t="b">
        <v>0</v>
      </c>
      <c r="S199" s="20" t="b">
        <v>0</v>
      </c>
      <c r="T199" s="20" t="b">
        <v>0</v>
      </c>
      <c r="U199" s="20" t="b">
        <v>0</v>
      </c>
    </row>
    <row r="200" spans="1:21">
      <c r="A200" s="20">
        <f t="shared" si="23"/>
        <v>199</v>
      </c>
      <c r="B200" s="21">
        <v>31</v>
      </c>
      <c r="C200" s="20" t="str" cm="1">
        <f t="array" ref="C200">GetValue("Tbl","Alias",B200)</f>
        <v>Sch</v>
      </c>
      <c r="D200" s="20">
        <v>5</v>
      </c>
      <c r="E200" s="20" t="str" cm="1">
        <f t="array" ref="E200">GetValue("Dmn","Name",D200)</f>
        <v>TinyInteger</v>
      </c>
      <c r="F200" s="20" t="str" cm="1">
        <f t="array" ref="F200">GetValue("Dmn","#CategoryName",D200)</f>
        <v>number</v>
      </c>
      <c r="G200" s="20">
        <f t="shared" si="49"/>
        <v>35</v>
      </c>
      <c r="H200" s="20" t="str" cm="1">
        <f t="array" ref="H200">GetColumnName(C200,IF(B200=B199,H199,""))</f>
        <v>DayOfMonth</v>
      </c>
      <c r="I200" s="20" t="str">
        <f t="shared" ref="I200:I237" si="50">H200</f>
        <v>DayOfMonth</v>
      </c>
      <c r="J200" s="20" t="str">
        <f t="shared" ref="J200:J236" si="51">H200</f>
        <v>DayOfMonth</v>
      </c>
      <c r="K200" s="20" t="b">
        <v>0</v>
      </c>
      <c r="L200" s="20" t="b">
        <v>0</v>
      </c>
      <c r="M200" s="20" t="b">
        <v>0</v>
      </c>
      <c r="N200" s="20" t="b">
        <v>0</v>
      </c>
      <c r="O200" s="20" t="b">
        <v>1</v>
      </c>
      <c r="P200" s="20" t="b">
        <v>1</v>
      </c>
      <c r="Q200" s="20" t="b">
        <v>1</v>
      </c>
      <c r="R200" s="20" t="b">
        <v>0</v>
      </c>
      <c r="S200" s="20" t="b">
        <v>0</v>
      </c>
      <c r="T200" s="20" t="b">
        <v>0</v>
      </c>
      <c r="U200" s="20" t="b">
        <v>0</v>
      </c>
    </row>
    <row r="201" spans="1:21">
      <c r="A201" s="20">
        <f t="shared" si="23"/>
        <v>200</v>
      </c>
      <c r="B201" s="21">
        <v>31</v>
      </c>
      <c r="C201" s="20" t="str" cm="1">
        <f t="array" ref="C201">GetValue("Tbl","Alias",B201)</f>
        <v>Sch</v>
      </c>
      <c r="D201" s="20">
        <v>52</v>
      </c>
      <c r="E201" s="20" t="str" cm="1">
        <f t="array" ref="E201">GetValue("Dmn","Name",D201)</f>
        <v>DATE</v>
      </c>
      <c r="F201" s="20" t="str" cm="1">
        <f t="array" ref="F201">GetValue("Dmn","#CategoryName",D201)</f>
        <v>date</v>
      </c>
      <c r="G201" s="20">
        <f t="shared" si="49"/>
        <v>40</v>
      </c>
      <c r="H201" s="20" t="str" cm="1">
        <f t="array" ref="H201">GetColumnName(C201,IF(B201=B200,H200,""))</f>
        <v>NextRunDate</v>
      </c>
      <c r="I201" s="20" t="str">
        <f t="shared" si="50"/>
        <v>NextRunDate</v>
      </c>
      <c r="J201" s="20" t="str">
        <f t="shared" si="51"/>
        <v>NextRunDate</v>
      </c>
      <c r="K201" s="20" t="b">
        <v>0</v>
      </c>
      <c r="L201" s="20" t="b">
        <v>0</v>
      </c>
      <c r="M201" s="20" t="b">
        <v>0</v>
      </c>
      <c r="N201" s="20" t="b">
        <v>0</v>
      </c>
      <c r="O201" s="20" t="b">
        <v>1</v>
      </c>
      <c r="P201" s="20" t="b">
        <v>1</v>
      </c>
      <c r="Q201" s="20" t="b">
        <v>1</v>
      </c>
      <c r="R201" s="20" t="b">
        <v>0</v>
      </c>
      <c r="S201" s="20" t="b">
        <v>0</v>
      </c>
      <c r="T201" s="20" t="b">
        <v>0</v>
      </c>
      <c r="U201" s="20" t="b">
        <v>0</v>
      </c>
    </row>
    <row r="202" spans="1:21">
      <c r="A202" s="20">
        <f t="shared" si="23"/>
        <v>201</v>
      </c>
      <c r="B202" s="21">
        <v>31</v>
      </c>
      <c r="C202" s="20" t="str" cm="1">
        <f t="array" ref="C202">GetValue("Tbl","Alias",B202)</f>
        <v>Sch</v>
      </c>
      <c r="D202" s="20">
        <v>6</v>
      </c>
      <c r="E202" s="20" t="str" cm="1">
        <f t="array" ref="E202">GetValue("Dmn","Name",D202)</f>
        <v>Boolean</v>
      </c>
      <c r="F202" s="20" t="str" cm="1">
        <f t="array" ref="F202">GetValue("Dmn","#CategoryName",D202)</f>
        <v>boolean</v>
      </c>
      <c r="G202" s="20">
        <f t="shared" si="49"/>
        <v>45</v>
      </c>
      <c r="H202" s="20" t="str" cm="1">
        <f t="array" ref="H202">GetColumnName(C202,IF(B202=B201,H201,""))</f>
        <v>IsFirstOrLastDay</v>
      </c>
      <c r="I202" s="20" t="str">
        <f t="shared" si="50"/>
        <v>IsFirstOrLastDay</v>
      </c>
      <c r="J202" s="20" t="str">
        <f t="shared" si="51"/>
        <v>IsFirstOrLastDay</v>
      </c>
      <c r="K202" s="20" t="b">
        <v>0</v>
      </c>
      <c r="L202" s="20" t="b">
        <v>0</v>
      </c>
      <c r="M202" s="20" t="b">
        <v>0</v>
      </c>
      <c r="N202" s="20" t="b">
        <v>0</v>
      </c>
      <c r="O202" s="20" t="b">
        <v>1</v>
      </c>
      <c r="P202" s="20" t="b">
        <v>1</v>
      </c>
      <c r="Q202" s="20" t="b">
        <v>1</v>
      </c>
      <c r="R202" s="20" t="b">
        <v>0</v>
      </c>
      <c r="S202" s="20" t="b">
        <v>0</v>
      </c>
      <c r="T202" s="20" t="b">
        <v>0</v>
      </c>
      <c r="U202" s="20" t="b">
        <v>0</v>
      </c>
    </row>
    <row r="203" spans="1:21">
      <c r="A203" s="20">
        <f t="shared" si="23"/>
        <v>202</v>
      </c>
      <c r="B203" s="21">
        <v>31</v>
      </c>
      <c r="C203" s="20" t="str" cm="1">
        <f t="array" ref="C203">GetValue("Tbl","Alias",B203)</f>
        <v>Sch</v>
      </c>
      <c r="D203" s="20">
        <v>6</v>
      </c>
      <c r="E203" s="20" t="str" cm="1">
        <f t="array" ref="E203">GetValue("Dmn","Name",D203)</f>
        <v>Boolean</v>
      </c>
      <c r="F203" s="20" t="str" cm="1">
        <f t="array" ref="F203">GetValue("Dmn","#CategoryName",D203)</f>
        <v>boolean</v>
      </c>
      <c r="G203" s="20">
        <f t="shared" si="49"/>
        <v>50</v>
      </c>
      <c r="H203" s="20" t="str" cm="1">
        <f t="array" ref="H203">GetColumnName(C203,IF(B203=B202,H202,""))</f>
        <v>IsBusinessDays</v>
      </c>
      <c r="I203" s="20" t="str">
        <f t="shared" si="50"/>
        <v>IsBusinessDays</v>
      </c>
      <c r="J203" s="20" t="str">
        <f t="shared" si="51"/>
        <v>IsBusinessDays</v>
      </c>
      <c r="K203" s="20" t="b">
        <v>0</v>
      </c>
      <c r="L203" s="20" t="b">
        <v>0</v>
      </c>
      <c r="M203" s="20" t="b">
        <v>0</v>
      </c>
      <c r="N203" s="20" t="b">
        <v>0</v>
      </c>
      <c r="O203" s="20" t="b">
        <v>1</v>
      </c>
      <c r="P203" s="20" t="b">
        <v>1</v>
      </c>
      <c r="Q203" s="20" t="b">
        <v>1</v>
      </c>
      <c r="R203" s="20" t="b">
        <v>0</v>
      </c>
      <c r="S203" s="20" t="b">
        <v>0</v>
      </c>
      <c r="T203" s="20" t="b">
        <v>0</v>
      </c>
      <c r="U203" s="20" t="b">
        <v>0</v>
      </c>
    </row>
    <row r="204" spans="1:21">
      <c r="A204" s="20">
        <f t="shared" si="23"/>
        <v>203</v>
      </c>
      <c r="B204" s="21">
        <v>31</v>
      </c>
      <c r="C204" s="20" t="str" cm="1">
        <f t="array" ref="C204">GetValue("Tbl","Alias",B204)</f>
        <v>Sch</v>
      </c>
      <c r="D204" s="20">
        <v>6</v>
      </c>
      <c r="E204" s="20" t="str" cm="1">
        <f t="array" ref="E204">GetValue("Dmn","Name",D204)</f>
        <v>Boolean</v>
      </c>
      <c r="F204" s="20" t="str" cm="1">
        <f t="array" ref="F204">GetValue("Dmn","#CategoryName",D204)</f>
        <v>boolean</v>
      </c>
      <c r="G204" s="20">
        <f t="shared" si="49"/>
        <v>55</v>
      </c>
      <c r="H204" s="20" t="str" cm="1">
        <f t="array" ref="H204">GetColumnName(C204,IF(B204=B203,H203,""))</f>
        <v>IsRunOnce</v>
      </c>
      <c r="I204" s="20" t="str">
        <f t="shared" si="50"/>
        <v>IsRunOnce</v>
      </c>
      <c r="J204" s="20" t="str">
        <f t="shared" si="51"/>
        <v>IsRunOnce</v>
      </c>
      <c r="K204" s="20" t="b">
        <v>0</v>
      </c>
      <c r="L204" s="20" t="b">
        <v>0</v>
      </c>
      <c r="M204" s="20" t="b">
        <v>0</v>
      </c>
      <c r="N204" s="20" t="b">
        <v>0</v>
      </c>
      <c r="O204" s="20" t="b">
        <v>1</v>
      </c>
      <c r="P204" s="20" t="b">
        <v>1</v>
      </c>
      <c r="Q204" s="20" t="b">
        <v>1</v>
      </c>
      <c r="R204" s="20" t="b">
        <v>0</v>
      </c>
      <c r="S204" s="20" t="b">
        <v>0</v>
      </c>
      <c r="T204" s="20" t="b">
        <v>0</v>
      </c>
      <c r="U204" s="20" t="b">
        <v>0</v>
      </c>
    </row>
    <row r="205" spans="1:21">
      <c r="A205" s="20">
        <f t="shared" si="23"/>
        <v>204</v>
      </c>
      <c r="B205" s="21">
        <v>31</v>
      </c>
      <c r="C205" s="20" t="str" cm="1">
        <f t="array" ref="C205">GetValue("Tbl","Alias",B205)</f>
        <v>Sch</v>
      </c>
      <c r="D205" s="20">
        <v>6</v>
      </c>
      <c r="E205" s="20" t="str" cm="1">
        <f t="array" ref="E205">GetValue("Dmn","Name",D205)</f>
        <v>Boolean</v>
      </c>
      <c r="F205" s="20" t="str" cm="1">
        <f t="array" ref="F205">GetValue("Dmn","#CategoryName",D205)</f>
        <v>boolean</v>
      </c>
      <c r="G205" s="20">
        <f t="shared" si="49"/>
        <v>60</v>
      </c>
      <c r="H205" s="20" t="str" cm="1">
        <f t="array" ref="H205">GetColumnName(C205,IF(B205=B204,H204,""))</f>
        <v>IsForwardHoliday</v>
      </c>
      <c r="I205" s="20" t="str">
        <f t="shared" si="50"/>
        <v>IsForwardHoliday</v>
      </c>
      <c r="J205" s="20" t="str">
        <f t="shared" si="51"/>
        <v>IsForwardHoliday</v>
      </c>
      <c r="K205" s="20" t="b">
        <v>0</v>
      </c>
      <c r="L205" s="20" t="b">
        <v>0</v>
      </c>
      <c r="M205" s="20" t="b">
        <v>0</v>
      </c>
      <c r="N205" s="20" t="b">
        <v>0</v>
      </c>
      <c r="O205" s="20" t="b">
        <v>1</v>
      </c>
      <c r="P205" s="20" t="b">
        <v>1</v>
      </c>
      <c r="Q205" s="20" t="b">
        <v>1</v>
      </c>
      <c r="R205" s="20" t="b">
        <v>0</v>
      </c>
      <c r="S205" s="20" t="b">
        <v>0</v>
      </c>
      <c r="T205" s="20" t="b">
        <v>0</v>
      </c>
      <c r="U205" s="20" t="b">
        <v>0</v>
      </c>
    </row>
    <row r="206" spans="1:21">
      <c r="A206" s="20">
        <f t="shared" si="23"/>
        <v>205</v>
      </c>
      <c r="B206" s="21">
        <v>31</v>
      </c>
      <c r="C206" s="20" t="str" cm="1">
        <f t="array" ref="C206">GetValue("Tbl","Alias",B206)</f>
        <v>Sch</v>
      </c>
      <c r="D206" s="20">
        <v>6</v>
      </c>
      <c r="E206" s="20" t="str" cm="1">
        <f t="array" ref="E206">GetValue("Dmn","Name",D206)</f>
        <v>Boolean</v>
      </c>
      <c r="F206" s="20" t="str" cm="1">
        <f t="array" ref="F206">GetValue("Dmn","#CategoryName",D206)</f>
        <v>boolean</v>
      </c>
      <c r="G206" s="20">
        <f t="shared" si="49"/>
        <v>65</v>
      </c>
      <c r="H206" s="20" t="str" cm="1">
        <f t="array" ref="H206">GetColumnName(C206,IF(B206=B205,H205,""))</f>
        <v>IsActive</v>
      </c>
      <c r="I206" s="20" t="str">
        <f t="shared" si="50"/>
        <v>IsActive</v>
      </c>
      <c r="J206" s="20" t="str">
        <f t="shared" si="51"/>
        <v>IsActive</v>
      </c>
      <c r="K206" s="20" t="b">
        <v>1</v>
      </c>
      <c r="L206" s="20" t="b">
        <v>0</v>
      </c>
      <c r="M206" s="20" t="b">
        <v>0</v>
      </c>
      <c r="N206" s="20" t="b">
        <v>0</v>
      </c>
      <c r="O206" s="20" t="b">
        <v>1</v>
      </c>
      <c r="P206" s="20" t="b">
        <v>0</v>
      </c>
      <c r="Q206" s="20" t="b">
        <v>0</v>
      </c>
      <c r="R206" s="20" t="b">
        <v>0</v>
      </c>
      <c r="S206" s="20" t="b">
        <v>0</v>
      </c>
      <c r="T206" s="20" t="b">
        <v>0</v>
      </c>
      <c r="U206" s="20" t="b">
        <v>0</v>
      </c>
    </row>
    <row r="207" spans="1:21">
      <c r="A207" s="18">
        <f t="shared" si="23"/>
        <v>206</v>
      </c>
      <c r="B207" s="19">
        <v>32</v>
      </c>
      <c r="C207" s="18" t="str" cm="1">
        <f t="array" ref="C207">GetValue("Tbl","Alias",B207)</f>
        <v>Snp</v>
      </c>
      <c r="D207" s="18">
        <v>1</v>
      </c>
      <c r="E207" s="18" t="str" cm="1">
        <f t="array" ref="E207">GetValue("Dmn","Name",D207)</f>
        <v>BigInteger</v>
      </c>
      <c r="F207" s="18" t="str" cm="1">
        <f t="array" ref="F207">GetValue("Dmn","#CategoryName",D207)</f>
        <v>number</v>
      </c>
      <c r="G207" s="18">
        <f t="shared" ref="G207:G211" si="52">IF(H207="Id",5,G206+5)</f>
        <v>5</v>
      </c>
      <c r="H207" s="18" t="str" cm="1">
        <f t="array" ref="H207">GetColumnName(C207,IF(B207=B206,H206,""))</f>
        <v>Id</v>
      </c>
      <c r="I207" s="18" t="str">
        <f t="shared" si="50"/>
        <v>Id</v>
      </c>
      <c r="J207" s="18" t="str">
        <f t="shared" si="51"/>
        <v>Id</v>
      </c>
      <c r="K207" s="18" t="b">
        <v>1</v>
      </c>
      <c r="L207" s="18" t="b">
        <v>1</v>
      </c>
      <c r="M207" s="18" t="b">
        <v>1</v>
      </c>
      <c r="N207" s="18" t="b">
        <v>0</v>
      </c>
      <c r="O207" s="18" t="b">
        <v>1</v>
      </c>
      <c r="P207" s="18" t="b">
        <v>0</v>
      </c>
      <c r="Q207" s="18" t="b">
        <v>0</v>
      </c>
      <c r="R207" s="18" t="b">
        <v>0</v>
      </c>
      <c r="S207" s="18" t="b">
        <v>0</v>
      </c>
      <c r="T207" s="18" t="b">
        <v>0</v>
      </c>
      <c r="U207" s="18" t="b">
        <v>0</v>
      </c>
    </row>
    <row r="208" spans="1:21">
      <c r="A208" s="18">
        <f t="shared" si="23"/>
        <v>207</v>
      </c>
      <c r="B208" s="19">
        <v>32</v>
      </c>
      <c r="C208" s="18" t="str" cm="1">
        <f t="array" ref="C208">GetValue("Tbl","Alias",B208)</f>
        <v>Snp</v>
      </c>
      <c r="D208" s="18">
        <v>1</v>
      </c>
      <c r="E208" s="18" t="str" cm="1">
        <f t="array" ref="E208">GetValue("Dmn","Name",D208)</f>
        <v>BigInteger</v>
      </c>
      <c r="F208" s="18" t="str" cm="1">
        <f t="array" ref="F208">GetValue("Dmn","#CategoryName",D208)</f>
        <v>number</v>
      </c>
      <c r="G208" s="18">
        <f t="shared" si="52"/>
        <v>10</v>
      </c>
      <c r="H208" s="18" t="str" cm="1">
        <f t="array" ref="H208">GetColumnName(C208,IF(B208=B207,H207,""))</f>
        <v>TableId</v>
      </c>
      <c r="I208" s="18" t="str">
        <f t="shared" si="50"/>
        <v>TableId</v>
      </c>
      <c r="J208" s="18" t="str">
        <f t="shared" si="51"/>
        <v>TableId</v>
      </c>
      <c r="K208" s="18" t="b">
        <v>1</v>
      </c>
      <c r="L208" s="18" t="b">
        <v>0</v>
      </c>
      <c r="M208" s="18" t="b">
        <v>0</v>
      </c>
      <c r="N208" s="18" t="b">
        <v>0</v>
      </c>
      <c r="O208" s="18" t="b">
        <v>1</v>
      </c>
      <c r="P208" s="18" t="b">
        <v>1</v>
      </c>
      <c r="Q208" s="18" t="b">
        <v>1</v>
      </c>
      <c r="R208" s="18" t="b">
        <v>0</v>
      </c>
      <c r="S208" s="18" t="b">
        <v>0</v>
      </c>
      <c r="T208" s="18" t="b">
        <v>0</v>
      </c>
      <c r="U208" s="18" t="b">
        <v>0</v>
      </c>
    </row>
    <row r="209" spans="1:21">
      <c r="A209" s="18">
        <f t="shared" si="23"/>
        <v>208</v>
      </c>
      <c r="B209" s="19">
        <v>32</v>
      </c>
      <c r="C209" s="18" t="str" cm="1">
        <f t="array" ref="C209">GetValue("Tbl","Alias",B209)</f>
        <v>Snp</v>
      </c>
      <c r="D209" s="18">
        <v>10</v>
      </c>
      <c r="E209" s="18" t="str" cm="1">
        <f t="array" ref="E209">GetValue("Dmn","Name",D209)</f>
        <v>NVARCHAR(25)</v>
      </c>
      <c r="F209" s="18" t="str" cm="1">
        <f t="array" ref="F209">GetValue("Dmn","#CategoryName",D209)</f>
        <v>string</v>
      </c>
      <c r="G209" s="18">
        <f t="shared" si="52"/>
        <v>15</v>
      </c>
      <c r="H209" s="18" t="str" cm="1">
        <f t="array" ref="H209">GetColumnName(C209,IF(B209=B208,H208,""))</f>
        <v>Name</v>
      </c>
      <c r="I209" s="18" t="str">
        <f t="shared" si="50"/>
        <v>Name</v>
      </c>
      <c r="J209" s="18" t="str">
        <f t="shared" si="51"/>
        <v>Name</v>
      </c>
      <c r="K209" s="18" t="b">
        <v>1</v>
      </c>
      <c r="L209" s="18" t="b">
        <v>0</v>
      </c>
      <c r="M209" s="18" t="b">
        <v>0</v>
      </c>
      <c r="N209" s="18" t="b">
        <v>0</v>
      </c>
      <c r="O209" s="18" t="b">
        <v>1</v>
      </c>
      <c r="P209" s="18" t="b">
        <v>1</v>
      </c>
      <c r="Q209" s="18" t="b">
        <v>1</v>
      </c>
      <c r="R209" s="18" t="b">
        <v>1</v>
      </c>
      <c r="S209" s="18" t="b">
        <v>0</v>
      </c>
      <c r="T209" s="18" t="b">
        <v>0</v>
      </c>
      <c r="U209" s="18" t="b">
        <v>0</v>
      </c>
    </row>
    <row r="210" spans="1:21">
      <c r="A210" s="18">
        <f t="shared" si="23"/>
        <v>209</v>
      </c>
      <c r="B210" s="19">
        <v>32</v>
      </c>
      <c r="C210" s="18" t="str" cm="1">
        <f t="array" ref="C210">GetValue("Tbl","Alias",B210)</f>
        <v>Snp</v>
      </c>
      <c r="D210" s="18">
        <v>6</v>
      </c>
      <c r="E210" s="18" t="str" cm="1">
        <f t="array" ref="E210">GetValue("Dmn","Name",D210)</f>
        <v>Boolean</v>
      </c>
      <c r="F210" s="18" t="str" cm="1">
        <f t="array" ref="F210">GetValue("Dmn","#CategoryName",D210)</f>
        <v>boolean</v>
      </c>
      <c r="G210" s="18">
        <f t="shared" si="52"/>
        <v>20</v>
      </c>
      <c r="H210" s="18" t="str" cm="1">
        <f t="array" ref="H210">GetColumnName(C210,IF(B210=B209,H209,""))</f>
        <v>IsBefore</v>
      </c>
      <c r="I210" s="18" t="str">
        <f t="shared" si="50"/>
        <v>IsBefore</v>
      </c>
      <c r="J210" s="18" t="str">
        <f t="shared" si="51"/>
        <v>IsBefore</v>
      </c>
      <c r="K210" s="18" t="b">
        <v>0</v>
      </c>
      <c r="L210" s="18" t="b">
        <v>0</v>
      </c>
      <c r="M210" s="18" t="b">
        <v>0</v>
      </c>
      <c r="N210" s="18" t="b">
        <v>0</v>
      </c>
      <c r="O210" s="18" t="b">
        <v>1</v>
      </c>
      <c r="P210" s="18" t="b">
        <v>1</v>
      </c>
      <c r="Q210" s="18" t="b">
        <v>1</v>
      </c>
      <c r="R210" s="18" t="b">
        <v>0</v>
      </c>
      <c r="S210" s="18" t="b">
        <v>0</v>
      </c>
      <c r="T210" s="18" t="b">
        <v>0</v>
      </c>
      <c r="U210" s="18" t="b">
        <v>0</v>
      </c>
    </row>
    <row r="211" spans="1:21">
      <c r="A211" s="18">
        <f t="shared" si="23"/>
        <v>210</v>
      </c>
      <c r="B211" s="19">
        <v>32</v>
      </c>
      <c r="C211" s="18" t="str" cm="1">
        <f t="array" ref="C211">GetValue("Tbl","Alias",B211)</f>
        <v>Snp</v>
      </c>
      <c r="D211" s="18">
        <v>6</v>
      </c>
      <c r="E211" s="18" t="str" cm="1">
        <f t="array" ref="E211">GetValue("Dmn","Name",D211)</f>
        <v>Boolean</v>
      </c>
      <c r="F211" s="18" t="str" cm="1">
        <f t="array" ref="F211">GetValue("Dmn","#CategoryName",D211)</f>
        <v>boolean</v>
      </c>
      <c r="G211" s="18">
        <f t="shared" si="52"/>
        <v>25</v>
      </c>
      <c r="H211" s="18" t="str" cm="1">
        <f t="array" ref="H211">GetColumnName(C211,IF(B211=B210,H210,""))</f>
        <v>IsActive</v>
      </c>
      <c r="I211" s="18" t="str">
        <f t="shared" si="50"/>
        <v>IsActive</v>
      </c>
      <c r="J211" s="18" t="str">
        <f t="shared" si="51"/>
        <v>IsActive</v>
      </c>
      <c r="K211" s="18" t="b">
        <v>1</v>
      </c>
      <c r="L211" s="18" t="b">
        <v>0</v>
      </c>
      <c r="M211" s="18" t="b">
        <v>0</v>
      </c>
      <c r="N211" s="18" t="b">
        <v>0</v>
      </c>
      <c r="O211" s="18" t="b">
        <v>1</v>
      </c>
      <c r="P211" s="18" t="b">
        <v>0</v>
      </c>
      <c r="Q211" s="18" t="b">
        <v>0</v>
      </c>
      <c r="R211" s="18" t="b">
        <v>0</v>
      </c>
      <c r="S211" s="18" t="b">
        <v>0</v>
      </c>
      <c r="T211" s="18" t="b">
        <v>0</v>
      </c>
      <c r="U211" s="18" t="b">
        <v>0</v>
      </c>
    </row>
    <row r="212" spans="1:21">
      <c r="A212" s="20">
        <f t="shared" si="23"/>
        <v>211</v>
      </c>
      <c r="B212" s="21">
        <v>33</v>
      </c>
      <c r="C212" s="20" t="str" cm="1">
        <f t="array" ref="C212">GetValue("Tbl","Alias",B212)</f>
        <v>Scr</v>
      </c>
      <c r="D212" s="20">
        <v>1</v>
      </c>
      <c r="E212" s="20" t="str" cm="1">
        <f t="array" ref="E212">GetValue("Dmn","Name",D212)</f>
        <v>BigInteger</v>
      </c>
      <c r="F212" s="20" t="str" cm="1">
        <f t="array" ref="F212">GetValue("Dmn","#CategoryName",D212)</f>
        <v>number</v>
      </c>
      <c r="G212" s="20">
        <f t="shared" ref="G212:G216" si="53">IF(H212="Id",5,G211+5)</f>
        <v>5</v>
      </c>
      <c r="H212" s="20" t="str" cm="1">
        <f t="array" ref="H212">GetColumnName(C212,IF(B212=B211,H211,""))</f>
        <v>Id</v>
      </c>
      <c r="I212" s="20" t="str">
        <f t="shared" si="50"/>
        <v>Id</v>
      </c>
      <c r="J212" s="20" t="str">
        <f t="shared" si="51"/>
        <v>Id</v>
      </c>
      <c r="K212" s="20" t="b">
        <v>1</v>
      </c>
      <c r="L212" s="20" t="b">
        <v>1</v>
      </c>
      <c r="M212" s="20" t="b">
        <v>1</v>
      </c>
      <c r="N212" s="20" t="b">
        <v>0</v>
      </c>
      <c r="O212" s="20" t="b">
        <v>1</v>
      </c>
      <c r="P212" s="20" t="b">
        <v>0</v>
      </c>
      <c r="Q212" s="20" t="b">
        <v>0</v>
      </c>
      <c r="R212" s="20" t="b">
        <v>0</v>
      </c>
      <c r="S212" s="20" t="b">
        <v>0</v>
      </c>
      <c r="T212" s="20" t="b">
        <v>0</v>
      </c>
      <c r="U212" s="20" t="b">
        <v>0</v>
      </c>
    </row>
    <row r="213" spans="1:21">
      <c r="A213" s="20">
        <f t="shared" si="23"/>
        <v>212</v>
      </c>
      <c r="B213" s="21">
        <v>33</v>
      </c>
      <c r="C213" s="20" t="str" cm="1">
        <f t="array" ref="C213">GetValue("Tbl","Alias",B213)</f>
        <v>Scr</v>
      </c>
      <c r="D213" s="20">
        <v>1</v>
      </c>
      <c r="E213" s="20" t="str" cm="1">
        <f t="array" ref="E213">GetValue("Dmn","Name",D213)</f>
        <v>BigInteger</v>
      </c>
      <c r="F213" s="20" t="str" cm="1">
        <f t="array" ref="F213">GetValue("Dmn","#CategoryName",D213)</f>
        <v>number</v>
      </c>
      <c r="G213" s="20">
        <f t="shared" si="53"/>
        <v>10</v>
      </c>
      <c r="H213" s="20" t="str" cm="1">
        <f t="array" ref="H213">GetColumnName(C213,IF(B213=B212,H212,""))</f>
        <v>SniperId</v>
      </c>
      <c r="I213" s="20" t="str">
        <f t="shared" si="50"/>
        <v>SniperId</v>
      </c>
      <c r="J213" s="20" t="str">
        <f t="shared" si="51"/>
        <v>SniperId</v>
      </c>
      <c r="K213" s="20" t="b">
        <v>1</v>
      </c>
      <c r="L213" s="20" t="b">
        <v>0</v>
      </c>
      <c r="M213" s="20" t="b">
        <v>0</v>
      </c>
      <c r="N213" s="20" t="b">
        <v>0</v>
      </c>
      <c r="O213" s="20" t="b">
        <v>1</v>
      </c>
      <c r="P213" s="20" t="b">
        <v>1</v>
      </c>
      <c r="Q213" s="20" t="b">
        <v>1</v>
      </c>
      <c r="R213" s="20" t="b">
        <v>0</v>
      </c>
      <c r="S213" s="20" t="b">
        <v>0</v>
      </c>
      <c r="T213" s="20" t="b">
        <v>0</v>
      </c>
      <c r="U213" s="20" t="b">
        <v>0</v>
      </c>
    </row>
    <row r="214" spans="1:21">
      <c r="A214" s="20">
        <f t="shared" si="23"/>
        <v>213</v>
      </c>
      <c r="B214" s="21">
        <v>33</v>
      </c>
      <c r="C214" s="20" t="str" cm="1">
        <f t="array" ref="C214">GetValue("Tbl","Alias",B214)</f>
        <v>Scr</v>
      </c>
      <c r="D214" s="20">
        <v>4</v>
      </c>
      <c r="E214" s="20" t="str" cm="1">
        <f t="array" ref="E214">GetValue("Dmn","Name",D214)</f>
        <v>SmallInteger</v>
      </c>
      <c r="F214" s="20" t="str" cm="1">
        <f t="array" ref="F214">GetValue("Dmn","#CategoryName",D214)</f>
        <v>number</v>
      </c>
      <c r="G214" s="20">
        <f t="shared" si="53"/>
        <v>15</v>
      </c>
      <c r="H214" s="20" t="str" cm="1">
        <f t="array" ref="H214">GetColumnName(C214,IF(B214=B213,H213,""))</f>
        <v>DatabaseId</v>
      </c>
      <c r="I214" s="20" t="str">
        <f t="shared" si="50"/>
        <v>DatabaseId</v>
      </c>
      <c r="J214" s="20" t="str">
        <f t="shared" si="51"/>
        <v>DatabaseId</v>
      </c>
      <c r="K214" s="20" t="b">
        <v>1</v>
      </c>
      <c r="L214" s="20" t="b">
        <v>0</v>
      </c>
      <c r="M214" s="20" t="b">
        <v>0</v>
      </c>
      <c r="N214" s="20" t="b">
        <v>0</v>
      </c>
      <c r="O214" s="20" t="b">
        <v>1</v>
      </c>
      <c r="P214" s="20" t="b">
        <v>1</v>
      </c>
      <c r="Q214" s="20" t="b">
        <v>1</v>
      </c>
      <c r="R214" s="20" t="b">
        <v>0</v>
      </c>
      <c r="S214" s="20" t="b">
        <v>0</v>
      </c>
      <c r="T214" s="20" t="b">
        <v>0</v>
      </c>
      <c r="U214" s="20" t="b">
        <v>0</v>
      </c>
    </row>
    <row r="215" spans="1:21">
      <c r="A215" s="20">
        <f t="shared" si="23"/>
        <v>214</v>
      </c>
      <c r="B215" s="21">
        <v>33</v>
      </c>
      <c r="C215" s="20" t="str" cm="1">
        <f t="array" ref="C215">GetValue("Tbl","Alias",B215)</f>
        <v>Scr</v>
      </c>
      <c r="D215" s="20">
        <v>4</v>
      </c>
      <c r="E215" s="20" t="str" cm="1">
        <f t="array" ref="E215">GetValue("Dmn","Name",D215)</f>
        <v>SmallInteger</v>
      </c>
      <c r="F215" s="20" t="str" cm="1">
        <f t="array" ref="F215">GetValue("Dmn","#CategoryName",D215)</f>
        <v>number</v>
      </c>
      <c r="G215" s="20">
        <f t="shared" si="53"/>
        <v>20</v>
      </c>
      <c r="H215" s="20" t="str" cm="1">
        <f t="array" ref="H215">GetColumnName(C215,IF(B215=B214,H214,""))</f>
        <v>Sequence</v>
      </c>
      <c r="I215" s="20" t="str">
        <f t="shared" si="50"/>
        <v>Sequence</v>
      </c>
      <c r="J215" s="20" t="str">
        <f t="shared" si="51"/>
        <v>Sequence</v>
      </c>
      <c r="K215" s="20" t="b">
        <v>1</v>
      </c>
      <c r="L215" s="20" t="b">
        <v>0</v>
      </c>
      <c r="M215" s="20" t="b">
        <v>0</v>
      </c>
      <c r="N215" s="20" t="b">
        <v>0</v>
      </c>
      <c r="O215" s="20" t="b">
        <v>1</v>
      </c>
      <c r="P215" s="20" t="b">
        <v>1</v>
      </c>
      <c r="Q215" s="20" t="b">
        <v>1</v>
      </c>
      <c r="R215" s="20" t="b">
        <v>0</v>
      </c>
      <c r="S215" s="20" t="b">
        <v>0</v>
      </c>
      <c r="T215" s="20" t="b">
        <v>0</v>
      </c>
      <c r="U215" s="20" t="b">
        <v>0</v>
      </c>
    </row>
    <row r="216" spans="1:21">
      <c r="A216" s="20">
        <f t="shared" si="23"/>
        <v>215</v>
      </c>
      <c r="B216" s="21">
        <v>33</v>
      </c>
      <c r="C216" s="20" t="str" cm="1">
        <f t="array" ref="C216">GetValue("Tbl","Alias",B216)</f>
        <v>Scr</v>
      </c>
      <c r="D216" s="20">
        <v>1</v>
      </c>
      <c r="E216" s="20" t="str" cm="1">
        <f t="array" ref="E216">GetValue("Dmn","Name",D216)</f>
        <v>BigInteger</v>
      </c>
      <c r="F216" s="20" t="str" cm="1">
        <f t="array" ref="F216">GetValue("Dmn","#CategoryName",D216)</f>
        <v>number</v>
      </c>
      <c r="G216" s="20">
        <f t="shared" si="53"/>
        <v>25</v>
      </c>
      <c r="H216" s="20" t="str" cm="1">
        <f t="array" ref="H216">GetColumnName(C216,IF(B216=B215,H215,""))</f>
        <v>Script</v>
      </c>
      <c r="I216" s="20" t="str">
        <f t="shared" si="50"/>
        <v>Script</v>
      </c>
      <c r="J216" s="20" t="str">
        <f t="shared" si="51"/>
        <v>Script</v>
      </c>
      <c r="K216" s="20" t="b">
        <v>1</v>
      </c>
      <c r="L216" s="20" t="b">
        <v>0</v>
      </c>
      <c r="M216" s="20" t="b">
        <v>0</v>
      </c>
      <c r="N216" s="20" t="b">
        <v>0</v>
      </c>
      <c r="O216" s="20" t="b">
        <v>1</v>
      </c>
      <c r="P216" s="20" t="b">
        <v>0</v>
      </c>
      <c r="Q216" s="20" t="b">
        <v>0</v>
      </c>
      <c r="R216" s="20" t="b">
        <v>0</v>
      </c>
      <c r="S216" s="20" t="b">
        <v>0</v>
      </c>
      <c r="T216" s="20" t="b">
        <v>0</v>
      </c>
      <c r="U216" s="20" t="b">
        <v>0</v>
      </c>
    </row>
    <row r="217" spans="1:21">
      <c r="A217" s="18">
        <f t="shared" si="23"/>
        <v>216</v>
      </c>
      <c r="B217" s="19">
        <v>34</v>
      </c>
      <c r="C217" s="18" t="str" cm="1">
        <f t="array" ref="C217">GetValue("Tbl","Alias",B217)</f>
        <v>Url</v>
      </c>
      <c r="D217" s="18">
        <v>1</v>
      </c>
      <c r="E217" s="18" t="str" cm="1">
        <f t="array" ref="E217">GetValue("Dmn","Name",D217)</f>
        <v>BigInteger</v>
      </c>
      <c r="F217" s="18" t="str" cm="1">
        <f t="array" ref="F217">GetValue("Dmn","#CategoryName",D217)</f>
        <v>number</v>
      </c>
      <c r="G217" s="18">
        <f t="shared" ref="G217:G221" si="54">IF(H217="Id",5,G216+5)</f>
        <v>5</v>
      </c>
      <c r="H217" s="18" t="str" cm="1">
        <f t="array" ref="H217">GetColumnName(C217,IF(B217=B216,H216,""))</f>
        <v>Id</v>
      </c>
      <c r="I217" s="18" t="str">
        <f t="shared" si="50"/>
        <v>Id</v>
      </c>
      <c r="J217" s="18" t="str">
        <f t="shared" si="51"/>
        <v>Id</v>
      </c>
      <c r="K217" s="18" t="b">
        <v>1</v>
      </c>
      <c r="L217" s="18" t="b">
        <v>1</v>
      </c>
      <c r="M217" s="18" t="b">
        <v>1</v>
      </c>
      <c r="N217" s="18" t="b">
        <v>0</v>
      </c>
      <c r="O217" s="18" t="b">
        <v>1</v>
      </c>
      <c r="P217" s="18" t="b">
        <v>0</v>
      </c>
      <c r="Q217" s="18" t="b">
        <v>0</v>
      </c>
      <c r="R217" s="18" t="b">
        <v>0</v>
      </c>
      <c r="S217" s="18" t="b">
        <v>0</v>
      </c>
      <c r="T217" s="18" t="b">
        <v>0</v>
      </c>
      <c r="U217" s="18" t="b">
        <v>0</v>
      </c>
    </row>
    <row r="218" spans="1:21">
      <c r="A218" s="18">
        <f t="shared" si="23"/>
        <v>217</v>
      </c>
      <c r="B218" s="19">
        <v>34</v>
      </c>
      <c r="C218" s="18" t="str" cm="1">
        <f t="array" ref="C218">GetValue("Tbl","Alias",B218)</f>
        <v>Url</v>
      </c>
      <c r="D218" s="18">
        <v>1</v>
      </c>
      <c r="E218" s="18" t="str" cm="1">
        <f t="array" ref="E218">GetValue("Dmn","Name",D218)</f>
        <v>BigInteger</v>
      </c>
      <c r="F218" s="18" t="str" cm="1">
        <f t="array" ref="F218">GetValue("Dmn","#CategoryName",D218)</f>
        <v>number</v>
      </c>
      <c r="G218" s="18">
        <f t="shared" si="54"/>
        <v>10</v>
      </c>
      <c r="H218" s="18" t="str" cm="1">
        <f t="array" ref="H218">GetColumnName(C218,IF(B218=B217,H217,""))</f>
        <v>SniperId</v>
      </c>
      <c r="I218" s="18" t="str">
        <f t="shared" si="50"/>
        <v>SniperId</v>
      </c>
      <c r="J218" s="18" t="str">
        <f t="shared" si="51"/>
        <v>SniperId</v>
      </c>
      <c r="K218" s="18" t="b">
        <v>1</v>
      </c>
      <c r="L218" s="18" t="b">
        <v>0</v>
      </c>
      <c r="M218" s="18" t="b">
        <v>0</v>
      </c>
      <c r="N218" s="18" t="b">
        <v>0</v>
      </c>
      <c r="O218" s="18" t="b">
        <v>1</v>
      </c>
      <c r="P218" s="18" t="b">
        <v>1</v>
      </c>
      <c r="Q218" s="18" t="b">
        <v>1</v>
      </c>
      <c r="R218" s="18" t="b">
        <v>0</v>
      </c>
      <c r="S218" s="18" t="b">
        <v>0</v>
      </c>
      <c r="T218" s="18" t="b">
        <v>0</v>
      </c>
      <c r="U218" s="18" t="b">
        <v>0</v>
      </c>
    </row>
    <row r="219" spans="1:21">
      <c r="A219" s="18">
        <f t="shared" si="23"/>
        <v>218</v>
      </c>
      <c r="B219" s="19">
        <v>34</v>
      </c>
      <c r="C219" s="18" t="str" cm="1">
        <f t="array" ref="C219">GetValue("Tbl","Alias",B219)</f>
        <v>Url</v>
      </c>
      <c r="D219" s="18">
        <v>4</v>
      </c>
      <c r="E219" s="18" t="str" cm="1">
        <f t="array" ref="E219">GetValue("Dmn","Name",D219)</f>
        <v>SmallInteger</v>
      </c>
      <c r="F219" s="18" t="str" cm="1">
        <f t="array" ref="F219">GetValue("Dmn","#CategoryName",D219)</f>
        <v>number</v>
      </c>
      <c r="G219" s="18">
        <f t="shared" si="54"/>
        <v>15</v>
      </c>
      <c r="H219" s="18" t="str" cm="1">
        <f t="array" ref="H219">GetColumnName(C219,IF(B219=B218,H218,""))</f>
        <v>Sequence</v>
      </c>
      <c r="I219" s="18" t="str">
        <f t="shared" si="50"/>
        <v>Sequence</v>
      </c>
      <c r="J219" s="18" t="str">
        <f t="shared" si="51"/>
        <v>Sequence</v>
      </c>
      <c r="K219" s="18" t="b">
        <v>1</v>
      </c>
      <c r="L219" s="18" t="b">
        <v>0</v>
      </c>
      <c r="M219" s="18" t="b">
        <v>0</v>
      </c>
      <c r="N219" s="18" t="b">
        <v>0</v>
      </c>
      <c r="O219" s="18" t="b">
        <v>1</v>
      </c>
      <c r="P219" s="18" t="b">
        <v>1</v>
      </c>
      <c r="Q219" s="18" t="b">
        <v>1</v>
      </c>
      <c r="R219" s="18" t="b">
        <v>0</v>
      </c>
      <c r="S219" s="18" t="b">
        <v>0</v>
      </c>
      <c r="T219" s="18" t="b">
        <v>0</v>
      </c>
      <c r="U219" s="18" t="b">
        <v>0</v>
      </c>
    </row>
    <row r="220" spans="1:21">
      <c r="A220" s="18">
        <f t="shared" si="23"/>
        <v>219</v>
      </c>
      <c r="B220" s="19">
        <v>34</v>
      </c>
      <c r="C220" s="18" t="str" cm="1">
        <f t="array" ref="C220">GetValue("Tbl","Alias",B220)</f>
        <v>Url</v>
      </c>
      <c r="D220" s="18">
        <v>48</v>
      </c>
      <c r="E220" s="18" t="str" cm="1">
        <f t="array" ref="E220">GetValue("Dmn","Name",D220)</f>
        <v>Fetch Method</v>
      </c>
      <c r="F220" s="18" t="str" cm="1">
        <f t="array" ref="F220">GetValue("Dmn","#CategoryName",D220)</f>
        <v>string</v>
      </c>
      <c r="G220" s="18">
        <f t="shared" si="54"/>
        <v>20</v>
      </c>
      <c r="H220" s="18" t="str" cm="1">
        <f t="array" ref="H220">GetColumnName(C220,IF(B220=B219,H219,""))</f>
        <v>Method</v>
      </c>
      <c r="I220" s="18" t="str">
        <f t="shared" si="50"/>
        <v>Method</v>
      </c>
      <c r="J220" s="18" t="str">
        <f t="shared" si="51"/>
        <v>Method</v>
      </c>
      <c r="K220" s="18" t="b">
        <v>0</v>
      </c>
      <c r="L220" s="18" t="b">
        <v>0</v>
      </c>
      <c r="M220" s="18" t="b">
        <v>0</v>
      </c>
      <c r="N220" s="18" t="b">
        <v>0</v>
      </c>
      <c r="O220" s="18" t="b">
        <v>1</v>
      </c>
      <c r="P220" s="18" t="b">
        <v>1</v>
      </c>
      <c r="Q220" s="18" t="b">
        <v>1</v>
      </c>
      <c r="R220" s="18" t="b">
        <v>0</v>
      </c>
      <c r="S220" s="18" t="b">
        <v>0</v>
      </c>
      <c r="T220" s="18" t="b">
        <v>0</v>
      </c>
      <c r="U220" s="18" t="b">
        <v>0</v>
      </c>
    </row>
    <row r="221" spans="1:21">
      <c r="A221" s="18">
        <f t="shared" si="23"/>
        <v>220</v>
      </c>
      <c r="B221" s="19">
        <v>34</v>
      </c>
      <c r="C221" s="18" t="str" cm="1">
        <f t="array" ref="C221">GetValue("Tbl","Alias",B221)</f>
        <v>Url</v>
      </c>
      <c r="D221" s="18">
        <v>12</v>
      </c>
      <c r="E221" s="18" t="str" cm="1">
        <f t="array" ref="E221">GetValue("Dmn","Name",D221)</f>
        <v>NVARCHAR(256)</v>
      </c>
      <c r="F221" s="18" t="str" cm="1">
        <f t="array" ref="F221">GetValue("Dmn","#CategoryName",D221)</f>
        <v>string</v>
      </c>
      <c r="G221" s="18">
        <f t="shared" si="54"/>
        <v>25</v>
      </c>
      <c r="H221" s="18" t="str" cm="1">
        <f t="array" ref="H221">GetColumnName(C221,IF(B221=B220,H220,""))</f>
        <v>URL</v>
      </c>
      <c r="I221" s="18" t="str">
        <f t="shared" si="50"/>
        <v>URL</v>
      </c>
      <c r="J221" s="18" t="str">
        <f t="shared" si="51"/>
        <v>URL</v>
      </c>
      <c r="K221" s="18" t="b">
        <v>1</v>
      </c>
      <c r="L221" s="18" t="b">
        <v>0</v>
      </c>
      <c r="M221" s="18" t="b">
        <v>0</v>
      </c>
      <c r="N221" s="18" t="b">
        <v>0</v>
      </c>
      <c r="O221" s="18" t="b">
        <v>1</v>
      </c>
      <c r="P221" s="18" t="b">
        <v>0</v>
      </c>
      <c r="Q221" s="18" t="b">
        <v>0</v>
      </c>
      <c r="R221" s="18" t="b">
        <v>0</v>
      </c>
      <c r="S221" s="18" t="b">
        <v>0</v>
      </c>
      <c r="T221" s="18" t="b">
        <v>0</v>
      </c>
      <c r="U221" s="18" t="b">
        <v>0</v>
      </c>
    </row>
    <row r="222" spans="1:21">
      <c r="A222" s="20">
        <f t="shared" si="23"/>
        <v>221</v>
      </c>
      <c r="B222" s="21">
        <v>35</v>
      </c>
      <c r="C222" s="20" t="str" cm="1">
        <f t="array" ref="C222">GetValue("Tbl","Alias",B222)</f>
        <v>Ses</v>
      </c>
      <c r="D222" s="20">
        <v>1</v>
      </c>
      <c r="E222" s="20" t="str" cm="1">
        <f t="array" ref="E222">GetValue("Dmn","Name",D222)</f>
        <v>BigInteger</v>
      </c>
      <c r="F222" s="20" t="str" cm="1">
        <f t="array" ref="F222">GetValue("Dmn","#CategoryName",D222)</f>
        <v>number</v>
      </c>
      <c r="G222" s="20">
        <f t="shared" ref="G222:G227" si="55">IF(H222="Id",5,G221+5)</f>
        <v>5</v>
      </c>
      <c r="H222" s="20" t="str" cm="1">
        <f t="array" ref="H222">GetColumnName(C222,IF(B222=B221,H221,""))</f>
        <v>Id</v>
      </c>
      <c r="I222" s="20" t="str">
        <f t="shared" si="50"/>
        <v>Id</v>
      </c>
      <c r="J222" s="20" t="str">
        <f t="shared" si="51"/>
        <v>Id</v>
      </c>
      <c r="K222" s="20" t="b">
        <v>1</v>
      </c>
      <c r="L222" s="20" t="b">
        <v>1</v>
      </c>
      <c r="M222" s="20" t="b">
        <v>1</v>
      </c>
      <c r="N222" s="20" t="b">
        <v>0</v>
      </c>
      <c r="O222" s="20" t="b">
        <v>1</v>
      </c>
      <c r="P222" s="20" t="b">
        <v>0</v>
      </c>
      <c r="Q222" s="20" t="b">
        <v>0</v>
      </c>
      <c r="R222" s="20" t="b">
        <v>0</v>
      </c>
      <c r="S222" s="20" t="b">
        <v>0</v>
      </c>
      <c r="T222" s="20" t="b">
        <v>0</v>
      </c>
      <c r="U222" s="20" t="b">
        <v>0</v>
      </c>
    </row>
    <row r="223" spans="1:21">
      <c r="A223" s="20">
        <f t="shared" si="23"/>
        <v>222</v>
      </c>
      <c r="B223" s="21">
        <v>35</v>
      </c>
      <c r="C223" s="20" t="str" cm="1">
        <f t="array" ref="C223">GetValue("Tbl","Alias",B223)</f>
        <v>Ses</v>
      </c>
      <c r="D223" s="20">
        <v>4</v>
      </c>
      <c r="E223" s="20" t="str" cm="1">
        <f t="array" ref="E223">GetValue("Dmn","Name",D223)</f>
        <v>SmallInteger</v>
      </c>
      <c r="F223" s="20" t="str" cm="1">
        <f t="array" ref="F223">GetValue("Dmn","#CategoryName",D223)</f>
        <v>number</v>
      </c>
      <c r="G223" s="20">
        <f t="shared" si="55"/>
        <v>10</v>
      </c>
      <c r="H223" s="20" t="str" cm="1">
        <f t="array" ref="H223">GetColumnName(C223,IF(B223=B222,H222,""))</f>
        <v>OwnertId</v>
      </c>
      <c r="I223" s="20" t="str">
        <f t="shared" si="50"/>
        <v>OwnertId</v>
      </c>
      <c r="J223" s="20" t="str">
        <f t="shared" si="51"/>
        <v>OwnertId</v>
      </c>
      <c r="K223" s="20" t="b">
        <v>1</v>
      </c>
      <c r="L223" s="20" t="b">
        <v>0</v>
      </c>
      <c r="M223" s="20" t="b">
        <v>0</v>
      </c>
      <c r="N223" s="20" t="b">
        <v>0</v>
      </c>
      <c r="O223" s="20" t="b">
        <v>1</v>
      </c>
      <c r="P223" s="20" t="b">
        <v>1</v>
      </c>
      <c r="Q223" s="20" t="b">
        <v>1</v>
      </c>
      <c r="R223" s="20" t="b">
        <v>0</v>
      </c>
      <c r="S223" s="20" t="b">
        <v>0</v>
      </c>
      <c r="T223" s="20" t="b">
        <v>0</v>
      </c>
      <c r="U223" s="20" t="b">
        <v>0</v>
      </c>
    </row>
    <row r="224" spans="1:21">
      <c r="A224" s="20">
        <f t="shared" si="23"/>
        <v>223</v>
      </c>
      <c r="B224" s="21">
        <v>35</v>
      </c>
      <c r="C224" s="20" t="str" cm="1">
        <f t="array" ref="C224">GetValue("Tbl","Alias",B224)</f>
        <v>Ses</v>
      </c>
      <c r="D224" s="20">
        <v>1</v>
      </c>
      <c r="E224" s="20" t="str" cm="1">
        <f t="array" ref="E224">GetValue("Dmn","Name",D224)</f>
        <v>BigInteger</v>
      </c>
      <c r="F224" s="20" t="str" cm="1">
        <f t="array" ref="F224">GetValue("Dmn","#CategoryName",D224)</f>
        <v>number</v>
      </c>
      <c r="G224" s="20">
        <f t="shared" si="55"/>
        <v>15</v>
      </c>
      <c r="H224" s="20" t="str" cm="1">
        <f t="array" ref="H224">GetColumnName(C224,IF(B224=B223,H223,""))</f>
        <v>SystemId</v>
      </c>
      <c r="I224" s="20" t="str">
        <f t="shared" si="50"/>
        <v>SystemId</v>
      </c>
      <c r="J224" s="20" t="str">
        <f t="shared" si="51"/>
        <v>SystemId</v>
      </c>
      <c r="K224" s="20" t="b">
        <v>1</v>
      </c>
      <c r="L224" s="20" t="b">
        <v>0</v>
      </c>
      <c r="M224" s="20" t="b">
        <v>0</v>
      </c>
      <c r="N224" s="20" t="b">
        <v>0</v>
      </c>
      <c r="O224" s="20" t="b">
        <v>1</v>
      </c>
      <c r="P224" s="20" t="b">
        <v>0</v>
      </c>
      <c r="Q224" s="20" t="b">
        <v>1</v>
      </c>
      <c r="R224" s="20" t="b">
        <v>0</v>
      </c>
      <c r="S224" s="20" t="b">
        <v>0</v>
      </c>
      <c r="T224" s="20" t="b">
        <v>0</v>
      </c>
      <c r="U224" s="20" t="b">
        <v>0</v>
      </c>
    </row>
    <row r="225" spans="1:21">
      <c r="A225" s="20">
        <f t="shared" si="23"/>
        <v>224</v>
      </c>
      <c r="B225" s="21">
        <v>35</v>
      </c>
      <c r="C225" s="20" t="str" cm="1">
        <f t="array" ref="C225">GetValue("Tbl","Alias",B225)</f>
        <v>Ses</v>
      </c>
      <c r="D225" s="20">
        <v>1</v>
      </c>
      <c r="E225" s="20" t="str" cm="1">
        <f t="array" ref="E225">GetValue("Dmn","Name",D225)</f>
        <v>BigInteger</v>
      </c>
      <c r="F225" s="20" t="str" cm="1">
        <f t="array" ref="F225">GetValue("Dmn","#CategoryName",D225)</f>
        <v>number</v>
      </c>
      <c r="G225" s="20">
        <f t="shared" si="55"/>
        <v>20</v>
      </c>
      <c r="H225" s="20" t="str" cm="1">
        <f t="array" ref="H225">GetColumnName(C225,IF(B225=B224,H224,""))</f>
        <v>UserId</v>
      </c>
      <c r="I225" s="20" t="str">
        <f t="shared" si="50"/>
        <v>UserId</v>
      </c>
      <c r="J225" s="20" t="str">
        <f t="shared" si="51"/>
        <v>UserId</v>
      </c>
      <c r="K225" s="20" t="b">
        <v>1</v>
      </c>
      <c r="L225" s="20" t="b">
        <v>0</v>
      </c>
      <c r="M225" s="20" t="b">
        <v>0</v>
      </c>
      <c r="N225" s="20" t="b">
        <v>0</v>
      </c>
      <c r="O225" s="20" t="b">
        <v>1</v>
      </c>
      <c r="P225" s="20" t="b">
        <v>0</v>
      </c>
      <c r="Q225" s="20" t="b">
        <v>1</v>
      </c>
      <c r="R225" s="20" t="b">
        <v>0</v>
      </c>
      <c r="S225" s="20" t="b">
        <v>0</v>
      </c>
      <c r="T225" s="20" t="b">
        <v>0</v>
      </c>
      <c r="U225" s="20" t="b">
        <v>0</v>
      </c>
    </row>
    <row r="226" spans="1:21">
      <c r="A226" s="20">
        <f t="shared" si="23"/>
        <v>225</v>
      </c>
      <c r="B226" s="21">
        <v>35</v>
      </c>
      <c r="C226" s="20" t="str" cm="1">
        <f t="array" ref="C226">GetValue("Tbl","Alias",B226)</f>
        <v>Ses</v>
      </c>
      <c r="D226" s="20">
        <v>12</v>
      </c>
      <c r="E226" s="20" t="str" cm="1">
        <f t="array" ref="E226">GetValue("Dmn","Name",D226)</f>
        <v>NVARCHAR(256)</v>
      </c>
      <c r="F226" s="20" t="str" cm="1">
        <f t="array" ref="F226">GetValue("Dmn","#CategoryName",D226)</f>
        <v>string</v>
      </c>
      <c r="G226" s="20">
        <f t="shared" si="55"/>
        <v>25</v>
      </c>
      <c r="H226" s="20" t="str" cm="1">
        <f t="array" ref="H226">GetColumnName(C226,IF(B226=B225,H225,""))</f>
        <v>PublicKey</v>
      </c>
      <c r="I226" s="20" t="str">
        <f t="shared" si="50"/>
        <v>PublicKey</v>
      </c>
      <c r="J226" s="20" t="str">
        <f t="shared" si="51"/>
        <v>PublicKey</v>
      </c>
      <c r="K226" s="20" t="b">
        <v>0</v>
      </c>
      <c r="L226" s="20" t="b">
        <v>0</v>
      </c>
      <c r="M226" s="20" t="b">
        <v>0</v>
      </c>
      <c r="N226" s="20" t="b">
        <v>0</v>
      </c>
      <c r="O226" s="20" t="b">
        <v>0</v>
      </c>
      <c r="P226" s="20" t="b">
        <v>0</v>
      </c>
      <c r="Q226" s="20" t="b">
        <v>0</v>
      </c>
      <c r="R226" s="20" t="b">
        <v>0</v>
      </c>
      <c r="S226" s="20" t="b">
        <v>0</v>
      </c>
      <c r="T226" s="20" t="b">
        <v>0</v>
      </c>
      <c r="U226" s="20" t="b">
        <v>0</v>
      </c>
    </row>
    <row r="227" spans="1:21">
      <c r="A227" s="20">
        <f t="shared" si="23"/>
        <v>226</v>
      </c>
      <c r="B227" s="21">
        <v>35</v>
      </c>
      <c r="C227" s="20" t="str" cm="1">
        <f t="array" ref="C227">GetValue("Tbl","Alias",B227)</f>
        <v>Ses</v>
      </c>
      <c r="D227" s="20">
        <v>6</v>
      </c>
      <c r="E227" s="20" t="str" cm="1">
        <f t="array" ref="E227">GetValue("Dmn","Name",D227)</f>
        <v>Boolean</v>
      </c>
      <c r="F227" s="20" t="str" cm="1">
        <f t="array" ref="F227">GetValue("Dmn","#CategoryName",D227)</f>
        <v>boolean</v>
      </c>
      <c r="G227" s="20">
        <f t="shared" si="55"/>
        <v>30</v>
      </c>
      <c r="H227" s="20" t="str" cm="1">
        <f t="array" ref="H227">GetColumnName(C227,IF(B227=B226,H226,""))</f>
        <v>IsLogged</v>
      </c>
      <c r="I227" s="20" t="str">
        <f t="shared" si="50"/>
        <v>IsLogged</v>
      </c>
      <c r="J227" s="20" t="str">
        <f t="shared" si="51"/>
        <v>IsLogged</v>
      </c>
      <c r="K227" s="20" t="b">
        <v>1</v>
      </c>
      <c r="L227" s="20" t="b">
        <v>0</v>
      </c>
      <c r="M227" s="20" t="b">
        <v>0</v>
      </c>
      <c r="N227" s="20" t="b">
        <v>0</v>
      </c>
      <c r="O227" s="20" t="b">
        <v>1</v>
      </c>
      <c r="P227" s="20" t="b">
        <v>0</v>
      </c>
      <c r="Q227" s="20" t="b">
        <v>0</v>
      </c>
      <c r="R227" s="20" t="b">
        <v>0</v>
      </c>
      <c r="S227" s="20" t="b">
        <v>0</v>
      </c>
      <c r="T227" s="20" t="b">
        <v>0</v>
      </c>
      <c r="U227" s="20" t="b">
        <v>0</v>
      </c>
    </row>
    <row r="228" spans="1:21">
      <c r="A228" s="18">
        <f t="shared" si="23"/>
        <v>227</v>
      </c>
      <c r="B228" s="19">
        <v>36</v>
      </c>
      <c r="C228" s="18" t="str" cm="1">
        <f t="array" ref="C228">GetValue("Tbl","Alias",B228)</f>
        <v>Trs</v>
      </c>
      <c r="D228" s="18">
        <v>1</v>
      </c>
      <c r="E228" s="18" t="str" cm="1">
        <f t="array" ref="E228">GetValue("Dmn","Name",D228)</f>
        <v>BigInteger</v>
      </c>
      <c r="F228" s="18" t="str" cm="1">
        <f t="array" ref="F228">GetValue("Dmn","#CategoryName",D228)</f>
        <v>number</v>
      </c>
      <c r="G228" s="18">
        <f t="shared" ref="G228:G230" si="56">IF(H228="Id",5,G227+5)</f>
        <v>5</v>
      </c>
      <c r="H228" s="18" t="str" cm="1">
        <f t="array" ref="H228">GetColumnName(C228,IF(B228=B227,H227,""))</f>
        <v>Id</v>
      </c>
      <c r="I228" s="18" t="str">
        <f t="shared" si="50"/>
        <v>Id</v>
      </c>
      <c r="J228" s="18" t="str">
        <f t="shared" si="51"/>
        <v>Id</v>
      </c>
      <c r="K228" s="18" t="b">
        <v>1</v>
      </c>
      <c r="L228" s="18" t="b">
        <v>1</v>
      </c>
      <c r="M228" s="18" t="b">
        <v>1</v>
      </c>
      <c r="N228" s="18" t="b">
        <v>0</v>
      </c>
      <c r="O228" s="18" t="b">
        <v>1</v>
      </c>
      <c r="P228" s="18" t="b">
        <v>0</v>
      </c>
      <c r="Q228" s="18" t="b">
        <v>0</v>
      </c>
      <c r="R228" s="18" t="b">
        <v>0</v>
      </c>
      <c r="S228" s="18" t="b">
        <v>0</v>
      </c>
      <c r="T228" s="18" t="b">
        <v>0</v>
      </c>
      <c r="U228" s="18" t="b">
        <v>0</v>
      </c>
    </row>
    <row r="229" spans="1:21">
      <c r="A229" s="18">
        <f t="shared" si="23"/>
        <v>228</v>
      </c>
      <c r="B229" s="19">
        <v>36</v>
      </c>
      <c r="C229" s="18" t="str" cm="1">
        <f t="array" ref="C229">GetValue("Tbl","Alias",B229)</f>
        <v>Trs</v>
      </c>
      <c r="D229" s="18">
        <v>1</v>
      </c>
      <c r="E229" s="18" t="str" cm="1">
        <f t="array" ref="E229">GetValue("Dmn","Name",D229)</f>
        <v>BigInteger</v>
      </c>
      <c r="F229" s="18" t="str" cm="1">
        <f t="array" ref="F229">GetValue("Dmn","#CategoryName",D229)</f>
        <v>number</v>
      </c>
      <c r="G229" s="18">
        <f t="shared" si="56"/>
        <v>10</v>
      </c>
      <c r="H229" s="18" t="str" cm="1">
        <f t="array" ref="H229">GetColumnName(C229,IF(B229=B228,H228,""))</f>
        <v>SessionId</v>
      </c>
      <c r="I229" s="18" t="str">
        <f t="shared" si="50"/>
        <v>SessionId</v>
      </c>
      <c r="J229" s="18" t="str">
        <f t="shared" si="51"/>
        <v>SessionId</v>
      </c>
      <c r="K229" s="18" t="b">
        <v>1</v>
      </c>
      <c r="L229" s="18" t="b">
        <v>0</v>
      </c>
      <c r="M229" s="18" t="b">
        <v>0</v>
      </c>
      <c r="N229" s="18" t="b">
        <v>0</v>
      </c>
      <c r="O229" s="18" t="b">
        <v>0</v>
      </c>
      <c r="P229" s="18" t="b">
        <v>0</v>
      </c>
      <c r="Q229" s="18" t="b">
        <v>0</v>
      </c>
      <c r="R229" s="18" t="b">
        <v>0</v>
      </c>
      <c r="S229" s="18" t="b">
        <v>0</v>
      </c>
      <c r="T229" s="18" t="b">
        <v>0</v>
      </c>
      <c r="U229" s="18" t="b">
        <v>0</v>
      </c>
    </row>
    <row r="230" spans="1:21">
      <c r="A230" s="18">
        <f t="shared" si="23"/>
        <v>229</v>
      </c>
      <c r="B230" s="19">
        <v>36</v>
      </c>
      <c r="C230" s="18" t="str" cm="1">
        <f t="array" ref="C230">GetValue("Tbl","Alias",B230)</f>
        <v>Trs</v>
      </c>
      <c r="D230" s="18">
        <v>6</v>
      </c>
      <c r="E230" s="18" t="str" cm="1">
        <f t="array" ref="E230">GetValue("Dmn","Name",D230)</f>
        <v>Boolean</v>
      </c>
      <c r="F230" s="18" t="str" cm="1">
        <f t="array" ref="F230">GetValue("Dmn","#CategoryName",D230)</f>
        <v>boolean</v>
      </c>
      <c r="G230" s="18">
        <f t="shared" si="56"/>
        <v>15</v>
      </c>
      <c r="H230" s="18" t="str" cm="1">
        <f t="array" ref="H230">GetColumnName(C230,IF(B230=B229,H229,""))</f>
        <v>IsConfirmed</v>
      </c>
      <c r="I230" s="18" t="str">
        <f t="shared" si="50"/>
        <v>IsConfirmed</v>
      </c>
      <c r="J230" s="18" t="str">
        <f t="shared" si="51"/>
        <v>IsConfirmed</v>
      </c>
      <c r="K230" s="18" t="b">
        <v>1</v>
      </c>
      <c r="L230" s="18" t="b">
        <v>0</v>
      </c>
      <c r="M230" s="18" t="b">
        <v>0</v>
      </c>
      <c r="N230" s="18" t="b">
        <v>0</v>
      </c>
      <c r="O230" s="18" t="b">
        <v>1</v>
      </c>
      <c r="P230" s="18" t="b">
        <v>0</v>
      </c>
      <c r="Q230" s="18" t="b">
        <v>0</v>
      </c>
      <c r="R230" s="18" t="b">
        <v>0</v>
      </c>
      <c r="S230" s="18" t="b">
        <v>0</v>
      </c>
      <c r="T230" s="18" t="b">
        <v>0</v>
      </c>
      <c r="U230" s="18" t="b">
        <v>0</v>
      </c>
    </row>
    <row r="231" spans="1:21">
      <c r="A231" s="20">
        <f t="shared" si="23"/>
        <v>230</v>
      </c>
      <c r="B231" s="21">
        <v>37</v>
      </c>
      <c r="C231" s="20" t="str" cm="1">
        <f t="array" ref="C231">GetValue("Tbl","Alias",B231)</f>
        <v>Ope</v>
      </c>
      <c r="D231" s="20">
        <v>1</v>
      </c>
      <c r="E231" s="20" t="str" cm="1">
        <f t="array" ref="E231">GetValue("Dmn","Name",D231)</f>
        <v>BigInteger</v>
      </c>
      <c r="F231" s="20" t="str" cm="1">
        <f t="array" ref="F231">GetValue("Dmn","#CategoryName",D231)</f>
        <v>number</v>
      </c>
      <c r="G231" s="20">
        <f t="shared" ref="G231:G236" si="57">IF(H231="Id",5,G230+5)</f>
        <v>5</v>
      </c>
      <c r="H231" s="20" t="str" cm="1">
        <f t="array" ref="H231">GetColumnName(C231,IF(B231=B230,H230,""))</f>
        <v>Id</v>
      </c>
      <c r="I231" s="20" t="str">
        <f t="shared" si="50"/>
        <v>Id</v>
      </c>
      <c r="J231" s="20" t="str">
        <f t="shared" si="51"/>
        <v>Id</v>
      </c>
      <c r="K231" s="20" t="b">
        <v>1</v>
      </c>
      <c r="L231" s="20" t="b">
        <v>1</v>
      </c>
      <c r="M231" s="20" t="b">
        <v>1</v>
      </c>
      <c r="N231" s="20" t="b">
        <v>0</v>
      </c>
      <c r="O231" s="20" t="b">
        <v>1</v>
      </c>
      <c r="P231" s="20" t="b">
        <v>0</v>
      </c>
      <c r="Q231" s="20" t="b">
        <v>0</v>
      </c>
      <c r="R231" s="20" t="b">
        <v>0</v>
      </c>
      <c r="S231" s="20" t="b">
        <v>0</v>
      </c>
      <c r="T231" s="20" t="b">
        <v>0</v>
      </c>
      <c r="U231" s="20" t="b">
        <v>0</v>
      </c>
    </row>
    <row r="232" spans="1:21">
      <c r="A232" s="20">
        <f t="shared" si="23"/>
        <v>231</v>
      </c>
      <c r="B232" s="21">
        <v>37</v>
      </c>
      <c r="C232" s="20" t="str" cm="1">
        <f t="array" ref="C232">GetValue("Tbl","Alias",B232)</f>
        <v>Ope</v>
      </c>
      <c r="D232" s="20">
        <v>1</v>
      </c>
      <c r="E232" s="20" t="str" cm="1">
        <f t="array" ref="E232">GetValue("Dmn","Name",D232)</f>
        <v>BigInteger</v>
      </c>
      <c r="F232" s="20" t="str" cm="1">
        <f t="array" ref="F232">GetValue("Dmn","#CategoryName",D232)</f>
        <v>number</v>
      </c>
      <c r="G232" s="20">
        <f t="shared" si="57"/>
        <v>10</v>
      </c>
      <c r="H232" s="20" t="str" cm="1">
        <f t="array" ref="H232">GetColumnName(C232,IF(B232=B231,H231,""))</f>
        <v>TransactionId</v>
      </c>
      <c r="I232" s="20" t="str">
        <f t="shared" si="50"/>
        <v>TransactionId</v>
      </c>
      <c r="J232" s="20" t="str">
        <f t="shared" si="51"/>
        <v>TransactionId</v>
      </c>
      <c r="K232" s="20" t="b">
        <v>1</v>
      </c>
      <c r="L232" s="20" t="b">
        <v>0</v>
      </c>
      <c r="M232" s="20" t="b">
        <v>0</v>
      </c>
      <c r="N232" s="20" t="b">
        <v>0</v>
      </c>
      <c r="O232" s="20" t="b">
        <v>0</v>
      </c>
      <c r="P232" s="20" t="b">
        <v>0</v>
      </c>
      <c r="Q232" s="20" t="b">
        <v>0</v>
      </c>
      <c r="R232" s="20" t="b">
        <v>0</v>
      </c>
      <c r="S232" s="20" t="b">
        <v>0</v>
      </c>
      <c r="T232" s="20" t="b">
        <v>0</v>
      </c>
      <c r="U232" s="20" t="b">
        <v>0</v>
      </c>
    </row>
    <row r="233" spans="1:21">
      <c r="A233" s="20">
        <f t="shared" si="23"/>
        <v>232</v>
      </c>
      <c r="B233" s="21">
        <v>37</v>
      </c>
      <c r="C233" s="20" t="str" cm="1">
        <f t="array" ref="C233">GetValue("Tbl","Alias",B233)</f>
        <v>Ope</v>
      </c>
      <c r="D233" s="20">
        <v>10</v>
      </c>
      <c r="E233" s="20" t="str" cm="1">
        <f t="array" ref="E233">GetValue("Dmn","Name",D233)</f>
        <v>NVARCHAR(25)</v>
      </c>
      <c r="F233" s="20" t="str" cm="1">
        <f t="array" ref="F233">GetValue("Dmn","#CategoryName",D233)</f>
        <v>string</v>
      </c>
      <c r="G233" s="20">
        <f t="shared" si="57"/>
        <v>15</v>
      </c>
      <c r="H233" s="20" t="str" cm="1">
        <f t="array" ref="H233">GetColumnName(C233,IF(B233=B232,H232,""))</f>
        <v>TableName</v>
      </c>
      <c r="I233" s="20" t="str">
        <f t="shared" si="50"/>
        <v>TableName</v>
      </c>
      <c r="J233" s="20" t="str">
        <f t="shared" si="51"/>
        <v>TableName</v>
      </c>
      <c r="K233" s="20" t="b">
        <v>1</v>
      </c>
      <c r="L233" s="20" t="b">
        <v>0</v>
      </c>
      <c r="M233" s="20" t="b">
        <v>0</v>
      </c>
      <c r="N233" s="20" t="b">
        <v>0</v>
      </c>
      <c r="O233" s="20" t="b">
        <v>0</v>
      </c>
      <c r="P233" s="20" t="b">
        <v>0</v>
      </c>
      <c r="Q233" s="20" t="b">
        <v>0</v>
      </c>
      <c r="R233" s="20" t="b">
        <v>0</v>
      </c>
      <c r="S233" s="20" t="b">
        <v>0</v>
      </c>
      <c r="T233" s="20" t="b">
        <v>0</v>
      </c>
      <c r="U233" s="20" t="b">
        <v>0</v>
      </c>
    </row>
    <row r="234" spans="1:21">
      <c r="A234" s="20">
        <f t="shared" si="23"/>
        <v>233</v>
      </c>
      <c r="B234" s="21">
        <v>37</v>
      </c>
      <c r="C234" s="20" t="str" cm="1">
        <f t="array" ref="C234">GetValue("Tbl","Alias",B234)</f>
        <v>Ope</v>
      </c>
      <c r="D234" s="20">
        <v>43</v>
      </c>
      <c r="E234" s="20" t="str" cm="1">
        <f t="array" ref="E234">GetValue("Dmn","Name",D234)</f>
        <v>CRUD Operation</v>
      </c>
      <c r="F234" s="20" t="str" cm="1">
        <f t="array" ref="F234">GetValue("Dmn","#CategoryName",D234)</f>
        <v>text</v>
      </c>
      <c r="G234" s="20">
        <f t="shared" si="57"/>
        <v>20</v>
      </c>
      <c r="H234" s="20" t="str" cm="1">
        <f t="array" ref="H234">GetColumnName(C234,IF(B234=B233,H233,""))</f>
        <v>Action</v>
      </c>
      <c r="I234" s="20" t="str">
        <f t="shared" si="50"/>
        <v>Action</v>
      </c>
      <c r="J234" s="20" t="str">
        <f t="shared" si="51"/>
        <v>Action</v>
      </c>
      <c r="K234" s="20" t="b">
        <v>1</v>
      </c>
      <c r="L234" s="20" t="b">
        <v>0</v>
      </c>
      <c r="M234" s="20" t="b">
        <v>0</v>
      </c>
      <c r="N234" s="20" t="b">
        <v>0</v>
      </c>
      <c r="O234" s="20" t="b">
        <v>0</v>
      </c>
      <c r="P234" s="20" t="b">
        <v>0</v>
      </c>
      <c r="Q234" s="20" t="b">
        <v>0</v>
      </c>
      <c r="R234" s="20" t="b">
        <v>0</v>
      </c>
      <c r="S234" s="20" t="b">
        <v>0</v>
      </c>
      <c r="T234" s="20" t="b">
        <v>0</v>
      </c>
      <c r="U234" s="20" t="b">
        <v>0</v>
      </c>
    </row>
    <row r="235" spans="1:21">
      <c r="A235" s="20">
        <f t="shared" si="23"/>
        <v>234</v>
      </c>
      <c r="B235" s="21">
        <v>37</v>
      </c>
      <c r="C235" s="20" t="str" cm="1">
        <f t="array" ref="C235">GetValue("Tbl","Alias",B235)</f>
        <v>Ope</v>
      </c>
      <c r="D235" s="20">
        <v>50</v>
      </c>
      <c r="E235" s="20" t="str" cm="1">
        <f t="array" ref="E235">GetValue("Dmn","Name",D235)</f>
        <v>JSON</v>
      </c>
      <c r="F235" s="20" t="str" cm="1">
        <f t="array" ref="F235">GetValue("Dmn","#CategoryName",D235)</f>
        <v>text</v>
      </c>
      <c r="G235" s="20">
        <f t="shared" si="57"/>
        <v>25</v>
      </c>
      <c r="H235" s="20" t="str" cm="1">
        <f t="array" ref="H235">GetColumnName(C235,IF(B235=B234,H234,""))</f>
        <v>LastRecord</v>
      </c>
      <c r="I235" s="20" t="str">
        <f t="shared" si="50"/>
        <v>LastRecord</v>
      </c>
      <c r="J235" s="20" t="str">
        <f t="shared" si="51"/>
        <v>LastRecord</v>
      </c>
      <c r="K235" s="20" t="b">
        <v>0</v>
      </c>
      <c r="L235" s="20" t="b">
        <v>0</v>
      </c>
      <c r="M235" s="20" t="b">
        <v>0</v>
      </c>
      <c r="N235" s="20" t="b">
        <v>0</v>
      </c>
      <c r="O235" s="20" t="b">
        <v>0</v>
      </c>
      <c r="P235" s="20" t="b">
        <v>0</v>
      </c>
      <c r="Q235" s="20" t="b">
        <v>0</v>
      </c>
      <c r="R235" s="20" t="b">
        <v>0</v>
      </c>
      <c r="S235" s="20" t="b">
        <v>0</v>
      </c>
      <c r="T235" s="20" t="b">
        <v>0</v>
      </c>
      <c r="U235" s="20" t="b">
        <v>0</v>
      </c>
    </row>
    <row r="236" spans="1:21">
      <c r="A236" s="20">
        <f t="shared" si="23"/>
        <v>235</v>
      </c>
      <c r="B236" s="21">
        <v>37</v>
      </c>
      <c r="C236" s="20" t="str" cm="1">
        <f t="array" ref="C236">GetValue("Tbl","Alias",B236)</f>
        <v>Ope</v>
      </c>
      <c r="D236" s="20">
        <v>50</v>
      </c>
      <c r="E236" s="20" t="str" cm="1">
        <f t="array" ref="E236">GetValue("Dmn","Name",D236)</f>
        <v>JSON</v>
      </c>
      <c r="F236" s="20" t="str" cm="1">
        <f t="array" ref="F236">GetValue("Dmn","#CategoryName",D236)</f>
        <v>text</v>
      </c>
      <c r="G236" s="20">
        <f t="shared" si="57"/>
        <v>30</v>
      </c>
      <c r="H236" s="20" t="str" cm="1">
        <f t="array" ref="H236">GetColumnName(C236,IF(B236=B235,H235,""))</f>
        <v>ActualRecord</v>
      </c>
      <c r="I236" s="20" t="str">
        <f t="shared" si="50"/>
        <v>ActualRecord</v>
      </c>
      <c r="J236" s="20" t="str">
        <f t="shared" si="51"/>
        <v>ActualRecord</v>
      </c>
      <c r="K236" s="20" t="b">
        <v>1</v>
      </c>
      <c r="L236" s="20" t="b">
        <v>0</v>
      </c>
      <c r="M236" s="20" t="b">
        <v>0</v>
      </c>
      <c r="N236" s="20" t="b">
        <v>0</v>
      </c>
      <c r="O236" s="20" t="b">
        <v>0</v>
      </c>
      <c r="P236" s="20" t="b">
        <v>0</v>
      </c>
      <c r="Q236" s="20" t="b">
        <v>0</v>
      </c>
      <c r="R236" s="20" t="b">
        <v>0</v>
      </c>
      <c r="S236" s="20" t="b">
        <v>0</v>
      </c>
      <c r="T236" s="20" t="b">
        <v>0</v>
      </c>
      <c r="U236" s="20" t="b">
        <v>0</v>
      </c>
    </row>
    <row r="237" spans="1:21">
      <c r="A237" s="20">
        <f t="shared" si="23"/>
        <v>236</v>
      </c>
      <c r="B237" s="21">
        <v>37</v>
      </c>
      <c r="C237" s="20" t="str" cm="1">
        <f t="array" ref="C237">GetValue("Tbl","Alias",B237)</f>
        <v>Ope</v>
      </c>
      <c r="D237" s="20">
        <v>6</v>
      </c>
      <c r="E237" s="20" t="str" cm="1">
        <f t="array" ref="E237">GetValue("Dmn","Name",D237)</f>
        <v>Boolean</v>
      </c>
      <c r="F237" s="20" t="str" cm="1">
        <f t="array" ref="F237">GetValue("Dmn","#CategoryName",D237)</f>
        <v>boolean</v>
      </c>
      <c r="G237" s="20">
        <f t="shared" ref="G237" si="58">IF(H237="Id",5,G236+5)</f>
        <v>35</v>
      </c>
      <c r="H237" s="20" t="str" cm="1">
        <f t="array" ref="H237">GetColumnName(C237,IF(B237=B236,H236,""))</f>
        <v>IsConfirmed</v>
      </c>
      <c r="I237" s="20" t="str">
        <f t="shared" si="50"/>
        <v>IsConfirmed</v>
      </c>
      <c r="J237" s="20" t="str">
        <f t="shared" ref="J237" si="59">H237</f>
        <v>IsConfirmed</v>
      </c>
      <c r="K237" s="20" t="b">
        <v>0</v>
      </c>
      <c r="L237" s="20" t="b">
        <v>0</v>
      </c>
      <c r="M237" s="20" t="b">
        <v>0</v>
      </c>
      <c r="N237" s="20" t="b">
        <v>0</v>
      </c>
      <c r="O237" s="20" t="b">
        <v>0</v>
      </c>
      <c r="P237" s="20" t="b">
        <v>0</v>
      </c>
      <c r="Q237" s="20" t="b">
        <v>0</v>
      </c>
      <c r="R237" s="20" t="b">
        <v>0</v>
      </c>
      <c r="S237" s="20" t="b">
        <v>0</v>
      </c>
      <c r="T237" s="20" t="b">
        <v>0</v>
      </c>
      <c r="U237" s="2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G170 G134" formula="1"/>
  </ignoredError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zoomScaleNormal="100" workbookViewId="0">
      <pane ySplit="1" topLeftCell="A2" activePane="bottomLeft" state="frozen"/>
      <selection activeCell="T1" sqref="T1"/>
      <selection pane="bottomLeft" activeCell="C10" sqref="C10"/>
    </sheetView>
  </sheetViews>
  <sheetFormatPr defaultRowHeight="14.4"/>
  <cols>
    <col min="1" max="1" width="3.6640625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561</v>
      </c>
      <c r="B1" s="1" t="s">
        <v>93</v>
      </c>
      <c r="C1" s="1" t="s">
        <v>111</v>
      </c>
      <c r="D1" s="1" t="s">
        <v>0</v>
      </c>
      <c r="E1" s="1" t="s">
        <v>95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2" activePane="bottomLeft" state="frozen"/>
      <selection activeCell="T1" sqref="T1"/>
      <selection pane="bottomLeft" activeCell="B6" sqref="B6"/>
    </sheetView>
  </sheetViews>
  <sheetFormatPr defaultRowHeight="14.4"/>
  <cols>
    <col min="1" max="1" width="3.6640625" bestFit="1" customWidth="1"/>
    <col min="2" max="2" width="7.6640625" bestFit="1" customWidth="1"/>
    <col min="3" max="3" width="48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561</v>
      </c>
      <c r="B1" s="1" t="s">
        <v>96</v>
      </c>
      <c r="C1" s="1" t="s">
        <v>113</v>
      </c>
      <c r="D1" s="1" t="s">
        <v>97</v>
      </c>
      <c r="E1" s="1" t="s">
        <v>114</v>
      </c>
      <c r="F1" s="1" t="s">
        <v>67</v>
      </c>
      <c r="G1" s="1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1"/>
  <sheetViews>
    <sheetView workbookViewId="0">
      <pane ySplit="1" topLeftCell="A2" activePane="bottomLeft" state="frozen"/>
      <selection pane="bottomLeft" activeCell="B11" sqref="B11"/>
    </sheetView>
  </sheetViews>
  <sheetFormatPr defaultRowHeight="14.4"/>
  <cols>
    <col min="1" max="1" width="3.6640625" bestFit="1" customWidth="1"/>
    <col min="2" max="2" width="7.6640625" bestFit="1" customWidth="1"/>
    <col min="3" max="3" width="40.3320312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561</v>
      </c>
      <c r="B1" s="1" t="s">
        <v>96</v>
      </c>
      <c r="C1" s="1" t="s">
        <v>113</v>
      </c>
      <c r="D1" s="1" t="s">
        <v>97</v>
      </c>
      <c r="E1" s="1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1"/>
  <sheetViews>
    <sheetView workbookViewId="0">
      <pane ySplit="1" topLeftCell="A2" activePane="bottomLeft" state="frozen"/>
      <selection pane="bottomLeft" activeCell="A2" sqref="A2:XFD2"/>
    </sheetView>
  </sheetViews>
  <sheetFormatPr defaultRowHeight="14.4"/>
  <cols>
    <col min="1" max="1" width="3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561</v>
      </c>
      <c r="B1" s="1" t="s">
        <v>426</v>
      </c>
      <c r="C1" s="1" t="s">
        <v>530</v>
      </c>
      <c r="D1" s="1" t="s">
        <v>531</v>
      </c>
      <c r="E1" s="1" t="s">
        <v>427</v>
      </c>
      <c r="F1" s="1" t="s">
        <v>529</v>
      </c>
      <c r="G1" s="1" t="s">
        <v>532</v>
      </c>
      <c r="H1" s="1" t="s">
        <v>425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3.6640625" bestFit="1" customWidth="1"/>
    <col min="2" max="2" width="7.5546875" bestFit="1" customWidth="1"/>
    <col min="3" max="3" width="12.1093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561</v>
      </c>
      <c r="B1" s="1" t="s">
        <v>93</v>
      </c>
      <c r="C1" s="1" t="s">
        <v>111</v>
      </c>
      <c r="D1" s="1" t="s">
        <v>0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GetValue("Tbl","Name",B2)</f>
        <v>Categories</v>
      </c>
      <c r="D2" t="s">
        <v>548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1"/>
  <sheetViews>
    <sheetView zoomScaleNormal="100" workbookViewId="0">
      <pane ySplit="1" topLeftCell="A2" activePane="bottomLeft" state="frozen"/>
      <selection pane="bottomLeft" activeCell="E13" sqref="E13"/>
    </sheetView>
  </sheetViews>
  <sheetFormatPr defaultColWidth="5.6640625" defaultRowHeight="14.4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6" bestFit="1" customWidth="1"/>
    <col min="6" max="6" width="14" style="6" bestFit="1" customWidth="1"/>
    <col min="7" max="7" width="12.4414062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10.88671875" bestFit="1" customWidth="1"/>
    <col min="14" max="14" width="15.109375" style="6" bestFit="1" customWidth="1"/>
  </cols>
  <sheetData>
    <row r="1" spans="1:14" s="6" customFormat="1">
      <c r="A1" s="1" t="s">
        <v>561</v>
      </c>
      <c r="B1" s="1" t="s">
        <v>369</v>
      </c>
      <c r="C1" s="1" t="s">
        <v>382</v>
      </c>
      <c r="D1" s="1" t="s">
        <v>67</v>
      </c>
      <c r="E1" s="1" t="s">
        <v>359</v>
      </c>
      <c r="F1" s="1" t="s">
        <v>405</v>
      </c>
      <c r="G1" s="1" t="s">
        <v>426</v>
      </c>
      <c r="H1" s="1" t="s">
        <v>531</v>
      </c>
      <c r="I1" s="1" t="s">
        <v>445</v>
      </c>
      <c r="J1" s="1" t="s">
        <v>533</v>
      </c>
      <c r="K1" s="16" t="s">
        <v>427</v>
      </c>
      <c r="L1" s="1" t="s">
        <v>532</v>
      </c>
      <c r="M1" s="1" t="s">
        <v>550</v>
      </c>
      <c r="N1" s="1" t="s">
        <v>406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M13"/>
  <sheetViews>
    <sheetView workbookViewId="0">
      <pane ySplit="1" topLeftCell="A2" activePane="bottomLeft" state="frozen"/>
      <selection pane="bottomLeft" activeCell="C6" sqref="C6"/>
    </sheetView>
  </sheetViews>
  <sheetFormatPr defaultRowHeight="14.4"/>
  <cols>
    <col min="1" max="1" width="3.6640625" bestFit="1" customWidth="1"/>
    <col min="2" max="2" width="9.109375" bestFit="1" customWidth="1"/>
    <col min="3" max="3" width="16.109375" bestFit="1" customWidth="1"/>
    <col min="4" max="4" width="9.33203125" bestFit="1" customWidth="1"/>
    <col min="5" max="5" width="13.77734375" bestFit="1" customWidth="1"/>
    <col min="6" max="6" width="26.6640625" bestFit="1" customWidth="1"/>
    <col min="7" max="7" width="15" bestFit="1" customWidth="1"/>
  </cols>
  <sheetData>
    <row r="1" spans="1:13" s="1" customFormat="1">
      <c r="A1" s="1" t="s">
        <v>561</v>
      </c>
      <c r="B1" s="1" t="s">
        <v>567</v>
      </c>
      <c r="C1" s="1" t="s">
        <v>568</v>
      </c>
      <c r="D1" s="1" t="s">
        <v>569</v>
      </c>
      <c r="E1" s="1" t="s">
        <v>570</v>
      </c>
      <c r="F1" s="1" t="s">
        <v>0</v>
      </c>
      <c r="G1" s="1" t="s">
        <v>571</v>
      </c>
      <c r="K1" s="23"/>
      <c r="L1" s="24"/>
      <c r="M1" s="23"/>
    </row>
    <row r="2" spans="1:13">
      <c r="A2">
        <f>ROW(A2)-1</f>
        <v>1</v>
      </c>
      <c r="B2">
        <v>3</v>
      </c>
      <c r="C2" t="str" cm="1">
        <f t="array" ref="C2">GetValue("Tbl","Name",B2)</f>
        <v>Rules</v>
      </c>
      <c r="D2">
        <v>1</v>
      </c>
      <c r="E2" t="str" cm="1">
        <f t="array" ref="E2">GetValue("Tbl","Name",D2)</f>
        <v>Categories</v>
      </c>
      <c r="F2" t="str">
        <f>_xlfn.CONCAT(C2," x ",E2)</f>
        <v>Rules x Categories</v>
      </c>
      <c r="G2" t="b">
        <v>0</v>
      </c>
    </row>
    <row r="3" spans="1:13">
      <c r="A3">
        <f>ROW(A3)-1</f>
        <v>2</v>
      </c>
      <c r="B3">
        <v>3</v>
      </c>
      <c r="C3" t="str" cm="1">
        <f t="array" ref="C3">GetValue("Tbl","Name",B3)</f>
        <v>Rules</v>
      </c>
      <c r="D3">
        <v>2</v>
      </c>
      <c r="E3" t="str" cm="1">
        <f t="array" ref="E3">GetValue("Tbl","Name",D3)</f>
        <v>Comparators</v>
      </c>
      <c r="F3" t="str">
        <f t="shared" ref="F3:F13" si="0">_xlfn.CONCAT(C3," x ",E3)</f>
        <v>Rules x Comparators</v>
      </c>
      <c r="G3" t="b">
        <v>0</v>
      </c>
    </row>
    <row r="4" spans="1:13">
      <c r="A4">
        <f>ROW(A4)-1</f>
        <v>3</v>
      </c>
      <c r="B4">
        <v>5</v>
      </c>
      <c r="C4" t="str" cm="1">
        <f t="array" ref="C4">GetValue("Tbl","Name",B4)</f>
        <v>Types</v>
      </c>
      <c r="D4">
        <v>1</v>
      </c>
      <c r="E4" t="str" cm="1">
        <f t="array" ref="E4">GetValue("Tbl","Name",D4)</f>
        <v>Categories</v>
      </c>
      <c r="F4" t="str">
        <f t="shared" si="0"/>
        <v>Types x Categories</v>
      </c>
      <c r="G4" t="b">
        <v>0</v>
      </c>
    </row>
    <row r="5" spans="1:13">
      <c r="A5">
        <f>ROW(A5)-1</f>
        <v>4</v>
      </c>
      <c r="B5">
        <v>6</v>
      </c>
      <c r="C5" t="str" cm="1">
        <f t="array" ref="C5">GetValue("Tbl","Name",B5)</f>
        <v>Mappings</v>
      </c>
      <c r="D5">
        <v>4</v>
      </c>
      <c r="E5" t="str" cm="1">
        <f t="array" ref="E5">GetValue("Tbl","Name",D5)</f>
        <v>Engines</v>
      </c>
      <c r="F5" t="str">
        <f t="shared" si="0"/>
        <v>Mappings x Engines</v>
      </c>
      <c r="G5" t="b">
        <v>0</v>
      </c>
    </row>
    <row r="6" spans="1:13">
      <c r="A6">
        <f t="shared" ref="A6:A7" si="1">ROW(A6)-1</f>
        <v>5</v>
      </c>
      <c r="B6">
        <v>6</v>
      </c>
      <c r="C6" t="str" cm="1">
        <f t="array" ref="C6">GetValue("Tbl","Name",B6)</f>
        <v>Mappings</v>
      </c>
      <c r="D6">
        <v>5</v>
      </c>
      <c r="E6" t="str" cm="1">
        <f t="array" ref="E6">GetValue("Tbl","Name",D6)</f>
        <v>Types</v>
      </c>
      <c r="F6" t="str">
        <f t="shared" si="0"/>
        <v>Mappings x Types</v>
      </c>
      <c r="G6" t="b">
        <v>1</v>
      </c>
    </row>
    <row r="7" spans="1:13">
      <c r="A7">
        <f t="shared" si="1"/>
        <v>6</v>
      </c>
      <c r="B7">
        <v>7</v>
      </c>
      <c r="C7" t="str" cm="1">
        <f t="array" ref="C7">GetValue("Tbl","Name",B7)</f>
        <v>Owners</v>
      </c>
      <c r="D7">
        <v>4</v>
      </c>
      <c r="E7" t="str" cm="1">
        <f t="array" ref="E7">GetValue("Tbl","Name",D7)</f>
        <v>Engines</v>
      </c>
      <c r="F7" t="str">
        <f t="shared" si="0"/>
        <v>Owners x Engines</v>
      </c>
      <c r="G7" t="b">
        <v>1</v>
      </c>
    </row>
    <row r="8" spans="1:13">
      <c r="A8">
        <f>ROW(A8)-1</f>
        <v>7</v>
      </c>
      <c r="B8">
        <v>8</v>
      </c>
      <c r="C8" t="str" cm="1">
        <f t="array" ref="C8">GetValue("Tbl","Name",B8)</f>
        <v>Domains</v>
      </c>
      <c r="D8">
        <v>7</v>
      </c>
      <c r="E8" t="str" cm="1">
        <f t="array" ref="E8">GetValue("Tbl","Name",D8)</f>
        <v>Owners</v>
      </c>
      <c r="F8" t="str">
        <f t="shared" si="0"/>
        <v>Domains x Owners</v>
      </c>
      <c r="G8" t="b">
        <v>0</v>
      </c>
    </row>
    <row r="9" spans="1:13">
      <c r="A9">
        <f>ROW(A9)-1</f>
        <v>8</v>
      </c>
      <c r="B9">
        <v>8</v>
      </c>
      <c r="C9" t="str" cm="1">
        <f t="array" ref="C9">GetValue("Tbl","Name",B9)</f>
        <v>Domains</v>
      </c>
      <c r="D9">
        <v>5</v>
      </c>
      <c r="E9" t="str" cm="1">
        <f t="array" ref="E9">GetValue("Tbl","Name",D9)</f>
        <v>Types</v>
      </c>
      <c r="F9" t="str">
        <f t="shared" si="0"/>
        <v>Domains x Types</v>
      </c>
      <c r="G9" t="b">
        <v>0</v>
      </c>
    </row>
    <row r="10" spans="1:13">
      <c r="A10">
        <f t="shared" ref="A10" si="2">ROW(A10)-1</f>
        <v>9</v>
      </c>
      <c r="B10">
        <v>9</v>
      </c>
      <c r="C10" t="str" cm="1">
        <f t="array" ref="C10">GetValue("Tbl","Name",B10)</f>
        <v>Masks</v>
      </c>
      <c r="D10">
        <v>7</v>
      </c>
      <c r="E10" t="str" cm="1">
        <f t="array" ref="E10">GetValue("Tbl","Name",D10)</f>
        <v>Owners</v>
      </c>
      <c r="F10" t="str">
        <f t="shared" si="0"/>
        <v>Masks x Owners</v>
      </c>
      <c r="G10" t="b">
        <v>1</v>
      </c>
    </row>
    <row r="11" spans="1:13">
      <c r="A11">
        <f>ROW(A11)-1</f>
        <v>10</v>
      </c>
      <c r="B11">
        <v>10</v>
      </c>
      <c r="C11" t="str" cm="1">
        <f t="array" ref="C11">GetValue("Tbl","Name",B11)</f>
        <v>Maskings</v>
      </c>
      <c r="D11">
        <v>8</v>
      </c>
      <c r="E11" t="str" cm="1">
        <f t="array" ref="E11">GetValue("Tbl","Name",D11)</f>
        <v>Domains</v>
      </c>
      <c r="F11" t="str">
        <f t="shared" si="0"/>
        <v>Maskings x Domains</v>
      </c>
      <c r="G11" t="b">
        <v>0</v>
      </c>
    </row>
    <row r="12" spans="1:13">
      <c r="A12">
        <f t="shared" ref="A12:A13" si="3">ROW(A12)-1</f>
        <v>11</v>
      </c>
      <c r="B12">
        <v>10</v>
      </c>
      <c r="C12" t="str" cm="1">
        <f t="array" ref="C12">GetValue("Tbl","Name",B12)</f>
        <v>Maskings</v>
      </c>
      <c r="D12">
        <v>9</v>
      </c>
      <c r="E12" t="str" cm="1">
        <f t="array" ref="E12">GetValue("Tbl","Name",D12)</f>
        <v>Masks</v>
      </c>
      <c r="F12" t="str">
        <f t="shared" si="0"/>
        <v>Maskings x Masks</v>
      </c>
      <c r="G12" t="b">
        <v>1</v>
      </c>
    </row>
    <row r="13" spans="1:13">
      <c r="A13">
        <f t="shared" si="3"/>
        <v>12</v>
      </c>
      <c r="B13">
        <v>11</v>
      </c>
      <c r="C13" t="str" cm="1">
        <f t="array" ref="C13">GetValue("Tbl","Name",B13)</f>
        <v>Databases</v>
      </c>
      <c r="D13">
        <v>7</v>
      </c>
      <c r="E13" t="str" cm="1">
        <f t="array" ref="E13">GetValue("Tbl","Name",D13)</f>
        <v>Owners</v>
      </c>
      <c r="F13" t="str">
        <f t="shared" si="0"/>
        <v>Databases x Owners</v>
      </c>
      <c r="G1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27"/>
  <sheetViews>
    <sheetView workbookViewId="0">
      <selection activeCell="D14" sqref="D14"/>
    </sheetView>
  </sheetViews>
  <sheetFormatPr defaultRowHeight="14.4"/>
  <cols>
    <col min="1" max="1" width="3.6640625" bestFit="1" customWidth="1"/>
    <col min="2" max="2" width="11.109375" bestFit="1" customWidth="1"/>
    <col min="3" max="3" width="26.6640625" bestFit="1" customWidth="1"/>
    <col min="4" max="4" width="11.109375" bestFit="1" customWidth="1"/>
    <col min="5" max="5" width="15.5546875" bestFit="1" customWidth="1"/>
    <col min="6" max="6" width="9.21875" bestFit="1" customWidth="1"/>
  </cols>
  <sheetData>
    <row r="1" spans="1:6">
      <c r="A1" s="1" t="s">
        <v>561</v>
      </c>
      <c r="B1" s="1" t="s">
        <v>572</v>
      </c>
      <c r="C1" s="1" t="s">
        <v>573</v>
      </c>
      <c r="D1" s="1" t="s">
        <v>574</v>
      </c>
      <c r="E1" s="1" t="s">
        <v>575</v>
      </c>
      <c r="F1" s="1" t="s">
        <v>67</v>
      </c>
    </row>
    <row r="2" spans="1:6">
      <c r="A2">
        <f t="shared" ref="A2:A27" si="0">ROW(A2)-1</f>
        <v>1</v>
      </c>
      <c r="B2">
        <v>1</v>
      </c>
      <c r="C2" t="str" cm="1">
        <f t="array" ref="C2">GetValue("Ref","Name",B2)</f>
        <v>Rules x Categories</v>
      </c>
      <c r="D2">
        <v>18</v>
      </c>
      <c r="E2" t="str" cm="1">
        <f t="array" ref="E2">GetValue("Col","Name",D2)</f>
        <v>CategoryId</v>
      </c>
      <c r="F2">
        <v>5</v>
      </c>
    </row>
    <row r="3" spans="1:6">
      <c r="A3">
        <f t="shared" si="0"/>
        <v>2</v>
      </c>
      <c r="B3">
        <v>2</v>
      </c>
      <c r="C3" t="str" cm="1">
        <f t="array" ref="C3">GetValue("Ref","Name",B3)</f>
        <v>Rules x Comparators</v>
      </c>
      <c r="D3">
        <v>19</v>
      </c>
      <c r="E3" t="str" cm="1">
        <f t="array" ref="E3">GetValue("Col","Name",D3)</f>
        <v>ComparatorId</v>
      </c>
      <c r="F3">
        <v>5</v>
      </c>
    </row>
    <row r="4" spans="1:6">
      <c r="A4">
        <f t="shared" si="0"/>
        <v>3</v>
      </c>
      <c r="B4">
        <v>3</v>
      </c>
      <c r="C4" t="str" cm="1">
        <f t="array" ref="C4">GetValue("Ref","Name",B4)</f>
        <v>Types x Categories</v>
      </c>
      <c r="D4">
        <v>28</v>
      </c>
      <c r="E4" t="str" cm="1">
        <f t="array" ref="E4">GetValue("Col","Name",D4)</f>
        <v>CategoryId</v>
      </c>
      <c r="F4">
        <v>5</v>
      </c>
    </row>
    <row r="5" spans="1:6">
      <c r="A5">
        <f t="shared" si="0"/>
        <v>4</v>
      </c>
      <c r="B5">
        <v>4</v>
      </c>
      <c r="C5" t="str" cm="1">
        <f t="array" ref="C5">GetValue("Ref","Name",B5)</f>
        <v>Mappings x Engines</v>
      </c>
      <c r="D5">
        <v>40</v>
      </c>
      <c r="E5" t="str" cm="1">
        <f t="array" ref="E5">GetValue("Col","Name",D5)</f>
        <v>EngineId</v>
      </c>
      <c r="F5">
        <v>5</v>
      </c>
    </row>
    <row r="6" spans="1:6">
      <c r="A6">
        <f t="shared" si="0"/>
        <v>5</v>
      </c>
      <c r="B6">
        <v>5</v>
      </c>
      <c r="C6" t="str" cm="1">
        <f t="array" ref="C6">GetValue("Ref","Name",B6)</f>
        <v>Mappings x Types</v>
      </c>
      <c r="D6">
        <v>41</v>
      </c>
      <c r="E6" t="str" cm="1">
        <f t="array" ref="E6">GetValue("Col","Name",D6)</f>
        <v>TypeId</v>
      </c>
      <c r="F6">
        <v>5</v>
      </c>
    </row>
    <row r="7" spans="1:6">
      <c r="A7">
        <f t="shared" si="0"/>
        <v>6</v>
      </c>
      <c r="B7">
        <v>6</v>
      </c>
      <c r="C7" t="str" cm="1">
        <f t="array" ref="C7">GetValue("Ref","Name",B7)</f>
        <v>Owners x Engines</v>
      </c>
      <c r="D7">
        <v>48</v>
      </c>
      <c r="E7" t="str" cm="1">
        <f t="array" ref="E7">GetValue("Col","Name",D7)</f>
        <v>EngineId</v>
      </c>
      <c r="F7">
        <v>5</v>
      </c>
    </row>
    <row r="8" spans="1:6">
      <c r="A8">
        <f t="shared" si="0"/>
        <v>7</v>
      </c>
      <c r="B8">
        <v>7</v>
      </c>
      <c r="C8" t="str" cm="1">
        <f t="array" ref="C8">GetValue("Ref","Name",B8)</f>
        <v>Domains x Owners</v>
      </c>
      <c r="D8">
        <v>52</v>
      </c>
      <c r="E8" t="str" cm="1">
        <f t="array" ref="E8">GetValue("Col","Name",D8)</f>
        <v>OwnertId</v>
      </c>
      <c r="F8">
        <v>5</v>
      </c>
    </row>
    <row r="9" spans="1:6">
      <c r="A9">
        <f t="shared" si="0"/>
        <v>8</v>
      </c>
      <c r="B9">
        <v>8</v>
      </c>
      <c r="C9" t="str" cm="1">
        <f t="array" ref="C9">GetValue("Ref","Name",B9)</f>
        <v>Domains x Types</v>
      </c>
      <c r="D9">
        <v>53</v>
      </c>
      <c r="E9" t="str" cm="1">
        <f t="array" ref="E9">GetValue("Col","Name",D9)</f>
        <v>TypeId</v>
      </c>
      <c r="F9">
        <v>5</v>
      </c>
    </row>
    <row r="10" spans="1:6">
      <c r="A10">
        <f t="shared" si="0"/>
        <v>9</v>
      </c>
      <c r="B10">
        <v>9</v>
      </c>
      <c r="C10" t="str" cm="1">
        <f t="array" ref="C10">GetValue("Ref","Name",B10)</f>
        <v>Masks x Owners</v>
      </c>
      <c r="D10">
        <v>64</v>
      </c>
      <c r="E10" t="str" cm="1">
        <f t="array" ref="E10">GetValue("Col","Name",D10)</f>
        <v>OwnertId</v>
      </c>
      <c r="F10">
        <v>5</v>
      </c>
    </row>
    <row r="11" spans="1:6">
      <c r="A11">
        <f t="shared" si="0"/>
        <v>10</v>
      </c>
      <c r="B11">
        <v>10</v>
      </c>
      <c r="C11" t="str" cm="1">
        <f t="array" ref="C11">GetValue("Ref","Name",B11)</f>
        <v>Maskings x Domains</v>
      </c>
      <c r="D11">
        <v>69</v>
      </c>
      <c r="E11" t="str" cm="1">
        <f t="array" ref="E11">GetValue("Col","Name",D11)</f>
        <v>DomainId</v>
      </c>
      <c r="F11">
        <v>5</v>
      </c>
    </row>
    <row r="12" spans="1:6">
      <c r="A12">
        <f t="shared" si="0"/>
        <v>11</v>
      </c>
      <c r="B12">
        <v>11</v>
      </c>
      <c r="C12" t="str" cm="1">
        <f t="array" ref="C12">GetValue("Ref","Name",B12)</f>
        <v>Maskings x Masks</v>
      </c>
      <c r="D12">
        <v>70</v>
      </c>
      <c r="E12" t="str" cm="1">
        <f t="array" ref="E12">GetValue("Col","Name",D12)</f>
        <v>MaskId</v>
      </c>
      <c r="F12">
        <v>5</v>
      </c>
    </row>
    <row r="13" spans="1:6">
      <c r="A13">
        <f t="shared" si="0"/>
        <v>12</v>
      </c>
      <c r="B13">
        <v>12</v>
      </c>
      <c r="C13" t="str" cm="1">
        <f t="array" ref="C13">GetValue("Ref","Name",B13)</f>
        <v>Databases x Owners</v>
      </c>
      <c r="D13">
        <v>75</v>
      </c>
      <c r="E13" t="str" cm="1">
        <f t="array" ref="E13">GetValue("Col","Name",D13)</f>
        <v>OwnertId</v>
      </c>
      <c r="F13">
        <v>5</v>
      </c>
    </row>
    <row r="14" spans="1:6">
      <c r="A14">
        <f t="shared" si="0"/>
        <v>13</v>
      </c>
      <c r="B14">
        <v>13</v>
      </c>
      <c r="C14" t="e" cm="1">
        <f t="array" ref="C14">GetValue("Ref","Name",B14)</f>
        <v>#VALUE!</v>
      </c>
      <c r="D14">
        <v>89</v>
      </c>
      <c r="E14" t="str" cm="1">
        <f t="array" ref="E14">GetValue("Col","Name",D14)</f>
        <v>EnvironmentId</v>
      </c>
      <c r="F14">
        <v>5</v>
      </c>
    </row>
    <row r="15" spans="1:6">
      <c r="A15">
        <f t="shared" si="0"/>
        <v>14</v>
      </c>
      <c r="B15">
        <v>14</v>
      </c>
      <c r="C15" t="e" cm="1">
        <f t="array" ref="C15">GetValue("Ref","Name",B15)</f>
        <v>#VALUE!</v>
      </c>
      <c r="D15">
        <v>91</v>
      </c>
      <c r="E15" t="str" cm="1">
        <f t="array" ref="E15">GetValue("Col","Name",D15)</f>
        <v>ConnectionString</v>
      </c>
      <c r="F15">
        <v>5</v>
      </c>
    </row>
    <row r="16" spans="1:6">
      <c r="A16">
        <f t="shared" si="0"/>
        <v>15</v>
      </c>
      <c r="B16">
        <v>15</v>
      </c>
      <c r="C16" t="e" cm="1">
        <f t="array" ref="C16">GetValue("Ref","Name",B16)</f>
        <v>#VALUE!</v>
      </c>
      <c r="D16">
        <v>111</v>
      </c>
      <c r="E16" t="str" cm="1">
        <f t="array" ref="E16">GetValue("Col","Name",D16)</f>
        <v>Description</v>
      </c>
      <c r="F16">
        <v>5</v>
      </c>
    </row>
    <row r="17" spans="1:6">
      <c r="A17">
        <f t="shared" si="0"/>
        <v>16</v>
      </c>
      <c r="B17">
        <v>16</v>
      </c>
      <c r="C17" t="e" cm="1">
        <f t="array" ref="C17">GetValue("Ref","Name",B17)</f>
        <v>#VALUE!</v>
      </c>
      <c r="D17">
        <v>115</v>
      </c>
      <c r="E17" t="str" cm="1">
        <f t="array" ref="E17">GetValue("Col","Name",D17)</f>
        <v>DomainId</v>
      </c>
      <c r="F17">
        <v>5</v>
      </c>
    </row>
    <row r="18" spans="1:6">
      <c r="A18">
        <f t="shared" si="0"/>
        <v>17</v>
      </c>
      <c r="B18">
        <v>17</v>
      </c>
      <c r="C18" t="e" cm="1">
        <f t="array" ref="C18">GetValue("Ref","Name",B18)</f>
        <v>#VALUE!</v>
      </c>
      <c r="D18">
        <v>117</v>
      </c>
      <c r="E18" t="str" cm="1">
        <f t="array" ref="E18">GetValue("Col","Name",D18)</f>
        <v>Name</v>
      </c>
      <c r="F18">
        <v>5</v>
      </c>
    </row>
    <row r="19" spans="1:6">
      <c r="A19">
        <f t="shared" si="0"/>
        <v>18</v>
      </c>
      <c r="B19">
        <v>18</v>
      </c>
      <c r="C19" t="e" cm="1">
        <f t="array" ref="C19">GetValue("Ref","Name",B19)</f>
        <v>#VALUE!</v>
      </c>
      <c r="D19">
        <v>120</v>
      </c>
      <c r="E19" t="str" cm="1">
        <f t="array" ref="E19">GetValue("Col","Name",D19)</f>
        <v>IsRequired</v>
      </c>
      <c r="F19">
        <v>5</v>
      </c>
    </row>
    <row r="20" spans="1:6">
      <c r="A20">
        <f t="shared" si="0"/>
        <v>19</v>
      </c>
      <c r="B20">
        <v>19</v>
      </c>
      <c r="C20" t="e" cm="1">
        <f t="array" ref="C20">GetValue("Ref","Name",B20)</f>
        <v>#VALUE!</v>
      </c>
      <c r="D20">
        <v>121</v>
      </c>
      <c r="E20" t="str" cm="1">
        <f t="array" ref="E20">GetValue("Col","Name",D20)</f>
        <v>IsPrimaryKey</v>
      </c>
      <c r="F20">
        <v>5</v>
      </c>
    </row>
    <row r="21" spans="1:6">
      <c r="A21">
        <f t="shared" si="0"/>
        <v>20</v>
      </c>
      <c r="B21">
        <v>20</v>
      </c>
      <c r="C21" t="e" cm="1">
        <f t="array" ref="C21">GetValue("Ref","Name",B21)</f>
        <v>#VALUE!</v>
      </c>
      <c r="D21">
        <v>126</v>
      </c>
      <c r="E21" t="str" cm="1">
        <f t="array" ref="E21">GetValue("Col","Name",D21)</f>
        <v>IsGridable</v>
      </c>
      <c r="F21">
        <v>5</v>
      </c>
    </row>
    <row r="22" spans="1:6">
      <c r="A22">
        <f t="shared" si="0"/>
        <v>21</v>
      </c>
      <c r="B22">
        <v>21</v>
      </c>
      <c r="C22" t="e" cm="1">
        <f t="array" ref="C22">GetValue("Ref","Name",B22)</f>
        <v>#VALUE!</v>
      </c>
      <c r="D22">
        <v>129</v>
      </c>
      <c r="E22" t="str" cm="1">
        <f t="array" ref="E22">GetValue("Col","Name",D22)</f>
        <v>IsInWords</v>
      </c>
      <c r="F22">
        <v>5</v>
      </c>
    </row>
    <row r="23" spans="1:6">
      <c r="A23">
        <f t="shared" si="0"/>
        <v>22</v>
      </c>
      <c r="B23">
        <v>22</v>
      </c>
      <c r="C23" t="e" cm="1">
        <f t="array" ref="C23">GetValue("Ref","Name",B23)</f>
        <v>#VALUE!</v>
      </c>
      <c r="D23">
        <v>136</v>
      </c>
      <c r="E23" t="str" cm="1">
        <f t="array" ref="E23">GetValue("Col","Name",D23)</f>
        <v>ColumnId</v>
      </c>
      <c r="F23">
        <v>5</v>
      </c>
    </row>
    <row r="24" spans="1:6">
      <c r="A24">
        <f t="shared" si="0"/>
        <v>23</v>
      </c>
      <c r="B24">
        <v>23</v>
      </c>
      <c r="C24" t="e" cm="1">
        <f t="array" ref="C24">GetValue("Ref","Name",B24)</f>
        <v>#VALUE!</v>
      </c>
      <c r="D24">
        <v>137</v>
      </c>
      <c r="E24" t="str" cm="1">
        <f t="array" ref="E24">GetValue("Col","Name",D24)</f>
        <v>Sequence</v>
      </c>
      <c r="F24">
        <v>5</v>
      </c>
    </row>
    <row r="25" spans="1:6">
      <c r="A25">
        <f t="shared" si="0"/>
        <v>24</v>
      </c>
      <c r="B25">
        <v>24</v>
      </c>
      <c r="C25" t="e" cm="1">
        <f t="array" ref="C25">GetValue("Ref","Name",B25)</f>
        <v>#VALUE!</v>
      </c>
      <c r="D25">
        <v>144</v>
      </c>
      <c r="E25" t="str" cm="1">
        <f t="array" ref="E25">GetValue("Col","Name",D25)</f>
        <v>RightColumnId</v>
      </c>
      <c r="F25">
        <v>5</v>
      </c>
    </row>
    <row r="26" spans="1:6">
      <c r="A26">
        <f t="shared" si="0"/>
        <v>25</v>
      </c>
      <c r="B26">
        <v>25</v>
      </c>
      <c r="C26" t="e" cm="1">
        <f t="array" ref="C26">GetValue("Ref","Name",B26)</f>
        <v>#VALUE!</v>
      </c>
      <c r="D26">
        <v>145</v>
      </c>
      <c r="E26" t="str" cm="1">
        <f t="array" ref="E26">GetValue("Col","Name",D26)</f>
        <v>IsBirectional</v>
      </c>
      <c r="F26">
        <v>5</v>
      </c>
    </row>
    <row r="27" spans="1:6">
      <c r="A27">
        <f t="shared" si="0"/>
        <v>26</v>
      </c>
      <c r="B27">
        <v>26</v>
      </c>
      <c r="C27" t="e" cm="1">
        <f t="array" ref="C27">GetValue("Ref","Name",B27)</f>
        <v>#VALUE!</v>
      </c>
      <c r="D27">
        <v>154</v>
      </c>
      <c r="E27" t="str" cm="1">
        <f t="array" ref="E27">GetValue("Col","Name",D27)</f>
        <v>LeftColumnId</v>
      </c>
      <c r="F27">
        <v>5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B1" sqref="B1:C1"/>
    </sheetView>
  </sheetViews>
  <sheetFormatPr defaultColWidth="8.33203125" defaultRowHeight="14.4"/>
  <cols>
    <col min="1" max="1" width="3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561</v>
      </c>
      <c r="B1" s="1" t="s">
        <v>594</v>
      </c>
      <c r="C1" s="1" t="s">
        <v>593</v>
      </c>
      <c r="D1" s="1" t="s">
        <v>0</v>
      </c>
      <c r="E1" s="1" t="s">
        <v>77</v>
      </c>
      <c r="F1" s="1" t="s">
        <v>78</v>
      </c>
      <c r="G1" s="1" t="s">
        <v>23</v>
      </c>
    </row>
    <row r="2" spans="1:7">
      <c r="A2">
        <f>ROW(A2)-1</f>
        <v>1</v>
      </c>
      <c r="B2">
        <v>1</v>
      </c>
      <c r="C2" t="str" cm="1">
        <f t="array" ref="C2">GetValue("Own","Name",B2)</f>
        <v>SoftLab</v>
      </c>
      <c r="D2" t="s">
        <v>101</v>
      </c>
      <c r="E2" t="s">
        <v>101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GetValue("Own","Name",B3)</f>
        <v>SoftLab</v>
      </c>
      <c r="D3" t="s">
        <v>103</v>
      </c>
      <c r="E3" t="s">
        <v>79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47" activePane="bottomLeft" state="frozen"/>
      <selection pane="bottomLeft" activeCell="A2" sqref="A2"/>
    </sheetView>
  </sheetViews>
  <sheetFormatPr defaultColWidth="8.6640625" defaultRowHeight="14.4"/>
  <cols>
    <col min="1" max="1" width="3.6640625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561</v>
      </c>
      <c r="B1" s="1" t="s">
        <v>66</v>
      </c>
      <c r="C1" s="1" t="s">
        <v>109</v>
      </c>
      <c r="D1" s="1" t="s">
        <v>80</v>
      </c>
      <c r="E1" s="1" t="s">
        <v>108</v>
      </c>
      <c r="F1" s="1" t="s">
        <v>93</v>
      </c>
      <c r="G1" s="1" t="s">
        <v>111</v>
      </c>
      <c r="H1" s="1" t="s">
        <v>353</v>
      </c>
      <c r="I1" s="1" t="s">
        <v>354</v>
      </c>
      <c r="J1" s="1" t="s">
        <v>355</v>
      </c>
      <c r="K1" s="1" t="s">
        <v>356</v>
      </c>
    </row>
    <row r="2" spans="1:11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GetValue("Usr","Name",D2)</f>
        <v>adm</v>
      </c>
      <c r="F2">
        <v>1</v>
      </c>
      <c r="G2" t="str" cm="1">
        <f t="array" ref="G2">GetValue("Tbl","Name",F2)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GetValue("Sys","Name",B3)</f>
        <v>crudex</v>
      </c>
      <c r="D3">
        <v>1</v>
      </c>
      <c r="E3" t="str" cm="1">
        <f t="array" ref="E3">GetValue("Usr","Name",D3)</f>
        <v>adm</v>
      </c>
      <c r="F3">
        <v>2</v>
      </c>
      <c r="G3" t="str" cm="1">
        <f t="array" ref="G3">GetValue("Tbl","Name",F3)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GetValue("Sys","Name",B4)</f>
        <v>crudex</v>
      </c>
      <c r="D4">
        <v>1</v>
      </c>
      <c r="E4" t="str" cm="1">
        <f t="array" ref="E4">GetValue("Usr","Name",D4)</f>
        <v>adm</v>
      </c>
      <c r="F4">
        <v>3</v>
      </c>
      <c r="G4" t="str" cm="1">
        <f t="array" ref="G4">GetValue("Tbl","Name",F4)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4</v>
      </c>
      <c r="G5" t="str" cm="1">
        <f t="array" ref="G5">GetValue("Tbl","Name",F5)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5</v>
      </c>
      <c r="G6" t="str" cm="1">
        <f t="array" ref="G6">GetValue("Tbl","Name",F6)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6</v>
      </c>
      <c r="G7" t="str" cm="1">
        <f t="array" ref="G7">GetValue("Tbl","Name",F7)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7</v>
      </c>
      <c r="G8" t="str" cm="1">
        <f t="array" ref="G8">GetValue("Tbl","Name",F8)</f>
        <v>Owners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8</v>
      </c>
      <c r="G9" t="str" cm="1">
        <f t="array" ref="G9">GetValue("Tbl","Name",F9)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9</v>
      </c>
      <c r="G10" t="str" cm="1">
        <f t="array" ref="G10">GetValue("Tbl","Name",F10)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10</v>
      </c>
      <c r="G11" t="str" cm="1">
        <f t="array" ref="G11">GetValue("Tbl","Name",F11)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11</v>
      </c>
      <c r="G12" t="str" cm="1">
        <f t="array" ref="G12">GetValue("Tbl","Name",F12)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12</v>
      </c>
      <c r="G13" t="str" cm="1">
        <f t="array" ref="G13">GetValue("Tbl","Name",F13)</f>
        <v>Environments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13</v>
      </c>
      <c r="G14" t="str" cm="1">
        <f t="array" ref="G14">GetValue("Tbl","Name",F14)</f>
        <v>Connections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14</v>
      </c>
      <c r="G15" t="str" cm="1">
        <f t="array" ref="G15">GetValue("Tbl","Name",F15)</f>
        <v>Strings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15</v>
      </c>
      <c r="G16" t="str" cm="1">
        <f t="array" ref="G16">GetValue("Tbl","Name",F16)</f>
        <v>Systems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16</v>
      </c>
      <c r="G17" t="str" cm="1">
        <f t="array" ref="G17">GetValue("Tbl","Name",F17)</f>
        <v>Menus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17</v>
      </c>
      <c r="G18" t="str" cm="1">
        <f t="array" ref="G18">GetValue("Tbl","Name",F18)</f>
        <v>Tables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18</v>
      </c>
      <c r="G19" t="str" cm="1">
        <f t="array" ref="G19">GetValue("Tbl","Name",F19)</f>
        <v>Columns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19</v>
      </c>
      <c r="G20" t="str" cm="1">
        <f t="array" ref="G20">GetValue("Tbl","Name",F20)</f>
        <v>Indexes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20</v>
      </c>
      <c r="G21" t="str" cm="1">
        <f t="array" ref="G21">GetValue("Tbl","Name",F21)</f>
        <v>Indexkeys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21</v>
      </c>
      <c r="G22" t="str" cm="1">
        <f t="array" ref="G22">GetValue("Tbl","Name",F22)</f>
        <v>Includes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22</v>
      </c>
      <c r="G23" t="str" cm="1">
        <f t="array" ref="G23">GetValue("Tbl","Name",F23)</f>
        <v>Unicities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23</v>
      </c>
      <c r="G24" t="str" cm="1">
        <f t="array" ref="G24">GetValue("Tbl","Name",F24)</f>
        <v>Expressions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24</v>
      </c>
      <c r="G25" t="str" cm="1">
        <f t="array" ref="G25">GetValue("Tbl","Name",F25)</f>
        <v>Conditions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25</v>
      </c>
      <c r="G26" t="str" cm="1">
        <f t="array" ref="G26">GetValue("Tbl","Name",F26)</f>
        <v>References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26</v>
      </c>
      <c r="G27" t="str" cm="1">
        <f t="array" ref="G27">GetValue("Tbl","Name",F27)</f>
        <v>Referencekeys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27</v>
      </c>
      <c r="G28" t="str" cm="1">
        <f t="array" ref="G28">GetValue("Tbl","Name",F28)</f>
        <v>Users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GetValue("Sys","Name",B29)</f>
        <v>crudex</v>
      </c>
      <c r="D29">
        <v>2</v>
      </c>
      <c r="E29" t="str" cm="1">
        <f t="array" ref="E29">GetValue("Usr","Name",D29)</f>
        <v>labrego</v>
      </c>
      <c r="F29">
        <v>1</v>
      </c>
      <c r="G29" t="str" cm="1">
        <f t="array" ref="G29">GetValue("Tbl","Name",F29)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GetValue("Sys","Name",B30)</f>
        <v>crudex</v>
      </c>
      <c r="D30">
        <v>2</v>
      </c>
      <c r="E30" t="str" cm="1">
        <f t="array" ref="E30">GetValue("Usr","Name",D30)</f>
        <v>labrego</v>
      </c>
      <c r="F30">
        <v>2</v>
      </c>
      <c r="G30" t="str" cm="1">
        <f t="array" ref="G30">GetValue("Tbl","Name",F30)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GetValue("Sys","Name",B31)</f>
        <v>crudex</v>
      </c>
      <c r="D31">
        <v>2</v>
      </c>
      <c r="E31" t="str" cm="1">
        <f t="array" ref="E31">GetValue("Usr","Name",D31)</f>
        <v>labrego</v>
      </c>
      <c r="F31">
        <v>3</v>
      </c>
      <c r="G31" t="str" cm="1">
        <f t="array" ref="G31">GetValue("Tbl","Name",F31)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4</v>
      </c>
      <c r="G32" t="str" cm="1">
        <f t="array" ref="G32">GetValue("Tbl","Name",F32)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5</v>
      </c>
      <c r="G33" t="str" cm="1">
        <f t="array" ref="G33">GetValue("Tbl","Name",F33)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6</v>
      </c>
      <c r="G34" t="str" cm="1">
        <f t="array" ref="G34">GetValue("Tbl","Name",F34)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7</v>
      </c>
      <c r="G35" t="str" cm="1">
        <f t="array" ref="G35">GetValue("Tbl","Name",F35)</f>
        <v>Owners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8</v>
      </c>
      <c r="G36" t="str" cm="1">
        <f t="array" ref="G36">GetValue("Tbl","Name",F36)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9</v>
      </c>
      <c r="G37" t="str" cm="1">
        <f t="array" ref="G37">GetValue("Tbl","Name",F37)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10</v>
      </c>
      <c r="G38" t="str" cm="1">
        <f t="array" ref="G38">GetValue("Tbl","Name",F38)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11</v>
      </c>
      <c r="G39" t="str" cm="1">
        <f t="array" ref="G39">GetValue("Tbl","Name",F39)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12</v>
      </c>
      <c r="G40" t="str" cm="1">
        <f t="array" ref="G40">GetValue("Tbl","Name",F40)</f>
        <v>Environments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13</v>
      </c>
      <c r="G41" t="str" cm="1">
        <f t="array" ref="G41">GetValue("Tbl","Name",F41)</f>
        <v>Connections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14</v>
      </c>
      <c r="G42" t="str" cm="1">
        <f t="array" ref="G42">GetValue("Tbl","Name",F42)</f>
        <v>Strings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15</v>
      </c>
      <c r="G43" t="str" cm="1">
        <f t="array" ref="G43">GetValue("Tbl","Name",F43)</f>
        <v>Systems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16</v>
      </c>
      <c r="G44" t="str" cm="1">
        <f t="array" ref="G44">GetValue("Tbl","Name",F44)</f>
        <v>Menus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17</v>
      </c>
      <c r="G45" t="str" cm="1">
        <f t="array" ref="G45">GetValue("Tbl","Name",F45)</f>
        <v>Tables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18</v>
      </c>
      <c r="G46" t="str" cm="1">
        <f t="array" ref="G46">GetValue("Tbl","Name",F46)</f>
        <v>Columns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19</v>
      </c>
      <c r="G47" t="str" cm="1">
        <f t="array" ref="G47">GetValue("Tbl","Name",F47)</f>
        <v>Indexes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20</v>
      </c>
      <c r="G48" t="str" cm="1">
        <f t="array" ref="G48">GetValue("Tbl","Name",F48)</f>
        <v>Indexkeys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21</v>
      </c>
      <c r="G49" t="str" cm="1">
        <f t="array" ref="G49">GetValue("Tbl","Name",F49)</f>
        <v>Includes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22</v>
      </c>
      <c r="G50" t="str" cm="1">
        <f t="array" ref="G50">GetValue("Tbl","Name",F50)</f>
        <v>Unicities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23</v>
      </c>
      <c r="G51" t="str" cm="1">
        <f t="array" ref="G51">GetValue("Tbl","Name",F51)</f>
        <v>Expressions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24</v>
      </c>
      <c r="G52" t="str" cm="1">
        <f t="array" ref="G52">GetValue("Tbl","Name",F52)</f>
        <v>Conditions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25</v>
      </c>
      <c r="G53" t="str" cm="1">
        <f t="array" ref="G53">GetValue("Tbl","Name",F53)</f>
        <v>References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26</v>
      </c>
      <c r="G54" t="str" cm="1">
        <f t="array" ref="G54">GetValue("Tbl","Name",F54)</f>
        <v>Referencekeys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27</v>
      </c>
      <c r="G55" t="str" cm="1">
        <f t="array" ref="G55">GetValue("Tbl","Name",F55)</f>
        <v>Users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D2" sqref="D2:D20"/>
    </sheetView>
  </sheetViews>
  <sheetFormatPr defaultColWidth="93.44140625" defaultRowHeight="14.4"/>
  <cols>
    <col min="1" max="1" width="3.6640625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561</v>
      </c>
      <c r="B1" s="8" t="s">
        <v>0</v>
      </c>
      <c r="C1" s="8" t="s">
        <v>15</v>
      </c>
      <c r="D1" s="8" t="s">
        <v>105</v>
      </c>
      <c r="E1" s="8" t="s">
        <v>64</v>
      </c>
      <c r="F1" s="1" t="s">
        <v>23</v>
      </c>
    </row>
    <row r="2" spans="1:6">
      <c r="A2" s="10">
        <f>ROW(A2)-1</f>
        <v>1</v>
      </c>
      <c r="B2" s="10" t="s">
        <v>294</v>
      </c>
      <c r="C2" s="10"/>
      <c r="D2" s="10" t="str" cm="1">
        <f t="array" ref="D2">GetValue("Cat","Name",C2)</f>
        <v/>
      </c>
      <c r="E2" s="10" t="s">
        <v>323</v>
      </c>
      <c r="F2" t="b">
        <v>1</v>
      </c>
    </row>
    <row r="3" spans="1:6">
      <c r="A3" s="10">
        <f t="shared" ref="A3:A20" si="0">ROW(A3)-1</f>
        <v>2</v>
      </c>
      <c r="B3" s="10" t="s">
        <v>295</v>
      </c>
      <c r="C3" s="10"/>
      <c r="D3" s="10" t="str" cm="1">
        <f t="array" ref="D3">GetValue("Cat","Name",C3)</f>
        <v/>
      </c>
      <c r="E3" s="10" t="s">
        <v>324</v>
      </c>
      <c r="F3" t="b">
        <v>1</v>
      </c>
    </row>
    <row r="4" spans="1:6">
      <c r="A4" s="10">
        <f t="shared" si="0"/>
        <v>3</v>
      </c>
      <c r="B4" s="10" t="s">
        <v>296</v>
      </c>
      <c r="C4" s="10"/>
      <c r="D4" s="10" t="str" cm="1">
        <f t="array" ref="D4">GetValue("Cat","Name",C4)</f>
        <v/>
      </c>
      <c r="E4" s="10" t="s">
        <v>325</v>
      </c>
      <c r="F4" t="b">
        <v>1</v>
      </c>
    </row>
    <row r="5" spans="1:6">
      <c r="A5" s="10">
        <f t="shared" si="0"/>
        <v>4</v>
      </c>
      <c r="B5" s="10" t="s">
        <v>297</v>
      </c>
      <c r="C5" s="10"/>
      <c r="D5" s="10" t="str" cm="1">
        <f t="array" ref="D5">GetValue("Cat","Name",C5)</f>
        <v/>
      </c>
      <c r="E5" s="10" t="s">
        <v>326</v>
      </c>
      <c r="F5" t="b">
        <v>1</v>
      </c>
    </row>
    <row r="6" spans="1:6">
      <c r="A6" s="10">
        <f t="shared" si="0"/>
        <v>5</v>
      </c>
      <c r="B6" s="10" t="s">
        <v>298</v>
      </c>
      <c r="C6" s="10"/>
      <c r="D6" s="10" t="str" cm="1">
        <f t="array" ref="D6">GetValue("Cat","Name",C6)</f>
        <v/>
      </c>
      <c r="E6" s="10" t="s">
        <v>327</v>
      </c>
      <c r="F6" t="b">
        <v>1</v>
      </c>
    </row>
    <row r="7" spans="1:6">
      <c r="A7" s="10">
        <f t="shared" si="0"/>
        <v>6</v>
      </c>
      <c r="B7" s="10" t="s">
        <v>299</v>
      </c>
      <c r="C7" s="10"/>
      <c r="D7" s="10" t="str" cm="1">
        <f t="array" ref="D7">GetValue("Cat","Name",C7)</f>
        <v/>
      </c>
      <c r="E7" s="10" t="s">
        <v>328</v>
      </c>
      <c r="F7" t="b">
        <v>1</v>
      </c>
    </row>
    <row r="8" spans="1:6">
      <c r="A8" s="10">
        <f t="shared" si="0"/>
        <v>7</v>
      </c>
      <c r="B8" s="10" t="s">
        <v>300</v>
      </c>
      <c r="C8" s="10">
        <v>10</v>
      </c>
      <c r="D8" s="10" t="str" cm="1">
        <f t="array" ref="D8">GetValue("Cat","Name",C8)</f>
        <v>undefined</v>
      </c>
      <c r="E8" s="10" t="s">
        <v>329</v>
      </c>
      <c r="F8" t="b">
        <v>1</v>
      </c>
    </row>
    <row r="9" spans="1:6">
      <c r="A9" s="10">
        <f t="shared" si="0"/>
        <v>8</v>
      </c>
      <c r="B9" s="10" t="s">
        <v>301</v>
      </c>
      <c r="C9" s="10">
        <v>1</v>
      </c>
      <c r="D9" s="10" t="str" cm="1">
        <f t="array" ref="D9">GetValue("Cat","Name",C9)</f>
        <v>string</v>
      </c>
      <c r="E9" s="10" t="s">
        <v>302</v>
      </c>
      <c r="F9" t="b">
        <v>1</v>
      </c>
    </row>
    <row r="10" spans="1:6">
      <c r="A10" s="10">
        <f t="shared" si="0"/>
        <v>9</v>
      </c>
      <c r="B10" s="10" t="s">
        <v>303</v>
      </c>
      <c r="C10" s="10">
        <v>1</v>
      </c>
      <c r="D10" s="10" t="str" cm="1">
        <f t="array" ref="D10">GetValue("Cat","Name",C10)</f>
        <v>string</v>
      </c>
      <c r="E10" s="10" t="s">
        <v>304</v>
      </c>
      <c r="F10" t="b">
        <v>1</v>
      </c>
    </row>
    <row r="11" spans="1:6">
      <c r="A11" s="10">
        <f t="shared" si="0"/>
        <v>10</v>
      </c>
      <c r="B11" s="10" t="s">
        <v>305</v>
      </c>
      <c r="C11" s="10">
        <v>1</v>
      </c>
      <c r="D11" s="10" t="str" cm="1">
        <f t="array" ref="D11">GetValue("Cat","Name",C11)</f>
        <v>string</v>
      </c>
      <c r="E11" s="10" t="s">
        <v>306</v>
      </c>
      <c r="F11" t="b">
        <v>1</v>
      </c>
    </row>
    <row r="12" spans="1:6">
      <c r="A12" s="10">
        <f t="shared" si="0"/>
        <v>11</v>
      </c>
      <c r="B12" s="10" t="s">
        <v>307</v>
      </c>
      <c r="C12" s="10">
        <v>1</v>
      </c>
      <c r="D12" s="10" t="str" cm="1">
        <f t="array" ref="D12">GetValue("Cat","Name",C12)</f>
        <v>string</v>
      </c>
      <c r="E12" s="10" t="s">
        <v>308</v>
      </c>
      <c r="F12" t="b">
        <v>1</v>
      </c>
    </row>
    <row r="13" spans="1:6">
      <c r="A13" s="10">
        <f t="shared" si="0"/>
        <v>12</v>
      </c>
      <c r="B13" s="10" t="s">
        <v>309</v>
      </c>
      <c r="C13" s="10">
        <v>10</v>
      </c>
      <c r="D13" s="10" t="str" cm="1">
        <f t="array" ref="D13">GetValue("Cat","Name",C13)</f>
        <v>undefined</v>
      </c>
      <c r="E13" s="10" t="s">
        <v>330</v>
      </c>
      <c r="F13" t="b">
        <v>1</v>
      </c>
    </row>
    <row r="14" spans="1:6">
      <c r="A14" s="10">
        <f t="shared" si="0"/>
        <v>13</v>
      </c>
      <c r="B14" s="10" t="s">
        <v>310</v>
      </c>
      <c r="C14" s="10">
        <v>10</v>
      </c>
      <c r="D14" s="10" t="str" cm="1">
        <f t="array" ref="D14">GetValue("Cat","Name",C14)</f>
        <v>undefined</v>
      </c>
      <c r="E14" s="10" t="s">
        <v>331</v>
      </c>
      <c r="F14" t="b">
        <v>1</v>
      </c>
    </row>
    <row r="15" spans="1:6">
      <c r="A15" s="10">
        <f t="shared" si="0"/>
        <v>14</v>
      </c>
      <c r="B15" s="10" t="s">
        <v>311</v>
      </c>
      <c r="C15" s="10">
        <v>2</v>
      </c>
      <c r="D15" s="10" t="str" cm="1">
        <f t="array" ref="D15">GetValue("Cat","Name",C15)</f>
        <v>number</v>
      </c>
      <c r="E15" s="10" t="s">
        <v>312</v>
      </c>
      <c r="F15" t="b">
        <v>1</v>
      </c>
    </row>
    <row r="16" spans="1:6">
      <c r="A16" s="10">
        <f t="shared" si="0"/>
        <v>15</v>
      </c>
      <c r="B16" s="10" t="s">
        <v>313</v>
      </c>
      <c r="C16" s="10">
        <v>2</v>
      </c>
      <c r="D16" s="10" t="str" cm="1">
        <f t="array" ref="D16">GetValue("Cat","Name",C16)</f>
        <v>number</v>
      </c>
      <c r="E16" s="10" t="s">
        <v>314</v>
      </c>
      <c r="F16" t="b">
        <v>1</v>
      </c>
    </row>
    <row r="17" spans="1:6">
      <c r="A17" s="10">
        <f t="shared" si="0"/>
        <v>16</v>
      </c>
      <c r="B17" s="10" t="s">
        <v>315</v>
      </c>
      <c r="C17" s="10">
        <v>2</v>
      </c>
      <c r="D17" s="10" t="str" cm="1">
        <f t="array" ref="D17">GetValue("Cat","Name",C17)</f>
        <v>number</v>
      </c>
      <c r="E17" s="10" t="s">
        <v>316</v>
      </c>
      <c r="F17" t="b">
        <v>1</v>
      </c>
    </row>
    <row r="18" spans="1:6">
      <c r="A18" s="10">
        <f t="shared" si="0"/>
        <v>17</v>
      </c>
      <c r="B18" s="10" t="s">
        <v>317</v>
      </c>
      <c r="C18" s="10">
        <v>1</v>
      </c>
      <c r="D18" s="10" t="str" cm="1">
        <f t="array" ref="D18">GetValue("Cat","Name",C18)</f>
        <v>string</v>
      </c>
      <c r="E18" s="10" t="s">
        <v>318</v>
      </c>
      <c r="F18" t="b">
        <v>1</v>
      </c>
    </row>
    <row r="19" spans="1:6">
      <c r="A19" s="10">
        <f t="shared" si="0"/>
        <v>18</v>
      </c>
      <c r="B19" s="10" t="s">
        <v>319</v>
      </c>
      <c r="C19" s="10">
        <v>1</v>
      </c>
      <c r="D19" s="10" t="str" cm="1">
        <f t="array" ref="D19">GetValue("Cat","Name",C19)</f>
        <v>string</v>
      </c>
      <c r="E19" s="10" t="s">
        <v>320</v>
      </c>
      <c r="F19" t="b">
        <v>1</v>
      </c>
    </row>
    <row r="20" spans="1:6">
      <c r="A20" s="10">
        <f t="shared" si="0"/>
        <v>19</v>
      </c>
      <c r="B20" s="10" t="s">
        <v>321</v>
      </c>
      <c r="C20" s="10">
        <v>1</v>
      </c>
      <c r="D20" s="10" t="str" cm="1">
        <f t="array" ref="D20">GetValue("Cat","Name",C20)</f>
        <v>string</v>
      </c>
      <c r="E20" s="10" t="s">
        <v>322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1"/>
  <sheetViews>
    <sheetView workbookViewId="0">
      <pane ySplit="1" topLeftCell="A2" activePane="bottomLeft" state="frozen"/>
      <selection pane="bottomLeft" activeCell="J2" sqref="J2"/>
    </sheetView>
  </sheetViews>
  <sheetFormatPr defaultColWidth="9" defaultRowHeight="14.4"/>
  <cols>
    <col min="1" max="1" width="3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10" s="1" customFormat="1">
      <c r="A1" s="8" t="s">
        <v>561</v>
      </c>
      <c r="B1" s="8" t="s">
        <v>97</v>
      </c>
      <c r="C1" s="8" t="s">
        <v>383</v>
      </c>
      <c r="D1" s="1" t="s">
        <v>114</v>
      </c>
      <c r="E1" s="1" t="s">
        <v>369</v>
      </c>
      <c r="F1" s="1" t="s">
        <v>382</v>
      </c>
      <c r="G1" s="1" t="s">
        <v>370</v>
      </c>
      <c r="H1" s="1" t="s">
        <v>334</v>
      </c>
      <c r="I1" s="1" t="s">
        <v>241</v>
      </c>
      <c r="J1" s="1" t="s">
        <v>670</v>
      </c>
    </row>
    <row r="2" spans="1:10">
      <c r="A2" s="10">
        <f>ROW(A2)-1</f>
        <v>1</v>
      </c>
      <c r="B2" s="10">
        <v>1</v>
      </c>
      <c r="C2" t="str" cm="1">
        <f t="array" ref="C2">GetValue("Col","#TableAlias",B2)</f>
        <v>Cat</v>
      </c>
      <c r="D2" t="str" cm="1">
        <f t="array" ref="D2">GetValue("Col","Name",B2)</f>
        <v>Id</v>
      </c>
      <c r="E2">
        <v>1</v>
      </c>
      <c r="F2" t="str" cm="1">
        <f t="array" ref="F2">GetValue("Exp","Name",E2)</f>
        <v>Expression 0001</v>
      </c>
      <c r="G2">
        <v>2</v>
      </c>
      <c r="H2" s="14" t="str" cm="1">
        <f t="array" ref="H2">GetValue("Prp","Name",G2)</f>
        <v>enabled</v>
      </c>
      <c r="I2" t="s">
        <v>294</v>
      </c>
    </row>
    <row r="3" spans="1:10">
      <c r="A3" s="10"/>
      <c r="B3" s="10"/>
      <c r="C3" s="10"/>
    </row>
    <row r="4" spans="1:10">
      <c r="A4" s="10"/>
      <c r="B4" s="10"/>
      <c r="C4" s="10"/>
    </row>
    <row r="5" spans="1:10">
      <c r="A5" s="10"/>
      <c r="B5" s="10"/>
      <c r="C5" s="10"/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N2"/>
  <sheetViews>
    <sheetView workbookViewId="0">
      <pane ySplit="1" topLeftCell="A2" activePane="bottomLeft" state="frozen"/>
      <selection pane="bottomLeft" sqref="A1:XFD1048576"/>
    </sheetView>
  </sheetViews>
  <sheetFormatPr defaultColWidth="8.21875"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77734375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5.6640625" bestFit="1" customWidth="1"/>
    <col min="14" max="14" width="11.77734375" bestFit="1" customWidth="1"/>
  </cols>
  <sheetData>
    <row r="1" spans="1:14" s="1" customFormat="1">
      <c r="A1" s="1" t="s">
        <v>561</v>
      </c>
      <c r="B1" s="1" t="s">
        <v>594</v>
      </c>
      <c r="C1" s="1" t="s">
        <v>593</v>
      </c>
      <c r="D1" s="1" t="s">
        <v>0</v>
      </c>
      <c r="E1" s="1" t="s">
        <v>386</v>
      </c>
      <c r="F1" s="1" t="s">
        <v>338</v>
      </c>
      <c r="G1" s="1" t="s">
        <v>387</v>
      </c>
      <c r="H1" s="1" t="s">
        <v>388</v>
      </c>
      <c r="I1" s="1" t="s">
        <v>389</v>
      </c>
      <c r="J1" s="1" t="s">
        <v>390</v>
      </c>
      <c r="K1" s="1" t="s">
        <v>391</v>
      </c>
      <c r="L1" s="1" t="s">
        <v>392</v>
      </c>
      <c r="M1" s="1" t="s">
        <v>560</v>
      </c>
      <c r="N1" s="1" t="s">
        <v>23</v>
      </c>
    </row>
    <row r="2" spans="1:14">
      <c r="A2" s="10">
        <f>ROW(A2)-1</f>
        <v>1</v>
      </c>
      <c r="B2">
        <v>1</v>
      </c>
      <c r="C2" t="str" cm="1">
        <f t="array" ref="C2">GetValue("Own","Name",B2)</f>
        <v>SoftLab</v>
      </c>
      <c r="D2" t="s">
        <v>467</v>
      </c>
      <c r="E2">
        <v>1</v>
      </c>
      <c r="F2" t="s">
        <v>468</v>
      </c>
      <c r="G2" s="27">
        <v>0.33333333333333331</v>
      </c>
      <c r="N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C2" sqref="C2"/>
    </sheetView>
  </sheetViews>
  <sheetFormatPr defaultColWidth="9" defaultRowHeight="14.4"/>
  <cols>
    <col min="1" max="1" width="3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561</v>
      </c>
      <c r="B1" s="1" t="s">
        <v>93</v>
      </c>
      <c r="C1" s="1" t="s">
        <v>111</v>
      </c>
      <c r="D1" s="1" t="s">
        <v>0</v>
      </c>
      <c r="E1" s="1" t="s">
        <v>394</v>
      </c>
      <c r="F1" s="1" t="s">
        <v>23</v>
      </c>
    </row>
    <row r="2" spans="1:6">
      <c r="A2" s="10">
        <f>ROW(A2)-1</f>
        <v>1</v>
      </c>
      <c r="B2">
        <v>1</v>
      </c>
      <c r="C2" t="str" cm="1">
        <f t="array" ref="C2">GetValue("Tbl","Name",B2)</f>
        <v>Categories</v>
      </c>
      <c r="D2" t="s">
        <v>469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3.6640625" bestFit="1" customWidth="1"/>
    <col min="2" max="2" width="8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561</v>
      </c>
      <c r="B1" s="1" t="s">
        <v>549</v>
      </c>
      <c r="C1" s="1" t="s">
        <v>546</v>
      </c>
      <c r="D1" s="1" t="s">
        <v>82</v>
      </c>
      <c r="E1" s="1" t="s">
        <v>110</v>
      </c>
      <c r="F1" s="1" t="s">
        <v>67</v>
      </c>
      <c r="G1" s="1" t="s">
        <v>393</v>
      </c>
    </row>
    <row r="2" spans="1:7">
      <c r="A2" s="10">
        <f>ROW(A2)-1</f>
        <v>1</v>
      </c>
      <c r="B2" s="10">
        <v>1</v>
      </c>
      <c r="C2" s="10" t="str" cm="1">
        <f t="array" ref="C2">GetValue("Snp","Name",B2)</f>
        <v>Snp0001</v>
      </c>
      <c r="D2">
        <v>1</v>
      </c>
      <c r="E2" t="str" cm="1">
        <f t="array" ref="E2">GetValue("Db","Name",D2)</f>
        <v>crudex</v>
      </c>
      <c r="F2">
        <v>5</v>
      </c>
      <c r="G2" t="s">
        <v>470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E2" sqref="E2"/>
    </sheetView>
  </sheetViews>
  <sheetFormatPr defaultRowHeight="14.4"/>
  <cols>
    <col min="1" max="1" width="3.6640625" bestFit="1" customWidth="1"/>
    <col min="2" max="2" width="8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561</v>
      </c>
      <c r="B1" s="1" t="s">
        <v>549</v>
      </c>
      <c r="C1" s="1" t="s">
        <v>546</v>
      </c>
      <c r="D1" s="1" t="s">
        <v>67</v>
      </c>
      <c r="E1" s="1" t="s">
        <v>474</v>
      </c>
      <c r="F1" s="1" t="s">
        <v>534</v>
      </c>
    </row>
    <row r="2" spans="1:6">
      <c r="A2" s="10">
        <f>ROW(A2)-1</f>
        <v>1</v>
      </c>
      <c r="B2" s="10">
        <v>1</v>
      </c>
      <c r="C2" s="10" t="str" cm="1">
        <f t="array" ref="C2">GetValue("Snp","Name",B2)</f>
        <v>Snp0001</v>
      </c>
      <c r="D2">
        <v>10</v>
      </c>
      <c r="E2" t="s">
        <v>475</v>
      </c>
      <c r="F2" s="28" t="s">
        <v>473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H2" sqref="H2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8.77734375" bestFit="1" customWidth="1"/>
    <col min="5" max="5" width="13.21875" bestFit="1" customWidth="1"/>
    <col min="6" max="6" width="6.44140625" bestFit="1" customWidth="1"/>
    <col min="7" max="7" width="10.77734375" bestFit="1" customWidth="1"/>
    <col min="8" max="8" width="9.21875" bestFit="1" customWidth="1"/>
    <col min="9" max="9" width="8.44140625" bestFit="1" customWidth="1"/>
  </cols>
  <sheetData>
    <row r="1" spans="1:9" s="1" customFormat="1">
      <c r="A1" s="1" t="s">
        <v>561</v>
      </c>
      <c r="B1" s="1" t="s">
        <v>594</v>
      </c>
      <c r="C1" s="1" t="s">
        <v>593</v>
      </c>
      <c r="D1" s="1" t="s">
        <v>66</v>
      </c>
      <c r="E1" s="1" t="s">
        <v>109</v>
      </c>
      <c r="F1" s="1" t="s">
        <v>80</v>
      </c>
      <c r="G1" s="1" t="s">
        <v>108</v>
      </c>
      <c r="H1" s="1" t="s">
        <v>102</v>
      </c>
      <c r="I1" s="1" t="s">
        <v>104</v>
      </c>
    </row>
    <row r="2" spans="1:9">
      <c r="A2" s="10">
        <f>ROW(A2)-1</f>
        <v>1</v>
      </c>
      <c r="B2">
        <v>1</v>
      </c>
      <c r="C2" t="str" cm="1">
        <f t="array" ref="C2">GetValue("Own","Name",B2)</f>
        <v>SoftLab</v>
      </c>
      <c r="D2">
        <v>1</v>
      </c>
      <c r="E2" t="str" cm="1">
        <f t="array" ref="E2">GetValue("Sys","Name",D2)</f>
        <v>crudex</v>
      </c>
      <c r="F2">
        <v>1</v>
      </c>
      <c r="G2" t="str" cm="1">
        <f t="array" ref="G2">GetValue("Usr","Name",F2)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561</v>
      </c>
      <c r="B1" s="1" t="s">
        <v>144</v>
      </c>
      <c r="C1" s="1" t="s">
        <v>126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561</v>
      </c>
      <c r="B1" s="1" t="s">
        <v>127</v>
      </c>
      <c r="C1" s="1" t="s">
        <v>128</v>
      </c>
      <c r="D1" s="1" t="s">
        <v>70</v>
      </c>
      <c r="E1" s="1" t="s">
        <v>130</v>
      </c>
      <c r="F1" s="1" t="s">
        <v>129</v>
      </c>
      <c r="G1" s="1" t="s">
        <v>126</v>
      </c>
    </row>
    <row r="2" spans="1:7">
      <c r="A2" s="10">
        <f>ROW(A2)-1</f>
        <v>1</v>
      </c>
      <c r="B2">
        <v>1</v>
      </c>
      <c r="C2" t="s">
        <v>89</v>
      </c>
      <c r="D2" t="s">
        <v>471</v>
      </c>
      <c r="E2" t="s">
        <v>472</v>
      </c>
      <c r="F2" t="s">
        <v>472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37</vt:i4>
      </vt:variant>
    </vt:vector>
  </HeadingPairs>
  <TitlesOfParts>
    <vt:vector size="37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Db</vt:lpstr>
      <vt:lpstr>Env</vt:lpstr>
      <vt:lpstr>Con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Rfk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2026-06-26T11:39:05Z</dcterms:modified>
</cp:coreProperties>
</file>