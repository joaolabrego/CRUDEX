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25304820-20C2-4D16-963E-211B9A26C87A}" xr6:coauthVersionLast="47" xr6:coauthVersionMax="47" xr10:uidLastSave="{00000000-0000-0000-0000-000000000000}"/>
  <bookViews>
    <workbookView xWindow="-108" yWindow="-108" windowWidth="23256" windowHeight="13176" tabRatio="969" activeTab="15" xr2:uid="{62178005-964C-499D-8BA4-3BC85200C027}"/>
  </bookViews>
  <sheets>
    <sheet name="Cat" sheetId="1" r:id="rId1"/>
    <sheet name="Cmp" sheetId="52" r:id="rId2"/>
    <sheet name="CatCmp" sheetId="53" r:id="rId3"/>
    <sheet name="Eng" sheetId="26" r:id="rId4"/>
    <sheet name="Typ" sheetId="2" r:id="rId5"/>
    <sheet name="EngTyp" sheetId="27" r:id="rId6"/>
    <sheet name="Cli" sheetId="28" r:id="rId7"/>
    <sheet name="Dmn" sheetId="4" r:id="rId8"/>
    <sheet name="Msk" sheetId="3" r:id="rId9"/>
    <sheet name="DmnMsk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Snp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Col!$D$1:$D$121</definedName>
    <definedName name="_xlnm._FilterDatabase" localSheetId="5" hidden="1">EngTyp!$A$1:$G$381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12" l="1"/>
  <c r="F19" i="12"/>
  <c r="A18" i="12"/>
  <c r="A17" i="12"/>
  <c r="G18" i="12" a="1"/>
  <c r="E18" i="12" a="1"/>
  <c r="C18" i="12" a="1"/>
  <c r="E17" i="12" a="1"/>
  <c r="C17" i="12" a="1"/>
  <c r="G18" i="12" l="1"/>
  <c r="C18" i="12"/>
  <c r="E18" i="12"/>
  <c r="C17" i="12"/>
  <c r="E17" i="12"/>
  <c r="A15" i="12"/>
  <c r="A16" i="12"/>
  <c r="A14" i="12"/>
  <c r="A13" i="12"/>
  <c r="A24" i="12"/>
  <c r="J31" i="11"/>
  <c r="J32" i="11" s="1"/>
  <c r="J33" i="11" s="1"/>
  <c r="J34" i="11" s="1"/>
  <c r="J35" i="11" s="1"/>
  <c r="A60" i="4"/>
  <c r="A2" i="54"/>
  <c r="L32" i="11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35" i="11"/>
  <c r="L34" i="11"/>
  <c r="L31" i="11"/>
  <c r="L33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40" i="40" a="1"/>
  <c r="C36" i="40" a="1"/>
  <c r="C13" i="40" a="1"/>
  <c r="E68" i="53" a="1"/>
  <c r="E2" i="9" a="1"/>
  <c r="C3" i="53" a="1"/>
  <c r="C59" i="53" a="1"/>
  <c r="C9" i="53" a="1"/>
  <c r="E6" i="53" a="1"/>
  <c r="G2" i="46" a="1"/>
  <c r="C13" i="11" a="1"/>
  <c r="I8" i="11" a="1"/>
  <c r="C6" i="11" a="1"/>
  <c r="C16" i="11" a="1"/>
  <c r="C30" i="40" a="1"/>
  <c r="C26" i="40" a="1"/>
  <c r="C3" i="40" a="1"/>
  <c r="C62" i="53" a="1"/>
  <c r="E15" i="53" a="1"/>
  <c r="E67" i="53" a="1"/>
  <c r="E10" i="53" a="1"/>
  <c r="E64" i="53" a="1"/>
  <c r="E57" i="53" a="1"/>
  <c r="E2" i="46" a="1"/>
  <c r="C18" i="11" a="1"/>
  <c r="I25" i="11" a="1"/>
  <c r="I2" i="11" a="1"/>
  <c r="I32" i="11" a="1"/>
  <c r="C20" i="40" a="1"/>
  <c r="C16" i="40" a="1"/>
  <c r="C2" i="40" a="1"/>
  <c r="E50" i="53" a="1"/>
  <c r="C68" i="53" a="1"/>
  <c r="E59" i="53" a="1"/>
  <c r="C55" i="53" a="1"/>
  <c r="E43" i="53" a="1"/>
  <c r="E53" i="53" a="1"/>
  <c r="C31" i="11" a="1"/>
  <c r="C26" i="11" a="1"/>
  <c r="C4" i="11" a="1"/>
  <c r="C10" i="40" a="1"/>
  <c r="C6" i="40" a="1"/>
  <c r="E69" i="53" a="1"/>
  <c r="E29" i="53" a="1"/>
  <c r="C56" i="53" a="1"/>
  <c r="E38" i="53" a="1"/>
  <c r="C10" i="53" a="1"/>
  <c r="C32" i="53" a="1"/>
  <c r="C60" i="53" a="1"/>
  <c r="G2" i="15" a="1"/>
  <c r="I18" i="11" a="1"/>
  <c r="I12" i="11" a="1"/>
  <c r="I29" i="11" a="1"/>
  <c r="C49" i="40" a="1"/>
  <c r="C55" i="40" a="1"/>
  <c r="E52" i="53" a="1"/>
  <c r="C35" i="53" a="1"/>
  <c r="E44" i="53" a="1"/>
  <c r="E16" i="53" a="1"/>
  <c r="C20" i="53" a="1"/>
  <c r="C26" i="53" a="1"/>
  <c r="E48" i="53" a="1"/>
  <c r="E2" i="15" a="1"/>
  <c r="C17" i="11" a="1"/>
  <c r="C28" i="11" a="1"/>
  <c r="C5" i="11" a="1"/>
  <c r="C39" i="40" a="1"/>
  <c r="C45" i="40" a="1"/>
  <c r="C45" i="53" a="1"/>
  <c r="E7" i="53" a="1"/>
  <c r="C39" i="53" a="1"/>
  <c r="C27" i="53" a="1"/>
  <c r="E58" i="53" a="1"/>
  <c r="C24" i="53" a="1"/>
  <c r="E31" i="53" a="1"/>
  <c r="C2" i="15" a="1"/>
  <c r="I20" i="11" a="1"/>
  <c r="C9" i="11" a="1"/>
  <c r="C27" i="11" a="1"/>
  <c r="C29" i="40" a="1"/>
  <c r="C35" i="40" a="1"/>
  <c r="E39" i="53" a="1"/>
  <c r="C11" i="53" a="1"/>
  <c r="C34" i="53" a="1"/>
  <c r="E37" i="53" a="1"/>
  <c r="E25" i="53" a="1"/>
  <c r="C66" i="53" a="1"/>
  <c r="C8" i="53" a="1"/>
  <c r="C2" i="49" a="1"/>
  <c r="I22" i="11" a="1"/>
  <c r="I17" i="11" a="1"/>
  <c r="I23" i="11" a="1"/>
  <c r="C19" i="40" a="1"/>
  <c r="C25" i="40" a="1"/>
  <c r="C36" i="53" a="1"/>
  <c r="E20" i="53" a="1"/>
  <c r="E21" i="53" a="1"/>
  <c r="C43" i="53" a="1"/>
  <c r="E34" i="53" a="1"/>
  <c r="E60" i="53" a="1"/>
  <c r="C7" i="53" a="1"/>
  <c r="C2" i="47" a="1"/>
  <c r="I6" i="11" a="1"/>
  <c r="I13" i="11" a="1"/>
  <c r="C14" i="11" a="1"/>
  <c r="C9" i="40" a="1"/>
  <c r="C15" i="40" a="1"/>
  <c r="E11" i="53" a="1"/>
  <c r="C17" i="53" a="1"/>
  <c r="E27" i="53" a="1"/>
  <c r="E13" i="53" a="1"/>
  <c r="C42" i="53" a="1"/>
  <c r="C49" i="53" a="1"/>
  <c r="E2" i="53" a="1"/>
  <c r="F60" i="4" a="1"/>
  <c r="I10" i="11" a="1"/>
  <c r="I7" i="11" a="1"/>
  <c r="C12" i="11" a="1"/>
  <c r="C52" i="40" a="1"/>
  <c r="C48" i="40" a="1"/>
  <c r="C5" i="40" a="1"/>
  <c r="C6" i="53" a="1"/>
  <c r="C44" i="53" a="1"/>
  <c r="C65" i="53" a="1"/>
  <c r="E42" i="53" a="1"/>
  <c r="C67" i="53" a="1"/>
  <c r="C21" i="40" a="1"/>
  <c r="C43" i="40" a="1"/>
  <c r="E62" i="53" a="1"/>
  <c r="E12" i="53" a="1"/>
  <c r="C31" i="53" a="1"/>
  <c r="I11" i="11" a="1"/>
  <c r="C34" i="11" a="1"/>
  <c r="C11" i="40" a="1"/>
  <c r="C33" i="40" a="1"/>
  <c r="C46" i="53" a="1"/>
  <c r="C21" i="53" a="1"/>
  <c r="C13" i="53" a="1"/>
  <c r="I24" i="11" a="1"/>
  <c r="C29" i="11" a="1"/>
  <c r="C50" i="40" a="1"/>
  <c r="C23" i="40" a="1"/>
  <c r="E19" i="53" a="1"/>
  <c r="C15" i="53" a="1"/>
  <c r="C48" i="53" a="1"/>
  <c r="C11" i="11" a="1"/>
  <c r="I33" i="11" a="1"/>
  <c r="C38" i="40" a="1"/>
  <c r="C69" i="53" a="1"/>
  <c r="C52" i="53" a="1"/>
  <c r="C61" i="53" a="1"/>
  <c r="E56" i="53" a="1"/>
  <c r="C33" i="11" a="1"/>
  <c r="I5" i="11" a="1"/>
  <c r="C28" i="40" a="1"/>
  <c r="C58" i="53" a="1"/>
  <c r="E40" i="53" a="1"/>
  <c r="E49" i="53" a="1"/>
  <c r="C54" i="53" a="1"/>
  <c r="I30" i="11" a="1"/>
  <c r="C20" i="11" a="1"/>
  <c r="C18" i="40" a="1"/>
  <c r="C41" i="53" a="1"/>
  <c r="C33" i="53" a="1"/>
  <c r="E28" i="53" a="1"/>
  <c r="E46" i="53" a="1"/>
  <c r="I14" i="11" a="1"/>
  <c r="I34" i="11" a="1"/>
  <c r="C8" i="40" a="1"/>
  <c r="E33" i="53" a="1"/>
  <c r="E26" i="53" a="1"/>
  <c r="E8" i="53" a="1"/>
  <c r="C37" i="53" a="1"/>
  <c r="C25" i="11" a="1"/>
  <c r="I27" i="11" a="1"/>
  <c r="C47" i="40" a="1"/>
  <c r="C30" i="53" a="1"/>
  <c r="E9" i="53" a="1"/>
  <c r="E14" i="53" a="1"/>
  <c r="C4" i="53" a="1"/>
  <c r="C19" i="11" a="1"/>
  <c r="C32" i="11" a="1"/>
  <c r="C37" i="40" a="1"/>
  <c r="E3" i="53" a="1"/>
  <c r="E22" i="53" a="1"/>
  <c r="C25" i="53" a="1"/>
  <c r="E18" i="53" a="1"/>
  <c r="C10" i="11" a="1"/>
  <c r="C3" i="11" a="1"/>
  <c r="C27" i="40" a="1"/>
  <c r="E17" i="53" a="1"/>
  <c r="C64" i="53" a="1"/>
  <c r="E66" i="53" a="1"/>
  <c r="C57" i="53" a="1"/>
  <c r="I3" i="11" a="1"/>
  <c r="I26" i="11" a="1"/>
  <c r="C17" i="40" a="1"/>
  <c r="E5" i="53" a="1"/>
  <c r="E61" i="53" a="1"/>
  <c r="E47" i="53" a="1"/>
  <c r="C18" i="53" a="1"/>
  <c r="I31" i="11" a="1"/>
  <c r="C30" i="11" a="1"/>
  <c r="C7" i="40" a="1"/>
  <c r="C12" i="53" a="1"/>
  <c r="C50" i="53" a="1"/>
  <c r="C38" i="53" a="1"/>
  <c r="E41" i="53" a="1"/>
  <c r="C23" i="11" a="1"/>
  <c r="C2" i="11" a="1"/>
  <c r="C46" i="40" a="1"/>
  <c r="C23" i="53" a="1"/>
  <c r="C29" i="53" a="1"/>
  <c r="E4" i="53" a="1"/>
  <c r="E30" i="53" a="1"/>
  <c r="I15" i="11" a="1"/>
  <c r="I16" i="11" a="1"/>
  <c r="C42" i="40" a="1"/>
  <c r="C54" i="40" a="1"/>
  <c r="E24" i="53" a="1"/>
  <c r="C53" i="53" a="1"/>
  <c r="C28" i="53" a="1"/>
  <c r="C63" i="53" a="1"/>
  <c r="C7" i="11" a="1"/>
  <c r="C15" i="11" a="1"/>
  <c r="C32" i="40" a="1"/>
  <c r="C44" i="40" a="1"/>
  <c r="C47" i="53" a="1"/>
  <c r="E36" i="53" a="1"/>
  <c r="C14" i="53" a="1"/>
  <c r="C2" i="53" a="1"/>
  <c r="I4" i="11" a="1"/>
  <c r="I21" i="11" a="1"/>
  <c r="C22" i="40" a="1"/>
  <c r="C34" i="40" a="1"/>
  <c r="C19" i="53" a="1"/>
  <c r="C51" i="53" a="1"/>
  <c r="C22" i="53" a="1"/>
  <c r="E60" i="4" a="1"/>
  <c r="C24" i="11" a="1"/>
  <c r="I35" i="11" a="1"/>
  <c r="C12" i="40" a="1"/>
  <c r="C24" i="40" a="1"/>
  <c r="E54" i="53" a="1"/>
  <c r="E65" i="53" a="1"/>
  <c r="E63" i="53" a="1"/>
  <c r="C60" i="4" a="1"/>
  <c r="C21" i="11" a="1"/>
  <c r="C22" i="11" a="1"/>
  <c r="C51" i="40" a="1"/>
  <c r="C14" i="40" a="1"/>
  <c r="E51" i="53" a="1"/>
  <c r="E55" i="53" a="1"/>
  <c r="C2" i="54" a="1"/>
  <c r="C2" i="50" a="1"/>
  <c r="E2" i="50" a="1"/>
  <c r="I9" i="11" a="1"/>
  <c r="C35" i="11" a="1"/>
  <c r="I28" i="11" a="1"/>
  <c r="C8" i="11" a="1"/>
  <c r="I19" i="11" a="1"/>
  <c r="C41" i="40" a="1"/>
  <c r="C31" i="40" a="1"/>
  <c r="C4" i="40" a="1"/>
  <c r="C53" i="40" a="1"/>
  <c r="E45" i="53" a="1"/>
  <c r="E23" i="53" a="1"/>
  <c r="C40" i="53" a="1"/>
  <c r="E32" i="53" a="1"/>
  <c r="C16" i="53" a="1"/>
  <c r="E35" i="53" a="1"/>
  <c r="C5" i="53" a="1"/>
  <c r="G17" i="12" a="1"/>
  <c r="C3" i="12" a="1"/>
  <c r="C46" i="12" a="1"/>
  <c r="C137" i="12" a="1"/>
  <c r="C82" i="12" a="1"/>
  <c r="C6" i="12" a="1"/>
  <c r="C133" i="12" a="1"/>
  <c r="C90" i="12" a="1"/>
  <c r="C36" i="12" a="1"/>
  <c r="C104" i="12" a="1"/>
  <c r="C126" i="12" a="1"/>
  <c r="C10" i="12" a="1"/>
  <c r="C38" i="12" a="1"/>
  <c r="C41" i="12" a="1"/>
  <c r="C140" i="12" a="1"/>
  <c r="C56" i="12" a="1"/>
  <c r="C138" i="12" a="1"/>
  <c r="C131" i="12" a="1"/>
  <c r="C32" i="12" a="1"/>
  <c r="C127" i="12" a="1"/>
  <c r="C72" i="12" a="1"/>
  <c r="C134" i="12" a="1"/>
  <c r="C22" i="12" a="1"/>
  <c r="C2" i="12" a="1"/>
  <c r="C121" i="12" a="1"/>
  <c r="C11" i="12" a="1"/>
  <c r="C117" i="12" a="1"/>
  <c r="C62" i="12" a="1"/>
  <c r="C49" i="12" a="1"/>
  <c r="C21" i="12" a="1"/>
  <c r="C111" i="12" a="1"/>
  <c r="C139" i="12" a="1"/>
  <c r="C107" i="12" a="1"/>
  <c r="C52" i="12" a="1"/>
  <c r="C4" i="12" a="1"/>
  <c r="C60" i="12" a="1"/>
  <c r="C101" i="12" a="1"/>
  <c r="C129" i="12" a="1"/>
  <c r="C97" i="12" a="1"/>
  <c r="C42" i="12" a="1"/>
  <c r="C89" i="12" a="1"/>
  <c r="C25" i="12" a="1"/>
  <c r="C29" i="12" a="1"/>
  <c r="E13" i="12" a="1"/>
  <c r="C45" i="12" a="1"/>
  <c r="C35" i="12" a="1"/>
  <c r="C13" i="12" a="1"/>
  <c r="C110" i="12" a="1"/>
  <c r="C71" i="12" a="1"/>
  <c r="C100" i="12" a="1"/>
  <c r="C61" i="12" a="1"/>
  <c r="C106" i="12" a="1"/>
  <c r="C59" i="12" a="1"/>
  <c r="C23" i="12" a="1"/>
  <c r="C24" i="12" a="1"/>
  <c r="C50" i="12" a="1"/>
  <c r="C103" i="12" a="1"/>
  <c r="C54" i="12" a="1"/>
  <c r="C87" i="12" a="1"/>
  <c r="C119" i="12" a="1"/>
  <c r="C93" i="12" a="1"/>
  <c r="C33" i="12" a="1"/>
  <c r="C128" i="12" a="1"/>
  <c r="C9" i="12" a="1"/>
  <c r="C77" i="12" a="1"/>
  <c r="C109" i="12" a="1"/>
  <c r="C83" i="12" a="1"/>
  <c r="C28" i="12" a="1"/>
  <c r="C84" i="12" a="1"/>
  <c r="C124" i="12" a="1"/>
  <c r="C15" i="12" a="1"/>
  <c r="C142" i="12" a="1"/>
  <c r="C67" i="12" a="1"/>
  <c r="C99" i="12" a="1"/>
  <c r="C73" i="12" a="1"/>
  <c r="C7" i="12" a="1"/>
  <c r="C44" i="12" a="1"/>
  <c r="C80" i="12" a="1"/>
  <c r="C37" i="12" a="1"/>
  <c r="C64" i="12" a="1"/>
  <c r="C141" i="12" a="1"/>
  <c r="C96" i="12" a="1"/>
  <c r="C27" i="12" a="1"/>
  <c r="C132" i="12" a="1"/>
  <c r="C95" i="12" a="1"/>
  <c r="C63" i="12" a="1"/>
  <c r="C135" i="12" a="1"/>
  <c r="C40" i="12" a="1"/>
  <c r="C70" i="12" a="1"/>
  <c r="E16" i="12" a="1"/>
  <c r="C122" i="12" a="1"/>
  <c r="C85" i="12" a="1"/>
  <c r="C53" i="12" a="1"/>
  <c r="C123" i="12" a="1"/>
  <c r="C75" i="12" a="1"/>
  <c r="C39" i="12" a="1"/>
  <c r="E14" i="12" a="1"/>
  <c r="C102" i="12" a="1"/>
  <c r="C19" i="12" a="1"/>
  <c r="C65" i="12" a="1"/>
  <c r="C105" i="12" a="1"/>
  <c r="C118" i="12" a="1"/>
  <c r="C5" i="12" a="1"/>
  <c r="C14" i="12" a="1"/>
  <c r="C88" i="12" a="1"/>
  <c r="C55" i="12" a="1"/>
  <c r="C91" i="12" a="1"/>
  <c r="C79" i="12" a="1"/>
  <c r="C78" i="12" a="1"/>
  <c r="C8" i="12" a="1"/>
  <c r="C74" i="12" a="1"/>
  <c r="C68" i="12" a="1"/>
  <c r="C136" i="12" a="1"/>
  <c r="C113" i="12" a="1"/>
  <c r="C58" i="12" a="1"/>
  <c r="C31" i="12" a="1"/>
  <c r="C108" i="12" a="1"/>
  <c r="C48" i="12" a="1"/>
  <c r="C86" i="12" a="1"/>
  <c r="C116" i="12" a="1"/>
  <c r="C51" i="12" a="1"/>
  <c r="C26" i="12" a="1"/>
  <c r="C76" i="12" a="1"/>
  <c r="C98" i="12" a="1"/>
  <c r="C20" i="12" a="1"/>
  <c r="C94" i="12" a="1"/>
  <c r="C120" i="12" a="1"/>
  <c r="E15" i="12" a="1"/>
  <c r="C57" i="12" a="1"/>
  <c r="C47" i="12" a="1"/>
  <c r="C125" i="12" a="1"/>
  <c r="C69" i="12" a="1"/>
  <c r="C16" i="12" a="1"/>
  <c r="C112" i="12" a="1"/>
  <c r="C43" i="12" a="1"/>
  <c r="C115" i="12" a="1"/>
  <c r="C30" i="12" a="1"/>
  <c r="C34" i="12" a="1"/>
  <c r="C12" i="12" a="1"/>
  <c r="C114" i="12" a="1"/>
  <c r="C130" i="12" a="1"/>
  <c r="C81" i="12" a="1"/>
  <c r="C66" i="12" a="1"/>
  <c r="C92" i="12" a="1"/>
  <c r="G17" i="12" l="1"/>
  <c r="E15" i="12"/>
  <c r="C15" i="12"/>
  <c r="C16" i="12"/>
  <c r="E16" i="12"/>
  <c r="C14" i="12"/>
  <c r="E14" i="12"/>
  <c r="C13" i="12"/>
  <c r="E13" i="12"/>
  <c r="C90" i="12"/>
  <c r="C50" i="12"/>
  <c r="C54" i="12"/>
  <c r="C59" i="12"/>
  <c r="C26" i="12"/>
  <c r="C64" i="12"/>
  <c r="C104" i="12"/>
  <c r="C35" i="12"/>
  <c r="C79" i="12"/>
  <c r="C5" i="12"/>
  <c r="C30" i="12"/>
  <c r="C69" i="12"/>
  <c r="C70" i="12"/>
  <c r="C80" i="12"/>
  <c r="C124" i="12"/>
  <c r="C9" i="12"/>
  <c r="C25" i="12"/>
  <c r="C60" i="12"/>
  <c r="C21" i="12"/>
  <c r="C22" i="12"/>
  <c r="C133" i="12"/>
  <c r="C138" i="12"/>
  <c r="C94" i="12"/>
  <c r="C98" i="12"/>
  <c r="C103" i="12"/>
  <c r="C108" i="12"/>
  <c r="C113" i="12"/>
  <c r="C74" i="12"/>
  <c r="C114" i="12"/>
  <c r="C118" i="12"/>
  <c r="C39" i="12"/>
  <c r="C123" i="12"/>
  <c r="C40" i="12"/>
  <c r="C44" i="12"/>
  <c r="C84" i="12"/>
  <c r="C128" i="12"/>
  <c r="C89" i="12"/>
  <c r="C4" i="12"/>
  <c r="C49" i="12"/>
  <c r="C134" i="12"/>
  <c r="C6" i="12"/>
  <c r="C27" i="12"/>
  <c r="C23" i="12"/>
  <c r="C41" i="12"/>
  <c r="C51" i="12"/>
  <c r="C61" i="12"/>
  <c r="C71" i="12"/>
  <c r="C81" i="12"/>
  <c r="C91" i="12"/>
  <c r="C105" i="12"/>
  <c r="C115" i="12"/>
  <c r="C125" i="12"/>
  <c r="C135" i="12"/>
  <c r="C7" i="12"/>
  <c r="C28" i="12"/>
  <c r="C33" i="12"/>
  <c r="C42" i="12"/>
  <c r="C52" i="12"/>
  <c r="C62" i="12"/>
  <c r="C72" i="12"/>
  <c r="C82" i="12"/>
  <c r="C92" i="12"/>
  <c r="C96" i="12"/>
  <c r="C106" i="12"/>
  <c r="C116" i="12"/>
  <c r="C126" i="12"/>
  <c r="C136" i="12"/>
  <c r="C8" i="12"/>
  <c r="C29" i="12"/>
  <c r="C34" i="12"/>
  <c r="C43" i="12"/>
  <c r="C53" i="12"/>
  <c r="C63" i="12"/>
  <c r="C73" i="12"/>
  <c r="C83" i="12"/>
  <c r="C93" i="12"/>
  <c r="C97" i="12"/>
  <c r="C107" i="12"/>
  <c r="C117" i="12"/>
  <c r="C127" i="12"/>
  <c r="C137" i="12"/>
  <c r="C120" i="12"/>
  <c r="C140" i="12"/>
  <c r="C141" i="12"/>
  <c r="C10" i="12"/>
  <c r="C31" i="12"/>
  <c r="C36" i="12"/>
  <c r="C45" i="12"/>
  <c r="C55" i="12"/>
  <c r="C65" i="12"/>
  <c r="C75" i="12"/>
  <c r="C85" i="12"/>
  <c r="C95" i="12"/>
  <c r="C99" i="12"/>
  <c r="C109" i="12"/>
  <c r="C119" i="12"/>
  <c r="C129" i="12"/>
  <c r="C139" i="12"/>
  <c r="C11" i="12"/>
  <c r="C32" i="12"/>
  <c r="C46" i="12"/>
  <c r="C56" i="12"/>
  <c r="C66" i="12"/>
  <c r="C76" i="12"/>
  <c r="C86" i="12"/>
  <c r="C100" i="12"/>
  <c r="C110" i="12"/>
  <c r="C130" i="12"/>
  <c r="C12" i="12"/>
  <c r="C19" i="12"/>
  <c r="C37" i="12"/>
  <c r="C47" i="12"/>
  <c r="C57" i="12"/>
  <c r="C67" i="12"/>
  <c r="C77" i="12"/>
  <c r="C87" i="12"/>
  <c r="C101" i="12"/>
  <c r="C111" i="12"/>
  <c r="C121" i="12"/>
  <c r="C131" i="12"/>
  <c r="C3" i="12"/>
  <c r="C24" i="12"/>
  <c r="C20" i="12"/>
  <c r="C38" i="12"/>
  <c r="C48" i="12"/>
  <c r="C58" i="12"/>
  <c r="C68" i="12"/>
  <c r="C78" i="12"/>
  <c r="C88" i="12"/>
  <c r="C102" i="12"/>
  <c r="C112" i="12"/>
  <c r="C122" i="12"/>
  <c r="C132" i="12"/>
  <c r="C142" i="12"/>
  <c r="C2" i="12"/>
  <c r="C60" i="4"/>
  <c r="E60" i="4"/>
  <c r="F60" i="4"/>
  <c r="C2" i="54"/>
  <c r="C2" i="50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P114" i="12"/>
  <c r="M114" i="12"/>
  <c r="L114" i="12"/>
  <c r="K114" i="12"/>
  <c r="J114" i="12"/>
  <c r="A114" i="12"/>
  <c r="P113" i="12"/>
  <c r="M113" i="12"/>
  <c r="L113" i="12"/>
  <c r="K113" i="12"/>
  <c r="J113" i="12"/>
  <c r="A113" i="12"/>
  <c r="P112" i="12"/>
  <c r="M112" i="12"/>
  <c r="L112" i="12"/>
  <c r="K112" i="12"/>
  <c r="J112" i="12"/>
  <c r="A112" i="12"/>
  <c r="P111" i="12"/>
  <c r="M111" i="12"/>
  <c r="L111" i="12"/>
  <c r="K111" i="12"/>
  <c r="J111" i="12"/>
  <c r="A111" i="12"/>
  <c r="P110" i="12"/>
  <c r="M110" i="12"/>
  <c r="L110" i="12"/>
  <c r="K110" i="12"/>
  <c r="J110" i="12"/>
  <c r="A110" i="12"/>
  <c r="P109" i="12"/>
  <c r="M109" i="12"/>
  <c r="L109" i="12"/>
  <c r="K109" i="12"/>
  <c r="J109" i="12"/>
  <c r="A109" i="12"/>
  <c r="P108" i="12"/>
  <c r="M108" i="12"/>
  <c r="L108" i="12"/>
  <c r="K108" i="12"/>
  <c r="J108" i="12"/>
  <c r="A108" i="12"/>
  <c r="P107" i="12"/>
  <c r="M107" i="12"/>
  <c r="L107" i="12"/>
  <c r="K107" i="12"/>
  <c r="J107" i="12"/>
  <c r="A107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E13" i="31" a="1"/>
  <c r="E201" i="27" a="1"/>
  <c r="E131" i="27" a="1"/>
  <c r="G22" i="40" a="1"/>
  <c r="E257" i="27" a="1"/>
  <c r="C163" i="27" a="1"/>
  <c r="G53" i="40" a="1"/>
  <c r="E88" i="27" a="1"/>
  <c r="D20" i="37" a="1"/>
  <c r="E253" i="27" a="1"/>
  <c r="C2" i="5" a="1"/>
  <c r="C192" i="27" a="1"/>
  <c r="E371" i="27" a="1"/>
  <c r="C314" i="27" a="1"/>
  <c r="G35" i="40" a="1"/>
  <c r="C21" i="27" a="1"/>
  <c r="E52" i="27" a="1"/>
  <c r="E26" i="27" a="1"/>
  <c r="E366" i="27" a="1"/>
  <c r="C149" i="27" a="1"/>
  <c r="E4" i="40" a="1"/>
  <c r="E17" i="31" a="1"/>
  <c r="E177" i="27" a="1"/>
  <c r="C25" i="27" a="1"/>
  <c r="E347" i="27" a="1"/>
  <c r="E365" i="27" a="1"/>
  <c r="E309" i="27" a="1"/>
  <c r="E42" i="40" a="1"/>
  <c r="E6" i="28" a="1"/>
  <c r="G51" i="40" a="1"/>
  <c r="C166" i="27" a="1"/>
  <c r="E78" i="27" a="1"/>
  <c r="E369" i="27" a="1"/>
  <c r="C77" i="27" a="1"/>
  <c r="C315" i="27" a="1"/>
  <c r="E13" i="27" a="1"/>
  <c r="G3" i="40" a="1"/>
  <c r="C237" i="27" a="1"/>
  <c r="C88" i="27" a="1"/>
  <c r="E137" i="27" a="1"/>
  <c r="C134" i="27" a="1"/>
  <c r="C206" i="27" a="1"/>
  <c r="E49" i="27" a="1"/>
  <c r="C311" i="27" a="1"/>
  <c r="E215" i="27" a="1"/>
  <c r="G41" i="40" a="1"/>
  <c r="C67" i="27" a="1"/>
  <c r="C363" i="27" a="1"/>
  <c r="F38" i="4" a="1"/>
  <c r="C33" i="4" a="1"/>
  <c r="C48" i="4" a="1"/>
  <c r="E4" i="4" a="1"/>
  <c r="C9" i="4" a="1"/>
  <c r="C26" i="4" a="1"/>
  <c r="C27" i="4" a="1"/>
  <c r="E27" i="4" a="1"/>
  <c r="C14" i="4" a="1"/>
  <c r="C204" i="27" a="1"/>
  <c r="C9" i="31" a="1"/>
  <c r="C334" i="27" a="1"/>
  <c r="E217" i="27" a="1"/>
  <c r="C14" i="3" a="1"/>
  <c r="C8" i="3" a="1"/>
  <c r="E170" i="27" a="1"/>
  <c r="C323" i="27" a="1"/>
  <c r="C253" i="27" a="1"/>
  <c r="C169" i="27" a="1"/>
  <c r="D13" i="37" a="1"/>
  <c r="E367" i="27" a="1"/>
  <c r="C143" i="27" a="1"/>
  <c r="G42" i="40" a="1"/>
  <c r="C114" i="27" a="1"/>
  <c r="C265" i="27" a="1"/>
  <c r="C12" i="31" a="1"/>
  <c r="E238" i="27" a="1"/>
  <c r="C304" i="27" a="1"/>
  <c r="C184" i="27" a="1"/>
  <c r="C48" i="27" a="1"/>
  <c r="G24" i="40" a="1"/>
  <c r="F25" i="4" a="1"/>
  <c r="F59" i="4" a="1"/>
  <c r="E44" i="4" a="1"/>
  <c r="D17" i="37" a="1"/>
  <c r="E244" i="27" a="1"/>
  <c r="C5" i="3" a="1"/>
  <c r="C191" i="27" a="1"/>
  <c r="C225" i="27" a="1"/>
  <c r="G39" i="40" a="1"/>
  <c r="E169" i="27" a="1"/>
  <c r="E5" i="28" a="1"/>
  <c r="C13" i="3" a="1"/>
  <c r="C133" i="27" a="1"/>
  <c r="E188" i="27" a="1"/>
  <c r="C316" i="27" a="1"/>
  <c r="C328" i="27" a="1"/>
  <c r="G38" i="40" a="1"/>
  <c r="E39" i="27" a="1"/>
  <c r="C228" i="27" a="1"/>
  <c r="G10" i="40" a="1"/>
  <c r="C97" i="27" a="1"/>
  <c r="C201" i="27" a="1"/>
  <c r="E286" i="27" a="1"/>
  <c r="E143" i="27" a="1"/>
  <c r="E2" i="40" a="1"/>
  <c r="E104" i="27" a="1"/>
  <c r="E352" i="27" a="1"/>
  <c r="C369" i="27" a="1"/>
  <c r="E222" i="27" a="1"/>
  <c r="E111" i="27" a="1"/>
  <c r="E25" i="40" a="1"/>
  <c r="F26" i="4" a="1"/>
  <c r="C55" i="4" a="1"/>
  <c r="F5" i="4" a="1"/>
  <c r="E39" i="4" a="1"/>
  <c r="E249" i="27" a="1"/>
  <c r="E51" i="40" a="1"/>
  <c r="E341" i="27" a="1"/>
  <c r="C335" i="27" a="1"/>
  <c r="E36" i="40" a="1"/>
  <c r="G18" i="40" a="1"/>
  <c r="E122" i="27" a="1"/>
  <c r="E377" i="27" a="1"/>
  <c r="C268" i="27" a="1"/>
  <c r="C266" i="27" a="1"/>
  <c r="C238" i="27" a="1"/>
  <c r="C86" i="27" a="1"/>
  <c r="E121" i="27" a="1"/>
  <c r="E14" i="31" a="1"/>
  <c r="C263" i="27" a="1"/>
  <c r="C78" i="27" a="1"/>
  <c r="E37" i="40" a="1"/>
  <c r="E94" i="27" a="1"/>
  <c r="C40" i="27" a="1"/>
  <c r="C18" i="31" a="1"/>
  <c r="E118" i="27" a="1"/>
  <c r="C9" i="3" a="1"/>
  <c r="C55" i="27" a="1"/>
  <c r="C11" i="3" a="1"/>
  <c r="E37" i="27" a="1"/>
  <c r="C273" i="27" a="1"/>
  <c r="C10" i="27" a="1"/>
  <c r="E30" i="27" a="1"/>
  <c r="E28" i="27" a="1"/>
  <c r="E183" i="27" a="1"/>
  <c r="C198" i="27" a="1"/>
  <c r="C168" i="27" a="1"/>
  <c r="E295" i="27" a="1"/>
  <c r="C30" i="27" a="1"/>
  <c r="D18" i="37" a="1"/>
  <c r="E275" i="27" a="1"/>
  <c r="E4" i="28" a="1"/>
  <c r="E155" i="27" a="1"/>
  <c r="C259" i="27" a="1"/>
  <c r="E326" i="27" a="1"/>
  <c r="E272" i="27" a="1"/>
  <c r="C126" i="27" a="1"/>
  <c r="D11" i="37" a="1"/>
  <c r="C120" i="27" a="1"/>
  <c r="E90" i="27" a="1"/>
  <c r="C38" i="27" a="1"/>
  <c r="E48" i="27" a="1"/>
  <c r="E12" i="40" a="1"/>
  <c r="C376" i="27" a="1"/>
  <c r="C2" i="38" a="1"/>
  <c r="E230" i="27" a="1"/>
  <c r="E242" i="27" a="1"/>
  <c r="E46" i="40" a="1"/>
  <c r="C373" i="27" a="1"/>
  <c r="E54" i="27" a="1"/>
  <c r="C188" i="27" a="1"/>
  <c r="C41" i="27" a="1"/>
  <c r="C242" i="27" a="1"/>
  <c r="C6" i="31" a="1"/>
  <c r="C181" i="27" a="1"/>
  <c r="E214" i="27" a="1"/>
  <c r="C8" i="4" a="1"/>
  <c r="C31" i="4" a="1"/>
  <c r="E31" i="4" a="1"/>
  <c r="F18" i="4" a="1"/>
  <c r="E23" i="4" a="1"/>
  <c r="F47" i="4" a="1"/>
  <c r="E40" i="4" a="1"/>
  <c r="F6" i="4" a="1"/>
  <c r="F49" i="4" a="1"/>
  <c r="E49" i="40" a="1"/>
  <c r="E237" i="27" a="1"/>
  <c r="C27" i="27" a="1"/>
  <c r="C17" i="31" a="1"/>
  <c r="E203" i="27" a="1"/>
  <c r="C43" i="27" a="1"/>
  <c r="E212" i="27" a="1"/>
  <c r="C305" i="27" a="1"/>
  <c r="C154" i="27" a="1"/>
  <c r="C216" i="27" a="1"/>
  <c r="C2" i="31" a="1"/>
  <c r="E24" i="27" a="1"/>
  <c r="E351" i="27" a="1"/>
  <c r="C226" i="27" a="1"/>
  <c r="C91" i="27" a="1"/>
  <c r="E123" i="27" a="1"/>
  <c r="C330" i="27" a="1"/>
  <c r="E173" i="27" a="1"/>
  <c r="E160" i="27" a="1"/>
  <c r="E14" i="40" a="1"/>
  <c r="C90" i="27" a="1"/>
  <c r="E48" i="40" a="1"/>
  <c r="C167" i="27" a="1"/>
  <c r="E178" i="27" a="1"/>
  <c r="E228" i="27" a="1"/>
  <c r="C104" i="27" a="1"/>
  <c r="E43" i="4" a="1"/>
  <c r="C21" i="4" a="1"/>
  <c r="C16" i="4" a="1"/>
  <c r="F35" i="4" a="1"/>
  <c r="F2" i="4" a="1"/>
  <c r="F21" i="4" a="1"/>
  <c r="C288" i="27" a="1"/>
  <c r="E3" i="27" a="1"/>
  <c r="C16" i="27" a="1"/>
  <c r="C296" i="27" a="1"/>
  <c r="C144" i="27" a="1"/>
  <c r="E43" i="27" a="1"/>
  <c r="C20" i="27" a="1"/>
  <c r="G32" i="40" a="1"/>
  <c r="E305" i="27" a="1"/>
  <c r="E22" i="27" a="1"/>
  <c r="C303" i="27" a="1"/>
  <c r="E381" i="27" a="1"/>
  <c r="E346" i="27" a="1"/>
  <c r="E323" i="27" a="1"/>
  <c r="E16" i="40" a="1"/>
  <c r="C235" i="27" a="1"/>
  <c r="C351" i="27" a="1"/>
  <c r="C137" i="27" a="1"/>
  <c r="E327" i="27" a="1"/>
  <c r="C18" i="3" a="1"/>
  <c r="F24" i="4" a="1"/>
  <c r="F37" i="4" a="1"/>
  <c r="C10" i="4" a="1"/>
  <c r="E22" i="4" a="1"/>
  <c r="F10" i="4" a="1"/>
  <c r="G15" i="40" a="1"/>
  <c r="E256" i="27" a="1"/>
  <c r="C156" i="27" a="1"/>
  <c r="E3" i="28" a="1"/>
  <c r="C255" i="27" a="1"/>
  <c r="E34" i="27" a="1"/>
  <c r="E153" i="27" a="1"/>
  <c r="C372" i="27" a="1"/>
  <c r="G21" i="40" a="1"/>
  <c r="E68" i="27" a="1"/>
  <c r="E17" i="27" a="1"/>
  <c r="C291" i="27" a="1"/>
  <c r="D19" i="37" a="1"/>
  <c r="C286" i="27" a="1"/>
  <c r="C179" i="27" a="1"/>
  <c r="E21" i="40" a="1"/>
  <c r="E5" i="27" a="1"/>
  <c r="C3" i="31" a="1"/>
  <c r="E299" i="27" a="1"/>
  <c r="E2" i="38" a="1"/>
  <c r="E146" i="27" a="1"/>
  <c r="E165" i="27" a="1"/>
  <c r="E202" i="27" a="1"/>
  <c r="C52" i="27" a="1"/>
  <c r="E59" i="27" a="1"/>
  <c r="C234" i="27" a="1"/>
  <c r="E22" i="40" a="1"/>
  <c r="E186" i="27" a="1"/>
  <c r="E209" i="27" a="1"/>
  <c r="C336" i="27" a="1"/>
  <c r="E332" i="27" a="1"/>
  <c r="G2" i="40" a="1"/>
  <c r="C118" i="27" a="1"/>
  <c r="C110" i="27" a="1"/>
  <c r="E2" i="28" a="1"/>
  <c r="E180" i="27" a="1"/>
  <c r="E298" i="27" a="1"/>
  <c r="E282" i="27" a="1"/>
  <c r="E324" i="27" a="1"/>
  <c r="E7" i="27" a="1"/>
  <c r="C121" i="27" a="1"/>
  <c r="G26" i="40" a="1"/>
  <c r="E342" i="27" a="1"/>
  <c r="E45" i="40" a="1"/>
  <c r="E45" i="27" a="1"/>
  <c r="C99" i="27" a="1"/>
  <c r="E145" i="27" a="1"/>
  <c r="C308" i="27" a="1"/>
  <c r="C119" i="27" a="1"/>
  <c r="C342" i="27" a="1"/>
  <c r="C258" i="27" a="1"/>
  <c r="E116" i="27" a="1"/>
  <c r="E70" i="27" a="1"/>
  <c r="C37" i="27" a="1"/>
  <c r="E164" i="27" a="1"/>
  <c r="E150" i="27" a="1"/>
  <c r="E167" i="27" a="1"/>
  <c r="E28" i="4" a="1"/>
  <c r="C29" i="4" a="1"/>
  <c r="C20" i="4" a="1"/>
  <c r="C12" i="4" a="1"/>
  <c r="C54" i="4" a="1"/>
  <c r="C7" i="4" a="1"/>
  <c r="E53" i="4" a="1"/>
  <c r="C50" i="4" a="1"/>
  <c r="F43" i="4" a="1"/>
  <c r="E337" i="27" a="1"/>
  <c r="C261" i="27" a="1"/>
  <c r="D16" i="37" a="1"/>
  <c r="C162" i="27" a="1"/>
  <c r="E72" i="27" a="1"/>
  <c r="C284" i="27" a="1"/>
  <c r="C178" i="27" a="1"/>
  <c r="E61" i="27" a="1"/>
  <c r="C219" i="27" a="1"/>
  <c r="C115" i="27" a="1"/>
  <c r="C229" i="27" a="1"/>
  <c r="D3" i="37" a="1"/>
  <c r="C298" i="27" a="1"/>
  <c r="C346" i="27" a="1"/>
  <c r="G14" i="40" a="1"/>
  <c r="C107" i="27" a="1"/>
  <c r="C19" i="3" a="1"/>
  <c r="C7" i="27" a="1"/>
  <c r="E269" i="27" a="1"/>
  <c r="C380" i="27" a="1"/>
  <c r="E362" i="27" a="1"/>
  <c r="E268" i="27" a="1"/>
  <c r="E86" i="27" a="1"/>
  <c r="E5" i="40" a="1"/>
  <c r="C352" i="27" a="1"/>
  <c r="C257" i="27" a="1"/>
  <c r="C175" i="27" a="1"/>
  <c r="E250" i="27" a="1"/>
  <c r="E265" i="27" a="1"/>
  <c r="C68" i="27" a="1"/>
  <c r="C185" i="27" a="1"/>
  <c r="E16" i="31" a="1"/>
  <c r="C319" i="27" a="1"/>
  <c r="E227" i="27" a="1"/>
  <c r="D6" i="37" a="1"/>
  <c r="F30" i="4" a="1"/>
  <c r="E58" i="4" a="1"/>
  <c r="C51" i="4" a="1"/>
  <c r="C23" i="4" a="1"/>
  <c r="E45" i="4" a="1"/>
  <c r="E14" i="4" a="1"/>
  <c r="E168" i="27" a="1"/>
  <c r="C79" i="27" a="1"/>
  <c r="C6" i="3" a="1"/>
  <c r="C297" i="27" a="1"/>
  <c r="C209" i="27" a="1"/>
  <c r="C200" i="27" a="1"/>
  <c r="E234" i="27" a="1"/>
  <c r="C224" i="27" a="1"/>
  <c r="E117" i="27" a="1"/>
  <c r="C138" i="27" a="1"/>
  <c r="C31" i="27" a="1"/>
  <c r="E19" i="31" a="1"/>
  <c r="C141" i="27" a="1"/>
  <c r="C289" i="27" a="1"/>
  <c r="E7" i="40" a="1"/>
  <c r="E199" i="27" a="1"/>
  <c r="C16" i="31" a="1"/>
  <c r="C333" i="27" a="1"/>
  <c r="E358" i="27" a="1"/>
  <c r="E101" i="27" a="1"/>
  <c r="C49" i="27" a="1"/>
  <c r="E102" i="27" a="1"/>
  <c r="C331" i="27" a="1"/>
  <c r="E187" i="27" a="1"/>
  <c r="E375" i="27" a="1"/>
  <c r="C89" i="27" a="1"/>
  <c r="C116" i="27" a="1"/>
  <c r="C341" i="27" a="1"/>
  <c r="C203" i="27" a="1"/>
  <c r="C11" i="27" a="1"/>
  <c r="C75" i="27" a="1"/>
  <c r="E166" i="27" a="1"/>
  <c r="E159" i="27" a="1"/>
  <c r="C147" i="27" a="1"/>
  <c r="C71" i="27" a="1"/>
  <c r="F13" i="4" a="1"/>
  <c r="F54" i="4" a="1"/>
  <c r="E42" i="4" a="1"/>
  <c r="E7" i="4" a="1"/>
  <c r="F46" i="4" a="1"/>
  <c r="C19" i="4" a="1"/>
  <c r="C310" i="27" a="1"/>
  <c r="E194" i="27" a="1"/>
  <c r="C16" i="3" a="1"/>
  <c r="E47" i="27" a="1"/>
  <c r="C302" i="27" a="1"/>
  <c r="C3" i="27" a="1"/>
  <c r="E33" i="27" a="1"/>
  <c r="C74" i="27" a="1"/>
  <c r="E266" i="27" a="1"/>
  <c r="E35" i="27" a="1"/>
  <c r="E50" i="27" a="1"/>
  <c r="C364" i="27" a="1"/>
  <c r="C92" i="27" a="1"/>
  <c r="C94" i="27" a="1"/>
  <c r="E12" i="31" a="1"/>
  <c r="C231" i="27" a="1"/>
  <c r="E18" i="31" a="1"/>
  <c r="C140" i="27" a="1"/>
  <c r="G7" i="40" a="1"/>
  <c r="E182" i="27" a="1"/>
  <c r="E174" i="27" a="1"/>
  <c r="E105" i="27" a="1"/>
  <c r="C51" i="27" a="1"/>
  <c r="C320" i="27" a="1"/>
  <c r="E334" i="27" a="1"/>
  <c r="C236" i="27" a="1"/>
  <c r="C197" i="27" a="1"/>
  <c r="E262" i="27" a="1"/>
  <c r="C318" i="27" a="1"/>
  <c r="C7" i="3" a="1"/>
  <c r="E53" i="27" a="1"/>
  <c r="E140" i="27" a="1"/>
  <c r="E147" i="27" a="1"/>
  <c r="E339" i="27" a="1"/>
  <c r="E206" i="27" a="1"/>
  <c r="F7" i="4" a="1"/>
  <c r="C4" i="4" a="1"/>
  <c r="F20" i="4" a="1"/>
  <c r="F34" i="4" a="1"/>
  <c r="C3" i="4" a="1"/>
  <c r="C57" i="4" a="1"/>
  <c r="E315" i="27" a="1"/>
  <c r="E106" i="27" a="1"/>
  <c r="E335" i="27" a="1"/>
  <c r="C122" i="27" a="1"/>
  <c r="E154" i="27" a="1"/>
  <c r="G11" i="40" a="1"/>
  <c r="C151" i="27" a="1"/>
  <c r="C196" i="27" a="1"/>
  <c r="C23" i="27" a="1"/>
  <c r="C73" i="27" a="1"/>
  <c r="E319" i="27" a="1"/>
  <c r="C348" i="27" a="1"/>
  <c r="C172" i="27" a="1"/>
  <c r="E294" i="27" a="1"/>
  <c r="E63" i="27" a="1"/>
  <c r="C17" i="27" a="1"/>
  <c r="D8" i="37" a="1"/>
  <c r="E119" i="27" a="1"/>
  <c r="E15" i="40" a="1"/>
  <c r="E333" i="27" a="1"/>
  <c r="E40" i="40" a="1"/>
  <c r="C155" i="27" a="1"/>
  <c r="C183" i="27" a="1"/>
  <c r="E69" i="27" a="1"/>
  <c r="E54" i="40" a="1"/>
  <c r="E151" i="27" a="1"/>
  <c r="C356" i="27" a="1"/>
  <c r="E67" i="27" a="1"/>
  <c r="C281" i="27" a="1"/>
  <c r="E8" i="40" a="1"/>
  <c r="E185" i="27" a="1"/>
  <c r="C82" i="27" a="1"/>
  <c r="C2" i="27" a="1"/>
  <c r="E320" i="27" a="1"/>
  <c r="G43" i="40" a="1"/>
  <c r="F8" i="4" a="1"/>
  <c r="E8" i="4" a="1"/>
  <c r="C22" i="4" a="1"/>
  <c r="C25" i="4" a="1"/>
  <c r="C42" i="4" a="1"/>
  <c r="F28" i="4" a="1"/>
  <c r="E297" i="27" a="1"/>
  <c r="E293" i="27" a="1"/>
  <c r="C98" i="27" a="1"/>
  <c r="E157" i="27" a="1"/>
  <c r="E233" i="27" a="1"/>
  <c r="C5" i="31" a="1"/>
  <c r="E156" i="27" a="1"/>
  <c r="E25" i="27" a="1"/>
  <c r="D2" i="37" a="1"/>
  <c r="E161" i="27" a="1"/>
  <c r="C309" i="27" a="1"/>
  <c r="C157" i="27" a="1"/>
  <c r="E110" i="27" a="1"/>
  <c r="E267" i="27" a="1"/>
  <c r="E374" i="27" a="1"/>
  <c r="E254" i="27" a="1"/>
  <c r="E43" i="40" a="1"/>
  <c r="C146" i="27" a="1"/>
  <c r="E349" i="27" a="1"/>
  <c r="E11" i="40" a="1"/>
  <c r="C4" i="3" a="1"/>
  <c r="E360" i="27" a="1"/>
  <c r="E175" i="27" a="1"/>
  <c r="E284" i="27" a="1"/>
  <c r="E18" i="40" a="1"/>
  <c r="C294" i="27" a="1"/>
  <c r="E264" i="27" a="1"/>
  <c r="C256" i="27" a="1"/>
  <c r="E372" i="27" a="1"/>
  <c r="C190" i="27" a="1"/>
  <c r="C85" i="27" a="1"/>
  <c r="C102" i="27" a="1"/>
  <c r="E258" i="27" a="1"/>
  <c r="E181" i="27" a="1"/>
  <c r="C208" i="27" a="1"/>
  <c r="C53" i="4" a="1"/>
  <c r="E17" i="4" a="1"/>
  <c r="E56" i="4" a="1"/>
  <c r="E24" i="4" a="1"/>
  <c r="C30" i="4" a="1"/>
  <c r="E41" i="4" a="1"/>
  <c r="E4" i="27" a="1"/>
  <c r="E198" i="27" a="1"/>
  <c r="E231" i="27" a="1"/>
  <c r="E263" i="27" a="1"/>
  <c r="E273" i="27" a="1"/>
  <c r="E23" i="40" a="1"/>
  <c r="C69" i="27" a="1"/>
  <c r="E211" i="27" a="1"/>
  <c r="C20" i="31" a="1"/>
  <c r="E62" i="27" a="1"/>
  <c r="C128" i="27" a="1"/>
  <c r="C135" i="27" a="1"/>
  <c r="E12" i="27" a="1"/>
  <c r="C57" i="27" a="1"/>
  <c r="C189" i="27" a="1"/>
  <c r="C6" i="27" a="1"/>
  <c r="C8" i="31" a="1"/>
  <c r="C282" i="27" a="1"/>
  <c r="E89" i="27" a="1"/>
  <c r="J4" i="34" a="1"/>
  <c r="G36" i="40" a="1"/>
  <c r="C87" i="27" a="1"/>
  <c r="C4" i="27" a="1"/>
  <c r="C210" i="27" a="1"/>
  <c r="G34" i="40" a="1"/>
  <c r="C283" i="27" a="1"/>
  <c r="E311" i="27" a="1"/>
  <c r="E290" i="27" a="1"/>
  <c r="E58" i="27" a="1"/>
  <c r="C246" i="27" a="1"/>
  <c r="E93" i="27" a="1"/>
  <c r="E296" i="27" a="1"/>
  <c r="E133" i="27" a="1"/>
  <c r="E98" i="27" a="1"/>
  <c r="E152" i="27" a="1"/>
  <c r="F52" i="4" a="1"/>
  <c r="F42" i="4" a="1"/>
  <c r="F51" i="4" a="1"/>
  <c r="E34" i="4" a="1"/>
  <c r="E35" i="4" a="1"/>
  <c r="E57" i="4" a="1"/>
  <c r="C239" i="27" a="1"/>
  <c r="G12" i="40" a="1"/>
  <c r="C355" i="27" a="1"/>
  <c r="C186" i="27" a="1"/>
  <c r="C132" i="27" a="1"/>
  <c r="E66" i="27" a="1"/>
  <c r="E9" i="27" a="1"/>
  <c r="C4" i="31" a="1"/>
  <c r="E41" i="27" a="1"/>
  <c r="C62" i="27" a="1"/>
  <c r="C254" i="27" a="1"/>
  <c r="C36" i="27" a="1"/>
  <c r="E162" i="27" a="1"/>
  <c r="E23" i="27" a="1"/>
  <c r="G55" i="40" a="1"/>
  <c r="E83" i="27" a="1"/>
  <c r="E158" i="27" a="1"/>
  <c r="G27" i="40" a="1"/>
  <c r="C300" i="27" a="1"/>
  <c r="E144" i="27" a="1"/>
  <c r="E32" i="27" a="1"/>
  <c r="E204" i="27" a="1"/>
  <c r="E213" i="27" a="1"/>
  <c r="E26" i="40" a="1"/>
  <c r="C131" i="27" a="1"/>
  <c r="G49" i="40" a="1"/>
  <c r="C251" i="27" a="1"/>
  <c r="E301" i="27" a="1"/>
  <c r="E171" i="27" a="1"/>
  <c r="E28" i="40" a="1"/>
  <c r="C9" i="27" a="1"/>
  <c r="E220" i="27" a="1"/>
  <c r="C117" i="27" a="1"/>
  <c r="E6" i="31" a="1"/>
  <c r="C278" i="27" a="1"/>
  <c r="C19" i="27" a="1"/>
  <c r="E141" i="27" a="1"/>
  <c r="C3" i="3" a="1"/>
  <c r="G29" i="40" a="1"/>
  <c r="C327" i="27" a="1"/>
  <c r="E20" i="31" a="1"/>
  <c r="G19" i="40" a="1"/>
  <c r="C313" i="27" a="1"/>
  <c r="C375" i="27" a="1"/>
  <c r="E50" i="4" a="1"/>
  <c r="E13" i="4" a="1"/>
  <c r="C40" i="4" a="1"/>
  <c r="C18" i="4" a="1"/>
  <c r="E51" i="4" a="1"/>
  <c r="E48" i="4" a="1"/>
  <c r="C340" i="27" a="1"/>
  <c r="C215" i="27" a="1"/>
  <c r="C26" i="27" a="1"/>
  <c r="E6" i="27" a="1"/>
  <c r="C233" i="27" a="1"/>
  <c r="E20" i="40" a="1"/>
  <c r="E285" i="27" a="1"/>
  <c r="C370" i="27" a="1"/>
  <c r="C2" i="3" a="1"/>
  <c r="C262" i="27" a="1"/>
  <c r="E226" i="27" a="1"/>
  <c r="C249" i="27" a="1"/>
  <c r="E38" i="27" a="1"/>
  <c r="C61" i="27" a="1"/>
  <c r="E13" i="40" a="1"/>
  <c r="E248" i="27" a="1"/>
  <c r="C14" i="31" a="1"/>
  <c r="C158" i="27" a="1"/>
  <c r="C159" i="27" a="1"/>
  <c r="C22" i="27" a="1"/>
  <c r="E3" i="40" a="1"/>
  <c r="C46" i="27" a="1"/>
  <c r="E65" i="27" a="1"/>
  <c r="E134" i="27" a="1"/>
  <c r="D15" i="37" a="1"/>
  <c r="C60" i="27" a="1"/>
  <c r="E113" i="27" a="1"/>
  <c r="C232" i="27" a="1"/>
  <c r="E36" i="27" a="1"/>
  <c r="E149" i="27" a="1"/>
  <c r="E251" i="27" a="1"/>
  <c r="C220" i="27" a="1"/>
  <c r="C312" i="27" a="1"/>
  <c r="C365" i="27" a="1"/>
  <c r="E18" i="4" a="1"/>
  <c r="C47" i="4" a="1"/>
  <c r="F29" i="4" a="1"/>
  <c r="F36" i="4" a="1"/>
  <c r="E46" i="4" a="1"/>
  <c r="F9" i="4" a="1"/>
  <c r="C46" i="4" a="1"/>
  <c r="E64" i="27" a="1"/>
  <c r="C359" i="27" a="1"/>
  <c r="C65" i="27" a="1"/>
  <c r="E120" i="27" a="1"/>
  <c r="E191" i="27" a="1"/>
  <c r="E29" i="40" a="1"/>
  <c r="C182" i="27" a="1"/>
  <c r="C280" i="27" a="1"/>
  <c r="G40" i="40" a="1"/>
  <c r="C7" i="31" a="1"/>
  <c r="E126" i="27" a="1"/>
  <c r="E75" i="27" a="1"/>
  <c r="E207" i="27" a="1"/>
  <c r="E38" i="40" a="1"/>
  <c r="C145" i="27" a="1"/>
  <c r="G17" i="40" a="1"/>
  <c r="G31" i="40" a="1"/>
  <c r="C212" i="27" a="1"/>
  <c r="C103" i="27" a="1"/>
  <c r="C44" i="27" a="1"/>
  <c r="E15" i="31" a="1"/>
  <c r="E241" i="27" a="1"/>
  <c r="E246" i="27" a="1"/>
  <c r="E223" i="27" a="1"/>
  <c r="E232" i="27" a="1"/>
  <c r="C195" i="27" a="1"/>
  <c r="E279" i="27" a="1"/>
  <c r="E354" i="27" a="1"/>
  <c r="E53" i="40" a="1"/>
  <c r="C361" i="27" a="1"/>
  <c r="C271" i="27" a="1"/>
  <c r="E99" i="27" a="1"/>
  <c r="E115" i="27" a="1"/>
  <c r="E5" i="4" a="1"/>
  <c r="E11" i="4" a="1"/>
  <c r="F27" i="4" a="1"/>
  <c r="E54" i="4" a="1"/>
  <c r="C45" i="4" a="1"/>
  <c r="C32" i="4" a="1"/>
  <c r="C5" i="4" a="1"/>
  <c r="C45" i="27" a="1"/>
  <c r="E321" i="27" a="1"/>
  <c r="E19" i="27" a="1"/>
  <c r="C223" i="27" a="1"/>
  <c r="C83" i="27" a="1"/>
  <c r="G28" i="40" a="1"/>
  <c r="C174" i="27" a="1"/>
  <c r="E245" i="27" a="1"/>
  <c r="E9" i="40" a="1"/>
  <c r="E31" i="40" a="1"/>
  <c r="E189" i="27" a="1"/>
  <c r="E260" i="27" a="1"/>
  <c r="E271" i="27" a="1"/>
  <c r="C180" i="27" a="1"/>
  <c r="E2" i="31" a="1"/>
  <c r="C35" i="27" a="1"/>
  <c r="G52" i="40" a="1"/>
  <c r="D9" i="37" a="1"/>
  <c r="E359" i="27" a="1"/>
  <c r="C50" i="27" a="1"/>
  <c r="C34" i="27" a="1"/>
  <c r="E11" i="31" a="1"/>
  <c r="C221" i="27" a="1"/>
  <c r="C276" i="27" a="1"/>
  <c r="E235" i="27" a="1"/>
  <c r="C362" i="27" a="1"/>
  <c r="C170" i="27" a="1"/>
  <c r="E27" i="27" a="1"/>
  <c r="E378" i="27" a="1"/>
  <c r="C56" i="27" a="1"/>
  <c r="C64" i="27" a="1"/>
  <c r="E196" i="27" a="1"/>
  <c r="E139" i="27" a="1"/>
  <c r="C129" i="27" a="1"/>
  <c r="C13" i="4" a="1"/>
  <c r="F19" i="4" a="1"/>
  <c r="C28" i="4" a="1"/>
  <c r="C11" i="4" a="1"/>
  <c r="E19" i="4" a="1"/>
  <c r="C44" i="4" a="1"/>
  <c r="F23" i="4" a="1"/>
  <c r="C230" i="27" a="1"/>
  <c r="C199" i="27" a="1"/>
  <c r="E29" i="27" a="1"/>
  <c r="C63" i="27" a="1"/>
  <c r="G45" i="40" a="1"/>
  <c r="E379" i="27" a="1"/>
  <c r="D10" i="37" a="1"/>
  <c r="C125" i="27" a="1"/>
  <c r="E303" i="27" a="1"/>
  <c r="C127" i="27" a="1"/>
  <c r="E91" i="27" a="1"/>
  <c r="G48" i="40" a="1"/>
  <c r="C81" i="27" a="1"/>
  <c r="E8" i="31" a="1"/>
  <c r="C177" i="27" a="1"/>
  <c r="E10" i="40" a="1"/>
  <c r="E44" i="27" a="1"/>
  <c r="F55" i="4" a="1"/>
  <c r="C2" i="4" a="1"/>
  <c r="C28" i="27" a="1"/>
  <c r="E328" i="27" a="1"/>
  <c r="E376" i="27" a="1"/>
  <c r="C211" i="27" a="1"/>
  <c r="E76" i="27" a="1"/>
  <c r="C160" i="27" a="1"/>
  <c r="E259" i="27" a="1"/>
  <c r="E71" i="27" a="1"/>
  <c r="G16" i="40" a="1"/>
  <c r="E243" i="27" a="1"/>
  <c r="C350" i="27" a="1"/>
  <c r="C13" i="31" a="1"/>
  <c r="E60" i="27" a="1"/>
  <c r="C202" i="27" a="1"/>
  <c r="E47" i="40" a="1"/>
  <c r="C218" i="27" a="1"/>
  <c r="C93" i="27" a="1"/>
  <c r="G23" i="40" a="1"/>
  <c r="E310" i="27" a="1"/>
  <c r="C374" i="27" a="1"/>
  <c r="C269" i="27" a="1"/>
  <c r="C381" i="27" a="1"/>
  <c r="E205" i="27" a="1"/>
  <c r="E84" i="27" a="1"/>
  <c r="G37" i="40" a="1"/>
  <c r="E368" i="27" a="1"/>
  <c r="E79" i="27" a="1"/>
  <c r="E39" i="40" a="1"/>
  <c r="E276" i="27" a="1"/>
  <c r="F56" i="4" a="1"/>
  <c r="E33" i="4" a="1"/>
  <c r="F45" i="4" a="1"/>
  <c r="E2" i="4" a="1"/>
  <c r="E37" i="4" a="1"/>
  <c r="C32" i="27" a="1"/>
  <c r="E73" i="27" a="1"/>
  <c r="C245" i="27" a="1"/>
  <c r="E108" i="27" a="1"/>
  <c r="C15" i="27" a="1"/>
  <c r="E190" i="27" a="1"/>
  <c r="E33" i="40" a="1"/>
  <c r="E329" i="27" a="1"/>
  <c r="C2" i="9" a="1"/>
  <c r="C227" i="27" a="1"/>
  <c r="C15" i="3" a="1"/>
  <c r="E85" i="27" a="1"/>
  <c r="G4" i="40" a="1"/>
  <c r="E277" i="27" a="1"/>
  <c r="C173" i="27" a="1"/>
  <c r="E129" i="27" a="1"/>
  <c r="E357" i="27" a="1"/>
  <c r="C358" i="27" a="1"/>
  <c r="G13" i="40" a="1"/>
  <c r="E51" i="27" a="1"/>
  <c r="E148" i="27" a="1"/>
  <c r="C136" i="27" a="1"/>
  <c r="F53" i="4" a="1"/>
  <c r="C6" i="4" a="1"/>
  <c r="F57" i="4" a="1"/>
  <c r="F39" i="4" a="1"/>
  <c r="E20" i="4" a="1"/>
  <c r="E6" i="40" a="1"/>
  <c r="E82" i="27" a="1"/>
  <c r="C12" i="27" a="1"/>
  <c r="E27" i="40" a="1"/>
  <c r="E330" i="27" a="1"/>
  <c r="E21" i="4" a="1"/>
  <c r="E16" i="4" a="1"/>
  <c r="G8" i="40" a="1"/>
  <c r="E247" i="27" a="1"/>
  <c r="C222" i="27" a="1"/>
  <c r="E307" i="27" a="1"/>
  <c r="E21" i="27" a="1"/>
  <c r="E109" i="27" a="1"/>
  <c r="E370" i="27" a="1"/>
  <c r="C58" i="4" a="1"/>
  <c r="C106" i="27" a="1"/>
  <c r="E15" i="27" a="1"/>
  <c r="C72" i="27" a="1"/>
  <c r="E55" i="27" a="1"/>
  <c r="E184" i="27" a="1"/>
  <c r="C187" i="27" a="1"/>
  <c r="E221" i="27" a="1"/>
  <c r="E41" i="40" a="1"/>
  <c r="E15" i="4" a="1"/>
  <c r="C275" i="27" a="1"/>
  <c r="C59" i="27" a="1"/>
  <c r="E97" i="27" a="1"/>
  <c r="C345" i="27" a="1"/>
  <c r="E314" i="27" a="1"/>
  <c r="E2" i="27" a="1"/>
  <c r="C165" i="27" a="1"/>
  <c r="F11" i="4" a="1"/>
  <c r="E353" i="27" a="1"/>
  <c r="C66" i="27" a="1"/>
  <c r="E3" i="4" a="1"/>
  <c r="C366" i="27" a="1"/>
  <c r="E87" i="27" a="1"/>
  <c r="C325" i="27" a="1"/>
  <c r="C326" i="27" a="1"/>
  <c r="F48" i="4" a="1"/>
  <c r="E95" i="27" a="1"/>
  <c r="C14" i="27" a="1"/>
  <c r="E208" i="27" a="1"/>
  <c r="E306" i="27" a="1"/>
  <c r="E44" i="40" a="1"/>
  <c r="E35" i="40" a="1"/>
  <c r="F58" i="4" a="1"/>
  <c r="E331" i="27" a="1"/>
  <c r="E17" i="40" a="1"/>
  <c r="C39" i="27" a="1"/>
  <c r="C343" i="27" a="1"/>
  <c r="C329" i="27" a="1"/>
  <c r="F22" i="4" a="1"/>
  <c r="E47" i="4" a="1"/>
  <c r="C70" i="27" a="1"/>
  <c r="C243" i="27" a="1"/>
  <c r="C252" i="27" a="1"/>
  <c r="E16" i="27" a="1"/>
  <c r="C293" i="27" a="1"/>
  <c r="E6" i="4" a="1"/>
  <c r="C171" i="27" a="1"/>
  <c r="E343" i="27" a="1"/>
  <c r="E42" i="27" a="1"/>
  <c r="E74" i="27" a="1"/>
  <c r="C123" i="27" a="1"/>
  <c r="C15" i="4" a="1"/>
  <c r="G33" i="40" a="1"/>
  <c r="C47" i="27" a="1"/>
  <c r="C317" i="27" a="1"/>
  <c r="C59" i="4" a="1"/>
  <c r="G6" i="40" a="1"/>
  <c r="C42" i="27" a="1"/>
  <c r="C207" i="27" a="1"/>
  <c r="F41" i="4" a="1"/>
  <c r="E5" i="31" a="1"/>
  <c r="E291" i="27" a="1"/>
  <c r="E11" i="27" a="1"/>
  <c r="C324" i="27" a="1"/>
  <c r="F32" i="4" a="1"/>
  <c r="F31" i="4" a="1"/>
  <c r="G30" i="40" a="1"/>
  <c r="E7" i="31" a="1"/>
  <c r="C20" i="3" a="1"/>
  <c r="C267" i="27" a="1"/>
  <c r="E25" i="4" a="1"/>
  <c r="E55" i="40" a="1"/>
  <c r="E261" i="27" a="1"/>
  <c r="E270" i="27" a="1"/>
  <c r="G44" i="40" a="1"/>
  <c r="E304" i="27" a="1"/>
  <c r="C24" i="4" a="1"/>
  <c r="D14" i="37" a="1"/>
  <c r="C217" i="27" a="1"/>
  <c r="C11" i="31" a="1"/>
  <c r="C379" i="27" a="1"/>
  <c r="E240" i="27" a="1"/>
  <c r="C100" i="27" a="1"/>
  <c r="E216" i="27" a="1"/>
  <c r="E40" i="27" a="1"/>
  <c r="E312" i="27" a="1"/>
  <c r="C260" i="27" a="1"/>
  <c r="G9" i="40" a="1"/>
  <c r="C148" i="27" a="1"/>
  <c r="E100" i="27" a="1"/>
  <c r="C29" i="27" a="1"/>
  <c r="F40" i="4" a="1"/>
  <c r="C338" i="27" a="1"/>
  <c r="E255" i="27" a="1"/>
  <c r="C193" i="27" a="1"/>
  <c r="E176" i="27" a="1"/>
  <c r="C80" i="27" a="1"/>
  <c r="E132" i="27" a="1"/>
  <c r="C10" i="31" a="1"/>
  <c r="C84" i="27" a="1"/>
  <c r="D5" i="37" a="1"/>
  <c r="C306" i="27" a="1"/>
  <c r="E92" i="27" a="1"/>
  <c r="C368" i="27" a="1"/>
  <c r="E138" i="27" a="1"/>
  <c r="C279" i="27" a="1"/>
  <c r="C290" i="27" a="1"/>
  <c r="E340" i="27" a="1"/>
  <c r="C35" i="4" a="1"/>
  <c r="E59" i="4" a="1"/>
  <c r="E281" i="27" a="1"/>
  <c r="E289" i="27" a="1"/>
  <c r="E288" i="27" a="1"/>
  <c r="E31" i="27" a="1"/>
  <c r="C76" i="27" a="1"/>
  <c r="C13" i="27" a="1"/>
  <c r="C15" i="31" a="1"/>
  <c r="F12" i="4" a="1"/>
  <c r="C49" i="4" a="1"/>
  <c r="E142" i="27" a="1"/>
  <c r="E364" i="27" a="1"/>
  <c r="C8" i="27" a="1"/>
  <c r="C247" i="27" a="1"/>
  <c r="E81" i="27" a="1"/>
  <c r="C344" i="27" a="1"/>
  <c r="E239" i="27" a="1"/>
  <c r="C139" i="27" a="1"/>
  <c r="F33" i="4" a="1"/>
  <c r="G60" i="4" a="1"/>
  <c r="D7" i="37" a="1"/>
  <c r="E300" i="27" a="1"/>
  <c r="E26" i="4" a="1"/>
  <c r="C378" i="27" a="1"/>
  <c r="C108" i="27" a="1"/>
  <c r="C176" i="27" a="1"/>
  <c r="E210" i="27" a="1"/>
  <c r="E9" i="31" a="1"/>
  <c r="E302" i="27" a="1"/>
  <c r="F50" i="4" a="1"/>
  <c r="E280" i="27" a="1"/>
  <c r="C371" i="27" a="1"/>
  <c r="E103" i="27" a="1"/>
  <c r="E313" i="27" a="1"/>
  <c r="C56" i="4" a="1"/>
  <c r="E29" i="4" a="1"/>
  <c r="E56" i="27" a="1"/>
  <c r="C54" i="27" a="1"/>
  <c r="E80" i="27" a="1"/>
  <c r="C250" i="27" a="1"/>
  <c r="C332" i="27" a="1"/>
  <c r="C287" i="27" a="1"/>
  <c r="E30" i="40" a="1"/>
  <c r="F14" i="4" a="1"/>
  <c r="E287" i="27" a="1"/>
  <c r="E224" i="27" a="1"/>
  <c r="C101" i="27" a="1"/>
  <c r="C161" i="27" a="1"/>
  <c r="E363" i="27" a="1"/>
  <c r="F3" i="4" a="1"/>
  <c r="E172" i="27" a="1"/>
  <c r="C5" i="27" a="1"/>
  <c r="E325" i="27" a="1"/>
  <c r="E292" i="27" a="1"/>
  <c r="E32" i="4" a="1"/>
  <c r="E57" i="27" a="1"/>
  <c r="E20" i="27" a="1"/>
  <c r="F44" i="4" a="1"/>
  <c r="E107" i="27" a="1"/>
  <c r="E252" i="27" a="1"/>
  <c r="C264" i="27" a="1"/>
  <c r="C52" i="4" a="1"/>
  <c r="E52" i="40" a="1"/>
  <c r="E193" i="27" a="1"/>
  <c r="C12" i="3" a="1"/>
  <c r="C18" i="27" a="1"/>
  <c r="C10" i="3" a="1"/>
  <c r="E4" i="31" a="1"/>
  <c r="C353" i="27" a="1"/>
  <c r="C43" i="4" a="1"/>
  <c r="E24" i="40" a="1"/>
  <c r="G50" i="40" a="1"/>
  <c r="G46" i="40" a="1"/>
  <c r="E318" i="27" a="1"/>
  <c r="G54" i="40" a="1"/>
  <c r="C357" i="27" a="1"/>
  <c r="E195" i="27" a="1"/>
  <c r="E55" i="4" a="1"/>
  <c r="G47" i="40" a="1"/>
  <c r="C274" i="27" a="1"/>
  <c r="C39" i="4" a="1"/>
  <c r="E38" i="4" a="1"/>
  <c r="C277" i="27" a="1"/>
  <c r="E135" i="27" a="1"/>
  <c r="C285" i="27" a="1"/>
  <c r="C24" i="27" a="1"/>
  <c r="E345" i="27" a="1"/>
  <c r="D4" i="37" a="1"/>
  <c r="C360" i="27" a="1"/>
  <c r="C105" i="27" a="1"/>
  <c r="C377" i="27" a="1"/>
  <c r="E112" i="27" a="1"/>
  <c r="C301" i="27" a="1"/>
  <c r="C150" i="27" a="1"/>
  <c r="E373" i="27" a="1"/>
  <c r="E317" i="27" a="1"/>
  <c r="E322" i="27" a="1"/>
  <c r="E350" i="27" a="1"/>
  <c r="C244" i="27" a="1"/>
  <c r="C112" i="27" a="1"/>
  <c r="E3" i="31" a="1"/>
  <c r="C33" i="27" a="1"/>
  <c r="F16" i="4" a="1"/>
  <c r="E30" i="4" a="1"/>
  <c r="C17" i="4" a="1"/>
  <c r="E219" i="27" a="1"/>
  <c r="E46" i="27" a="1"/>
  <c r="C95" i="27" a="1"/>
  <c r="E77" i="27" a="1"/>
  <c r="E179" i="27" a="1"/>
  <c r="C58" i="27" a="1"/>
  <c r="E136" i="27" a="1"/>
  <c r="E127" i="27" a="1"/>
  <c r="C111" i="27" a="1"/>
  <c r="G25" i="40" a="1"/>
  <c r="E225" i="27" a="1"/>
  <c r="E192" i="27" a="1"/>
  <c r="C299" i="27" a="1"/>
  <c r="C194" i="27" a="1"/>
  <c r="C38" i="4" a="1"/>
  <c r="E52" i="4" a="1"/>
  <c r="E36" i="4" a="1"/>
  <c r="E10" i="27" a="1"/>
  <c r="C96" i="27" a="1"/>
  <c r="C152" i="27" a="1"/>
  <c r="E197" i="27" a="1"/>
  <c r="C270" i="27" a="1"/>
  <c r="C214" i="27" a="1"/>
  <c r="E218" i="27" a="1"/>
  <c r="C164" i="27" a="1"/>
  <c r="C339" i="27" a="1"/>
  <c r="G5" i="40" a="1"/>
  <c r="E32" i="40" a="1"/>
  <c r="C213" i="27" a="1"/>
  <c r="E18" i="27" a="1"/>
  <c r="E96" i="27" a="1"/>
  <c r="C41" i="4" a="1"/>
  <c r="C34" i="4" a="1"/>
  <c r="F17" i="4" a="1"/>
  <c r="E274" i="27" a="1"/>
  <c r="E283" i="27" a="1"/>
  <c r="C142" i="27" a="1"/>
  <c r="E336" i="27" a="1"/>
  <c r="E338" i="27" a="1"/>
  <c r="E236" i="27" a="1"/>
  <c r="C337" i="27" a="1"/>
  <c r="C354" i="27" a="1"/>
  <c r="C295" i="27" a="1"/>
  <c r="C113" i="27" a="1"/>
  <c r="C37" i="4" a="1"/>
  <c r="C349" i="27" a="1"/>
  <c r="E229" i="27" a="1"/>
  <c r="C347" i="27" a="1"/>
  <c r="E200" i="27" a="1"/>
  <c r="E10" i="4" a="1"/>
  <c r="C241" i="27" a="1"/>
  <c r="C307" i="27" a="1"/>
  <c r="E124" i="27" a="1"/>
  <c r="J3" i="34" a="1"/>
  <c r="E380" i="27" a="1"/>
  <c r="C272" i="27" a="1"/>
  <c r="E316" i="27" a="1"/>
  <c r="E19" i="40" a="1"/>
  <c r="C322" i="27" a="1"/>
  <c r="C240" i="27" a="1"/>
  <c r="F4" i="4" a="1"/>
  <c r="E50" i="40" a="1"/>
  <c r="E10" i="31" a="1"/>
  <c r="E14" i="27" a="1"/>
  <c r="E356" i="27" a="1"/>
  <c r="C153" i="27" a="1"/>
  <c r="C248" i="27" a="1"/>
  <c r="C205" i="27" a="1"/>
  <c r="E278" i="27" a="1"/>
  <c r="E8" i="27" a="1"/>
  <c r="E163" i="27" a="1"/>
  <c r="C53" i="27" a="1"/>
  <c r="D12" i="37" a="1"/>
  <c r="C36" i="4" a="1"/>
  <c r="C367" i="27" a="1"/>
  <c r="C109" i="27" a="1"/>
  <c r="E348" i="27" a="1"/>
  <c r="C17" i="3" a="1"/>
  <c r="E9" i="4" a="1"/>
  <c r="E128" i="27" a="1"/>
  <c r="C124" i="27" a="1"/>
  <c r="E308" i="27" a="1"/>
  <c r="C19" i="31" a="1"/>
  <c r="E130" i="27" a="1"/>
  <c r="F15" i="4" a="1"/>
  <c r="C130" i="27" a="1"/>
  <c r="C292" i="27" a="1"/>
  <c r="E125" i="27" a="1"/>
  <c r="C321" i="27" a="1"/>
  <c r="E114" i="27" a="1"/>
  <c r="E344" i="27" a="1"/>
  <c r="G20" i="40" a="1"/>
  <c r="E361" i="27" a="1"/>
  <c r="E49" i="4" a="1"/>
  <c r="E34" i="40" a="1"/>
  <c r="E355" i="27" a="1"/>
  <c r="E12" i="4" a="1"/>
  <c r="G24" i="12" a="1"/>
  <c r="G13" i="12" a="1"/>
  <c r="G19" i="12" a="1"/>
  <c r="E42" i="12" a="1"/>
  <c r="E84" i="12" a="1"/>
  <c r="E106" i="12" a="1"/>
  <c r="E72" i="12" a="1"/>
  <c r="E115" i="12" a="1"/>
  <c r="E62" i="12" a="1"/>
  <c r="E138" i="12" a="1"/>
  <c r="E87" i="12" a="1"/>
  <c r="E38" i="12" a="1"/>
  <c r="E88" i="12" a="1"/>
  <c r="E27" i="12" a="1"/>
  <c r="E48" i="12" a="1"/>
  <c r="E90" i="12" a="1"/>
  <c r="E119" i="12" a="1"/>
  <c r="E123" i="12" a="1"/>
  <c r="E124" i="12" a="1"/>
  <c r="E71" i="12" a="1"/>
  <c r="E26" i="12" a="1"/>
  <c r="E44" i="12" a="1"/>
  <c r="E89" i="12" a="1"/>
  <c r="E61" i="12" a="1"/>
  <c r="E73" i="12" a="1"/>
  <c r="E35" i="12" a="1"/>
  <c r="E127" i="12" a="1"/>
  <c r="E114" i="12" a="1"/>
  <c r="E20" i="12" a="1"/>
  <c r="E112" i="12" a="1"/>
  <c r="E45" i="12" a="1"/>
  <c r="E23" i="12" a="1"/>
  <c r="E76" i="12" a="1"/>
  <c r="E21" i="12" a="1"/>
  <c r="E34" i="12" a="1"/>
  <c r="E136" i="12" a="1"/>
  <c r="E130" i="12" a="1"/>
  <c r="E141" i="12" a="1"/>
  <c r="E9" i="12" a="1"/>
  <c r="E91" i="12" a="1"/>
  <c r="E78" i="12" a="1"/>
  <c r="E142" i="12" a="1"/>
  <c r="E93" i="12" a="1"/>
  <c r="E28" i="12" a="1"/>
  <c r="E24" i="12" a="1"/>
  <c r="E54" i="12" a="1"/>
  <c r="E105" i="12" a="1"/>
  <c r="E110" i="12" a="1"/>
  <c r="E92" i="12" a="1"/>
  <c r="E122" i="12" a="1"/>
  <c r="E55" i="12" a="1"/>
  <c r="E98" i="12" a="1"/>
  <c r="E6" i="12" a="1"/>
  <c r="E74" i="12" a="1"/>
  <c r="E3" i="12" a="1"/>
  <c r="E50" i="12" a="1"/>
  <c r="E139" i="12" a="1"/>
  <c r="E133" i="12" a="1"/>
  <c r="E53" i="12" a="1"/>
  <c r="E79" i="12" a="1"/>
  <c r="E39" i="12" a="1"/>
  <c r="E116" i="12" a="1"/>
  <c r="E80" i="12" a="1"/>
  <c r="E25" i="12" a="1"/>
  <c r="E11" i="12" a="1"/>
  <c r="E117" i="12" a="1"/>
  <c r="E95" i="12" a="1"/>
  <c r="E41" i="12" a="1"/>
  <c r="E56" i="12" a="1"/>
  <c r="G2" i="12" a="1"/>
  <c r="E126" i="12" a="1"/>
  <c r="E66" i="12" a="1"/>
  <c r="E100" i="12" a="1"/>
  <c r="E46" i="12" a="1"/>
  <c r="E129" i="12" a="1"/>
  <c r="E137" i="12" a="1"/>
  <c r="E64" i="12" a="1"/>
  <c r="E5" i="12" a="1"/>
  <c r="E120" i="12" a="1"/>
  <c r="E107" i="12" a="1"/>
  <c r="E77" i="12" a="1"/>
  <c r="E33" i="12" a="1"/>
  <c r="E49" i="12" a="1"/>
  <c r="E134" i="12" a="1"/>
  <c r="E132" i="12" a="1"/>
  <c r="E57" i="12" a="1"/>
  <c r="E118" i="12" a="1"/>
  <c r="E83" i="12" a="1"/>
  <c r="E12" i="12" a="1"/>
  <c r="E10" i="12" a="1"/>
  <c r="E47" i="12" a="1"/>
  <c r="E65" i="12" a="1"/>
  <c r="E94" i="12" a="1"/>
  <c r="E51" i="12" a="1"/>
  <c r="E86" i="12" a="1"/>
  <c r="E96" i="12" a="1"/>
  <c r="E29" i="12" a="1"/>
  <c r="E101" i="12" a="1"/>
  <c r="E85" i="12" a="1"/>
  <c r="E22" i="12" a="1"/>
  <c r="E135" i="12" a="1"/>
  <c r="E31" i="12" a="1"/>
  <c r="E4" i="12" a="1"/>
  <c r="E109" i="12" a="1"/>
  <c r="E59" i="12" a="1"/>
  <c r="E58" i="12" a="1"/>
  <c r="E19" i="12" a="1"/>
  <c r="E69" i="12" a="1"/>
  <c r="E131" i="12" a="1"/>
  <c r="E140" i="12" a="1"/>
  <c r="E52" i="12" a="1"/>
  <c r="E81" i="12" a="1"/>
  <c r="E2" i="12" a="1"/>
  <c r="E8" i="12" a="1"/>
  <c r="E108" i="12" a="1"/>
  <c r="E63" i="12" a="1"/>
  <c r="E113" i="12" a="1"/>
  <c r="E82" i="12" a="1"/>
  <c r="E43" i="12" a="1"/>
  <c r="E104" i="12" a="1"/>
  <c r="E103" i="12" a="1"/>
  <c r="E67" i="12" a="1"/>
  <c r="E60" i="12" a="1"/>
  <c r="E30" i="12" a="1"/>
  <c r="E99" i="12" a="1"/>
  <c r="E128" i="12" a="1"/>
  <c r="E32" i="12" a="1"/>
  <c r="E36" i="12" a="1"/>
  <c r="E68" i="12" a="1"/>
  <c r="E70" i="12" a="1"/>
  <c r="E40" i="12" a="1"/>
  <c r="E97" i="12" a="1"/>
  <c r="E111" i="12" a="1"/>
  <c r="E75" i="12" a="1"/>
  <c r="E125" i="12" a="1"/>
  <c r="E102" i="12" a="1"/>
  <c r="E7" i="12" a="1"/>
  <c r="E37" i="12" a="1"/>
  <c r="E121" i="12" a="1"/>
  <c r="P18" i="12" l="1"/>
  <c r="J18" i="12"/>
  <c r="K18" i="12"/>
  <c r="L18" i="12"/>
  <c r="M18" i="12"/>
  <c r="M17" i="12"/>
  <c r="J17" i="12"/>
  <c r="P17" i="12"/>
  <c r="L17" i="12"/>
  <c r="K17" i="12"/>
  <c r="G19" i="12"/>
  <c r="G13" i="12"/>
  <c r="G24" i="12"/>
  <c r="G2" i="12"/>
  <c r="G60" i="4"/>
  <c r="E4" i="28"/>
  <c r="E5" i="28"/>
  <c r="E6" i="28"/>
  <c r="E3" i="28"/>
  <c r="E2" i="28"/>
  <c r="E114" i="12"/>
  <c r="E113" i="12"/>
  <c r="E112" i="12"/>
  <c r="E111" i="12"/>
  <c r="E110" i="12"/>
  <c r="E109" i="12"/>
  <c r="E108" i="12"/>
  <c r="E107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F23" i="4"/>
  <c r="F43" i="4"/>
  <c r="F52" i="4"/>
  <c r="F53" i="4"/>
  <c r="F54" i="4"/>
  <c r="F18" i="4"/>
  <c r="F32" i="4"/>
  <c r="F4" i="4"/>
  <c r="F24" i="4"/>
  <c r="F25" i="4"/>
  <c r="F6" i="4"/>
  <c r="F16" i="4"/>
  <c r="F7" i="4"/>
  <c r="F17" i="4"/>
  <c r="F55" i="4"/>
  <c r="F57" i="4"/>
  <c r="F50" i="4"/>
  <c r="F51" i="4"/>
  <c r="F44" i="4"/>
  <c r="F35" i="4"/>
  <c r="F46" i="4"/>
  <c r="F47" i="4"/>
  <c r="F58" i="4"/>
  <c r="F3" i="4"/>
  <c r="F13" i="4"/>
  <c r="F33" i="4"/>
  <c r="F34" i="4"/>
  <c r="F45" i="4"/>
  <c r="F36" i="4"/>
  <c r="F8" i="4"/>
  <c r="F28" i="4"/>
  <c r="F9" i="4"/>
  <c r="F19" i="4"/>
  <c r="F38" i="4"/>
  <c r="F10" i="4"/>
  <c r="F20" i="4"/>
  <c r="F11" i="4"/>
  <c r="F21" i="4"/>
  <c r="F30" i="4"/>
  <c r="F48" i="4"/>
  <c r="F12" i="4"/>
  <c r="F22" i="4"/>
  <c r="F31" i="4"/>
  <c r="F41" i="4"/>
  <c r="F49" i="4"/>
  <c r="F59" i="4"/>
  <c r="F42" i="4"/>
  <c r="F14" i="4"/>
  <c r="F5" i="4"/>
  <c r="F15" i="4"/>
  <c r="F26" i="4"/>
  <c r="F27" i="4"/>
  <c r="F37" i="4"/>
  <c r="F29" i="4"/>
  <c r="F56" i="4"/>
  <c r="F39" i="4"/>
  <c r="F40" i="4"/>
  <c r="F2" i="4"/>
  <c r="E3" i="4"/>
  <c r="E13" i="4"/>
  <c r="E23" i="4"/>
  <c r="E32" i="4"/>
  <c r="E42" i="4"/>
  <c r="E50" i="4"/>
  <c r="E4" i="4"/>
  <c r="E14" i="4"/>
  <c r="E24" i="4"/>
  <c r="E33" i="4"/>
  <c r="E43" i="4"/>
  <c r="E51" i="4"/>
  <c r="E5" i="4"/>
  <c r="E15" i="4"/>
  <c r="E25" i="4"/>
  <c r="E34" i="4"/>
  <c r="E44" i="4"/>
  <c r="E52" i="4"/>
  <c r="E6" i="4"/>
  <c r="E16" i="4"/>
  <c r="E26" i="4"/>
  <c r="E35" i="4"/>
  <c r="E45" i="4"/>
  <c r="E53" i="4"/>
  <c r="E7" i="4"/>
  <c r="E17" i="4"/>
  <c r="E27" i="4"/>
  <c r="E36" i="4"/>
  <c r="E46" i="4"/>
  <c r="E54" i="4"/>
  <c r="E8" i="4"/>
  <c r="E18" i="4"/>
  <c r="E28" i="4"/>
  <c r="E37" i="4"/>
  <c r="E47" i="4"/>
  <c r="E55" i="4"/>
  <c r="E9" i="4"/>
  <c r="E19" i="4"/>
  <c r="E29" i="4"/>
  <c r="E38" i="4"/>
  <c r="E56" i="4"/>
  <c r="E10" i="4"/>
  <c r="E20" i="4"/>
  <c r="E39" i="4"/>
  <c r="E57" i="4"/>
  <c r="E11" i="4"/>
  <c r="E21" i="4"/>
  <c r="E30" i="4"/>
  <c r="E40" i="4"/>
  <c r="E48" i="4"/>
  <c r="E58" i="4"/>
  <c r="E12" i="4"/>
  <c r="E22" i="4"/>
  <c r="E31" i="4"/>
  <c r="E41" i="4"/>
  <c r="E49" i="4"/>
  <c r="E59" i="4"/>
  <c r="E2" i="4"/>
  <c r="C3" i="4"/>
  <c r="C13" i="4"/>
  <c r="C23" i="4"/>
  <c r="C32" i="4"/>
  <c r="C42" i="4"/>
  <c r="C50" i="4"/>
  <c r="C4" i="4"/>
  <c r="C14" i="4"/>
  <c r="C24" i="4"/>
  <c r="C33" i="4"/>
  <c r="C43" i="4"/>
  <c r="C51" i="4"/>
  <c r="C5" i="4"/>
  <c r="C15" i="4"/>
  <c r="C25" i="4"/>
  <c r="C34" i="4"/>
  <c r="C44" i="4"/>
  <c r="C52" i="4"/>
  <c r="C6" i="4"/>
  <c r="C16" i="4"/>
  <c r="C26" i="4"/>
  <c r="C35" i="4"/>
  <c r="C45" i="4"/>
  <c r="C53" i="4"/>
  <c r="C7" i="4"/>
  <c r="C17" i="4"/>
  <c r="C27" i="4"/>
  <c r="C36" i="4"/>
  <c r="C46" i="4"/>
  <c r="C54" i="4"/>
  <c r="C8" i="4"/>
  <c r="C18" i="4"/>
  <c r="C28" i="4"/>
  <c r="C37" i="4"/>
  <c r="C47" i="4"/>
  <c r="C55" i="4"/>
  <c r="C9" i="4"/>
  <c r="C19" i="4"/>
  <c r="C29" i="4"/>
  <c r="C38" i="4"/>
  <c r="C56" i="4"/>
  <c r="C10" i="4"/>
  <c r="C20" i="4"/>
  <c r="C39" i="4"/>
  <c r="C57" i="4"/>
  <c r="C11" i="4"/>
  <c r="C21" i="4"/>
  <c r="C30" i="4"/>
  <c r="C40" i="4"/>
  <c r="C48" i="4"/>
  <c r="C58" i="4"/>
  <c r="C12" i="4"/>
  <c r="C22" i="4"/>
  <c r="C31" i="4"/>
  <c r="C41" i="4"/>
  <c r="C49" i="4"/>
  <c r="C59" i="4"/>
  <c r="C2" i="4"/>
  <c r="J4" i="34"/>
  <c r="J3" i="34"/>
  <c r="E4" i="12"/>
  <c r="E98" i="12"/>
  <c r="E61" i="12"/>
  <c r="E99" i="12"/>
  <c r="E26" i="12"/>
  <c r="E62" i="12"/>
  <c r="E100" i="12"/>
  <c r="E27" i="12"/>
  <c r="E73" i="12"/>
  <c r="E31" i="12"/>
  <c r="E119" i="12"/>
  <c r="E123" i="12"/>
  <c r="E32" i="12"/>
  <c r="E75" i="12"/>
  <c r="E124" i="12"/>
  <c r="E43" i="12"/>
  <c r="E76" i="12"/>
  <c r="E125" i="12"/>
  <c r="E44" i="12"/>
  <c r="E87" i="12"/>
  <c r="E136" i="12"/>
  <c r="E3" i="12"/>
  <c r="E91" i="12"/>
  <c r="E45" i="12"/>
  <c r="E137" i="12"/>
  <c r="E92" i="12"/>
  <c r="E46" i="12"/>
  <c r="E138" i="12"/>
  <c r="E57" i="12"/>
  <c r="E74" i="12"/>
  <c r="E56" i="12"/>
  <c r="E93" i="12"/>
  <c r="E63" i="12"/>
  <c r="E101" i="12"/>
  <c r="E126" i="12"/>
  <c r="E5" i="12"/>
  <c r="E33" i="12"/>
  <c r="E77" i="12"/>
  <c r="E94" i="12"/>
  <c r="E105" i="12"/>
  <c r="E47" i="12"/>
  <c r="E64" i="12"/>
  <c r="E81" i="12"/>
  <c r="E127" i="12"/>
  <c r="E6" i="12"/>
  <c r="E34" i="12"/>
  <c r="E51" i="12"/>
  <c r="E95" i="12"/>
  <c r="E106" i="12"/>
  <c r="E10" i="12"/>
  <c r="E65" i="12"/>
  <c r="E82" i="12"/>
  <c r="E128" i="12"/>
  <c r="E35" i="12"/>
  <c r="E52" i="12"/>
  <c r="E115" i="12"/>
  <c r="E11" i="12"/>
  <c r="E66" i="12"/>
  <c r="E83" i="12"/>
  <c r="E129" i="12"/>
  <c r="E36" i="12"/>
  <c r="E53" i="12"/>
  <c r="E116" i="12"/>
  <c r="E133" i="12"/>
  <c r="E12" i="12"/>
  <c r="E67" i="12"/>
  <c r="E84" i="12"/>
  <c r="E37" i="12"/>
  <c r="E54" i="12"/>
  <c r="E71" i="12"/>
  <c r="E117" i="12"/>
  <c r="E134" i="12"/>
  <c r="E20" i="12"/>
  <c r="E24" i="12"/>
  <c r="E41" i="12"/>
  <c r="E85" i="12"/>
  <c r="E96" i="12"/>
  <c r="E2" i="12"/>
  <c r="E55" i="12"/>
  <c r="E72" i="12"/>
  <c r="E118" i="12"/>
  <c r="E135" i="12"/>
  <c r="E25" i="12"/>
  <c r="E42" i="12"/>
  <c r="E86" i="12"/>
  <c r="E97" i="12"/>
  <c r="E139" i="12"/>
  <c r="E21" i="12"/>
  <c r="E7" i="12"/>
  <c r="E28" i="12"/>
  <c r="E38" i="12"/>
  <c r="E48" i="12"/>
  <c r="E58" i="12"/>
  <c r="E68" i="12"/>
  <c r="E78" i="12"/>
  <c r="E88" i="12"/>
  <c r="E102" i="12"/>
  <c r="E120" i="12"/>
  <c r="E130" i="12"/>
  <c r="E140" i="12"/>
  <c r="E22" i="12"/>
  <c r="E8" i="12"/>
  <c r="E29" i="12"/>
  <c r="E39" i="12"/>
  <c r="E49" i="12"/>
  <c r="E59" i="12"/>
  <c r="E69" i="12"/>
  <c r="E79" i="12"/>
  <c r="E89" i="12"/>
  <c r="E103" i="12"/>
  <c r="E121" i="12"/>
  <c r="E131" i="12"/>
  <c r="E141" i="12"/>
  <c r="E23" i="12"/>
  <c r="E9" i="12"/>
  <c r="E30" i="12"/>
  <c r="E40" i="12"/>
  <c r="E50" i="12"/>
  <c r="E60" i="12"/>
  <c r="E70" i="12"/>
  <c r="E80" i="12"/>
  <c r="E90" i="12"/>
  <c r="E104" i="12"/>
  <c r="E122" i="12"/>
  <c r="E132" i="12"/>
  <c r="E142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2" i="46" a="1"/>
  <c r="G2" i="34" a="1"/>
  <c r="G3" i="34" a="1"/>
  <c r="G4" i="34" a="1"/>
  <c r="G20" i="12" a="1"/>
  <c r="G14" i="12" a="1"/>
  <c r="G25" i="12" a="1"/>
  <c r="G3" i="12" a="1"/>
  <c r="G25" i="12" l="1"/>
  <c r="P25" i="12" s="1"/>
  <c r="G14" i="12"/>
  <c r="P14" i="12" s="1"/>
  <c r="G20" i="12"/>
  <c r="P13" i="12"/>
  <c r="M13" i="12"/>
  <c r="L13" i="12"/>
  <c r="K13" i="12"/>
  <c r="J13" i="12"/>
  <c r="G3" i="12"/>
  <c r="L3" i="12" s="1"/>
  <c r="C2" i="46"/>
  <c r="G4" i="34"/>
  <c r="G3" i="34"/>
  <c r="G2" i="34"/>
  <c r="P142" i="12"/>
  <c r="M142" i="12"/>
  <c r="L142" i="12"/>
  <c r="K142" i="12"/>
  <c r="J142" i="12"/>
  <c r="A142" i="12"/>
  <c r="P141" i="12"/>
  <c r="M141" i="12"/>
  <c r="L141" i="12"/>
  <c r="K141" i="12"/>
  <c r="J141" i="12"/>
  <c r="A141" i="12"/>
  <c r="A126" i="12"/>
  <c r="F126" i="12"/>
  <c r="F127" i="12" s="1"/>
  <c r="F128" i="12" s="1"/>
  <c r="F129" i="12" s="1"/>
  <c r="F130" i="12" s="1"/>
  <c r="F131" i="12" s="1"/>
  <c r="F132" i="12" s="1"/>
  <c r="J126" i="12"/>
  <c r="K126" i="12"/>
  <c r="L126" i="12"/>
  <c r="M126" i="12"/>
  <c r="P126" i="12"/>
  <c r="A127" i="12"/>
  <c r="J127" i="12"/>
  <c r="K127" i="12"/>
  <c r="L127" i="12"/>
  <c r="M127" i="12"/>
  <c r="P127" i="12"/>
  <c r="A128" i="12"/>
  <c r="J128" i="12"/>
  <c r="K128" i="12"/>
  <c r="L128" i="12"/>
  <c r="M128" i="12"/>
  <c r="P128" i="12"/>
  <c r="A129" i="12"/>
  <c r="J129" i="12"/>
  <c r="K129" i="12"/>
  <c r="L129" i="12"/>
  <c r="M129" i="12"/>
  <c r="P129" i="12"/>
  <c r="A130" i="12"/>
  <c r="J130" i="12"/>
  <c r="K130" i="12"/>
  <c r="L130" i="12"/>
  <c r="M130" i="12"/>
  <c r="P130" i="12"/>
  <c r="A131" i="12"/>
  <c r="J131" i="12"/>
  <c r="K131" i="12"/>
  <c r="L131" i="12"/>
  <c r="M131" i="12"/>
  <c r="P131" i="12"/>
  <c r="A132" i="12"/>
  <c r="J132" i="12"/>
  <c r="K132" i="12"/>
  <c r="L132" i="12"/>
  <c r="M132" i="12"/>
  <c r="P132" i="12"/>
  <c r="A133" i="12"/>
  <c r="F133" i="12"/>
  <c r="F134" i="12" s="1"/>
  <c r="F135" i="12" s="1"/>
  <c r="F136" i="12" s="1"/>
  <c r="F137" i="12" s="1"/>
  <c r="F138" i="12" s="1"/>
  <c r="F139" i="12" s="1"/>
  <c r="F140" i="12" s="1"/>
  <c r="F141" i="12" s="1"/>
  <c r="F142" i="12" s="1"/>
  <c r="J133" i="12"/>
  <c r="K133" i="12"/>
  <c r="L133" i="12"/>
  <c r="M133" i="12"/>
  <c r="P133" i="12"/>
  <c r="A134" i="12"/>
  <c r="J134" i="12"/>
  <c r="K134" i="12"/>
  <c r="L134" i="12"/>
  <c r="M134" i="12"/>
  <c r="P134" i="12"/>
  <c r="A135" i="12"/>
  <c r="J135" i="12"/>
  <c r="K135" i="12"/>
  <c r="L135" i="12"/>
  <c r="M135" i="12"/>
  <c r="P135" i="12"/>
  <c r="A136" i="12"/>
  <c r="J136" i="12"/>
  <c r="K136" i="12"/>
  <c r="L136" i="12"/>
  <c r="M136" i="12"/>
  <c r="P136" i="12"/>
  <c r="A137" i="12"/>
  <c r="J137" i="12"/>
  <c r="K137" i="12"/>
  <c r="L137" i="12"/>
  <c r="M137" i="12"/>
  <c r="P137" i="12"/>
  <c r="A138" i="12"/>
  <c r="J138" i="12"/>
  <c r="K138" i="12"/>
  <c r="L138" i="12"/>
  <c r="M138" i="12"/>
  <c r="P138" i="12"/>
  <c r="A139" i="12"/>
  <c r="J139" i="12"/>
  <c r="K139" i="12"/>
  <c r="L139" i="12"/>
  <c r="M139" i="12"/>
  <c r="P139" i="12"/>
  <c r="A140" i="12"/>
  <c r="J140" i="12"/>
  <c r="K140" i="12"/>
  <c r="L140" i="12"/>
  <c r="M140" i="12"/>
  <c r="P140" i="12"/>
  <c r="P125" i="12"/>
  <c r="M125" i="12"/>
  <c r="L125" i="12"/>
  <c r="K125" i="12"/>
  <c r="J125" i="12"/>
  <c r="P124" i="12"/>
  <c r="M124" i="12"/>
  <c r="L124" i="12"/>
  <c r="K124" i="12"/>
  <c r="J124" i="12"/>
  <c r="P123" i="12"/>
  <c r="M123" i="12"/>
  <c r="L123" i="12"/>
  <c r="K123" i="12"/>
  <c r="J123" i="12"/>
  <c r="P122" i="12"/>
  <c r="M122" i="12"/>
  <c r="L122" i="12"/>
  <c r="K122" i="12"/>
  <c r="J122" i="12"/>
  <c r="P121" i="12"/>
  <c r="M121" i="12"/>
  <c r="L121" i="12"/>
  <c r="K121" i="12"/>
  <c r="J121" i="12"/>
  <c r="P120" i="12"/>
  <c r="M120" i="12"/>
  <c r="L120" i="12"/>
  <c r="K120" i="12"/>
  <c r="J120" i="12"/>
  <c r="P119" i="12"/>
  <c r="M119" i="12"/>
  <c r="L119" i="12"/>
  <c r="K119" i="12"/>
  <c r="J119" i="12"/>
  <c r="P118" i="12"/>
  <c r="M118" i="12"/>
  <c r="L118" i="12"/>
  <c r="K118" i="12"/>
  <c r="J118" i="12"/>
  <c r="P117" i="12"/>
  <c r="M117" i="12"/>
  <c r="L117" i="12"/>
  <c r="K117" i="12"/>
  <c r="J117" i="12"/>
  <c r="P116" i="12"/>
  <c r="M116" i="12"/>
  <c r="L116" i="12"/>
  <c r="K116" i="12"/>
  <c r="J116" i="12"/>
  <c r="P115" i="12"/>
  <c r="M115" i="12"/>
  <c r="L115" i="12"/>
  <c r="K115" i="12"/>
  <c r="J115" i="12"/>
  <c r="P106" i="12"/>
  <c r="M106" i="12"/>
  <c r="L106" i="12"/>
  <c r="K106" i="12"/>
  <c r="J106" i="12"/>
  <c r="P105" i="12"/>
  <c r="M105" i="12"/>
  <c r="L105" i="12"/>
  <c r="K105" i="12"/>
  <c r="J105" i="12"/>
  <c r="P104" i="12"/>
  <c r="M104" i="12"/>
  <c r="L104" i="12"/>
  <c r="K104" i="12"/>
  <c r="J104" i="12"/>
  <c r="P103" i="12"/>
  <c r="M103" i="12"/>
  <c r="L103" i="12"/>
  <c r="K103" i="12"/>
  <c r="J103" i="12"/>
  <c r="P102" i="12"/>
  <c r="M102" i="12"/>
  <c r="L102" i="12"/>
  <c r="K102" i="12"/>
  <c r="J102" i="12"/>
  <c r="P101" i="12"/>
  <c r="M101" i="12"/>
  <c r="L101" i="12"/>
  <c r="K101" i="12"/>
  <c r="J101" i="12"/>
  <c r="P100" i="12"/>
  <c r="M100" i="12"/>
  <c r="L100" i="12"/>
  <c r="K100" i="12"/>
  <c r="J100" i="12"/>
  <c r="P99" i="12"/>
  <c r="M99" i="12"/>
  <c r="L99" i="12"/>
  <c r="K99" i="12"/>
  <c r="J99" i="12"/>
  <c r="P98" i="12"/>
  <c r="M98" i="12"/>
  <c r="L98" i="12"/>
  <c r="K98" i="12"/>
  <c r="J98" i="12"/>
  <c r="P97" i="12"/>
  <c r="M97" i="12"/>
  <c r="L97" i="12"/>
  <c r="K97" i="12"/>
  <c r="J97" i="12"/>
  <c r="P96" i="12"/>
  <c r="M96" i="12"/>
  <c r="L96" i="12"/>
  <c r="K96" i="12"/>
  <c r="J96" i="12"/>
  <c r="P95" i="12"/>
  <c r="M95" i="12"/>
  <c r="L95" i="12"/>
  <c r="K95" i="12"/>
  <c r="J95" i="12"/>
  <c r="P94" i="12"/>
  <c r="M94" i="12"/>
  <c r="L94" i="12"/>
  <c r="K94" i="12"/>
  <c r="J94" i="12"/>
  <c r="P93" i="12"/>
  <c r="M93" i="12"/>
  <c r="L93" i="12"/>
  <c r="K93" i="12"/>
  <c r="J93" i="12"/>
  <c r="P92" i="12"/>
  <c r="M92" i="12"/>
  <c r="L92" i="12"/>
  <c r="K92" i="12"/>
  <c r="J92" i="12"/>
  <c r="P91" i="12"/>
  <c r="M91" i="12"/>
  <c r="L91" i="12"/>
  <c r="K91" i="12"/>
  <c r="J91" i="12"/>
  <c r="P90" i="12"/>
  <c r="M90" i="12"/>
  <c r="L90" i="12"/>
  <c r="K90" i="12"/>
  <c r="J90" i="12"/>
  <c r="P89" i="12"/>
  <c r="M89" i="12"/>
  <c r="L89" i="12"/>
  <c r="K89" i="12"/>
  <c r="J89" i="12"/>
  <c r="P88" i="12"/>
  <c r="M88" i="12"/>
  <c r="L88" i="12"/>
  <c r="K88" i="12"/>
  <c r="J88" i="12"/>
  <c r="P87" i="12"/>
  <c r="M87" i="12"/>
  <c r="L87" i="12"/>
  <c r="K87" i="12"/>
  <c r="J87" i="12"/>
  <c r="P86" i="12"/>
  <c r="M86" i="12"/>
  <c r="L86" i="12"/>
  <c r="K86" i="12"/>
  <c r="J86" i="12"/>
  <c r="P85" i="12"/>
  <c r="M85" i="12"/>
  <c r="L85" i="12"/>
  <c r="K85" i="12"/>
  <c r="J85" i="12"/>
  <c r="P84" i="12"/>
  <c r="M84" i="12"/>
  <c r="L84" i="12"/>
  <c r="K84" i="12"/>
  <c r="J84" i="12"/>
  <c r="P83" i="12"/>
  <c r="M83" i="12"/>
  <c r="L83" i="12"/>
  <c r="K83" i="12"/>
  <c r="J83" i="12"/>
  <c r="P82" i="12"/>
  <c r="M82" i="12"/>
  <c r="L82" i="12"/>
  <c r="K82" i="12"/>
  <c r="J82" i="12"/>
  <c r="P81" i="12"/>
  <c r="M81" i="12"/>
  <c r="L81" i="12"/>
  <c r="K81" i="12"/>
  <c r="J81" i="12"/>
  <c r="P80" i="12"/>
  <c r="M80" i="12"/>
  <c r="L80" i="12"/>
  <c r="K80" i="12"/>
  <c r="J80" i="12"/>
  <c r="P79" i="12"/>
  <c r="M79" i="12"/>
  <c r="L79" i="12"/>
  <c r="K79" i="12"/>
  <c r="J79" i="12"/>
  <c r="P78" i="12"/>
  <c r="M78" i="12"/>
  <c r="L78" i="12"/>
  <c r="K78" i="12"/>
  <c r="J78" i="12"/>
  <c r="P77" i="12"/>
  <c r="M77" i="12"/>
  <c r="L77" i="12"/>
  <c r="K77" i="12"/>
  <c r="J77" i="12"/>
  <c r="P76" i="12"/>
  <c r="M76" i="12"/>
  <c r="L76" i="12"/>
  <c r="K76" i="12"/>
  <c r="J76" i="12"/>
  <c r="P75" i="12"/>
  <c r="M75" i="12"/>
  <c r="L75" i="12"/>
  <c r="K75" i="12"/>
  <c r="J75" i="12"/>
  <c r="P74" i="12"/>
  <c r="M74" i="12"/>
  <c r="L74" i="12"/>
  <c r="K74" i="12"/>
  <c r="J74" i="12"/>
  <c r="P73" i="12"/>
  <c r="M73" i="12"/>
  <c r="L73" i="12"/>
  <c r="K73" i="12"/>
  <c r="J73" i="12"/>
  <c r="P72" i="12"/>
  <c r="M72" i="12"/>
  <c r="L72" i="12"/>
  <c r="K72" i="12"/>
  <c r="J72" i="12"/>
  <c r="P71" i="12"/>
  <c r="M71" i="12"/>
  <c r="L71" i="12"/>
  <c r="K71" i="12"/>
  <c r="J71" i="12"/>
  <c r="P70" i="12"/>
  <c r="M70" i="12"/>
  <c r="L70" i="12"/>
  <c r="K70" i="12"/>
  <c r="J70" i="12"/>
  <c r="P69" i="12"/>
  <c r="M69" i="12"/>
  <c r="L69" i="12"/>
  <c r="K69" i="12"/>
  <c r="J69" i="12"/>
  <c r="P68" i="12"/>
  <c r="M68" i="12"/>
  <c r="L68" i="12"/>
  <c r="K68" i="12"/>
  <c r="J68" i="12"/>
  <c r="P67" i="12"/>
  <c r="M67" i="12"/>
  <c r="L67" i="12"/>
  <c r="K67" i="12"/>
  <c r="J67" i="12"/>
  <c r="P66" i="12"/>
  <c r="M66" i="12"/>
  <c r="L66" i="12"/>
  <c r="K66" i="12"/>
  <c r="J66" i="12"/>
  <c r="P65" i="12"/>
  <c r="M65" i="12"/>
  <c r="L65" i="12"/>
  <c r="K65" i="12"/>
  <c r="J65" i="12"/>
  <c r="P64" i="12"/>
  <c r="M64" i="12"/>
  <c r="L64" i="12"/>
  <c r="K64" i="12"/>
  <c r="J64" i="12"/>
  <c r="P63" i="12"/>
  <c r="M63" i="12"/>
  <c r="L63" i="12"/>
  <c r="K63" i="12"/>
  <c r="J63" i="12"/>
  <c r="P62" i="12"/>
  <c r="M62" i="12"/>
  <c r="L62" i="12"/>
  <c r="K62" i="12"/>
  <c r="J62" i="12"/>
  <c r="P61" i="12"/>
  <c r="M61" i="12"/>
  <c r="L61" i="12"/>
  <c r="K61" i="12"/>
  <c r="J61" i="12"/>
  <c r="P60" i="12"/>
  <c r="M60" i="12"/>
  <c r="L60" i="12"/>
  <c r="K60" i="12"/>
  <c r="J60" i="12"/>
  <c r="P59" i="12"/>
  <c r="M59" i="12"/>
  <c r="L59" i="12"/>
  <c r="K59" i="12"/>
  <c r="J59" i="12"/>
  <c r="P58" i="12"/>
  <c r="M58" i="12"/>
  <c r="L58" i="12"/>
  <c r="K58" i="12"/>
  <c r="J58" i="12"/>
  <c r="P57" i="12"/>
  <c r="M57" i="12"/>
  <c r="L57" i="12"/>
  <c r="K57" i="12"/>
  <c r="J57" i="12"/>
  <c r="P56" i="12"/>
  <c r="M56" i="12"/>
  <c r="L56" i="12"/>
  <c r="K56" i="12"/>
  <c r="J56" i="12"/>
  <c r="P55" i="12"/>
  <c r="M55" i="12"/>
  <c r="L55" i="12"/>
  <c r="K55" i="12"/>
  <c r="J55" i="12"/>
  <c r="P54" i="12"/>
  <c r="M54" i="12"/>
  <c r="L54" i="12"/>
  <c r="K54" i="12"/>
  <c r="J54" i="12"/>
  <c r="P53" i="12"/>
  <c r="M53" i="12"/>
  <c r="L53" i="12"/>
  <c r="K53" i="12"/>
  <c r="J53" i="12"/>
  <c r="P52" i="12"/>
  <c r="M52" i="12"/>
  <c r="L52" i="12"/>
  <c r="K52" i="12"/>
  <c r="J52" i="12"/>
  <c r="P51" i="12"/>
  <c r="M51" i="12"/>
  <c r="L51" i="12"/>
  <c r="K51" i="12"/>
  <c r="J51" i="12"/>
  <c r="P50" i="12"/>
  <c r="M50" i="12"/>
  <c r="L50" i="12"/>
  <c r="K50" i="12"/>
  <c r="J50" i="12"/>
  <c r="P49" i="12"/>
  <c r="M49" i="12"/>
  <c r="L49" i="12"/>
  <c r="K49" i="12"/>
  <c r="J49" i="12"/>
  <c r="P48" i="12"/>
  <c r="M48" i="12"/>
  <c r="L48" i="12"/>
  <c r="K48" i="12"/>
  <c r="J48" i="12"/>
  <c r="P47" i="12"/>
  <c r="M47" i="12"/>
  <c r="L47" i="12"/>
  <c r="K47" i="12"/>
  <c r="J47" i="12"/>
  <c r="P46" i="12"/>
  <c r="M46" i="12"/>
  <c r="L46" i="12"/>
  <c r="K46" i="12"/>
  <c r="J46" i="12"/>
  <c r="P45" i="12"/>
  <c r="M45" i="12"/>
  <c r="L45" i="12"/>
  <c r="K45" i="12"/>
  <c r="J45" i="12"/>
  <c r="P44" i="12"/>
  <c r="M44" i="12"/>
  <c r="L44" i="12"/>
  <c r="K44" i="12"/>
  <c r="J44" i="12"/>
  <c r="P43" i="12"/>
  <c r="M43" i="12"/>
  <c r="L43" i="12"/>
  <c r="K43" i="12"/>
  <c r="J43" i="12"/>
  <c r="P42" i="12"/>
  <c r="M42" i="12"/>
  <c r="L42" i="12"/>
  <c r="K42" i="12"/>
  <c r="J42" i="12"/>
  <c r="P41" i="12"/>
  <c r="M41" i="12"/>
  <c r="L41" i="12"/>
  <c r="K41" i="12"/>
  <c r="J41" i="12"/>
  <c r="P40" i="12"/>
  <c r="M40" i="12"/>
  <c r="L40" i="12"/>
  <c r="K40" i="12"/>
  <c r="J40" i="12"/>
  <c r="P39" i="12"/>
  <c r="M39" i="12"/>
  <c r="L39" i="12"/>
  <c r="K39" i="12"/>
  <c r="J39" i="12"/>
  <c r="P38" i="12"/>
  <c r="M38" i="12"/>
  <c r="L38" i="12"/>
  <c r="K38" i="12"/>
  <c r="J38" i="12"/>
  <c r="P37" i="12"/>
  <c r="M37" i="12"/>
  <c r="L37" i="12"/>
  <c r="K37" i="12"/>
  <c r="J37" i="12"/>
  <c r="P36" i="12"/>
  <c r="M36" i="12"/>
  <c r="L36" i="12"/>
  <c r="K36" i="12"/>
  <c r="J36" i="12"/>
  <c r="P35" i="12"/>
  <c r="M35" i="12"/>
  <c r="L35" i="12"/>
  <c r="K35" i="12"/>
  <c r="J35" i="12"/>
  <c r="P34" i="12"/>
  <c r="M34" i="12"/>
  <c r="L34" i="12"/>
  <c r="K34" i="12"/>
  <c r="J34" i="12"/>
  <c r="P33" i="12"/>
  <c r="M33" i="12"/>
  <c r="L33" i="12"/>
  <c r="K33" i="12"/>
  <c r="J33" i="12"/>
  <c r="P24" i="12"/>
  <c r="M24" i="12"/>
  <c r="L24" i="12"/>
  <c r="K24" i="12"/>
  <c r="J24" i="12"/>
  <c r="P2" i="12"/>
  <c r="M2" i="12"/>
  <c r="L2" i="12"/>
  <c r="K2" i="12"/>
  <c r="J2" i="12"/>
  <c r="F2" i="12"/>
  <c r="J2" i="34" a="1"/>
  <c r="D2" i="22" a="1"/>
  <c r="C2" i="22" a="1"/>
  <c r="F2" i="22" a="1"/>
  <c r="G2" i="22" a="1"/>
  <c r="G15" i="12" a="1"/>
  <c r="G21" i="12" a="1"/>
  <c r="G4" i="12" a="1"/>
  <c r="M3" i="12" l="1"/>
  <c r="P3" i="12"/>
  <c r="M25" i="12"/>
  <c r="L14" i="12"/>
  <c r="J14" i="12"/>
  <c r="K14" i="12"/>
  <c r="M14" i="12"/>
  <c r="G21" i="12"/>
  <c r="G15" i="12"/>
  <c r="J3" i="12"/>
  <c r="K3" i="12"/>
  <c r="F14" i="12"/>
  <c r="F3" i="12"/>
  <c r="G4" i="12"/>
  <c r="J25" i="12"/>
  <c r="K25" i="12"/>
  <c r="L25" i="12"/>
  <c r="J2" i="34"/>
  <c r="F24" i="12"/>
  <c r="F25" i="12" s="1"/>
  <c r="F37" i="12"/>
  <c r="F38" i="12" s="1"/>
  <c r="F39" i="12" s="1"/>
  <c r="F40" i="12" s="1"/>
  <c r="F41" i="12" s="1"/>
  <c r="F42" i="12" s="1"/>
  <c r="F43" i="12" s="1"/>
  <c r="F44" i="12" s="1"/>
  <c r="F45" i="12" s="1"/>
  <c r="F46" i="12" s="1"/>
  <c r="F47" i="12" s="1"/>
  <c r="F48" i="12" s="1"/>
  <c r="F49" i="12" s="1"/>
  <c r="F50" i="12" s="1"/>
  <c r="F51" i="12" s="1"/>
  <c r="F52" i="12" s="1"/>
  <c r="F53" i="12" s="1"/>
  <c r="F54" i="12" s="1"/>
  <c r="F55" i="12" s="1"/>
  <c r="F56" i="12" s="1"/>
  <c r="F57" i="12" s="1"/>
  <c r="F58" i="12" s="1"/>
  <c r="F59" i="12" s="1"/>
  <c r="F60" i="12" s="1"/>
  <c r="F61" i="12" s="1"/>
  <c r="F62" i="12" s="1"/>
  <c r="F63" i="12" s="1"/>
  <c r="F64" i="12" s="1"/>
  <c r="F65" i="12" s="1"/>
  <c r="F66" i="12" s="1"/>
  <c r="F67" i="12" s="1"/>
  <c r="F68" i="12" s="1"/>
  <c r="F69" i="12" s="1"/>
  <c r="F70" i="12" s="1"/>
  <c r="F71" i="12" s="1"/>
  <c r="F72" i="12" s="1"/>
  <c r="F73" i="12" s="1"/>
  <c r="F74" i="12" s="1"/>
  <c r="F75" i="12" s="1"/>
  <c r="F76" i="12" s="1"/>
  <c r="F77" i="12" s="1"/>
  <c r="F78" i="12" s="1"/>
  <c r="F79" i="12" s="1"/>
  <c r="F80" i="12" s="1"/>
  <c r="F81" i="12" s="1"/>
  <c r="F82" i="12" s="1"/>
  <c r="F83" i="12" s="1"/>
  <c r="F84" i="12" s="1"/>
  <c r="F85" i="12" s="1"/>
  <c r="F86" i="12" s="1"/>
  <c r="F87" i="12" s="1"/>
  <c r="F88" i="12" s="1"/>
  <c r="F89" i="12" s="1"/>
  <c r="F90" i="12" s="1"/>
  <c r="F91" i="12" s="1"/>
  <c r="F92" i="12" s="1"/>
  <c r="F93" i="12" s="1"/>
  <c r="F94" i="12" s="1"/>
  <c r="F95" i="12" s="1"/>
  <c r="F96" i="12" s="1"/>
  <c r="F97" i="12" s="1"/>
  <c r="F98" i="12" s="1"/>
  <c r="F99" i="12" s="1"/>
  <c r="F100" i="12" s="1"/>
  <c r="F101" i="12" s="1"/>
  <c r="F102" i="12" s="1"/>
  <c r="F103" i="12" s="1"/>
  <c r="F104" i="12" s="1"/>
  <c r="F105" i="12" s="1"/>
  <c r="F106" i="12" s="1"/>
  <c r="F107" i="12" s="1"/>
  <c r="F108" i="12" s="1"/>
  <c r="F109" i="12" s="1"/>
  <c r="F110" i="12" s="1"/>
  <c r="F111" i="12" s="1"/>
  <c r="F112" i="12" s="1"/>
  <c r="F113" i="12" s="1"/>
  <c r="F114" i="12" s="1"/>
  <c r="F115" i="12"/>
  <c r="F116" i="12" s="1"/>
  <c r="F117" i="12" s="1"/>
  <c r="F118" i="12" s="1"/>
  <c r="F119" i="12" s="1"/>
  <c r="F120" i="12" s="1"/>
  <c r="F121" i="12" s="1"/>
  <c r="F122" i="12" s="1"/>
  <c r="F123" i="12" s="1"/>
  <c r="F124" i="12" s="1"/>
  <c r="F125" i="12" s="1"/>
  <c r="G2" i="22"/>
  <c r="F2" i="22"/>
  <c r="D2" i="22"/>
  <c r="C2" i="22"/>
  <c r="A95" i="12"/>
  <c r="G22" i="12" a="1"/>
  <c r="G16" i="12" a="1"/>
  <c r="G5" i="12" a="1"/>
  <c r="P27" i="12" l="1"/>
  <c r="G16" i="12"/>
  <c r="G22" i="12"/>
  <c r="F4" i="12"/>
  <c r="F5" i="12" s="1"/>
  <c r="F15" i="12"/>
  <c r="L15" i="12"/>
  <c r="P15" i="12"/>
  <c r="J15" i="12"/>
  <c r="K15" i="12"/>
  <c r="M15" i="12"/>
  <c r="G5" i="12"/>
  <c r="F26" i="12"/>
  <c r="P4" i="12"/>
  <c r="L4" i="12"/>
  <c r="K4" i="12"/>
  <c r="M4" i="12"/>
  <c r="J4" i="12"/>
  <c r="P26" i="12"/>
  <c r="M26" i="12"/>
  <c r="L26" i="12"/>
  <c r="K26" i="12"/>
  <c r="J26" i="12"/>
  <c r="A90" i="12"/>
  <c r="G23" i="12" a="1"/>
  <c r="G6" i="12" a="1"/>
  <c r="K27" i="12" l="1"/>
  <c r="F27" i="12"/>
  <c r="J27" i="12"/>
  <c r="L27" i="12"/>
  <c r="M27" i="12"/>
  <c r="F16" i="12"/>
  <c r="G23" i="12"/>
  <c r="J28" i="12"/>
  <c r="K16" i="12"/>
  <c r="P16" i="12"/>
  <c r="L16" i="12"/>
  <c r="M16" i="12"/>
  <c r="J16" i="12"/>
  <c r="G6" i="12"/>
  <c r="F6" i="12" s="1"/>
  <c r="J5" i="12"/>
  <c r="P5" i="12"/>
  <c r="M5" i="12"/>
  <c r="L5" i="12"/>
  <c r="K5" i="12"/>
  <c r="P28" i="12"/>
  <c r="M28" i="12"/>
  <c r="L28" i="12"/>
  <c r="K28" i="12"/>
  <c r="A59" i="4"/>
  <c r="A58" i="4"/>
  <c r="A57" i="4"/>
  <c r="A56" i="4"/>
  <c r="A66" i="12"/>
  <c r="A65" i="12"/>
  <c r="A55" i="4"/>
  <c r="A82" i="12"/>
  <c r="A75" i="12"/>
  <c r="A54" i="4"/>
  <c r="A55" i="12"/>
  <c r="A46" i="4"/>
  <c r="G7" i="12" a="1"/>
  <c r="P29" i="12" l="1"/>
  <c r="G7" i="12"/>
  <c r="P6" i="12"/>
  <c r="M6" i="12"/>
  <c r="L6" i="12"/>
  <c r="K6" i="12"/>
  <c r="J6" i="12"/>
  <c r="F28" i="12"/>
  <c r="A49" i="12"/>
  <c r="A51" i="12"/>
  <c r="A50" i="12"/>
  <c r="A48" i="12"/>
  <c r="A47" i="12"/>
  <c r="A43" i="12"/>
  <c r="A53" i="4"/>
  <c r="A52" i="4"/>
  <c r="G8" i="12" a="1"/>
  <c r="G8" i="12" l="1"/>
  <c r="F7" i="12"/>
  <c r="J29" i="12"/>
  <c r="K29" i="12"/>
  <c r="L29" i="12"/>
  <c r="M29" i="12"/>
  <c r="F29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1" i="4"/>
  <c r="A50" i="4"/>
  <c r="C34" i="13" a="1"/>
  <c r="C40" i="13" a="1"/>
  <c r="C35" i="13" a="1"/>
  <c r="C36" i="13" a="1"/>
  <c r="C39" i="13" a="1"/>
  <c r="C37" i="13" a="1"/>
  <c r="C31" i="13" a="1"/>
  <c r="C30" i="13" a="1"/>
  <c r="C38" i="13" a="1"/>
  <c r="C33" i="13" a="1"/>
  <c r="C32" i="13" a="1"/>
  <c r="C41" i="13" a="1"/>
  <c r="G9" i="12" a="1"/>
  <c r="G9" i="12" l="1"/>
  <c r="P30" i="12"/>
  <c r="K30" i="12"/>
  <c r="L30" i="12"/>
  <c r="M30" i="12"/>
  <c r="J30" i="12"/>
  <c r="F8" i="12"/>
  <c r="J8" i="12"/>
  <c r="P8" i="12"/>
  <c r="M8" i="12"/>
  <c r="L8" i="12"/>
  <c r="K8" i="12"/>
  <c r="F30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2" i="12"/>
  <c r="A21" i="12"/>
  <c r="A31" i="11"/>
  <c r="A30" i="11"/>
  <c r="A29" i="11"/>
  <c r="A49" i="4"/>
  <c r="A24" i="11"/>
  <c r="G10" i="12" a="1"/>
  <c r="P32" i="12" l="1"/>
  <c r="G10" i="12"/>
  <c r="F31" i="12"/>
  <c r="F9" i="12"/>
  <c r="K9" i="12"/>
  <c r="J9" i="12"/>
  <c r="M9" i="12"/>
  <c r="L9" i="12"/>
  <c r="P9" i="12"/>
  <c r="J31" i="12"/>
  <c r="K31" i="12"/>
  <c r="L31" i="12"/>
  <c r="M31" i="12"/>
  <c r="P31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1" i="12"/>
  <c r="A5" i="6"/>
  <c r="A4" i="6"/>
  <c r="A3" i="6"/>
  <c r="C4" i="6" a="1"/>
  <c r="C3" i="6" a="1"/>
  <c r="C5" i="6" a="1"/>
  <c r="H3" i="6" a="1"/>
  <c r="H4" i="6" a="1"/>
  <c r="H5" i="6" a="1"/>
  <c r="G11" i="12" a="1"/>
  <c r="G11" i="12" l="1"/>
  <c r="J32" i="12"/>
  <c r="K32" i="12"/>
  <c r="L32" i="12"/>
  <c r="M32" i="12"/>
  <c r="F10" i="12"/>
  <c r="J10" i="12"/>
  <c r="P10" i="12"/>
  <c r="M10" i="12"/>
  <c r="L10" i="12"/>
  <c r="K10" i="12"/>
  <c r="F32" i="12"/>
  <c r="F33" i="12" s="1"/>
  <c r="F34" i="12" s="1"/>
  <c r="F35" i="12" s="1"/>
  <c r="F36" i="12" s="1"/>
  <c r="C5" i="6"/>
  <c r="H5" i="6"/>
  <c r="C4" i="6"/>
  <c r="H4" i="6"/>
  <c r="H3" i="6"/>
  <c r="C3" i="6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E4" i="14" a="1"/>
  <c r="E9" i="42" a="1"/>
  <c r="C11" i="42" a="1"/>
  <c r="E11" i="14" a="1"/>
  <c r="C14" i="42" a="1"/>
  <c r="E27" i="42" a="1"/>
  <c r="E6" i="42" a="1"/>
  <c r="E25" i="14" a="1"/>
  <c r="E14" i="14" a="1"/>
  <c r="C13" i="42" a="1"/>
  <c r="E19" i="14" a="1"/>
  <c r="C5" i="42" a="1"/>
  <c r="E26" i="42" a="1"/>
  <c r="E21" i="14" a="1"/>
  <c r="E4" i="42" a="1"/>
  <c r="C2" i="6" a="1"/>
  <c r="E10" i="14" a="1"/>
  <c r="C8" i="42" a="1"/>
  <c r="E13" i="42" a="1"/>
  <c r="C10" i="42" a="1"/>
  <c r="E22" i="42" a="1"/>
  <c r="C3" i="42" a="1"/>
  <c r="E12" i="14" a="1"/>
  <c r="E13" i="14" a="1"/>
  <c r="C7" i="42" a="1"/>
  <c r="C25" i="42" a="1"/>
  <c r="C15" i="42" a="1"/>
  <c r="E22" i="14" a="1"/>
  <c r="H2" i="6" a="1"/>
  <c r="C16" i="42" a="1"/>
  <c r="E12" i="42" a="1"/>
  <c r="C20" i="42" a="1"/>
  <c r="C22" i="42" a="1"/>
  <c r="C19" i="42" a="1"/>
  <c r="C28" i="42" a="1"/>
  <c r="E3" i="14" a="1"/>
  <c r="E3" i="42" a="1"/>
  <c r="E24" i="14" a="1"/>
  <c r="E21" i="42" a="1"/>
  <c r="C9" i="42" a="1"/>
  <c r="E23" i="42" a="1"/>
  <c r="E28" i="42" a="1"/>
  <c r="E18" i="42" a="1"/>
  <c r="E28" i="14" a="1"/>
  <c r="C24" i="42" a="1"/>
  <c r="E20" i="14" a="1"/>
  <c r="C2" i="41" a="1"/>
  <c r="E9" i="14" a="1"/>
  <c r="E17" i="14" a="1"/>
  <c r="E2" i="42" a="1"/>
  <c r="E14" i="42" a="1"/>
  <c r="E7" i="14" a="1"/>
  <c r="E15" i="42" a="1"/>
  <c r="E16" i="14" a="1"/>
  <c r="E17" i="42" a="1"/>
  <c r="E7" i="42" a="1"/>
  <c r="E5" i="14" a="1"/>
  <c r="E26" i="14" a="1"/>
  <c r="E25" i="42" a="1"/>
  <c r="C23" i="42" a="1"/>
  <c r="C29" i="42" a="1"/>
  <c r="C27" i="42" a="1"/>
  <c r="E8" i="14" a="1"/>
  <c r="E16" i="42" a="1"/>
  <c r="C12" i="42" a="1"/>
  <c r="E6" i="14" a="1"/>
  <c r="C26" i="42" a="1"/>
  <c r="E20" i="42" a="1"/>
  <c r="E29" i="14" a="1"/>
  <c r="C6" i="42" a="1"/>
  <c r="C2" i="42" a="1"/>
  <c r="C21" i="42" a="1"/>
  <c r="C18" i="42" a="1"/>
  <c r="E29" i="42" a="1"/>
  <c r="E18" i="14" a="1"/>
  <c r="C17" i="42" a="1"/>
  <c r="E15" i="14" a="1"/>
  <c r="E2" i="14" a="1"/>
  <c r="E19" i="42" a="1"/>
  <c r="E23" i="14" a="1"/>
  <c r="E11" i="42" a="1"/>
  <c r="E5" i="42" a="1"/>
  <c r="E10" i="42" a="1"/>
  <c r="E24" i="42" a="1"/>
  <c r="E27" i="14" a="1"/>
  <c r="E8" i="42" a="1"/>
  <c r="C4" i="42" a="1"/>
  <c r="G12" i="12" a="1"/>
  <c r="G12" i="12" l="1"/>
  <c r="J19" i="12"/>
  <c r="K19" i="12"/>
  <c r="P19" i="12"/>
  <c r="M19" i="12"/>
  <c r="L19" i="12"/>
  <c r="F20" i="12"/>
  <c r="F11" i="12"/>
  <c r="J11" i="12"/>
  <c r="P11" i="12"/>
  <c r="M11" i="12"/>
  <c r="L11" i="12"/>
  <c r="K11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F21" i="12" l="1"/>
  <c r="F12" i="12"/>
  <c r="M12" i="12"/>
  <c r="L12" i="12"/>
  <c r="K12" i="12"/>
  <c r="J12" i="12"/>
  <c r="P12" i="12"/>
  <c r="P20" i="12"/>
  <c r="M20" i="12"/>
  <c r="L20" i="12"/>
  <c r="K20" i="12"/>
  <c r="J20" i="12"/>
  <c r="A25" i="11"/>
  <c r="C4" i="14" a="1"/>
  <c r="C16" i="13" a="1"/>
  <c r="C18" i="14" a="1"/>
  <c r="C17" i="14" a="1"/>
  <c r="C7" i="13" a="1"/>
  <c r="C24" i="14" a="1"/>
  <c r="C2" i="33" a="1"/>
  <c r="C9" i="13" a="1"/>
  <c r="C11" i="13" a="1"/>
  <c r="C20" i="13" a="1"/>
  <c r="C3" i="33" a="1"/>
  <c r="C25" i="13" a="1"/>
  <c r="C6" i="13" a="1"/>
  <c r="C28" i="14" a="1"/>
  <c r="C3" i="14" a="1"/>
  <c r="C8" i="13" a="1"/>
  <c r="C18" i="13" a="1"/>
  <c r="C14" i="14" a="1"/>
  <c r="C6" i="14" a="1"/>
  <c r="C12" i="13" a="1"/>
  <c r="C4" i="33" a="1"/>
  <c r="C5" i="14" a="1"/>
  <c r="C29" i="13" a="1"/>
  <c r="C26" i="14" a="1"/>
  <c r="C15" i="13" a="1"/>
  <c r="C29" i="14" a="1"/>
  <c r="C15" i="14" a="1"/>
  <c r="C14" i="13" a="1"/>
  <c r="C13" i="13" a="1"/>
  <c r="C25" i="14" a="1"/>
  <c r="C27" i="13" a="1"/>
  <c r="C4" i="13" a="1"/>
  <c r="C26" i="13" a="1"/>
  <c r="C19" i="13" a="1"/>
  <c r="C22" i="14" a="1"/>
  <c r="C19" i="14" a="1"/>
  <c r="C5" i="13" a="1"/>
  <c r="C9" i="14" a="1"/>
  <c r="C2" i="7" a="1"/>
  <c r="C13" i="14" a="1"/>
  <c r="C21" i="14" a="1"/>
  <c r="C7" i="14" a="1"/>
  <c r="C24" i="13" a="1"/>
  <c r="C12" i="14" a="1"/>
  <c r="C3" i="13" a="1"/>
  <c r="C2" i="13" a="1"/>
  <c r="C10" i="13" a="1"/>
  <c r="C23" i="14" a="1"/>
  <c r="C16" i="14" a="1"/>
  <c r="C11" i="14" a="1"/>
  <c r="C20" i="14" a="1"/>
  <c r="C28" i="13" a="1"/>
  <c r="C10" i="14" a="1"/>
  <c r="C22" i="13" a="1"/>
  <c r="C21" i="13" a="1"/>
  <c r="C17" i="13" a="1"/>
  <c r="C8" i="14" a="1"/>
  <c r="C23" i="13" a="1"/>
  <c r="C2" i="14" a="1"/>
  <c r="C27" i="14" a="1"/>
  <c r="C3" i="7" a="1"/>
  <c r="F22" i="12" l="1"/>
  <c r="K21" i="12"/>
  <c r="J21" i="12"/>
  <c r="P21" i="12"/>
  <c r="L21" i="12"/>
  <c r="M21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F23" i="12" l="1"/>
  <c r="P22" i="12"/>
  <c r="M22" i="12"/>
  <c r="L22" i="12"/>
  <c r="K22" i="12"/>
  <c r="J22" i="12"/>
  <c r="A35" i="4"/>
  <c r="A40" i="4"/>
  <c r="A34" i="4"/>
  <c r="A39" i="4"/>
  <c r="A38" i="4"/>
  <c r="A37" i="4"/>
  <c r="A36" i="4"/>
  <c r="A33" i="4"/>
  <c r="A48" i="4"/>
  <c r="A41" i="4"/>
  <c r="A45" i="4"/>
  <c r="A44" i="4"/>
  <c r="A43" i="4"/>
  <c r="A32" i="4"/>
  <c r="A31" i="4"/>
  <c r="A30" i="4"/>
  <c r="A29" i="4"/>
  <c r="A28" i="4"/>
  <c r="A27" i="4"/>
  <c r="A26" i="4"/>
  <c r="A25" i="4"/>
  <c r="A24" i="4"/>
  <c r="A23" i="4"/>
  <c r="A22" i="4"/>
  <c r="A47" i="4"/>
  <c r="A4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K23" i="12" l="1"/>
  <c r="P23" i="12"/>
  <c r="M23" i="12"/>
  <c r="L23" i="12"/>
  <c r="J23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69" i="12"/>
  <c r="A70" i="12"/>
  <c r="A62" i="12" l="1"/>
  <c r="A25" i="13"/>
  <c r="A125" i="12" l="1"/>
  <c r="A93" i="12"/>
  <c r="A124" i="12" l="1"/>
  <c r="A123" i="12"/>
  <c r="A122" i="12"/>
  <c r="A26" i="11"/>
  <c r="A15" i="11"/>
  <c r="A101" i="12" l="1"/>
  <c r="A6" i="12"/>
  <c r="A8" i="13" l="1"/>
  <c r="A80" i="12"/>
  <c r="A38" i="12" l="1"/>
  <c r="A3" i="7" l="1"/>
  <c r="A120" i="12"/>
  <c r="A19" i="13"/>
  <c r="A15" i="13"/>
  <c r="A11" i="13"/>
  <c r="A85" i="12"/>
  <c r="A74" i="12"/>
  <c r="A60" i="12"/>
  <c r="A18" i="13"/>
  <c r="A84" i="12"/>
  <c r="A83" i="12"/>
  <c r="A12" i="11"/>
  <c r="A2" i="7"/>
  <c r="A81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1" i="12"/>
  <c r="A119" i="12"/>
  <c r="A118" i="12"/>
  <c r="A117" i="12"/>
  <c r="A7" i="12"/>
  <c r="A5" i="12"/>
  <c r="A4" i="12"/>
  <c r="A8" i="12"/>
  <c r="A3" i="12"/>
  <c r="A2" i="12"/>
  <c r="A23" i="12"/>
  <c r="A20" i="12"/>
  <c r="A19" i="12"/>
  <c r="A116" i="12"/>
  <c r="A115" i="12"/>
  <c r="A106" i="12"/>
  <c r="A105" i="12"/>
  <c r="A104" i="12"/>
  <c r="A103" i="12"/>
  <c r="A102" i="12"/>
  <c r="A100" i="12"/>
  <c r="A99" i="12"/>
  <c r="A98" i="12"/>
  <c r="A97" i="12"/>
  <c r="A96" i="12"/>
  <c r="A91" i="12"/>
  <c r="A94" i="12"/>
  <c r="A92" i="12"/>
  <c r="A89" i="12"/>
  <c r="A88" i="12"/>
  <c r="A87" i="12"/>
  <c r="A86" i="12"/>
  <c r="A79" i="12"/>
  <c r="A78" i="12"/>
  <c r="A77" i="12"/>
  <c r="A76" i="12"/>
  <c r="A73" i="12"/>
  <c r="A72" i="12"/>
  <c r="A71" i="12"/>
  <c r="A68" i="12"/>
  <c r="A64" i="12"/>
  <c r="A67" i="12"/>
  <c r="A63" i="12"/>
  <c r="A61" i="12"/>
  <c r="A59" i="12"/>
  <c r="A58" i="12"/>
  <c r="A57" i="12"/>
  <c r="A56" i="12"/>
  <c r="A54" i="12"/>
  <c r="A53" i="12"/>
  <c r="A52" i="12"/>
  <c r="A46" i="12"/>
  <c r="A45" i="12"/>
  <c r="A44" i="12"/>
  <c r="A42" i="12"/>
  <c r="A41" i="12"/>
  <c r="A40" i="12"/>
  <c r="A39" i="12"/>
  <c r="A37" i="12"/>
  <c r="A36" i="12"/>
  <c r="A35" i="12"/>
  <c r="A34" i="12"/>
  <c r="A33" i="12"/>
  <c r="A26" i="12"/>
  <c r="A25" i="12"/>
  <c r="A32" i="12"/>
  <c r="A31" i="12"/>
  <c r="A30" i="12"/>
  <c r="A29" i="12"/>
  <c r="A28" i="12"/>
  <c r="A27" i="12"/>
  <c r="A12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34" i="2" a="1"/>
  <c r="C33" i="2" a="1"/>
  <c r="G57" i="4" a="1"/>
  <c r="G37" i="4" a="1"/>
  <c r="G16" i="4" a="1"/>
  <c r="G26" i="11" a="1"/>
  <c r="G4" i="11" a="1"/>
  <c r="C9" i="2" a="1"/>
  <c r="G29" i="11" a="1"/>
  <c r="C25" i="2" a="1"/>
  <c r="G51" i="4" a="1"/>
  <c r="G24" i="4" a="1"/>
  <c r="G23" i="11" a="1"/>
  <c r="G27" i="4" a="1"/>
  <c r="G13" i="4" a="1"/>
  <c r="C18" i="2" a="1"/>
  <c r="C37" i="2" a="1"/>
  <c r="G6" i="4" a="1"/>
  <c r="C15" i="2" a="1"/>
  <c r="G41" i="4" a="1"/>
  <c r="C31" i="2" a="1"/>
  <c r="G2" i="4" a="1"/>
  <c r="G5" i="4" a="1"/>
  <c r="G25" i="11" a="1"/>
  <c r="G39" i="4" a="1"/>
  <c r="C24" i="2" a="1"/>
  <c r="G17" i="4" a="1"/>
  <c r="G34" i="11" a="1"/>
  <c r="G53" i="4" a="1"/>
  <c r="G11" i="4" a="1"/>
  <c r="G15" i="11" a="1"/>
  <c r="C6" i="2" a="1"/>
  <c r="C11" i="2" a="1"/>
  <c r="G9" i="4" a="1"/>
  <c r="G35" i="4" a="1"/>
  <c r="G18" i="4" a="1"/>
  <c r="G17" i="11" a="1"/>
  <c r="G18" i="11" a="1"/>
  <c r="G44" i="4" a="1"/>
  <c r="G50" i="4" a="1"/>
  <c r="G20" i="4" a="1"/>
  <c r="G34" i="4" a="1"/>
  <c r="C4" i="2" a="1"/>
  <c r="C35" i="2" a="1"/>
  <c r="G4" i="4" a="1"/>
  <c r="G45" i="4" a="1"/>
  <c r="G10" i="4" a="1"/>
  <c r="G55" i="4" a="1"/>
  <c r="G21" i="4" a="1"/>
  <c r="C22" i="2" a="1"/>
  <c r="C13" i="2" a="1"/>
  <c r="G35" i="11" a="1"/>
  <c r="C39" i="2" a="1"/>
  <c r="C3" i="2" a="1"/>
  <c r="G26" i="4" a="1"/>
  <c r="G27" i="11" a="1"/>
  <c r="C26" i="2" a="1"/>
  <c r="C28" i="2" a="1"/>
  <c r="C5" i="2" a="1"/>
  <c r="G36" i="4" a="1"/>
  <c r="G32" i="4" a="1"/>
  <c r="G59" i="4" a="1"/>
  <c r="G12" i="11" a="1"/>
  <c r="G2" i="11" a="1"/>
  <c r="G7" i="11" a="1"/>
  <c r="G49" i="4" a="1"/>
  <c r="G9" i="11" a="1"/>
  <c r="C10" i="2" a="1"/>
  <c r="G19" i="4" a="1"/>
  <c r="G43" i="4" a="1"/>
  <c r="C16" i="2" a="1"/>
  <c r="C21" i="2" a="1"/>
  <c r="G14" i="4" a="1"/>
  <c r="G28" i="4" a="1"/>
  <c r="G33" i="11" a="1"/>
  <c r="G7" i="4" a="1"/>
  <c r="G3" i="11" a="1"/>
  <c r="C17" i="2" a="1"/>
  <c r="G12" i="4" a="1"/>
  <c r="G11" i="11" a="1"/>
  <c r="C12" i="2" a="1"/>
  <c r="C30" i="2" a="1"/>
  <c r="G3" i="4" a="1"/>
  <c r="G47" i="4" a="1"/>
  <c r="G42" i="4" a="1"/>
  <c r="G19" i="11" a="1"/>
  <c r="C2" i="2" a="1"/>
  <c r="G20" i="11" a="1"/>
  <c r="G25" i="4" a="1"/>
  <c r="G22" i="4" a="1"/>
  <c r="G32" i="11" a="1"/>
  <c r="C23" i="2" a="1"/>
  <c r="G5" i="11" a="1"/>
  <c r="G14" i="11" a="1"/>
  <c r="G30" i="4" a="1"/>
  <c r="G33" i="4" a="1"/>
  <c r="C7" i="2" a="1"/>
  <c r="G56" i="4" a="1"/>
  <c r="G46" i="4" a="1"/>
  <c r="G31" i="11" a="1"/>
  <c r="G15" i="4" a="1"/>
  <c r="G10" i="11" a="1"/>
  <c r="C20" i="2" a="1"/>
  <c r="C29" i="2" a="1"/>
  <c r="C19" i="2" a="1"/>
  <c r="G29" i="4" a="1"/>
  <c r="C14" i="2" a="1"/>
  <c r="G8" i="4" a="1"/>
  <c r="G21" i="11" a="1"/>
  <c r="C8" i="2" a="1"/>
  <c r="C38" i="2" a="1"/>
  <c r="G24" i="11" a="1"/>
  <c r="G13" i="11" a="1"/>
  <c r="C36" i="2" a="1"/>
  <c r="G38" i="4" a="1"/>
  <c r="C32" i="2" a="1"/>
  <c r="G30" i="11" a="1"/>
  <c r="G48" i="4" a="1"/>
  <c r="G54" i="4" a="1"/>
  <c r="G8" i="11" a="1"/>
  <c r="G22" i="11" a="1"/>
  <c r="G23" i="4" a="1"/>
  <c r="G52" i="4" a="1"/>
  <c r="G6" i="11" a="1"/>
  <c r="C27" i="2" a="1"/>
  <c r="G16" i="11" a="1"/>
  <c r="G58" i="4" a="1"/>
  <c r="G40" i="4" a="1"/>
  <c r="G31" i="4" a="1"/>
  <c r="G2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G13" i="4"/>
  <c r="G45" i="4"/>
  <c r="G10" i="4"/>
  <c r="G14" i="4"/>
  <c r="G53" i="4"/>
  <c r="G20" i="4"/>
  <c r="G23" i="4"/>
  <c r="G7" i="4"/>
  <c r="G24" i="4"/>
  <c r="G17" i="4"/>
  <c r="G39" i="4"/>
  <c r="G32" i="4"/>
  <c r="G33" i="4"/>
  <c r="G57" i="4"/>
  <c r="G42" i="4"/>
  <c r="G11" i="4"/>
  <c r="G43" i="4"/>
  <c r="G21" i="4"/>
  <c r="G8" i="4"/>
  <c r="G30" i="4"/>
  <c r="G51" i="4"/>
  <c r="G40" i="4"/>
  <c r="G5" i="4"/>
  <c r="G28" i="4"/>
  <c r="G15" i="4"/>
  <c r="G58" i="4"/>
  <c r="G25" i="4"/>
  <c r="G47" i="4"/>
  <c r="G22" i="4"/>
  <c r="G44" i="4"/>
  <c r="G31" i="4"/>
  <c r="G41" i="4"/>
  <c r="G6" i="4"/>
  <c r="G29" i="4"/>
  <c r="G16" i="4"/>
  <c r="G38" i="4"/>
  <c r="G26" i="4"/>
  <c r="G2" i="4"/>
  <c r="G35" i="4"/>
  <c r="G56" i="4"/>
  <c r="G27" i="4"/>
  <c r="G36" i="4"/>
  <c r="G46" i="4"/>
  <c r="G54" i="4"/>
  <c r="G50" i="4"/>
  <c r="G18" i="4"/>
  <c r="G48" i="4"/>
  <c r="G37" i="4"/>
  <c r="G12" i="4"/>
  <c r="G34" i="4"/>
  <c r="G55" i="4"/>
  <c r="G9" i="4"/>
  <c r="G52" i="4"/>
  <c r="G19" i="4"/>
  <c r="G49" i="4"/>
  <c r="G59" i="4"/>
  <c r="G3" i="4"/>
  <c r="G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<sst xmlns="http://schemas.openxmlformats.org/spreadsheetml/2006/main" count="1590" uniqueCount="844">
  <si>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</si>
  <si>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</si>
  <si>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</si>
  <si>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</si>
  <si>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</si>
  <si>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</si>
  <si>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</si>
  <si>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</si>
  <si>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</si>
  <si>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</si>
  <si>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</si>
  <si>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</si>
  <si>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</si>
  <si>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</si>
  <si>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</si>
  <si>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</si>
  <si>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</si>
  <si>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</si>
  <si>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</si>
  <si>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</si>
  <si>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</si>
  <si>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</si>
  <si>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</si>
  <si>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</si>
  <si>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</si>
  <si>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</si>
  <si>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</si>
  <si>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</si>
  <si>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</si>
  <si>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</si>
  <si>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</si>
  <si>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</si>
  <si>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</si>
  <si>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</si>
  <si>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</si>
  <si>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</si>
  <si>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</si>
  <si>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</si>
  <si>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</si>
  <si>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</si>
  <si>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</si>
  <si>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</si>
  <si>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</si>
  <si>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</si>
  <si>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</si>
  <si>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</si>
  <si>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</si>
  <si>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</si>
  <si>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</si>
  <si>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</si>
  <si>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</si>
  <si>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</si>
  <si>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</si>
  <si>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</si>
  <si>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</si>
  <si>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</si>
  <si>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</si>
  <si>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</si>
  <si>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</si>
  <si>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</si>
  <si>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</si>
  <si>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</si>
  <si>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</si>
  <si>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</si>
  <si>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</si>
  <si>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</si>
  <si>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</si>
  <si>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</si>
  <si>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</si>
  <si>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</si>
  <si>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</si>
  <si>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</si>
  <si>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</si>
  <si>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</si>
  <si>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</si>
  <si>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</si>
  <si>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</si>
  <si>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</si>
  <si>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</si>
  <si>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</si>
  <si>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</si>
  <si>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</si>
  <si>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</si>
  <si>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</si>
  <si>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</si>
  <si>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</si>
  <si>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</si>
  <si>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</si>
  <si>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</si>
  <si>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</si>
  <si>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</si>
  <si>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</si>
  <si>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</si>
  <si>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</si>
  <si>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</si>
  <si>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</si>
  <si>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</si>
  <si>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</si>
  <si>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</si>
  <si>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</si>
  <si>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</si>
  <si>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</si>
  <si>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</si>
  <si>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</si>
  <si>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</si>
  <si>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</si>
  <si>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</si>
  <si>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</si>
  <si>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</si>
  <si>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</si>
  <si>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</si>
  <si>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</si>
  <si>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</si>
  <si>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</si>
  <si>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</si>
  <si>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</si>
  <si>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</si>
  <si>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</si>
  <si>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</si>
  <si>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</si>
  <si>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</si>
  <si>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</si>
  <si>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</si>
  <si>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</si>
  <si>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</si>
  <si>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</si>
  <si>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</si>
  <si>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</si>
  <si>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</si>
  <si>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</si>
  <si>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</si>
  <si>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</si>
  <si>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</si>
  <si>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</si>
  <si>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</si>
  <si>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</si>
  <si>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</si>
  <si>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</si>
  <si>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</si>
  <si>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</si>
  <si>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</si>
  <si>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</si>
  <si>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</si>
  <si>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</si>
  <si>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</si>
  <si>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</si>
  <si>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</si>
  <si>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</si>
  <si>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</si>
  <si>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</si>
  <si>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</si>
  <si>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</si>
  <si>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</si>
  <si>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</si>
  <si>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</si>
  <si>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</si>
  <si>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</si>
  <si>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</si>
  <si>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</si>
  <si>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</si>
  <si>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</si>
  <si>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</si>
  <si>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</si>
  <si>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</si>
  <si>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</si>
  <si>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</si>
  <si>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</si>
  <si>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</si>
  <si>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</si>
  <si>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</si>
  <si>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</si>
  <si>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</si>
  <si>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</si>
  <si>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</si>
  <si>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</si>
  <si>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</si>
  <si>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</si>
  <si>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</si>
  <si>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</si>
  <si>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</si>
  <si>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</si>
  <si>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</si>
  <si>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</si>
  <si>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</si>
  <si>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</si>
  <si>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</si>
  <si>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</si>
  <si>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</si>
  <si>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</si>
  <si>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</si>
  <si>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</si>
  <si>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</si>
  <si>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Colunas de tabelas</t>
  </si>
  <si>
    <t>Domínios de colunas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</si>
  <si>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</si>
  <si>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</si>
  <si>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</si>
  <si>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</si>
  <si>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</si>
  <si>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</si>
  <si>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</si>
  <si>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</si>
  <si>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</si>
  <si>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</si>
  <si>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</si>
  <si>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</si>
  <si>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</si>
  <si>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Coluna 1</t>
  </si>
  <si>
    <t>Coluna 2</t>
  </si>
  <si>
    <t>#TableName1</t>
  </si>
  <si>
    <t>#TableName2</t>
  </si>
  <si>
    <t>#ColumnName1</t>
  </si>
  <si>
    <t>#ColumnName2</t>
  </si>
  <si>
    <t>Bidirecional?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</si>
  <si>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</si>
  <si>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</si>
  <si>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</si>
  <si>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</si>
  <si>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</si>
  <si>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</si>
  <si>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</si>
  <si>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</si>
  <si>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</si>
  <si>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</si>
  <si>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</si>
  <si>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</si>
  <si>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</si>
  <si>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</si>
  <si>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</si>
  <si>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</si>
  <si>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</si>
  <si>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</si>
  <si>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</si>
  <si>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</si>
  <si>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</si>
  <si>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</si>
  <si>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</si>
  <si>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</si>
  <si>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</si>
  <si>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</si>
  <si>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</si>
  <si>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</si>
  <si>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</si>
  <si>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</si>
  <si>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</si>
  <si>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</si>
  <si>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</si>
  <si>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</si>
  <si>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</si>
  <si>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</si>
  <si>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</si>
  <si>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</si>
  <si>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</si>
  <si>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</si>
  <si>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</si>
  <si>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</si>
  <si>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</si>
  <si>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</si>
  <si>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</si>
  <si>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</si>
  <si>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</si>
  <si>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</si>
  <si>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</si>
  <si>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</si>
  <si>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</si>
  <si>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</si>
  <si>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</si>
  <si>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</si>
  <si>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</si>
  <si>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</si>
  <si>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</si>
  <si>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</si>
  <si>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</si>
  <si>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</si>
  <si>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</si>
  <si>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</si>
  <si>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</si>
  <si>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</si>
  <si>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</si>
  <si>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</si>
  <si>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</si>
  <si>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</si>
  <si>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</si>
  <si>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</si>
  <si>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</si>
  <si>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</si>
  <si>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</si>
  <si>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</si>
  <si>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</si>
  <si>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</si>
  <si>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</si>
  <si>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</si>
  <si>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</si>
  <si>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</si>
  <si>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</si>
  <si>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</si>
  <si>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</si>
  <si>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</si>
  <si>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</si>
  <si>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</si>
  <si>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</si>
  <si>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</si>
  <si>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</si>
  <si>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</si>
  <si>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</si>
  <si>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</si>
  <si>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</si>
  <si>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</si>
  <si>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</si>
  <si>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</si>
  <si>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</si>
  <si>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</si>
  <si>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</si>
  <si>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</si>
  <si>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</si>
  <si>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</si>
  <si>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</si>
  <si>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</si>
  <si>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</si>
  <si>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</si>
  <si>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</si>
  <si>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</si>
  <si>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</si>
  <si>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</si>
  <si>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</si>
  <si>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</si>
  <si>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</si>
  <si>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</si>
  <si>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</si>
  <si>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</si>
  <si>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</si>
  <si>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</si>
  <si>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</si>
  <si>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</si>
  <si>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</si>
  <si>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</si>
  <si>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</si>
  <si>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</si>
  <si>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</si>
  <si>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</si>
  <si>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</si>
  <si>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</si>
  <si>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</si>
  <si>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</si>
  <si>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</si>
  <si>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</si>
  <si>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</si>
  <si>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</si>
  <si>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</si>
  <si>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</si>
  <si>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</si>
  <si>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</si>
  <si>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</si>
  <si>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</si>
  <si>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</si>
  <si>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</si>
  <si>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</si>
  <si>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</si>
  <si>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</si>
  <si>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</si>
  <si>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</si>
  <si>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</si>
  <si>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</si>
  <si>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</si>
  <si>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</si>
  <si>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</si>
  <si>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</si>
  <si>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</si>
  <si>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</si>
  <si>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</si>
  <si>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</si>
  <si>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</si>
  <si>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</si>
  <si>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</si>
  <si>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</si>
  <si>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</si>
  <si>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</si>
  <si>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</si>
  <si>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</si>
  <si>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</si>
  <si>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</si>
  <si>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</si>
  <si>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</si>
  <si>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</si>
  <si>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</si>
  <si>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</si>
  <si>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</si>
  <si>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</si>
  <si>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</si>
  <si>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</si>
  <si>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</si>
  <si>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</si>
  <si>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</si>
  <si>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</si>
  <si>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</si>
  <si>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</si>
  <si>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</si>
  <si>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</si>
  <si>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</si>
  <si>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</si>
  <si>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</si>
  <si>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</si>
  <si>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</si>
  <si>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</si>
  <si>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</si>
  <si>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</si>
  <si>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</si>
  <si>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</si>
  <si>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</si>
  <si>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</si>
  <si>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</si>
  <si>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</si>
  <si>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</si>
  <si>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</si>
  <si>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</si>
  <si>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</si>
  <si>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</si>
  <si>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</si>
  <si>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</si>
  <si>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</si>
  <si>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</si>
  <si>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</si>
  <si>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</si>
  <si>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</si>
  <si>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</si>
  <si>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</si>
  <si>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</si>
  <si>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</si>
  <si>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</si>
  <si>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</si>
  <si>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</si>
  <si>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</si>
  <si>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</si>
  <si>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</si>
  <si>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</si>
  <si>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</si>
  <si>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</si>
  <si>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</si>
  <si>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</si>
  <si>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</si>
  <si>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</si>
  <si>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</si>
  <si>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</si>
  <si>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</si>
  <si>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</si>
  <si>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</si>
  <si>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</si>
  <si>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</si>
  <si>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</si>
  <si>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</si>
  <si>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</si>
  <si>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</si>
  <si>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</si>
  <si>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</si>
  <si>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</si>
  <si>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</si>
  <si>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</si>
  <si>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</si>
  <si>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</si>
  <si>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</si>
  <si>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</si>
  <si>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</si>
  <si>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Comportamentos de formulários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</si>
  <si>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</si>
  <si>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</si>
  <si>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</si>
  <si>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</si>
  <si>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</si>
  <si>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</si>
  <si>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</si>
  <si>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</si>
  <si>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</si>
  <si>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</si>
  <si>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</si>
  <si>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</si>
  <si>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</si>
  <si>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</si>
  <si>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</si>
  <si>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</si>
  <si>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</si>
  <si>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</si>
  <si>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</si>
  <si>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</si>
  <si>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</si>
  <si>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</si>
  <si>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</si>
  <si>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</si>
  <si>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Conexões de bancos-de-dados</t>
  </si>
  <si>
    <t>MenuId</t>
  </si>
  <si>
    <t>#MenuCaption</t>
  </si>
  <si>
    <t>Domínios x Máscaras de edição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</si>
  <si>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</si>
  <si>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</si>
  <si>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</si>
  <si>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</si>
  <si>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</si>
  <si>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</si>
  <si>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</si>
  <si>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</si>
  <si>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</si>
  <si>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</si>
  <si>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</si>
  <si>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</si>
  <si>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</si>
  <si>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</si>
  <si>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</si>
  <si>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Expressões lógicas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</si>
  <si>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</si>
  <si>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</si>
  <si>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</si>
  <si>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</si>
  <si>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</si>
  <si>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</si>
  <si>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</si>
  <si>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</si>
  <si>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</si>
  <si>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</si>
  <si>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</si>
  <si>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</si>
  <si>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</si>
  <si>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</si>
  <si>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</si>
  <si>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</si>
  <si>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</si>
  <si>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</si>
  <si>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</si>
  <si>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</si>
  <si>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</si>
  <si>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Unicidades cruzadas entre tabelas</t>
  </si>
  <si>
    <t>Sessões de logins</t>
  </si>
  <si>
    <t>Operações CRUD</t>
  </si>
  <si>
    <t>Transações CRUD</t>
  </si>
  <si>
    <t>#ExpressionName</t>
  </si>
  <si>
    <t>#TableAlias</t>
  </si>
  <si>
    <t>Ref</t>
  </si>
  <si>
    <t>References</t>
  </si>
  <si>
    <t>Índices de tabelas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</si>
  <si>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</si>
  <si>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</si>
  <si>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</si>
  <si>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</si>
  <si>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</si>
  <si>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</si>
  <si>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</si>
  <si>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</si>
  <si>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</si>
  <si>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</si>
  <si>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</si>
  <si>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ValidLists</t>
  </si>
  <si>
    <t>CRUD Operation</t>
  </si>
  <si>
    <t>bigint (8 bytes)</t>
  </si>
  <si>
    <t>tinyint (1 byte)</t>
  </si>
  <si>
    <t>bit (1 bit)</t>
  </si>
  <si>
    <t>smallint (2 bytes)</t>
  </si>
  <si>
    <t>Menus agrupadores de opções</t>
  </si>
  <si>
    <t>Schedulers</t>
  </si>
  <si>
    <t>Sch</t>
  </si>
  <si>
    <t>Agendador de tarefas</t>
  </si>
  <si>
    <t>Snipers</t>
  </si>
  <si>
    <t>Snp</t>
  </si>
  <si>
    <t>Scripts</t>
  </si>
  <si>
    <t>Scr</t>
  </si>
  <si>
    <t>Scripts de operações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</si>
  <si>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</si>
  <si>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</si>
  <si>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</si>
  <si>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</si>
  <si>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</si>
  <si>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</si>
  <si>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</si>
  <si>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</si>
  <si>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</si>
  <si>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</si>
  <si>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</si>
  <si>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</si>
  <si>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Permissões de acesso de usuários</t>
  </si>
  <si>
    <t>Condições de expressões lógicas</t>
  </si>
  <si>
    <t>Colunas não-chaves de índices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</si>
  <si>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</si>
  <si>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</si>
  <si>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</si>
  <si>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</si>
  <si>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</si>
  <si>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</si>
  <si>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</si>
  <si>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</si>
  <si>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</si>
  <si>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</si>
  <si>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</si>
  <si>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</si>
  <si>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</si>
  <si>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</si>
  <si>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</si>
  <si>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</si>
  <si>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</si>
  <si>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</si>
  <si>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</si>
  <si>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</si>
  <si>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</si>
  <si>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</si>
  <si>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</si>
  <si>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</si>
  <si>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</si>
  <si>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</si>
  <si>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</si>
  <si>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</si>
  <si>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</si>
  <si>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</si>
  <si>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</si>
  <si>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</si>
  <si>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</si>
  <si>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</si>
  <si>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</si>
  <si>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</si>
  <si>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</si>
  <si>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</si>
  <si>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</si>
  <si>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</si>
  <si>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</si>
  <si>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</si>
  <si>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</si>
  <si>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</si>
  <si>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</si>
  <si>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</si>
  <si>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</si>
  <si>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</si>
  <si>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</si>
  <si>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</si>
  <si>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</si>
  <si>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</si>
  <si>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</si>
  <si>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</si>
  <si>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</si>
  <si>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</si>
  <si>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</si>
  <si>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</si>
  <si>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</si>
  <si>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</si>
  <si>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</si>
  <si>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</si>
  <si>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</si>
  <si>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</si>
  <si>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</si>
  <si>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</si>
  <si>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</si>
  <si>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</si>
  <si>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</si>
  <si>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</si>
  <si>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</si>
  <si>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</si>
  <si>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</si>
  <si>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</si>
  <si>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</si>
  <si>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</si>
  <si>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</si>
  <si>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</si>
  <si>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</si>
  <si>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</si>
  <si>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</si>
  <si>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</si>
  <si>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</si>
  <si>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</si>
  <si>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</si>
  <si>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</si>
  <si>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</si>
  <si>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</si>
  <si>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</si>
  <si>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</si>
  <si>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</si>
  <si>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</si>
  <si>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</si>
  <si>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</si>
  <si>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</si>
  <si>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</si>
  <si>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</si>
  <si>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</si>
  <si>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#CategoryId</t>
  </si>
  <si>
    <t>AskEncrypted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</si>
  <si>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</si>
  <si>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</si>
  <si>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</si>
  <si>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</si>
  <si>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</si>
  <si>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</si>
  <si>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</si>
  <si>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IsRequired</t>
  </si>
  <si>
    <t>IsPrimarykey</t>
  </si>
  <si>
    <t>IsAutoincrement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</si>
  <si>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</si>
  <si>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</si>
  <si>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</si>
  <si>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</si>
  <si>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</si>
  <si>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</si>
  <si>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</si>
  <si>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</si>
  <si>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</si>
  <si>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</si>
  <si>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</si>
  <si>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É ordem decrescente?</t>
  </si>
  <si>
    <t>Decrescente?</t>
  </si>
  <si>
    <t>IsBirectional</t>
  </si>
  <si>
    <t>Unicidade é bidirecional?</t>
  </si>
  <si>
    <t>Id do índice da inclusão</t>
  </si>
  <si>
    <t>Id da coluna da inclusão</t>
  </si>
  <si>
    <t>Coluna</t>
  </si>
  <si>
    <t>Id da inclusão do índice</t>
  </si>
  <si>
    <t>Id da coluna 1</t>
  </si>
  <si>
    <t>Id da coluna 2</t>
  </si>
  <si>
    <t>Engines 0001</t>
  </si>
  <si>
    <t>Id da expressão lógica</t>
  </si>
  <si>
    <t>Id da tabela da expressão</t>
  </si>
  <si>
    <t>Nome da expressão lógica</t>
  </si>
  <si>
    <t>Id da condição lógica</t>
  </si>
  <si>
    <t>Sequência da condição lógica</t>
  </si>
  <si>
    <t>Expressão</t>
  </si>
  <si>
    <t>Conector</t>
  </si>
  <si>
    <t>Conector lógico</t>
  </si>
  <si>
    <t>Abertura de parênteses</t>
  </si>
  <si>
    <t>Operador de comparação</t>
  </si>
  <si>
    <t>Operador</t>
  </si>
  <si>
    <t>LeftColumnId</t>
  </si>
  <si>
    <t>Coluna à esquerda da comparação</t>
  </si>
  <si>
    <t>Coluna à esquerda</t>
  </si>
  <si>
    <t>RightColumnId</t>
  </si>
  <si>
    <t>Coluna à direita da comparação</t>
  </si>
  <si>
    <t>Coluna à direita</t>
  </si>
  <si>
    <t>#RightTableColumnName</t>
  </si>
  <si>
    <t>#LeftTableColumnName</t>
  </si>
  <si>
    <t>RightValue</t>
  </si>
  <si>
    <t>ConstanValue</t>
  </si>
  <si>
    <t>Valor constante de comparação</t>
  </si>
  <si>
    <t>Valor</t>
  </si>
  <si>
    <t>Fechamento de parênteses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</si>
  <si>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</si>
  <si>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</si>
  <si>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</si>
  <si>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</si>
  <si>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</si>
  <si>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</si>
  <si>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</si>
  <si>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</si>
  <si>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</si>
  <si>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</si>
  <si>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</si>
  <si>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</si>
  <si>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</si>
  <si>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</si>
  <si>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</si>
  <si>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</si>
  <si>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Menor que..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</si>
  <si>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</si>
  <si>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</si>
  <si>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</si>
  <si>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</si>
  <si>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</si>
  <si>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</si>
  <si>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</si>
  <si>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</si>
  <si>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</si>
  <si>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</si>
  <si>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</si>
  <si>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upper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</si>
  <si>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</si>
  <si>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</si>
  <si>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</si>
  <si>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</si>
  <si>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</si>
  <si>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</si>
  <si>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É filtrável?</t>
  </si>
  <si>
    <t>Filtrável?</t>
  </si>
  <si>
    <t>É editável?</t>
  </si>
  <si>
    <t>Editável?</t>
  </si>
  <si>
    <t>É gridável?</t>
  </si>
  <si>
    <t>Gridável?</t>
  </si>
  <si>
    <t>É listável?</t>
  </si>
  <si>
    <t>Listável?</t>
  </si>
  <si>
    <t>É encriptável?</t>
  </si>
  <si>
    <t>Encriptável?</t>
  </si>
  <si>
    <t>É extenso?</t>
  </si>
  <si>
    <t>Extenso?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</si>
  <si>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</si>
  <si>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</si>
  <si>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</si>
  <si>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</si>
  <si>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</si>
  <si>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</si>
  <si>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</si>
  <si>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CategoriesComparators</t>
  </si>
  <si>
    <t>CatCmp</t>
  </si>
  <si>
    <t>Comparadores</t>
  </si>
  <si>
    <t>create;read;update;delete</t>
  </si>
  <si>
    <t>MenuSequence</t>
  </si>
  <si>
    <t>MenuCaption</t>
  </si>
  <si>
    <t>MenuMessage</t>
  </si>
  <si>
    <t>Pré/pós-operações CRUD</t>
  </si>
  <si>
    <t>Referências foreign-key e parent-childs</t>
  </si>
  <si>
    <t>#WhenExpressionName</t>
  </si>
  <si>
    <t>Categorias x Comparadores</t>
  </si>
  <si>
    <t>Menus de opções</t>
  </si>
  <si>
    <t>ValidMask: 9 = numérico: A = alfabético; X = alfanumérico; * = alfanumérico e especiais.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</si>
  <si>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</si>
  <si>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</si>
  <si>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</si>
  <si>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</si>
  <si>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</si>
  <si>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</si>
  <si>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</si>
  <si>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</si>
  <si>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</si>
  <si>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</si>
  <si>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</si>
  <si>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</si>
  <si>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</si>
  <si>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</si>
  <si>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</si>
  <si>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</si>
  <si>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</si>
  <si>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</si>
  <si>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</si>
  <si>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</si>
  <si>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</si>
  <si>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</si>
  <si>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</si>
  <si>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</si>
  <si>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Endpoints HTTP de operações</t>
  </si>
  <si>
    <t>Endpoints de operações</t>
  </si>
  <si>
    <t>http://teste.com</t>
  </si>
  <si>
    <t>SniperId</t>
  </si>
  <si>
    <t>#SniperName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</si>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</sst>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E21" sqref="E21"/>
    </sheetView>
  </sheetViews>
  <sheetFormatPr defaultColWidth="11.77734375" defaultRowHeight="14.4"/>
  <cols>
    <col min="1" max="1" width="3" bestFit="1" customWidth="1"/>
    <col min="2" max="2" width="9.109375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1" width="11.7773437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175</v>
      </c>
      <c r="G1" s="1" t="s">
        <v>2</v>
      </c>
      <c r="H1" s="1" t="s">
        <v>172</v>
      </c>
      <c r="I1" s="1" t="s">
        <v>23</v>
      </c>
      <c r="J1" s="1" t="s">
        <v>677</v>
      </c>
      <c r="K1" s="1" t="s">
        <v>590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226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D1" sqref="D1"/>
    </sheetView>
  </sheetViews>
  <sheetFormatPr defaultColWidth="9.109375" defaultRowHeight="14.4"/>
  <cols>
    <col min="1" max="1" width="3" bestFit="1" customWidth="1"/>
    <col min="2" max="2" width="7.33203125" style="6" bestFit="1" customWidth="1"/>
    <col min="3" max="3" width="21" bestFit="1" customWidth="1"/>
    <col min="4" max="4" width="5" bestFit="1" customWidth="1"/>
    <col min="5" max="5" width="25.77734375" bestFit="1" customWidth="1"/>
  </cols>
  <sheetData>
    <row r="1" spans="1:4" s="1" customFormat="1">
      <c r="A1" s="1" t="s">
        <v>0</v>
      </c>
      <c r="B1" s="1" t="s">
        <v>734</v>
      </c>
      <c r="C1" s="1" t="s">
        <v>68</v>
      </c>
      <c r="D1" s="1" t="s">
        <v>735</v>
      </c>
    </row>
    <row r="2" spans="1:4">
      <c r="A2">
        <f>ROW(A2)-1</f>
        <v>1</v>
      </c>
      <c r="B2" s="6" t="s">
        <v>414</v>
      </c>
      <c r="C2" t="s">
        <v>750</v>
      </c>
      <c r="D2">
        <v>2</v>
      </c>
    </row>
    <row r="3" spans="1:4">
      <c r="A3">
        <f>ROW(A3)-1</f>
        <v>2</v>
      </c>
      <c r="B3" s="6" t="s">
        <v>736</v>
      </c>
      <c r="C3" t="s">
        <v>749</v>
      </c>
      <c r="D3">
        <v>2</v>
      </c>
    </row>
    <row r="4" spans="1:4">
      <c r="A4">
        <f>ROW(A4)-1</f>
        <v>3</v>
      </c>
      <c r="B4" s="6" t="s">
        <v>503</v>
      </c>
      <c r="C4" t="s">
        <v>751</v>
      </c>
      <c r="D4">
        <v>2</v>
      </c>
    </row>
    <row r="5" spans="1:4">
      <c r="A5">
        <f>ROW(A5)-1</f>
        <v>4</v>
      </c>
      <c r="B5" s="6" t="s">
        <v>737</v>
      </c>
      <c r="C5" t="s">
        <v>752</v>
      </c>
      <c r="D5">
        <v>2</v>
      </c>
    </row>
    <row r="6" spans="1:4">
      <c r="A6">
        <f t="shared" ref="A6:A15" si="0">ROW(A6)-1</f>
        <v>5</v>
      </c>
      <c r="B6" s="6" t="s">
        <v>738</v>
      </c>
      <c r="C6" t="s">
        <v>747</v>
      </c>
      <c r="D6">
        <v>2</v>
      </c>
    </row>
    <row r="7" spans="1:4">
      <c r="A7">
        <f t="shared" si="0"/>
        <v>6</v>
      </c>
      <c r="B7" s="6" t="s">
        <v>415</v>
      </c>
      <c r="C7" t="s">
        <v>748</v>
      </c>
      <c r="D7">
        <v>2</v>
      </c>
    </row>
    <row r="8" spans="1:4">
      <c r="A8">
        <f t="shared" si="0"/>
        <v>7</v>
      </c>
      <c r="B8" s="6" t="s">
        <v>739</v>
      </c>
      <c r="C8" t="s">
        <v>753</v>
      </c>
    </row>
    <row r="9" spans="1:4">
      <c r="A9">
        <f t="shared" si="0"/>
        <v>8</v>
      </c>
      <c r="B9" s="6" t="s">
        <v>740</v>
      </c>
      <c r="C9" t="s">
        <v>754</v>
      </c>
    </row>
    <row r="10" spans="1:4">
      <c r="A10">
        <f t="shared" si="0"/>
        <v>9</v>
      </c>
      <c r="B10" s="6" t="s">
        <v>741</v>
      </c>
      <c r="C10" t="s">
        <v>755</v>
      </c>
      <c r="D10">
        <v>2</v>
      </c>
    </row>
    <row r="11" spans="1:4">
      <c r="A11">
        <f t="shared" si="0"/>
        <v>10</v>
      </c>
      <c r="B11" s="6" t="s">
        <v>742</v>
      </c>
      <c r="C11" t="s">
        <v>756</v>
      </c>
      <c r="D11">
        <v>2</v>
      </c>
    </row>
    <row r="12" spans="1:4">
      <c r="A12">
        <f t="shared" si="0"/>
        <v>11</v>
      </c>
      <c r="B12" s="6" t="s">
        <v>743</v>
      </c>
      <c r="C12" t="s">
        <v>758</v>
      </c>
      <c r="D12">
        <v>3</v>
      </c>
    </row>
    <row r="13" spans="1:4">
      <c r="A13">
        <f t="shared" si="0"/>
        <v>12</v>
      </c>
      <c r="B13" s="6" t="s">
        <v>744</v>
      </c>
      <c r="C13" t="s">
        <v>757</v>
      </c>
      <c r="D13">
        <v>3</v>
      </c>
    </row>
    <row r="14" spans="1:4">
      <c r="A14">
        <f t="shared" si="0"/>
        <v>13</v>
      </c>
      <c r="B14" s="6" t="s">
        <v>745</v>
      </c>
      <c r="C14" t="s">
        <v>759</v>
      </c>
      <c r="D14">
        <v>1</v>
      </c>
    </row>
    <row r="15" spans="1:4">
      <c r="A15">
        <f t="shared" si="0"/>
        <v>14</v>
      </c>
      <c r="B15" s="6" t="s">
        <v>746</v>
      </c>
      <c r="C15" t="s">
        <v>760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E69"/>
  <sheetViews>
    <sheetView workbookViewId="0">
      <pane ySplit="1" topLeftCell="A47" activePane="bottomLeft" state="frozen"/>
      <selection pane="bottomLeft" activeCell="E62" sqref="E62"/>
    </sheetView>
  </sheetViews>
  <sheetFormatPr defaultColWidth="10.44140625" defaultRowHeight="14.4"/>
  <cols>
    <col min="1" max="1" width="3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7.33203125" bestFit="1" customWidth="1"/>
  </cols>
  <sheetData>
    <row r="1" spans="1:5" s="1" customFormat="1">
      <c r="A1" s="1" t="s">
        <v>0</v>
      </c>
      <c r="B1" s="1" t="s">
        <v>16</v>
      </c>
      <c r="C1" s="1" t="s">
        <v>151</v>
      </c>
      <c r="D1" s="1" t="s">
        <v>785</v>
      </c>
      <c r="E1" s="1" t="s">
        <v>784</v>
      </c>
    </row>
    <row r="2" spans="1:5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t="str" cm="1">
        <f t="array" ref="E2">GetValue("Cmp",D2,"Symbol")</f>
        <v>&lt;</v>
      </c>
    </row>
    <row r="3" spans="1:5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t="str" cm="1">
        <f t="array" ref="E3">GetValue("Cmp",D3,"Symbol")</f>
        <v>≤</v>
      </c>
    </row>
    <row r="4" spans="1:5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t="str" cm="1">
        <f t="array" ref="E4">GetValue("Cmp",D4,"Symbol")</f>
        <v>=</v>
      </c>
    </row>
    <row r="5" spans="1:5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t="str" cm="1">
        <f t="array" ref="E5">GetValue("Cmp",D5,"Symbol")</f>
        <v>≠</v>
      </c>
    </row>
    <row r="6" spans="1:5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t="str" cm="1">
        <f t="array" ref="E6">GetValue("Cmp",D6,"Symbol")</f>
        <v>≥</v>
      </c>
    </row>
    <row r="7" spans="1:5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t="str" cm="1">
        <f t="array" ref="E7">GetValue("Cmp",D7,"Symbol")</f>
        <v>&gt;</v>
      </c>
    </row>
    <row r="8" spans="1:5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t="str" cm="1">
        <f t="array" ref="E8">GetValue("Cmp",D8,"Symbol")</f>
        <v>∈</v>
      </c>
    </row>
    <row r="9" spans="1:5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t="str" cm="1">
        <f t="array" ref="E9">GetValue("Cmp",D9,"Symbol")</f>
        <v>∉</v>
      </c>
    </row>
    <row r="10" spans="1:5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t="str" cm="1">
        <f t="array" ref="E10">GetValue("Cmp",D10,"Symbol")</f>
        <v>⊃</v>
      </c>
    </row>
    <row r="11" spans="1:5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t="str" cm="1">
        <f t="array" ref="E11">GetValue("Cmp",D11,"Symbol")</f>
        <v>⊅</v>
      </c>
    </row>
    <row r="12" spans="1:5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t="str" cm="1">
        <f t="array" ref="E12">GetValue("Cmp",D12,"Symbol")</f>
        <v>∃</v>
      </c>
    </row>
    <row r="13" spans="1:5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t="str" cm="1">
        <f t="array" ref="E13">GetValue("Cmp",D13,"Symbol")</f>
        <v>∄</v>
      </c>
    </row>
    <row r="14" spans="1:5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t="str" cm="1">
        <f t="array" ref="E14">GetValue("Cmp",D14,"Symbol")</f>
        <v>∅</v>
      </c>
    </row>
    <row r="15" spans="1:5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t="str" cm="1">
        <f t="array" ref="E15">GetValue("Cmp",D15,"Symbol")</f>
        <v>⊗</v>
      </c>
    </row>
    <row r="16" spans="1:5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t="str" cm="1">
        <f t="array" ref="E16">GetValue("Cmp",D16,"Symbol")</f>
        <v>&lt;</v>
      </c>
    </row>
    <row r="17" spans="1:5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t="str" cm="1">
        <f t="array" ref="E17">GetValue("Cmp",D17,"Symbol")</f>
        <v>≤</v>
      </c>
    </row>
    <row r="18" spans="1:5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t="str" cm="1">
        <f t="array" ref="E18">GetValue("Cmp",D18,"Symbol")</f>
        <v>=</v>
      </c>
    </row>
    <row r="19" spans="1:5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t="str" cm="1">
        <f t="array" ref="E19">GetValue("Cmp",D19,"Symbol")</f>
        <v>≠</v>
      </c>
    </row>
    <row r="20" spans="1:5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t="str" cm="1">
        <f t="array" ref="E20">GetValue("Cmp",D20,"Symbol")</f>
        <v>≥</v>
      </c>
    </row>
    <row r="21" spans="1:5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t="str" cm="1">
        <f t="array" ref="E21">GetValue("Cmp",D21,"Symbol")</f>
        <v>&gt;</v>
      </c>
    </row>
    <row r="22" spans="1:5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t="str" cm="1">
        <f t="array" ref="E22">GetValue("Cmp",D22,"Symbol")</f>
        <v>∈</v>
      </c>
    </row>
    <row r="23" spans="1:5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t="str" cm="1">
        <f t="array" ref="E23">GetValue("Cmp",D23,"Symbol")</f>
        <v>∉</v>
      </c>
    </row>
    <row r="24" spans="1:5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t="str" cm="1">
        <f t="array" ref="E24">GetValue("Cmp",D24,"Symbol")</f>
        <v>∃</v>
      </c>
    </row>
    <row r="25" spans="1:5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t="str" cm="1">
        <f t="array" ref="E25">GetValue("Cmp",D25,"Symbol")</f>
        <v>∄</v>
      </c>
    </row>
    <row r="26" spans="1:5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t="str" cm="1">
        <f t="array" ref="E26">GetValue("Cmp",D26,"Symbol")</f>
        <v>∅</v>
      </c>
    </row>
    <row r="27" spans="1:5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t="str" cm="1">
        <f t="array" ref="E27">GetValue("Cmp",D27,"Symbol")</f>
        <v>⊗</v>
      </c>
    </row>
    <row r="28" spans="1:5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t="str" cm="1">
        <f t="array" ref="E28">GetValue("Cmp",D28,"Symbol")</f>
        <v>&lt;</v>
      </c>
    </row>
    <row r="29" spans="1:5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t="str" cm="1">
        <f t="array" ref="E29">GetValue("Cmp",D29,"Symbol")</f>
        <v>≤</v>
      </c>
    </row>
    <row r="30" spans="1:5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t="str" cm="1">
        <f t="array" ref="E30">GetValue("Cmp",D30,"Symbol")</f>
        <v>=</v>
      </c>
    </row>
    <row r="31" spans="1:5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t="str" cm="1">
        <f t="array" ref="E31">GetValue("Cmp",D31,"Symbol")</f>
        <v>≠</v>
      </c>
    </row>
    <row r="32" spans="1:5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t="str" cm="1">
        <f t="array" ref="E32">GetValue("Cmp",D32,"Symbol")</f>
        <v>≥</v>
      </c>
    </row>
    <row r="33" spans="1:5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t="str" cm="1">
        <f t="array" ref="E33">GetValue("Cmp",D33,"Symbol")</f>
        <v>&gt;</v>
      </c>
    </row>
    <row r="34" spans="1:5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t="str" cm="1">
        <f t="array" ref="E34">GetValue("Cmp",D34,"Symbol")</f>
        <v>∈</v>
      </c>
    </row>
    <row r="35" spans="1:5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t="str" cm="1">
        <f t="array" ref="E35">GetValue("Cmp",D35,"Symbol")</f>
        <v>∉</v>
      </c>
    </row>
    <row r="36" spans="1:5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t="str" cm="1">
        <f t="array" ref="E36">GetValue("Cmp",D36,"Symbol")</f>
        <v>∃</v>
      </c>
    </row>
    <row r="37" spans="1:5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t="str" cm="1">
        <f t="array" ref="E37">GetValue("Cmp",D37,"Symbol")</f>
        <v>∄</v>
      </c>
    </row>
    <row r="38" spans="1:5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t="str" cm="1">
        <f t="array" ref="E38">GetValue("Cmp",D38,"Symbol")</f>
        <v>∅</v>
      </c>
    </row>
    <row r="39" spans="1:5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t="str" cm="1">
        <f t="array" ref="E39">GetValue("Cmp",D39,"Symbol")</f>
        <v>⊗</v>
      </c>
    </row>
    <row r="40" spans="1:5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t="str" cm="1">
        <f t="array" ref="E40">GetValue("Cmp",D40,"Symbol")</f>
        <v>&lt;</v>
      </c>
    </row>
    <row r="41" spans="1:5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t="str" cm="1">
        <f t="array" ref="E41">GetValue("Cmp",D41,"Symbol")</f>
        <v>≤</v>
      </c>
    </row>
    <row r="42" spans="1:5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t="str" cm="1">
        <f t="array" ref="E42">GetValue("Cmp",D42,"Symbol")</f>
        <v>=</v>
      </c>
    </row>
    <row r="43" spans="1:5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t="str" cm="1">
        <f t="array" ref="E43">GetValue("Cmp",D43,"Symbol")</f>
        <v>≠</v>
      </c>
    </row>
    <row r="44" spans="1:5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t="str" cm="1">
        <f t="array" ref="E44">GetValue("Cmp",D44,"Symbol")</f>
        <v>≥</v>
      </c>
    </row>
    <row r="45" spans="1:5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t="str" cm="1">
        <f t="array" ref="E45">GetValue("Cmp",D45,"Symbol")</f>
        <v>&gt;</v>
      </c>
    </row>
    <row r="46" spans="1:5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t="str" cm="1">
        <f t="array" ref="E46">GetValue("Cmp",D46,"Symbol")</f>
        <v>∈</v>
      </c>
    </row>
    <row r="47" spans="1:5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t="str" cm="1">
        <f t="array" ref="E47">GetValue("Cmp",D47,"Symbol")</f>
        <v>∉</v>
      </c>
    </row>
    <row r="48" spans="1:5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t="str" cm="1">
        <f t="array" ref="E48">GetValue("Cmp",D48,"Symbol")</f>
        <v>∃</v>
      </c>
    </row>
    <row r="49" spans="1:5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t="str" cm="1">
        <f t="array" ref="E49">GetValue("Cmp",D49,"Symbol")</f>
        <v>∄</v>
      </c>
    </row>
    <row r="50" spans="1:5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t="str" cm="1">
        <f t="array" ref="E50">GetValue("Cmp",D50,"Symbol")</f>
        <v>∅</v>
      </c>
    </row>
    <row r="51" spans="1:5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t="str" cm="1">
        <f t="array" ref="E51">GetValue("Cmp",D51,"Symbol")</f>
        <v>⊗</v>
      </c>
    </row>
    <row r="52" spans="1:5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t="str" cm="1">
        <f t="array" ref="E52">GetValue("Cmp",D52,"Symbol")</f>
        <v>&lt;</v>
      </c>
    </row>
    <row r="53" spans="1:5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t="str" cm="1">
        <f t="array" ref="E53">GetValue("Cmp",D53,"Symbol")</f>
        <v>≤</v>
      </c>
    </row>
    <row r="54" spans="1:5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t="str" cm="1">
        <f t="array" ref="E54">GetValue("Cmp",D54,"Symbol")</f>
        <v>=</v>
      </c>
    </row>
    <row r="55" spans="1:5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t="str" cm="1">
        <f t="array" ref="E55">GetValue("Cmp",D55,"Symbol")</f>
        <v>≠</v>
      </c>
    </row>
    <row r="56" spans="1:5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t="str" cm="1">
        <f t="array" ref="E56">GetValue("Cmp",D56,"Symbol")</f>
        <v>≥</v>
      </c>
    </row>
    <row r="57" spans="1:5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t="str" cm="1">
        <f t="array" ref="E57">GetValue("Cmp",D57,"Symbol")</f>
        <v>&gt;</v>
      </c>
    </row>
    <row r="58" spans="1:5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t="str" cm="1">
        <f t="array" ref="E58">GetValue("Cmp",D58,"Symbol")</f>
        <v>∈</v>
      </c>
    </row>
    <row r="59" spans="1:5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t="str" cm="1">
        <f t="array" ref="E59">GetValue("Cmp",D59,"Symbol")</f>
        <v>∉</v>
      </c>
    </row>
    <row r="60" spans="1:5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t="str" cm="1">
        <f t="array" ref="E60">GetValue("Cmp",D60,"Symbol")</f>
        <v>∃</v>
      </c>
    </row>
    <row r="61" spans="1:5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t="str" cm="1">
        <f t="array" ref="E61">GetValue("Cmp",D61,"Symbol")</f>
        <v>∄</v>
      </c>
    </row>
    <row r="62" spans="1:5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t="str" cm="1">
        <f t="array" ref="E62">GetValue("Cmp",D62,"Symbol")</f>
        <v>∅</v>
      </c>
    </row>
    <row r="63" spans="1:5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t="str" cm="1">
        <f t="array" ref="E63">GetValue("Cmp",D63,"Symbol")</f>
        <v>⊗</v>
      </c>
    </row>
    <row r="64" spans="1:5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t="str" cm="1">
        <f t="array" ref="E64">GetValue("Cmp",D64,"Symbol")</f>
        <v>⊃</v>
      </c>
    </row>
    <row r="65" spans="1:5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t="str" cm="1">
        <f t="array" ref="E65">GetValue("Cmp",D65,"Symbol")</f>
        <v>⊅</v>
      </c>
    </row>
    <row r="66" spans="1:5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t="str" cm="1">
        <f t="array" ref="E66">GetValue("Cmp",D66,"Symbol")</f>
        <v>∅</v>
      </c>
    </row>
    <row r="67" spans="1:5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t="str" cm="1">
        <f t="array" ref="E67">GetValue("Cmp",D67,"Symbol")</f>
        <v>⊗</v>
      </c>
    </row>
    <row r="68" spans="1:5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t="str" cm="1">
        <f t="array" ref="E68">GetValue("Cmp",D68,"Symbol")</f>
        <v>=</v>
      </c>
    </row>
    <row r="69" spans="1:5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t="str" cm="1">
        <f t="array" ref="E69">GetValue("Cmp",D69,"Symbol")</f>
        <v>≠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3" sqref="C3"/>
    </sheetView>
  </sheetViews>
  <sheetFormatPr defaultColWidth="9.109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11.664062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1</v>
      </c>
      <c r="C1" s="1" t="s">
        <v>519</v>
      </c>
      <c r="D1" s="1" t="s">
        <v>526</v>
      </c>
      <c r="E1" s="1" t="s">
        <v>24</v>
      </c>
    </row>
    <row r="2" spans="1:5">
      <c r="A2">
        <f>ROW(A2)-1</f>
        <v>1</v>
      </c>
      <c r="B2" t="s">
        <v>239</v>
      </c>
      <c r="C2" t="s">
        <v>520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240</v>
      </c>
      <c r="C3" t="s">
        <v>521</v>
      </c>
      <c r="D3" t="b">
        <v>0</v>
      </c>
      <c r="E3" t="b">
        <v>0</v>
      </c>
    </row>
    <row r="4" spans="1:5">
      <c r="A4">
        <f t="shared" si="0"/>
        <v>3</v>
      </c>
      <c r="B4" t="s">
        <v>241</v>
      </c>
      <c r="C4" t="s">
        <v>578</v>
      </c>
      <c r="D4" t="b">
        <v>0</v>
      </c>
      <c r="E4" t="b">
        <v>0</v>
      </c>
    </row>
    <row r="5" spans="1:5">
      <c r="A5">
        <f t="shared" si="0"/>
        <v>4</v>
      </c>
      <c r="B5" t="s">
        <v>242</v>
      </c>
      <c r="C5" t="s">
        <v>522</v>
      </c>
      <c r="D5" t="b">
        <v>0</v>
      </c>
      <c r="E5" t="b">
        <v>0</v>
      </c>
    </row>
    <row r="6" spans="1:5">
      <c r="A6">
        <f t="shared" si="0"/>
        <v>5</v>
      </c>
      <c r="B6" t="s">
        <v>243</v>
      </c>
      <c r="C6" s="15" t="s">
        <v>523</v>
      </c>
      <c r="D6" t="b">
        <v>1</v>
      </c>
      <c r="E6" t="b">
        <v>0</v>
      </c>
    </row>
    <row r="7" spans="1:5">
      <c r="A7">
        <f t="shared" si="0"/>
        <v>6</v>
      </c>
      <c r="B7" t="s">
        <v>289</v>
      </c>
      <c r="C7" s="15" t="s">
        <v>579</v>
      </c>
      <c r="D7" t="b">
        <v>1</v>
      </c>
      <c r="E7" t="b">
        <v>0</v>
      </c>
    </row>
    <row r="8" spans="1:5">
      <c r="A8">
        <f t="shared" si="0"/>
        <v>7</v>
      </c>
      <c r="B8" t="s">
        <v>290</v>
      </c>
      <c r="C8" s="15" t="s">
        <v>524</v>
      </c>
      <c r="D8" t="b">
        <v>1</v>
      </c>
      <c r="E8" t="b">
        <v>0</v>
      </c>
    </row>
    <row r="9" spans="1:5">
      <c r="A9">
        <f t="shared" si="0"/>
        <v>8</v>
      </c>
      <c r="B9" t="s">
        <v>291</v>
      </c>
      <c r="C9" s="15" t="s">
        <v>525</v>
      </c>
      <c r="D9" t="b">
        <v>0</v>
      </c>
      <c r="E9" t="b">
        <v>0</v>
      </c>
    </row>
    <row r="10" spans="1:5">
      <c r="A10">
        <f t="shared" si="0"/>
        <v>9</v>
      </c>
      <c r="B10" t="s">
        <v>292</v>
      </c>
      <c r="C10" s="15" t="s">
        <v>580</v>
      </c>
      <c r="D10" t="b">
        <v>0</v>
      </c>
      <c r="E10" t="b">
        <v>0</v>
      </c>
    </row>
    <row r="11" spans="1:5">
      <c r="A11">
        <f t="shared" si="0"/>
        <v>10</v>
      </c>
      <c r="B11" t="s">
        <v>293</v>
      </c>
      <c r="C11" s="10" t="s">
        <v>581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C5" sqref="C5"/>
    </sheetView>
  </sheetViews>
  <sheetFormatPr defaultColWidth="10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3" max="13" width="22.77734375" customWidth="1"/>
  </cols>
  <sheetData>
    <row r="1" spans="1:11" s="1" customFormat="1">
      <c r="A1" s="1" t="s">
        <v>0</v>
      </c>
      <c r="B1" s="1" t="s">
        <v>16</v>
      </c>
      <c r="C1" s="1" t="s">
        <v>151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550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552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405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216</v>
      </c>
      <c r="F6" s="4" t="s">
        <v>217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218</v>
      </c>
      <c r="F7" s="4" t="s">
        <v>219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406</v>
      </c>
      <c r="E8" s="4" t="s">
        <v>220</v>
      </c>
      <c r="F8" s="4" t="s">
        <v>221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407</v>
      </c>
      <c r="E9" s="4" t="s">
        <v>220</v>
      </c>
      <c r="F9" s="4" t="s">
        <v>221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408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409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404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383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382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386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182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222</v>
      </c>
      <c r="F24" s="4" t="s">
        <v>223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553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410</v>
      </c>
      <c r="E30" s="4" t="s">
        <v>224</v>
      </c>
      <c r="F30" s="4" t="s">
        <v>225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551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385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183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384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181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233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50" activePane="bottomLeft" state="frozen"/>
      <selection pane="bottomLeft" activeCell="H55" sqref="H55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0</v>
      </c>
      <c r="B1" s="7" t="s">
        <v>509</v>
      </c>
      <c r="C1" s="7" t="s">
        <v>274</v>
      </c>
      <c r="D1" s="7" t="s">
        <v>53</v>
      </c>
      <c r="E1" s="7" t="s">
        <v>152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182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183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181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182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244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263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259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246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247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264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264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248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287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250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265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265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266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267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287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246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268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288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254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268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258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264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245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261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254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268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253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248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269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246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270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266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254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268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268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244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263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259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246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247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264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264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248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287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250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265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265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266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267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287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246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268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288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254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268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258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264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245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261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254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268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253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248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269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246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270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266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254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268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268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244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271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259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246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247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248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248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249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288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256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272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265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271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251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288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246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261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288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254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261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252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248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245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288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294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781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261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253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248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245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273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271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271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254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261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255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294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244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263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245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246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247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248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248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249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287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256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257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251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287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246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295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288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254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295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258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248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245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295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254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295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253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248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245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246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257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296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254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295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295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295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244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263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245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246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247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248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248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249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287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256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257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251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287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246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295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288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254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295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258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248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245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295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254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295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253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248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245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246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257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296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254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295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295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295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244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263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245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246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247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248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248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249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287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256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299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251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287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246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298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288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254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298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258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248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245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298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254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298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253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248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245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246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299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296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254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298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298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298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300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301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259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246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247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302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306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303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287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258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301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251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287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260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261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287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262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261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258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302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245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304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304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261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305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306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245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246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301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301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254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261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307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309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308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309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246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247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247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248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249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309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310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311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311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296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309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309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260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307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309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312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307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313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247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309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309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314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315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307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247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248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309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308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296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296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315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307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316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7" ht="13.8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244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296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245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246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247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248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248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249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287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250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297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296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251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287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317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307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288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318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307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252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248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245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255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254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307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253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248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245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246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296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296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254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307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255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C18" sqref="C18"/>
    </sheetView>
  </sheetViews>
  <sheetFormatPr defaultRowHeight="14.4"/>
  <cols>
    <col min="1" max="1" width="3.6640625" bestFit="1" customWidth="1"/>
    <col min="2" max="2" width="8.5546875" bestFit="1" customWidth="1"/>
    <col min="3" max="3" width="50.77734375" customWidth="1"/>
    <col min="4" max="4" width="8.33203125" bestFit="1" customWidth="1"/>
    <col min="5" max="5" width="12.6640625" bestFit="1" customWidth="1"/>
    <col min="6" max="6" width="11.77734375" bestFit="1" customWidth="1"/>
  </cols>
  <sheetData>
    <row r="1" spans="1:6" s="1" customFormat="1">
      <c r="A1" s="1" t="s">
        <v>0</v>
      </c>
      <c r="B1" s="1" t="s">
        <v>1</v>
      </c>
      <c r="C1" s="1" t="s">
        <v>275</v>
      </c>
      <c r="D1" s="1" t="s">
        <v>509</v>
      </c>
      <c r="E1" s="1" t="s">
        <v>274</v>
      </c>
      <c r="F1" s="1" t="s">
        <v>24</v>
      </c>
    </row>
    <row r="2" spans="1:6">
      <c r="A2">
        <f>ROW(A2)-1</f>
        <v>1</v>
      </c>
      <c r="B2" t="s">
        <v>412</v>
      </c>
      <c r="C2" t="s">
        <v>276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277</v>
      </c>
      <c r="C3" t="s">
        <v>278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279</v>
      </c>
      <c r="C4" t="s">
        <v>280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281</v>
      </c>
      <c r="C5" t="s">
        <v>282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283</v>
      </c>
      <c r="C6" t="s">
        <v>284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60"/>
  <sheetViews>
    <sheetView zoomScaleNormal="100" workbookViewId="0">
      <pane ySplit="1" topLeftCell="A41" activePane="bottomLeft" state="frozen"/>
      <selection pane="bottomLeft" activeCell="A54" sqref="A54"/>
    </sheetView>
  </sheetViews>
  <sheetFormatPr defaultColWidth="9.7773437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4.77734375" bestFit="1" customWidth="1"/>
    <col min="6" max="6" width="11.21875" bestFit="1" customWidth="1"/>
    <col min="7" max="7" width="14.6640625" bestFit="1" customWidth="1"/>
    <col min="8" max="8" width="18" bestFit="1" customWidth="1"/>
    <col min="9" max="9" width="6.77734375" bestFit="1" customWidth="1"/>
    <col min="10" max="10" width="8.44140625" bestFit="1" customWidth="1"/>
    <col min="11" max="11" width="9.88671875" bestFit="1" customWidth="1"/>
    <col min="12" max="12" width="31.33203125" bestFit="1" customWidth="1"/>
    <col min="13" max="13" width="7.109375" bestFit="1" customWidth="1"/>
    <col min="14" max="14" width="9.21875" bestFit="1" customWidth="1"/>
    <col min="15" max="15" width="9.5546875" bestFit="1" customWidth="1"/>
  </cols>
  <sheetData>
    <row r="1" spans="1:15" s="1" customFormat="1">
      <c r="A1" s="1" t="s">
        <v>0</v>
      </c>
      <c r="B1" s="1" t="s">
        <v>463</v>
      </c>
      <c r="C1" s="1" t="s">
        <v>363</v>
      </c>
      <c r="D1" s="1" t="s">
        <v>53</v>
      </c>
      <c r="E1" s="1" t="s">
        <v>152</v>
      </c>
      <c r="F1" s="1" t="s">
        <v>676</v>
      </c>
      <c r="G1" s="1" t="s">
        <v>151</v>
      </c>
      <c r="H1" s="1" t="s">
        <v>1</v>
      </c>
      <c r="I1" s="1" t="s">
        <v>55</v>
      </c>
      <c r="J1" s="1" t="s">
        <v>56</v>
      </c>
      <c r="K1" s="1" t="s">
        <v>574</v>
      </c>
      <c r="L1" s="1" t="s">
        <v>145</v>
      </c>
      <c r="M1" s="1" t="s">
        <v>57</v>
      </c>
      <c r="N1" s="1" t="s">
        <v>17</v>
      </c>
      <c r="O1" s="1" t="s">
        <v>18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cm="1">
        <f t="array" ref="F2">GetValue("Typ",D2,"CategoryId")</f>
        <v>2</v>
      </c>
      <c r="G2" t="str" cm="1">
        <f t="array" ref="G2">GetValue("Cat",F2,"Name")</f>
        <v>number</v>
      </c>
      <c r="H2" t="s">
        <v>58</v>
      </c>
      <c r="N2" s="3"/>
      <c r="O2" s="3"/>
    </row>
    <row r="3" spans="1:15">
      <c r="A3">
        <f t="shared" ref="A3:A45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cm="1">
        <f t="array" ref="F3">GetValue("Typ",D3,"CategoryId")</f>
        <v>2</v>
      </c>
      <c r="G3" t="str" cm="1">
        <f t="array" ref="G3">GetValue("Cat",F3,"Name")</f>
        <v>number</v>
      </c>
      <c r="H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cm="1">
        <f t="array" ref="F4">GetValue("Typ",D4,"CategoryId")</f>
        <v>2</v>
      </c>
      <c r="G4" t="str" cm="1">
        <f t="array" ref="G4">GetValue("Cat",F4,"Name")</f>
        <v>number</v>
      </c>
      <c r="H4" t="s">
        <v>60</v>
      </c>
      <c r="N4">
        <v>-65536</v>
      </c>
      <c r="O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cm="1">
        <f t="array" ref="F5">GetValue("Typ",D5,"CategoryId")</f>
        <v>2</v>
      </c>
      <c r="G5" t="str" cm="1">
        <f t="array" ref="G5">GetValue("Cat",F5,"Name")</f>
        <v>number</v>
      </c>
      <c r="H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cm="1">
        <f t="array" ref="F6">GetValue("Typ",D6,"CategoryId")</f>
        <v>2</v>
      </c>
      <c r="G6" t="str" cm="1">
        <f t="array" ref="G6">GetValue("Cat",F6,"Name")</f>
        <v>number</v>
      </c>
      <c r="H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cm="1">
        <f t="array" ref="F7">GetValue("Typ",D7,"CategoryId")</f>
        <v>7</v>
      </c>
      <c r="G7" t="str" cm="1">
        <f t="array" ref="G7">GetValue("Cat",F7,"Name")</f>
        <v>boolean</v>
      </c>
      <c r="H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cm="1">
        <f t="array" ref="F8">GetValue("Typ",D8,"CategoryId")</f>
        <v>4</v>
      </c>
      <c r="G8" t="str" cm="1">
        <f t="array" ref="G8">GetValue("Cat",F8,"Name")</f>
        <v>datetime</v>
      </c>
      <c r="H8" t="s">
        <v>65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cm="1">
        <f t="array" ref="F9">GetValue("Typ",D9,"CategoryId")</f>
        <v>1</v>
      </c>
      <c r="G9" t="str" cm="1">
        <f t="array" ref="G9">GetValue("Cat",F9,"Name")</f>
        <v>string</v>
      </c>
      <c r="H9" t="s">
        <v>184</v>
      </c>
      <c r="I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cm="1">
        <f t="array" ref="F10">GetValue("Typ",D10,"CategoryId")</f>
        <v>1</v>
      </c>
      <c r="G10" t="str" cm="1">
        <f t="array" ref="G10">GetValue("Cat",F10,"Name")</f>
        <v>string</v>
      </c>
      <c r="H10" t="s">
        <v>185</v>
      </c>
      <c r="I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cm="1">
        <f t="array" ref="F11">GetValue("Typ",D11,"CategoryId")</f>
        <v>1</v>
      </c>
      <c r="G11" t="str" cm="1">
        <f t="array" ref="G11">GetValue("Cat",F11,"Name")</f>
        <v>string</v>
      </c>
      <c r="H11" t="s">
        <v>186</v>
      </c>
      <c r="I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cm="1">
        <f t="array" ref="F12">GetValue("Typ",D12,"CategoryId")</f>
        <v>1</v>
      </c>
      <c r="G12" t="str" cm="1">
        <f t="array" ref="G12">GetValue("Cat",F12,"Name")</f>
        <v>string</v>
      </c>
      <c r="H12" t="s">
        <v>187</v>
      </c>
      <c r="I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cm="1">
        <f t="array" ref="F13">GetValue("Typ",D13,"CategoryId")</f>
        <v>1</v>
      </c>
      <c r="G13" t="str" cm="1">
        <f t="array" ref="G13">GetValue("Cat",F13,"Name")</f>
        <v>string</v>
      </c>
      <c r="H13" t="s">
        <v>188</v>
      </c>
      <c r="I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cm="1">
        <f t="array" ref="F14">GetValue("Typ",D14,"CategoryId")</f>
        <v>6</v>
      </c>
      <c r="G14" t="str" cm="1">
        <f t="array" ref="G14">GetValue("Cat",F14,"Name")</f>
        <v>text</v>
      </c>
      <c r="H14" t="s">
        <v>479</v>
      </c>
    </row>
    <row r="15" spans="1:15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cm="1">
        <f t="array" ref="F15">GetValue("Typ",D15,"CategoryId")</f>
        <v>6</v>
      </c>
      <c r="G15" t="str" cm="1">
        <f t="array" ref="G15">GetValue("Cat",F15,"Name")</f>
        <v>text</v>
      </c>
      <c r="H15" t="s">
        <v>66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cm="1">
        <f t="array" ref="F16">GetValue("Typ",D16,"CategoryId")</f>
        <v>1</v>
      </c>
      <c r="G16" t="str" cm="1">
        <f t="array" ref="G16">GetValue("Cat",F16,"Name")</f>
        <v>string</v>
      </c>
      <c r="H16" t="s">
        <v>473</v>
      </c>
      <c r="I16">
        <v>15</v>
      </c>
    </row>
    <row r="17" spans="1:9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cm="1">
        <f t="array" ref="F17">GetValue("Typ",D17,"CategoryId")</f>
        <v>1</v>
      </c>
      <c r="G17" t="str" cm="1">
        <f t="array" ref="G17">GetValue("Cat",F17,"Name")</f>
        <v>string</v>
      </c>
      <c r="H17" t="s">
        <v>474</v>
      </c>
      <c r="I17">
        <v>20</v>
      </c>
    </row>
    <row r="18" spans="1:9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cm="1">
        <f t="array" ref="F18">GetValue("Typ",D18,"CategoryId")</f>
        <v>1</v>
      </c>
      <c r="G18" t="str" cm="1">
        <f t="array" ref="G18">GetValue("Cat",F18,"Name")</f>
        <v>string</v>
      </c>
      <c r="H18" t="s">
        <v>475</v>
      </c>
      <c r="I18">
        <v>25</v>
      </c>
    </row>
    <row r="19" spans="1:9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cm="1">
        <f t="array" ref="F19">GetValue("Typ",D19,"CategoryId")</f>
        <v>1</v>
      </c>
      <c r="G19" t="str" cm="1">
        <f t="array" ref="G19">GetValue("Cat",F19,"Name")</f>
        <v>string</v>
      </c>
      <c r="H19" t="s">
        <v>476</v>
      </c>
      <c r="I19">
        <v>50</v>
      </c>
    </row>
    <row r="20" spans="1:9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cm="1">
        <f t="array" ref="F20">GetValue("Typ",D20,"CategoryId")</f>
        <v>1</v>
      </c>
      <c r="G20" t="str" cm="1">
        <f t="array" ref="G20">GetValue("Cat",F20,"Name")</f>
        <v>string</v>
      </c>
      <c r="H20" t="s">
        <v>477</v>
      </c>
      <c r="I20">
        <v>256</v>
      </c>
    </row>
    <row r="21" spans="1:9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cm="1">
        <f t="array" ref="F21">GetValue("Typ",D21,"CategoryId")</f>
        <v>6</v>
      </c>
      <c r="G21" t="str" cm="1">
        <f t="array" ref="G21">GetValue("Cat",F21,"Name")</f>
        <v>text</v>
      </c>
      <c r="H21" t="s">
        <v>480</v>
      </c>
      <c r="I21">
        <v>256</v>
      </c>
    </row>
    <row r="22" spans="1:9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cm="1">
        <f t="array" ref="F22">GetValue("Typ",D22,"CategoryId")</f>
        <v>1</v>
      </c>
      <c r="G22" t="str" cm="1">
        <f t="array" ref="G22">GetValue("Cat",F22,"Name")</f>
        <v>string</v>
      </c>
      <c r="H22" t="s">
        <v>478</v>
      </c>
      <c r="I22">
        <v>8</v>
      </c>
    </row>
    <row r="23" spans="1:9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cm="1">
        <f t="array" ref="F23">GetValue("Typ",D23,"CategoryId")</f>
        <v>1</v>
      </c>
      <c r="G23" t="str" cm="1">
        <f t="array" ref="G23">GetValue("Cat",F23,"Name")</f>
        <v>string</v>
      </c>
      <c r="H23" t="s">
        <v>319</v>
      </c>
      <c r="I23">
        <v>11</v>
      </c>
    </row>
    <row r="24" spans="1:9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cm="1">
        <f t="array" ref="F24">GetValue("Typ",D24,"CategoryId")</f>
        <v>1</v>
      </c>
      <c r="G24" t="str" cm="1">
        <f t="array" ref="G24">GetValue("Cat",F24,"Name")</f>
        <v>string</v>
      </c>
      <c r="H24" t="s">
        <v>320</v>
      </c>
      <c r="I24">
        <v>14</v>
      </c>
    </row>
    <row r="25" spans="1:9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cm="1">
        <f t="array" ref="F25">GetValue("Typ",D25,"CategoryId")</f>
        <v>1</v>
      </c>
      <c r="G25" t="str" cm="1">
        <f t="array" ref="G25">GetValue("Cat",F25,"Name")</f>
        <v>string</v>
      </c>
      <c r="H25" t="s">
        <v>321</v>
      </c>
      <c r="I25">
        <v>14</v>
      </c>
    </row>
    <row r="26" spans="1:9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cm="1">
        <f t="array" ref="F26">GetValue("Typ",D26,"CategoryId")</f>
        <v>1</v>
      </c>
      <c r="G26" t="str" cm="1">
        <f t="array" ref="G26">GetValue("Cat",F26,"Name")</f>
        <v>string</v>
      </c>
      <c r="H26" t="s">
        <v>375</v>
      </c>
      <c r="I26">
        <v>14</v>
      </c>
    </row>
    <row r="27" spans="1:9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cm="1">
        <f t="array" ref="F27">GetValue("Typ",D27,"CategoryId")</f>
        <v>1</v>
      </c>
      <c r="G27" t="str" cm="1">
        <f t="array" ref="G27">GetValue("Cat",F27,"Name")</f>
        <v>string</v>
      </c>
      <c r="H27" t="s">
        <v>325</v>
      </c>
      <c r="I27">
        <v>16</v>
      </c>
    </row>
    <row r="28" spans="1:9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cm="1">
        <f t="array" ref="F28">GetValue("Typ",D28,"CategoryId")</f>
        <v>1</v>
      </c>
      <c r="G28" t="str" cm="1">
        <f t="array" ref="G28">GetValue("Cat",F28,"Name")</f>
        <v>string</v>
      </c>
      <c r="H28" t="s">
        <v>327</v>
      </c>
      <c r="I28">
        <v>11</v>
      </c>
    </row>
    <row r="29" spans="1:9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cm="1">
        <f t="array" ref="F29">GetValue("Typ",D29,"CategoryId")</f>
        <v>1</v>
      </c>
      <c r="G29" t="str" cm="1">
        <f t="array" ref="G29">GetValue("Cat",F29,"Name")</f>
        <v>string</v>
      </c>
      <c r="H29" t="s">
        <v>329</v>
      </c>
      <c r="I29">
        <v>8</v>
      </c>
    </row>
    <row r="30" spans="1:9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cm="1">
        <f t="array" ref="F30">GetValue("Typ",D30,"CategoryId")</f>
        <v>1</v>
      </c>
      <c r="G30" t="str" cm="1">
        <f t="array" ref="G30">GetValue("Cat",F30,"Name")</f>
        <v>string</v>
      </c>
      <c r="H30" t="s">
        <v>332</v>
      </c>
      <c r="I30">
        <v>10</v>
      </c>
    </row>
    <row r="31" spans="1:9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cm="1">
        <f t="array" ref="F31">GetValue("Typ",D31,"CategoryId")</f>
        <v>1</v>
      </c>
      <c r="G31" t="str" cm="1">
        <f t="array" ref="G31">GetValue("Cat",F31,"Name")</f>
        <v>string</v>
      </c>
      <c r="H31" t="s">
        <v>333</v>
      </c>
      <c r="I31">
        <v>13</v>
      </c>
    </row>
    <row r="32" spans="1:9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cm="1">
        <f t="array" ref="F32">GetValue("Typ",D32,"CategoryId")</f>
        <v>1</v>
      </c>
      <c r="G32" t="str" cm="1">
        <f t="array" ref="G32">GetValue("Cat",F32,"Name")</f>
        <v>string</v>
      </c>
      <c r="H32" t="s">
        <v>334</v>
      </c>
      <c r="I32">
        <v>8</v>
      </c>
    </row>
    <row r="33" spans="1:12">
      <c r="A33">
        <f t="shared" ref="A33:A42" si="1">ROW(A33)-1</f>
        <v>32</v>
      </c>
      <c r="B33">
        <v>1</v>
      </c>
      <c r="C33" t="str" cm="1">
        <f t="array" ref="C33">GetValue("Cli",B33,"Name")</f>
        <v>SoftLab</v>
      </c>
      <c r="D33">
        <v>17</v>
      </c>
      <c r="E33" t="str" cm="1">
        <f t="array" ref="E33">GetValue("Typ",D33,"Name")</f>
        <v>nchar(n)</v>
      </c>
      <c r="F33" cm="1">
        <f t="array" ref="F33">GetValue("Typ",D33,"CategoryId")</f>
        <v>1</v>
      </c>
      <c r="G33" t="str" cm="1">
        <f t="array" ref="G33">GetValue("Cat",F33,"Name")</f>
        <v>string</v>
      </c>
      <c r="H33" t="s">
        <v>366</v>
      </c>
      <c r="I33">
        <v>8</v>
      </c>
    </row>
    <row r="34" spans="1:12">
      <c r="A34">
        <f t="shared" si="1"/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cm="1">
        <f t="array" ref="F34">GetValue("Typ",D34,"CategoryId")</f>
        <v>1</v>
      </c>
      <c r="G34" t="str" cm="1">
        <f t="array" ref="G34">GetValue("Cat",F34,"Name")</f>
        <v>string</v>
      </c>
      <c r="H34" t="s">
        <v>367</v>
      </c>
      <c r="I34">
        <v>10</v>
      </c>
      <c r="K34" s="10"/>
      <c r="L34" s="10"/>
    </row>
    <row r="35" spans="1:12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cm="1">
        <f t="array" ref="F35">GetValue("Typ",D35,"CategoryId")</f>
        <v>1</v>
      </c>
      <c r="G35" t="str" cm="1">
        <f t="array" ref="G35">GetValue("Cat",F35,"Name")</f>
        <v>string</v>
      </c>
      <c r="H35" t="s">
        <v>368</v>
      </c>
      <c r="I35">
        <v>11</v>
      </c>
      <c r="K35" s="10"/>
      <c r="L35" s="10"/>
    </row>
    <row r="36" spans="1:12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cm="1">
        <f t="array" ref="F36">GetValue("Typ",D36,"CategoryId")</f>
        <v>1</v>
      </c>
      <c r="G36" t="str" cm="1">
        <f t="array" ref="G36">GetValue("Cat",F36,"Name")</f>
        <v>string</v>
      </c>
      <c r="H36" t="s">
        <v>468</v>
      </c>
      <c r="I36">
        <v>10</v>
      </c>
    </row>
    <row r="37" spans="1:12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cm="1">
        <f t="array" ref="F37">GetValue("Typ",D37,"CategoryId")</f>
        <v>1</v>
      </c>
      <c r="G37" t="str" cm="1">
        <f t="array" ref="G37">GetValue("Cat",F37,"Name")</f>
        <v>string</v>
      </c>
      <c r="H37" t="s">
        <v>469</v>
      </c>
      <c r="I37">
        <v>11</v>
      </c>
    </row>
    <row r="38" spans="1:12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cm="1">
        <f t="array" ref="F38">GetValue("Typ",D38,"CategoryId")</f>
        <v>1</v>
      </c>
      <c r="G38" t="str" cm="1">
        <f t="array" ref="G38">GetValue("Cat",F38,"Name")</f>
        <v>string</v>
      </c>
      <c r="H38" t="s">
        <v>470</v>
      </c>
      <c r="I38">
        <v>7</v>
      </c>
      <c r="K38" s="10"/>
      <c r="L38" s="10"/>
    </row>
    <row r="39" spans="1:12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cm="1">
        <f t="array" ref="F39">GetValue("Typ",D39,"CategoryId")</f>
        <v>1</v>
      </c>
      <c r="G39" t="str" cm="1">
        <f t="array" ref="G39">GetValue("Cat",F39,"Name")</f>
        <v>string</v>
      </c>
      <c r="H39" t="s">
        <v>471</v>
      </c>
      <c r="I39">
        <v>7</v>
      </c>
      <c r="K39" s="10"/>
      <c r="L39" s="10"/>
    </row>
    <row r="40" spans="1:12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cm="1">
        <f t="array" ref="F40">GetValue("Typ",D40,"CategoryId")</f>
        <v>1</v>
      </c>
      <c r="G40" t="str" cm="1">
        <f t="array" ref="G40">GetValue("Cat",F40,"Name")</f>
        <v>string</v>
      </c>
      <c r="H40" t="s">
        <v>472</v>
      </c>
      <c r="I40">
        <v>12</v>
      </c>
      <c r="K40" s="10"/>
      <c r="L40" s="10"/>
    </row>
    <row r="41" spans="1:12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9</v>
      </c>
      <c r="E41" t="str" cm="1">
        <f t="array" ref="E41">GetValue("Typ",D41,"Name")</f>
        <v>decimal(p ,s)</v>
      </c>
      <c r="F41" cm="1">
        <f t="array" ref="F41">GetValue("Typ",D41,"CategoryId")</f>
        <v>2</v>
      </c>
      <c r="G41" t="str" cm="1">
        <f t="array" ref="G41">GetValue("Cat",F41,"Name")</f>
        <v>number</v>
      </c>
      <c r="H41" t="s">
        <v>411</v>
      </c>
      <c r="I41">
        <v>19</v>
      </c>
      <c r="J41">
        <v>2</v>
      </c>
    </row>
    <row r="42" spans="1:12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20</v>
      </c>
      <c r="E42" t="str" cm="1">
        <f t="array" ref="E42">GetValue("Typ",D42,"Name")</f>
        <v>nvarchar(n)</v>
      </c>
      <c r="F42" cm="1">
        <f t="array" ref="F42">GetValue("Typ",D42,"CategoryId")</f>
        <v>1</v>
      </c>
      <c r="G42" t="str" cm="1">
        <f t="array" ref="G42">GetValue("Cat",F42,"Name")</f>
        <v>string</v>
      </c>
      <c r="H42" t="s">
        <v>66</v>
      </c>
    </row>
    <row r="43" spans="1:12">
      <c r="A43">
        <f t="shared" si="0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cm="1">
        <f t="array" ref="F43">GetValue("Typ",D43,"CategoryId")</f>
        <v>6</v>
      </c>
      <c r="G43" t="str" cm="1">
        <f t="array" ref="G43">GetValue("Cat",F43,"Name")</f>
        <v>text</v>
      </c>
      <c r="H43" t="s">
        <v>238</v>
      </c>
    </row>
    <row r="44" spans="1:12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cm="1">
        <f t="array" ref="F44">GetValue("Typ",D44,"CategoryId")</f>
        <v>6</v>
      </c>
      <c r="G44" t="str" cm="1">
        <f t="array" ref="G44">GetValue("Cat",F44,"Name")</f>
        <v>text</v>
      </c>
      <c r="H44" t="s">
        <v>64</v>
      </c>
    </row>
    <row r="45" spans="1:12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cm="1">
        <f t="array" ref="F45">GetValue("Typ",D45,"CategoryId")</f>
        <v>6</v>
      </c>
      <c r="G45" t="str" cm="1">
        <f t="array" ref="G45">GetValue("Cat",F45,"Name")</f>
        <v>text</v>
      </c>
      <c r="H45" t="s">
        <v>67</v>
      </c>
    </row>
    <row r="46" spans="1:12">
      <c r="A46">
        <f t="shared" ref="A46:A60" si="2">ROW(A46)-1</f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cm="1">
        <f t="array" ref="F46">GetValue("Typ",D46,"CategoryId")</f>
        <v>6</v>
      </c>
      <c r="G46" t="str" cm="1">
        <f t="array" ref="G46">GetValue("Cat",F46,"Name")</f>
        <v>text</v>
      </c>
      <c r="H46" t="s">
        <v>142</v>
      </c>
      <c r="I46">
        <v>5</v>
      </c>
      <c r="L46" t="s">
        <v>340</v>
      </c>
    </row>
    <row r="47" spans="1:12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cm="1">
        <f t="array" ref="F47">GetValue("Typ",D47,"CategoryId")</f>
        <v>6</v>
      </c>
      <c r="G47" t="str" cm="1">
        <f t="array" ref="G47">GetValue("Cat",F47,"Name")</f>
        <v>text</v>
      </c>
      <c r="H47" t="s">
        <v>549</v>
      </c>
      <c r="I47">
        <v>15</v>
      </c>
      <c r="L47" t="s">
        <v>791</v>
      </c>
    </row>
    <row r="48" spans="1:12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21</v>
      </c>
      <c r="E48" t="str" cm="1">
        <f t="array" ref="E48">GetValue("Typ",D48,"Name")</f>
        <v>nvarchar(max)</v>
      </c>
      <c r="F48" cm="1">
        <f t="array" ref="F48">GetValue("Typ",D48,"CategoryId")</f>
        <v>6</v>
      </c>
      <c r="G48" t="str" cm="1">
        <f t="array" ref="G48">GetValue("Cat",F48,"Name")</f>
        <v>text</v>
      </c>
      <c r="H48" t="s">
        <v>460</v>
      </c>
      <c r="I48">
        <v>10</v>
      </c>
      <c r="K48" s="10"/>
      <c r="L48" s="10" t="s">
        <v>461</v>
      </c>
    </row>
    <row r="49" spans="1:12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21</v>
      </c>
      <c r="E49" t="str" cm="1">
        <f t="array" ref="E49">GetValue("Typ",D49,"Name")</f>
        <v>nvarchar(max)</v>
      </c>
      <c r="F49" cm="1">
        <f t="array" ref="F49">GetValue("Typ",D49,"CategoryId")</f>
        <v>6</v>
      </c>
      <c r="G49" t="str" cm="1">
        <f t="array" ref="G49">GetValue("Cat",F49,"Name")</f>
        <v>text</v>
      </c>
      <c r="H49" t="s">
        <v>500</v>
      </c>
      <c r="I49">
        <v>3</v>
      </c>
      <c r="K49" s="10"/>
      <c r="L49" s="10" t="s">
        <v>547</v>
      </c>
    </row>
    <row r="50" spans="1:12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20</v>
      </c>
      <c r="E50" t="str" cm="1">
        <f t="array" ref="E50">GetValue("Typ",D50,"Name")</f>
        <v>nvarchar(n)</v>
      </c>
      <c r="F50" cm="1">
        <f t="array" ref="F50">GetValue("Typ",D50,"CategoryId")</f>
        <v>1</v>
      </c>
      <c r="G50" t="str" cm="1">
        <f t="array" ref="G50">GetValue("Cat",F50,"Name")</f>
        <v>string</v>
      </c>
      <c r="H50" t="s">
        <v>572</v>
      </c>
      <c r="I50">
        <v>10</v>
      </c>
      <c r="K50" s="10" t="s">
        <v>498</v>
      </c>
      <c r="L50" s="10"/>
    </row>
    <row r="51" spans="1:12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20</v>
      </c>
      <c r="E51" t="str" cm="1">
        <f t="array" ref="E51">GetValue("Typ",D51,"Name")</f>
        <v>nvarchar(n)</v>
      </c>
      <c r="F51" cm="1">
        <f t="array" ref="F51">GetValue("Typ",D51,"CategoryId")</f>
        <v>1</v>
      </c>
      <c r="G51" t="str" cm="1">
        <f t="array" ref="G51">GetValue("Cat",F51,"Name")</f>
        <v>string</v>
      </c>
      <c r="H51" t="s">
        <v>573</v>
      </c>
      <c r="I51">
        <v>10</v>
      </c>
      <c r="K51" s="10" t="s">
        <v>499</v>
      </c>
      <c r="L51" s="10"/>
    </row>
    <row r="52" spans="1:12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14</v>
      </c>
      <c r="E52" t="str" cm="1">
        <f t="array" ref="E52">GetValue("Typ",D52,"Name")</f>
        <v>image</v>
      </c>
      <c r="F52" cm="1">
        <f t="array" ref="F52">GetValue("Typ",D52,"CategoryId")</f>
        <v>8</v>
      </c>
      <c r="G52" t="str" cm="1">
        <f t="array" ref="G52">GetValue("Cat",F52,"Name")</f>
        <v>image</v>
      </c>
      <c r="H52" t="s">
        <v>605</v>
      </c>
      <c r="K52" s="10"/>
      <c r="L52" s="10"/>
    </row>
    <row r="53" spans="1:12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34</v>
      </c>
      <c r="E53" t="str" cm="1">
        <f t="array" ref="E53">GetValue("Typ",D53,"Name")</f>
        <v>varbinary(max)</v>
      </c>
      <c r="F53" cm="1">
        <f t="array" ref="F53">GetValue("Typ",D53,"CategoryId")</f>
        <v>9</v>
      </c>
      <c r="G53" t="str" cm="1">
        <f t="array" ref="G53">GetValue("Cat",F53,"Name")</f>
        <v>binary</v>
      </c>
      <c r="H53" t="s">
        <v>604</v>
      </c>
      <c r="K53" s="10"/>
      <c r="L53" s="10"/>
    </row>
    <row r="54" spans="1:12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17</v>
      </c>
      <c r="E54" t="str" cm="1">
        <f t="array" ref="E54">GetValue("Typ",D54,"Name")</f>
        <v>nchar(n)</v>
      </c>
      <c r="F54" cm="1">
        <f t="array" ref="F54">GetValue("Typ",D54,"CategoryId")</f>
        <v>1</v>
      </c>
      <c r="G54" t="str" cm="1">
        <f t="array" ref="G54">GetValue("Cat",F54,"Name")</f>
        <v>string</v>
      </c>
      <c r="H54" t="s">
        <v>631</v>
      </c>
      <c r="I54">
        <v>1</v>
      </c>
    </row>
    <row r="55" spans="1:12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20</v>
      </c>
      <c r="E55" t="str" cm="1">
        <f t="array" ref="E55">GetValue("Typ",D55,"Name")</f>
        <v>nvarchar(n)</v>
      </c>
      <c r="F55" cm="1">
        <f t="array" ref="F55">GetValue("Typ",D55,"CategoryId")</f>
        <v>1</v>
      </c>
      <c r="G55" t="str" cm="1">
        <f t="array" ref="G55">GetValue("Cat",F55,"Name")</f>
        <v>string</v>
      </c>
      <c r="H55" t="s">
        <v>658</v>
      </c>
      <c r="I55">
        <v>25</v>
      </c>
    </row>
    <row r="56" spans="1:12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20</v>
      </c>
      <c r="E56" t="str" cm="1">
        <f t="array" ref="E56">GetValue("Typ",D56,"Name")</f>
        <v>nvarchar(n)</v>
      </c>
      <c r="F56" cm="1">
        <f t="array" ref="F56">GetValue("Typ",D56,"CategoryId")</f>
        <v>1</v>
      </c>
      <c r="G56" t="str" cm="1">
        <f t="array" ref="G56">GetValue("Cat",F56,"Name")</f>
        <v>string</v>
      </c>
      <c r="H56" t="s">
        <v>1</v>
      </c>
      <c r="I56">
        <v>25</v>
      </c>
    </row>
    <row r="57" spans="1:12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20</v>
      </c>
      <c r="E57" t="str" cm="1">
        <f t="array" ref="E57">GetValue("Typ",D57,"Name")</f>
        <v>nvarchar(n)</v>
      </c>
      <c r="F57" cm="1">
        <f t="array" ref="F57">GetValue("Typ",D57,"CategoryId")</f>
        <v>1</v>
      </c>
      <c r="G57" t="str" cm="1">
        <f t="array" ref="G57">GetValue("Cat",F57,"Name")</f>
        <v>string</v>
      </c>
      <c r="H57" t="s">
        <v>68</v>
      </c>
      <c r="I57">
        <v>50</v>
      </c>
    </row>
    <row r="58" spans="1:12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cm="1">
        <f t="array" ref="F58">GetValue("Typ",D58,"CategoryId")</f>
        <v>1</v>
      </c>
      <c r="G58" t="str" cm="1">
        <f t="array" ref="G58">GetValue("Cat",F58,"Name")</f>
        <v>string</v>
      </c>
      <c r="H58" t="s">
        <v>660</v>
      </c>
      <c r="I58">
        <v>256</v>
      </c>
    </row>
    <row r="59" spans="1:12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cm="1">
        <f t="array" ref="F59">GetValue("Typ",D59,"CategoryId")</f>
        <v>1</v>
      </c>
      <c r="G59" t="str" cm="1">
        <f t="array" ref="G59">GetValue("Cat",F59,"Name")</f>
        <v>string</v>
      </c>
      <c r="H59" t="s">
        <v>661</v>
      </c>
      <c r="I59">
        <v>256</v>
      </c>
    </row>
    <row r="60" spans="1:12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cm="1">
        <f t="array" ref="F60">GetValue("Typ",D60,"CategoryId")</f>
        <v>1</v>
      </c>
      <c r="G60" t="str" cm="1">
        <f t="array" ref="G60">GetValue("Cat",F60,"Name")</f>
        <v>string</v>
      </c>
      <c r="H60" t="s">
        <v>833</v>
      </c>
      <c r="I60">
        <v>10</v>
      </c>
      <c r="L60" t="s">
        <v>834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G3" sqref="G3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18.5546875" style="2" bestFit="1" customWidth="1"/>
    <col min="7" max="7" width="11.6640625" bestFit="1" customWidth="1"/>
  </cols>
  <sheetData>
    <row r="1" spans="1:9" s="1" customFormat="1">
      <c r="A1" s="1" t="s">
        <v>0</v>
      </c>
      <c r="B1" s="1" t="s">
        <v>463</v>
      </c>
      <c r="C1" s="1" t="s">
        <v>363</v>
      </c>
      <c r="D1" s="13" t="s">
        <v>1</v>
      </c>
      <c r="E1" s="13" t="s">
        <v>570</v>
      </c>
      <c r="F1" s="25" t="s">
        <v>563</v>
      </c>
      <c r="G1" s="1" t="s">
        <v>761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336</v>
      </c>
      <c r="E2" t="s">
        <v>337</v>
      </c>
      <c r="F2" s="26">
        <v>99999999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319</v>
      </c>
      <c r="E3" t="s">
        <v>322</v>
      </c>
      <c r="F3" s="2" t="s">
        <v>801</v>
      </c>
      <c r="I3" t="s">
        <v>571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320</v>
      </c>
      <c r="E4" t="s">
        <v>323</v>
      </c>
      <c r="F4" s="2" t="s">
        <v>802</v>
      </c>
      <c r="I4" t="s">
        <v>800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375</v>
      </c>
      <c r="E5" t="s">
        <v>376</v>
      </c>
      <c r="F5" s="2" t="s">
        <v>803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481</v>
      </c>
      <c r="E6" t="s">
        <v>326</v>
      </c>
      <c r="F6" s="2" t="s">
        <v>804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327</v>
      </c>
      <c r="E7" t="s">
        <v>328</v>
      </c>
      <c r="F7" s="2">
        <v>99999999999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329</v>
      </c>
      <c r="E8" t="s">
        <v>330</v>
      </c>
      <c r="F8" s="2">
        <v>99999999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331</v>
      </c>
      <c r="E9" t="s">
        <v>380</v>
      </c>
      <c r="F9" s="2" t="s">
        <v>805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332</v>
      </c>
      <c r="E10" t="s">
        <v>381</v>
      </c>
      <c r="F10" s="2" t="s">
        <v>806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333</v>
      </c>
      <c r="E11" t="s">
        <v>372</v>
      </c>
      <c r="F11" s="2" t="s">
        <v>807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334</v>
      </c>
      <c r="E12" t="s">
        <v>335</v>
      </c>
      <c r="F12" s="2" t="s">
        <v>808</v>
      </c>
      <c r="G12" t="s">
        <v>762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366</v>
      </c>
      <c r="E13" t="s">
        <v>369</v>
      </c>
      <c r="F13" s="2" t="s">
        <v>809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468</v>
      </c>
      <c r="E14" t="s">
        <v>370</v>
      </c>
      <c r="F14" s="2" t="s">
        <v>810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469</v>
      </c>
      <c r="E15" t="s">
        <v>371</v>
      </c>
      <c r="F15" s="2" t="s">
        <v>811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470</v>
      </c>
      <c r="E16" t="s">
        <v>378</v>
      </c>
      <c r="F16" s="4" t="s">
        <v>812</v>
      </c>
      <c r="G16" t="s">
        <v>762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471</v>
      </c>
      <c r="E17" t="s">
        <v>379</v>
      </c>
      <c r="F17" s="4" t="s">
        <v>813</v>
      </c>
      <c r="G17" t="s">
        <v>762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367</v>
      </c>
      <c r="E18" t="s">
        <v>373</v>
      </c>
      <c r="F18" s="2" t="s">
        <v>814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472</v>
      </c>
      <c r="E19" t="s">
        <v>374</v>
      </c>
      <c r="F19" s="2" t="s">
        <v>815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368</v>
      </c>
      <c r="E20" t="s">
        <v>328</v>
      </c>
      <c r="F20" s="2">
        <v>99999999999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8" sqref="E8"/>
    </sheetView>
  </sheetViews>
  <sheetFormatPr defaultRowHeight="14.4"/>
  <cols>
    <col min="1" max="1" width="3" bestFit="1" customWidth="1"/>
    <col min="2" max="2" width="9.21875" bestFit="1" customWidth="1"/>
    <col min="3" max="3" width="16.21875" bestFit="1" customWidth="1"/>
    <col min="4" max="4" width="7.218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0</v>
      </c>
      <c r="B1" s="1" t="s">
        <v>100</v>
      </c>
      <c r="C1" s="1" t="s">
        <v>158</v>
      </c>
      <c r="D1" s="1" t="s">
        <v>54</v>
      </c>
      <c r="E1" s="1" t="s">
        <v>153</v>
      </c>
      <c r="F1" s="8" t="s">
        <v>482</v>
      </c>
      <c r="G1" s="8" t="s">
        <v>483</v>
      </c>
      <c r="H1" s="9" t="s">
        <v>484</v>
      </c>
    </row>
    <row r="2" spans="1:8">
      <c r="A2">
        <f>ROW(A2)-1</f>
        <v>1</v>
      </c>
      <c r="B2">
        <v>21</v>
      </c>
      <c r="C2" t="str" cm="1">
        <f t="array" ref="C2">GetValue("Dmn",B2,"Name")</f>
        <v>Raíz CNPJ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CPF</v>
      </c>
      <c r="D3">
        <v>2</v>
      </c>
      <c r="E3" t="str" cm="1">
        <f t="array" ref="E3">GetValue("Msk",D3,"Name")</f>
        <v>CPF</v>
      </c>
      <c r="F3" s="10">
        <v>11</v>
      </c>
      <c r="G3" s="10" t="s">
        <v>782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CNPJ</v>
      </c>
      <c r="D4">
        <v>3</v>
      </c>
      <c r="E4" t="str" cm="1">
        <f t="array" ref="E4">GetValue("Msk",D4,"Name")</f>
        <v>CNPJ</v>
      </c>
      <c r="F4" s="10">
        <v>11</v>
      </c>
      <c r="G4" s="10" t="s">
        <v>783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RAIZ/CPF/CNPJ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341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CAEPF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342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CREDIT CARD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341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RENAVAM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342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EAN-8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343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ISBN-13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344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ISSN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377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ISSN</v>
      </c>
      <c r="D12">
        <v>11</v>
      </c>
      <c r="E12" t="str" cm="1">
        <f t="array" ref="E12">GetValue("Msk",D12,"Name")</f>
        <v>ISSN</v>
      </c>
      <c r="F12" s="10">
        <v>10</v>
      </c>
      <c r="G12" t="s">
        <v>345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CEP (BR)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346</v>
      </c>
      <c r="H13" s="12" t="s">
        <v>324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NIS/PIS/PASEP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345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CNH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347</v>
      </c>
      <c r="H15" s="12" t="s">
        <v>324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CNH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CNH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Fone (BR)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Celular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Placa Veicular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C9" sqref="C9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8.33203125" bestFit="1" customWidth="1"/>
    <col min="5" max="5" width="12.6640625" bestFit="1" customWidth="1"/>
    <col min="6" max="6" width="6.44140625" bestFit="1" customWidth="1"/>
    <col min="7" max="7" width="12.33203125" bestFit="1" customWidth="1"/>
  </cols>
  <sheetData>
    <row r="1" spans="1:7" s="1" customFormat="1">
      <c r="A1" s="1" t="s">
        <v>0</v>
      </c>
      <c r="B1" s="1" t="s">
        <v>463</v>
      </c>
      <c r="C1" s="1" t="s">
        <v>363</v>
      </c>
      <c r="D1" s="1" t="s">
        <v>509</v>
      </c>
      <c r="E1" s="1" t="s">
        <v>274</v>
      </c>
      <c r="F1" s="1" t="s">
        <v>1</v>
      </c>
      <c r="G1" s="1" t="s">
        <v>68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173</v>
      </c>
      <c r="G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1.88671875" bestFit="1" customWidth="1"/>
    <col min="5" max="5" width="37" bestFit="1" customWidth="1"/>
    <col min="6" max="6" width="74.21875" customWidth="1"/>
    <col min="7" max="7" width="11.77734375" bestFit="1" customWidth="1"/>
  </cols>
  <sheetData>
    <row r="1" spans="1:7" s="1" customFormat="1">
      <c r="A1" s="1" t="s">
        <v>0</v>
      </c>
      <c r="B1" s="1" t="s">
        <v>87</v>
      </c>
      <c r="C1" s="1" t="s">
        <v>156</v>
      </c>
      <c r="D1" s="1" t="s">
        <v>464</v>
      </c>
      <c r="E1" s="1" t="s">
        <v>338</v>
      </c>
      <c r="F1" s="1" t="s">
        <v>234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235</v>
      </c>
      <c r="E2" t="s">
        <v>228</v>
      </c>
      <c r="F2" t="s">
        <v>491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285</v>
      </c>
      <c r="E3" t="s">
        <v>228</v>
      </c>
      <c r="F3" t="s">
        <v>492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286</v>
      </c>
      <c r="E4" t="s">
        <v>228</v>
      </c>
      <c r="F4" t="s">
        <v>493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J21" sqref="J21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87</v>
      </c>
      <c r="C1" s="1" t="s">
        <v>156</v>
      </c>
      <c r="D1" s="1" t="s">
        <v>364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365</v>
      </c>
      <c r="E2" t="s">
        <v>173</v>
      </c>
      <c r="F2" t="s">
        <v>174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F12" sqref="F12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4.77734375" bestFit="1" customWidth="1"/>
    <col min="6" max="6" width="31.33203125" bestFit="1" customWidth="1"/>
    <col min="7" max="7" width="13.33203125" bestFit="1" customWidth="1"/>
    <col min="8" max="8" width="19.33203125" bestFit="1" customWidth="1"/>
    <col min="9" max="9" width="11.77734375" bestFit="1" customWidth="1"/>
  </cols>
  <sheetData>
    <row r="1" spans="1:9" s="1" customFormat="1">
      <c r="A1" s="1" t="s">
        <v>0</v>
      </c>
      <c r="B1" s="1" t="s">
        <v>70</v>
      </c>
      <c r="C1" s="1" t="s">
        <v>155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170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510</v>
      </c>
      <c r="F2" t="s">
        <v>511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514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513</v>
      </c>
      <c r="F4" t="s">
        <v>512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515</v>
      </c>
      <c r="F5" t="s">
        <v>516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0.5546875" defaultRowHeight="14.4"/>
  <cols>
    <col min="1" max="1" width="3" bestFit="1" customWidth="1"/>
    <col min="2" max="2" width="10.44140625" bestFit="1" customWidth="1"/>
    <col min="3" max="3" width="14.88671875" bestFit="1" customWidth="1"/>
    <col min="4" max="4" width="20.5546875" bestFit="1" customWidth="1"/>
    <col min="5" max="5" width="8.109375" bestFit="1" customWidth="1"/>
    <col min="6" max="6" width="33.21875" bestFit="1" customWidth="1"/>
    <col min="7" max="7" width="9" bestFit="1" customWidth="1"/>
    <col min="8" max="8" width="7.6640625" bestFit="1" customWidth="1"/>
    <col min="9" max="9" width="13.6640625" bestFit="1" customWidth="1"/>
    <col min="10" max="10" width="14.33203125" bestFit="1" customWidth="1"/>
    <col min="11" max="11" width="33.21875" bestFit="1" customWidth="1"/>
    <col min="12" max="12" width="43.77734375" bestFit="1" customWidth="1"/>
  </cols>
  <sheetData>
    <row r="1" spans="1:12" s="1" customFormat="1">
      <c r="A1" s="1" t="s">
        <v>0</v>
      </c>
      <c r="B1" s="1" t="s">
        <v>87</v>
      </c>
      <c r="C1" s="1" t="s">
        <v>156</v>
      </c>
      <c r="D1" s="1" t="s">
        <v>1</v>
      </c>
      <c r="E1" s="1" t="s">
        <v>86</v>
      </c>
      <c r="F1" s="1" t="s">
        <v>68</v>
      </c>
      <c r="G1" s="1" t="s">
        <v>168</v>
      </c>
      <c r="H1" s="1" t="s">
        <v>488</v>
      </c>
      <c r="I1" s="1" t="s">
        <v>489</v>
      </c>
      <c r="J1" s="1" t="s">
        <v>792</v>
      </c>
      <c r="K1" s="1" t="s">
        <v>793</v>
      </c>
      <c r="L1" s="1" t="s">
        <v>794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98</v>
      </c>
      <c r="E2" t="s">
        <v>348</v>
      </c>
      <c r="F2" t="s">
        <v>400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400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786</v>
      </c>
      <c r="E3" t="s">
        <v>787</v>
      </c>
      <c r="F3" t="s">
        <v>790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790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788</v>
      </c>
      <c r="E4" t="s">
        <v>789</v>
      </c>
      <c r="F4" t="s">
        <v>798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798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388</v>
      </c>
      <c r="E5" t="s">
        <v>393</v>
      </c>
      <c r="F5" t="s">
        <v>399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399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88</v>
      </c>
      <c r="E6" t="s">
        <v>349</v>
      </c>
      <c r="F6" t="s">
        <v>77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77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389</v>
      </c>
      <c r="E7" t="s">
        <v>394</v>
      </c>
      <c r="F7" t="s">
        <v>401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401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387</v>
      </c>
      <c r="E8" t="s">
        <v>392</v>
      </c>
      <c r="F8" t="s">
        <v>398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398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89</v>
      </c>
      <c r="E9" t="s">
        <v>351</v>
      </c>
      <c r="F9" t="s">
        <v>193</v>
      </c>
      <c r="G9" cm="1">
        <f t="array" ref="G9">GetLastId(A9)</f>
        <v>59</v>
      </c>
      <c r="H9">
        <v>2</v>
      </c>
      <c r="I9" t="str" cm="1">
        <f t="array" ref="I9">GetValue("Mnu",H9,"Caption")</f>
        <v>Cadastros</v>
      </c>
      <c r="J9">
        <v>5</v>
      </c>
      <c r="K9" t="s">
        <v>193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90</v>
      </c>
      <c r="E10" t="s">
        <v>350</v>
      </c>
      <c r="F10" t="s">
        <v>402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402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390</v>
      </c>
      <c r="E11" t="s">
        <v>395</v>
      </c>
      <c r="F11" t="s">
        <v>490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490</v>
      </c>
      <c r="L11" t="str">
        <f t="shared" si="1"/>
        <v>Cadastro de Domínios x Máscaras de edição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93</v>
      </c>
      <c r="E12" t="s">
        <v>355</v>
      </c>
      <c r="F12" t="s">
        <v>403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403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486</v>
      </c>
      <c r="E13" t="s">
        <v>636</v>
      </c>
      <c r="F13" t="s">
        <v>487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487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91</v>
      </c>
      <c r="E14" t="s">
        <v>352</v>
      </c>
      <c r="F14" t="s">
        <v>81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81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80</v>
      </c>
      <c r="E15" t="s">
        <v>353</v>
      </c>
      <c r="F15" t="s">
        <v>554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94</v>
      </c>
      <c r="E16" t="s">
        <v>356</v>
      </c>
      <c r="F16" t="s">
        <v>79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79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95</v>
      </c>
      <c r="E17" t="s">
        <v>357</v>
      </c>
      <c r="F17" t="s">
        <v>192</v>
      </c>
      <c r="G17" cm="1">
        <f t="array" ref="G17">GetLastId(A17)</f>
        <v>142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192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96</v>
      </c>
      <c r="E18" t="s">
        <v>358</v>
      </c>
      <c r="F18" t="s">
        <v>536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536</v>
      </c>
      <c r="L18" t="str">
        <f t="shared" si="1"/>
        <v>Cadastro de Índices de tabelas</v>
      </c>
    </row>
    <row r="19" spans="1:12" ht="13.8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143</v>
      </c>
      <c r="E19" t="s">
        <v>396</v>
      </c>
      <c r="F19" t="s">
        <v>97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97</v>
      </c>
      <c r="L19" t="str">
        <f t="shared" si="1"/>
        <v>Cadastro de Chaves de índices</v>
      </c>
    </row>
    <row r="20" spans="1:12" ht="13.8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507</v>
      </c>
      <c r="E20" t="s">
        <v>508</v>
      </c>
      <c r="F20" t="s">
        <v>577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577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227</v>
      </c>
      <c r="E21" t="s">
        <v>362</v>
      </c>
      <c r="F21" t="s">
        <v>528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528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504</v>
      </c>
      <c r="E22" t="s">
        <v>505</v>
      </c>
      <c r="F22" t="s">
        <v>506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506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391</v>
      </c>
      <c r="E23" t="s">
        <v>397</v>
      </c>
      <c r="F23" t="s">
        <v>576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576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535</v>
      </c>
      <c r="E24" t="s">
        <v>534</v>
      </c>
      <c r="F24" t="s">
        <v>796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796</v>
      </c>
      <c r="L24" t="str">
        <f t="shared" si="1"/>
        <v>Cadastro de Referências foreign-key e parent-childs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92</v>
      </c>
      <c r="E25" t="s">
        <v>354</v>
      </c>
      <c r="F25" t="s">
        <v>78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78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527</v>
      </c>
      <c r="E26" t="s">
        <v>816</v>
      </c>
      <c r="F26" t="s">
        <v>575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575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455</v>
      </c>
      <c r="E27" t="s">
        <v>454</v>
      </c>
      <c r="F27" t="s">
        <v>459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459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457</v>
      </c>
      <c r="E28" t="s">
        <v>458</v>
      </c>
      <c r="F28" t="s">
        <v>462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462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555</v>
      </c>
      <c r="E29" t="s">
        <v>556</v>
      </c>
      <c r="F29" t="s">
        <v>557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557</v>
      </c>
      <c r="L29" t="str">
        <f t="shared" si="1"/>
        <v>Cadastro de Agendador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558</v>
      </c>
      <c r="E30" t="s">
        <v>559</v>
      </c>
      <c r="F30" t="s">
        <v>795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795</v>
      </c>
      <c r="L30" t="str">
        <f t="shared" si="1"/>
        <v>Cadastro de Pré/pós-operações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560</v>
      </c>
      <c r="E31" t="s">
        <v>561</v>
      </c>
      <c r="F31" t="s">
        <v>562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562</v>
      </c>
      <c r="L31" t="str">
        <f>"Cadastro de "&amp;F31</f>
        <v>Cadastro de Scripts de operações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823</v>
      </c>
      <c r="E32" t="s">
        <v>824</v>
      </c>
      <c r="F32" t="s">
        <v>825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826</v>
      </c>
      <c r="L32" t="str">
        <f t="shared" ref="L32" si="3">"Cadastro de "&amp;F32</f>
        <v>Cadastro de Endpoints HTTP de operações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229</v>
      </c>
      <c r="E33" t="s">
        <v>359</v>
      </c>
      <c r="F33" t="s">
        <v>529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529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194</v>
      </c>
      <c r="E34" t="s">
        <v>360</v>
      </c>
      <c r="F34" t="s">
        <v>531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531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196</v>
      </c>
      <c r="E35" t="s">
        <v>361</v>
      </c>
      <c r="F35" t="s">
        <v>530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530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2"/>
  <sheetViews>
    <sheetView tabSelected="1" zoomScale="92" zoomScaleNormal="92" workbookViewId="0">
      <pane ySplit="1" topLeftCell="A8" activePane="bottomLeft" state="frozen"/>
      <selection pane="bottomLeft" activeCell="I19" sqref="I19"/>
    </sheetView>
  </sheetViews>
  <sheetFormatPr defaultRowHeight="14.4"/>
  <cols>
    <col min="1" max="1" width="4.33203125" bestFit="1" customWidth="1"/>
    <col min="2" max="2" width="7.33203125" bestFit="1" customWidth="1"/>
    <col min="3" max="3" width="10.6640625" bestFit="1" customWidth="1"/>
    <col min="4" max="4" width="9.44140625" bestFit="1" customWidth="1"/>
    <col min="5" max="5" width="16.33203125" bestFit="1" customWidth="1"/>
    <col min="6" max="6" width="9.44140625" bestFit="1" customWidth="1"/>
    <col min="7" max="7" width="24.6640625" bestFit="1" customWidth="1"/>
    <col min="8" max="8" width="37.6640625" bestFit="1" customWidth="1"/>
    <col min="9" max="9" width="24" bestFit="1" customWidth="1"/>
    <col min="10" max="11" width="11.77734375" bestFit="1" customWidth="1"/>
    <col min="12" max="12" width="9.44140625" bestFit="1" customWidth="1"/>
    <col min="13" max="13" width="9.77734375" bestFit="1" customWidth="1"/>
    <col min="14" max="14" width="9" bestFit="1" customWidth="1"/>
    <col min="15" max="15" width="11.109375" bestFit="1" customWidth="1"/>
    <col min="16" max="16" width="9.77734375" bestFit="1" customWidth="1"/>
  </cols>
  <sheetData>
    <row r="1" spans="1:16" s="1" customFormat="1">
      <c r="A1" s="17" t="s">
        <v>0</v>
      </c>
      <c r="B1" s="17" t="s">
        <v>99</v>
      </c>
      <c r="C1" s="17" t="s">
        <v>533</v>
      </c>
      <c r="D1" s="17" t="s">
        <v>100</v>
      </c>
      <c r="E1" s="17" t="s">
        <v>158</v>
      </c>
      <c r="F1" s="17" t="s">
        <v>71</v>
      </c>
      <c r="G1" s="17" t="s">
        <v>1</v>
      </c>
      <c r="H1" s="17" t="s">
        <v>68</v>
      </c>
      <c r="I1" s="17" t="s">
        <v>72</v>
      </c>
      <c r="J1" s="17" t="s">
        <v>685</v>
      </c>
      <c r="K1" s="17" t="s">
        <v>688</v>
      </c>
      <c r="L1" s="17" t="s">
        <v>689</v>
      </c>
      <c r="M1" s="17" t="s">
        <v>690</v>
      </c>
      <c r="N1" s="17" t="s">
        <v>693</v>
      </c>
      <c r="O1" s="17" t="s">
        <v>692</v>
      </c>
      <c r="P1" s="17" t="s">
        <v>691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IF(G2="Id",5,F23+5)</f>
        <v>5</v>
      </c>
      <c r="G2" s="20" t="str" cm="1">
        <f t="array" ref="G2">GetColumnName(C2,"")</f>
        <v>Id</v>
      </c>
      <c r="H2" s="20" t="s">
        <v>835</v>
      </c>
      <c r="I2" s="20" t="s">
        <v>0</v>
      </c>
      <c r="J2" s="20" t="b">
        <f t="shared" ref="J2:K38" si="1">IF($G2="Id",TRUE,"")</f>
        <v>1</v>
      </c>
      <c r="K2" s="20" t="b">
        <f t="shared" si="1"/>
        <v>1</v>
      </c>
      <c r="L2" s="20" t="b">
        <f t="shared" ref="L2:M38" si="2">IF($G2="Id",FALSE,"")</f>
        <v>0</v>
      </c>
      <c r="M2" s="20" t="b">
        <f t="shared" si="2"/>
        <v>0</v>
      </c>
      <c r="N2" s="20"/>
      <c r="O2" s="20"/>
      <c r="P2" s="20" t="b">
        <f t="shared" ref="P2:P70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55</v>
      </c>
      <c r="E3" s="20" t="str" cm="1">
        <f t="array" ref="E3">GetValue("Dmn",D3,"Name")</f>
        <v>Name</v>
      </c>
      <c r="F3" s="20">
        <f t="shared" ref="F3:F69" si="4">IF(G3="Id",5,F2+5)</f>
        <v>10</v>
      </c>
      <c r="G3" s="20" t="str" cm="1">
        <f t="array" ref="G3">GetColumnName(C3,G2)</f>
        <v>Name</v>
      </c>
      <c r="H3" s="20" t="s">
        <v>128</v>
      </c>
      <c r="I3" s="20" t="s">
        <v>101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GetColumnName(C4,G3)</f>
        <v>AskDefault</v>
      </c>
      <c r="H4" s="20" t="s">
        <v>180</v>
      </c>
      <c r="I4" s="20" t="s">
        <v>130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GetColumnName(C5,G4)</f>
        <v>AskMinimum</v>
      </c>
      <c r="H5" s="20" t="s">
        <v>179</v>
      </c>
      <c r="I5" s="20" t="s">
        <v>131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GetColumnName(C6,G5)</f>
        <v>AskMaximum</v>
      </c>
      <c r="H6" s="20" t="s">
        <v>178</v>
      </c>
      <c r="I6" s="20" t="s">
        <v>132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GetColumnName(C7,G6)</f>
        <v>AskInWords</v>
      </c>
      <c r="H7" s="20" t="s">
        <v>177</v>
      </c>
      <c r="I7" s="20" t="s">
        <v>176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GetColumnName(C8,G7)</f>
        <v>AskMask</v>
      </c>
      <c r="H8" s="20" t="s">
        <v>589</v>
      </c>
      <c r="I8" s="20" t="s">
        <v>129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GetColumnName(C9,G8)</f>
        <v>AskGridable</v>
      </c>
      <c r="H9" s="20" t="s">
        <v>588</v>
      </c>
      <c r="I9" s="20" t="s">
        <v>587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78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GetColumnName(C10,G9)</f>
        <v>AskFilterable</v>
      </c>
      <c r="H10" s="20" t="s">
        <v>582</v>
      </c>
      <c r="I10" s="20" t="s">
        <v>586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GetColumnName(C11,G10)</f>
        <v>AskEncrypted</v>
      </c>
      <c r="H11" s="20" t="s">
        <v>583</v>
      </c>
      <c r="I11" s="20" t="s">
        <v>584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GetColumnName(C12,G11)</f>
        <v>AskListable</v>
      </c>
      <c r="H12" s="20" t="s">
        <v>585</v>
      </c>
      <c r="I12" s="20" t="s">
        <v>591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v>5</v>
      </c>
      <c r="G13" s="18" t="str" cm="1">
        <f t="array" ref="G13">GetColumnName(C13,"")</f>
        <v>Id</v>
      </c>
      <c r="H13" s="18" t="s">
        <v>836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53</v>
      </c>
      <c r="E14" s="18" t="str" cm="1">
        <f t="array" ref="E14">GetValue("Dmn",D14,"Name")</f>
        <v>Nchar(1)</v>
      </c>
      <c r="F14" s="18">
        <f>IF(G14="Id",5,F13+5)</f>
        <v>10</v>
      </c>
      <c r="G14" s="18" t="str" cm="1">
        <f t="array" ref="G14">GetColumnName(C14,G13)</f>
        <v>Symbol</v>
      </c>
      <c r="H14" s="18" t="s">
        <v>837</v>
      </c>
      <c r="I14" s="18" t="s">
        <v>839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56</v>
      </c>
      <c r="E15" s="18" t="str" cm="1">
        <f t="array" ref="E15">GetValue("Dmn",D15,"Name")</f>
        <v>Description</v>
      </c>
      <c r="F15" s="18">
        <f t="shared" ref="F15:F18" si="6">IF(G15="Id",5,F14+5)</f>
        <v>15</v>
      </c>
      <c r="G15" s="18" t="str" cm="1">
        <f t="array" ref="G15">GetColumnName(C15,G14)</f>
        <v>Description</v>
      </c>
      <c r="H15" s="18" t="s">
        <v>838</v>
      </c>
      <c r="I15" s="18" t="s">
        <v>113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6"/>
        <v>20</v>
      </c>
      <c r="G16" s="18" t="str" cm="1">
        <f t="array" ref="G16">GetColumnName(C16,G15)</f>
        <v>Arity</v>
      </c>
      <c r="H16" s="18" t="s">
        <v>840</v>
      </c>
      <c r="I16" s="18" t="s">
        <v>841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18">
        <f t="shared" si="5"/>
        <v>16</v>
      </c>
      <c r="B17" s="19">
        <v>3</v>
      </c>
      <c r="C17" s="18" t="str" cm="1">
        <f t="array" ref="C17">GetValue("Tbl",B17,"Alias")</f>
        <v>CatCmp</v>
      </c>
      <c r="D17" s="18">
        <v>5</v>
      </c>
      <c r="E17" s="18" t="str" cm="1">
        <f t="array" ref="E17">GetValue("Dmn",D17,"Name")</f>
        <v>TinyInteger</v>
      </c>
      <c r="F17" s="18">
        <v>5</v>
      </c>
      <c r="G17" s="18" t="str" cm="1">
        <f t="array" ref="G17">GetColumnName(C17,"")</f>
        <v>Id</v>
      </c>
      <c r="H17" s="18" t="s">
        <v>842</v>
      </c>
      <c r="I17" s="18" t="s">
        <v>0</v>
      </c>
      <c r="J17" s="18" t="b">
        <f t="shared" si="1"/>
        <v>1</v>
      </c>
      <c r="K17" s="18" t="b">
        <f t="shared" si="1"/>
        <v>1</v>
      </c>
      <c r="L17" s="18" t="b">
        <f t="shared" si="2"/>
        <v>0</v>
      </c>
      <c r="M17" s="18" t="b">
        <f t="shared" si="2"/>
        <v>0</v>
      </c>
      <c r="N17" s="18"/>
      <c r="O17" s="18"/>
      <c r="P17" s="18" t="b">
        <f t="shared" si="3"/>
        <v>0</v>
      </c>
    </row>
    <row r="18" spans="1:16">
      <c r="A18" s="18">
        <f t="shared" si="5"/>
        <v>17</v>
      </c>
      <c r="B18" s="19">
        <v>3</v>
      </c>
      <c r="C18" s="18" t="str" cm="1">
        <f t="array" ref="C18">GetValue("Tbl",B18,"Alias")</f>
        <v>CatCmp</v>
      </c>
      <c r="D18" s="18">
        <v>5</v>
      </c>
      <c r="E18" s="18" t="str" cm="1">
        <f t="array" ref="E18">GetValue("Dmn",D18,"Name")</f>
        <v>TinyInteger</v>
      </c>
      <c r="F18" s="18">
        <f t="shared" si="6"/>
        <v>10</v>
      </c>
      <c r="G18" s="18" t="str" cm="1">
        <f t="array" ref="G18">GetColumnName(C18,G17)</f>
        <v>CategoryId</v>
      </c>
      <c r="H18" s="18" t="s">
        <v>843</v>
      </c>
      <c r="I18" s="18" t="s">
        <v>102</v>
      </c>
      <c r="J18" s="18" t="str">
        <f t="shared" si="1"/>
        <v/>
      </c>
      <c r="K18" s="18" t="str">
        <f t="shared" si="1"/>
        <v/>
      </c>
      <c r="L18" s="18" t="str">
        <f t="shared" si="2"/>
        <v/>
      </c>
      <c r="M18" s="18" t="str">
        <f t="shared" si="2"/>
        <v/>
      </c>
      <c r="N18" s="18"/>
      <c r="O18" s="18"/>
      <c r="P18" s="18" t="str">
        <f t="shared" si="3"/>
        <v/>
      </c>
    </row>
    <row r="19" spans="1:16">
      <c r="A19" s="18">
        <f t="shared" ref="A19:A26" si="7">ROW(A19)-1</f>
        <v>18</v>
      </c>
      <c r="B19" s="19">
        <v>4</v>
      </c>
      <c r="C19" s="18" t="str" cm="1">
        <f t="array" ref="C19">GetValue("Tbl",B19,"Alias")</f>
        <v>Eng</v>
      </c>
      <c r="D19" s="18">
        <v>5</v>
      </c>
      <c r="E19" s="18" t="str" cm="1">
        <f t="array" ref="E19">GetValue("Dmn",D19,"Name")</f>
        <v>TinyInteger</v>
      </c>
      <c r="F19" s="18">
        <f>IF(G19="Id",5,F1+5)</f>
        <v>5</v>
      </c>
      <c r="G19" s="18" t="str" cm="1">
        <f t="array" ref="G19">GetColumnName(C19,"")</f>
        <v>Id</v>
      </c>
      <c r="H19" s="18" t="s">
        <v>465</v>
      </c>
      <c r="I19" s="18" t="s">
        <v>0</v>
      </c>
      <c r="J19" s="18" t="b">
        <f t="shared" ref="J19:K23" si="8">IF($G19="Id",TRUE,"")</f>
        <v>1</v>
      </c>
      <c r="K19" s="18" t="b">
        <f t="shared" si="8"/>
        <v>1</v>
      </c>
      <c r="L19" s="18" t="b">
        <f t="shared" ref="L19:M23" si="9">IF($G19="Id",FALSE,"")</f>
        <v>0</v>
      </c>
      <c r="M19" s="18" t="b">
        <f t="shared" si="9"/>
        <v>0</v>
      </c>
      <c r="N19" s="18"/>
      <c r="O19" s="18"/>
      <c r="P19" s="18" t="b">
        <f>IF($G19="Id",FALSE,"")</f>
        <v>0</v>
      </c>
    </row>
    <row r="20" spans="1:16">
      <c r="A20" s="18">
        <f t="shared" si="7"/>
        <v>19</v>
      </c>
      <c r="B20" s="19">
        <v>4</v>
      </c>
      <c r="C20" s="18" t="str" cm="1">
        <f t="array" ref="C20">GetValue("Tbl",B20,"Alias")</f>
        <v>Eng</v>
      </c>
      <c r="D20" s="18">
        <v>58</v>
      </c>
      <c r="E20" s="18" t="str" cm="1">
        <f t="array" ref="E20">GetValue("Dmn",D20,"Name")</f>
        <v>Edit Mask</v>
      </c>
      <c r="F20" s="18">
        <f>IF(G20="Id",5,F19+5)</f>
        <v>10</v>
      </c>
      <c r="G20" s="18" t="str" cm="1">
        <f t="array" ref="G20">GetColumnName(C20,G19)</f>
        <v>Name</v>
      </c>
      <c r="H20" s="18" t="s">
        <v>466</v>
      </c>
      <c r="I20" s="18" t="s">
        <v>101</v>
      </c>
      <c r="J20" s="18" t="str">
        <f t="shared" si="8"/>
        <v/>
      </c>
      <c r="K20" s="18" t="str">
        <f t="shared" si="8"/>
        <v/>
      </c>
      <c r="L20" s="18" t="str">
        <f t="shared" si="9"/>
        <v/>
      </c>
      <c r="M20" s="18" t="str">
        <f t="shared" si="9"/>
        <v/>
      </c>
      <c r="N20" s="18"/>
      <c r="O20" s="18"/>
      <c r="P20" s="18" t="str">
        <f>IF($G20="Id",FALSE,"")</f>
        <v/>
      </c>
    </row>
    <row r="21" spans="1:16">
      <c r="A21" s="18">
        <f t="shared" si="7"/>
        <v>20</v>
      </c>
      <c r="B21" s="19">
        <v>4</v>
      </c>
      <c r="C21" s="18" t="str" cm="1">
        <f t="array" ref="C21">GetValue("Tbl",B21,"Alias")</f>
        <v>Eng</v>
      </c>
      <c r="D21" s="18">
        <v>11</v>
      </c>
      <c r="E21" s="18" t="str" cm="1">
        <f t="array" ref="E21">GetValue("Dmn",D21,"Name")</f>
        <v>Nvarchar(50)</v>
      </c>
      <c r="F21" s="18">
        <f>IF(G21="Id",5,F20+5)</f>
        <v>15</v>
      </c>
      <c r="G21" s="18" t="str" cm="1">
        <f t="array" ref="G21">GetColumnName(C21,G20)</f>
        <v>Provider</v>
      </c>
      <c r="H21" s="18" t="s">
        <v>564</v>
      </c>
      <c r="I21" s="18" t="s">
        <v>565</v>
      </c>
      <c r="J21" s="18" t="str">
        <f t="shared" si="8"/>
        <v/>
      </c>
      <c r="K21" s="18" t="str">
        <f t="shared" si="8"/>
        <v/>
      </c>
      <c r="L21" s="18" t="str">
        <f t="shared" si="9"/>
        <v/>
      </c>
      <c r="M21" s="18" t="str">
        <f t="shared" si="9"/>
        <v/>
      </c>
      <c r="N21" s="18"/>
      <c r="O21" s="18"/>
      <c r="P21" s="18" t="str">
        <f>IF($G21="Id",FALSE,"")</f>
        <v/>
      </c>
    </row>
    <row r="22" spans="1:16">
      <c r="A22" s="18">
        <f t="shared" si="7"/>
        <v>21</v>
      </c>
      <c r="B22" s="19">
        <v>4</v>
      </c>
      <c r="C22" s="18" t="str" cm="1">
        <f t="array" ref="C22">GetValue("Tbl",B22,"Alias")</f>
        <v>Eng</v>
      </c>
      <c r="D22" s="18">
        <v>6</v>
      </c>
      <c r="E22" s="18" t="str" cm="1">
        <f t="array" ref="E22">GetValue("Dmn",D22,"Name")</f>
        <v>Boolean</v>
      </c>
      <c r="F22" s="18">
        <f>IF(G22="Id",5,F21+5)</f>
        <v>20</v>
      </c>
      <c r="G22" s="18" t="str" cm="1">
        <f t="array" ref="G22">GetColumnName(C22,G21)</f>
        <v>AskDirectory</v>
      </c>
      <c r="H22" s="18" t="s">
        <v>566</v>
      </c>
      <c r="I22" s="18" t="s">
        <v>567</v>
      </c>
      <c r="J22" s="18" t="str">
        <f t="shared" si="8"/>
        <v/>
      </c>
      <c r="K22" s="18" t="str">
        <f t="shared" si="8"/>
        <v/>
      </c>
      <c r="L22" s="18" t="str">
        <f t="shared" si="9"/>
        <v/>
      </c>
      <c r="M22" s="18" t="str">
        <f t="shared" si="9"/>
        <v/>
      </c>
      <c r="N22" s="18"/>
      <c r="O22" s="18"/>
      <c r="P22" s="18" t="str">
        <f>IF($G22="Id",FALSE,"")</f>
        <v/>
      </c>
    </row>
    <row r="23" spans="1:16">
      <c r="A23" s="18">
        <f t="shared" si="7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>IF(G23="Id",5,F22+5)</f>
        <v>25</v>
      </c>
      <c r="G23" s="18" t="str" cm="1">
        <f t="array" ref="G23">GetColumnName(C23,G22)</f>
        <v>IsActive</v>
      </c>
      <c r="H23" s="18" t="s">
        <v>467</v>
      </c>
      <c r="I23" s="18" t="s">
        <v>116</v>
      </c>
      <c r="J23" s="18" t="str">
        <f t="shared" si="8"/>
        <v/>
      </c>
      <c r="K23" s="18" t="str">
        <f t="shared" si="8"/>
        <v/>
      </c>
      <c r="L23" s="18" t="str">
        <f t="shared" si="9"/>
        <v/>
      </c>
      <c r="M23" s="18" t="str">
        <f t="shared" si="9"/>
        <v/>
      </c>
      <c r="N23" s="18"/>
      <c r="O23" s="18"/>
      <c r="P23" s="18" t="str">
        <f>IF($G23="Id",FALSE,"")</f>
        <v/>
      </c>
    </row>
    <row r="24" spans="1:16">
      <c r="A24" s="18">
        <f t="shared" si="7"/>
        <v>23</v>
      </c>
      <c r="B24" s="19">
        <v>5</v>
      </c>
      <c r="C24" s="18" t="str" cm="1">
        <f t="array" ref="C24">GetValue("Tbl",B24,"Alias")</f>
        <v>Typ</v>
      </c>
      <c r="D24" s="18">
        <v>5</v>
      </c>
      <c r="E24" s="18" t="str" cm="1">
        <f t="array" ref="E24">GetValue("Dmn",D24,"Name")</f>
        <v>TinyInteger</v>
      </c>
      <c r="F24" s="18">
        <f>IF(G24="Id",5,F12+5)</f>
        <v>5</v>
      </c>
      <c r="G24" s="18" t="str" cm="1">
        <f t="array" ref="G24">GetColumnName(C24,"")</f>
        <v>Id</v>
      </c>
      <c r="H24" s="18" t="s">
        <v>592</v>
      </c>
      <c r="I24" s="18" t="s">
        <v>0</v>
      </c>
      <c r="J24" s="18" t="b">
        <f t="shared" si="1"/>
        <v>1</v>
      </c>
      <c r="K24" s="18" t="b">
        <f t="shared" si="1"/>
        <v>1</v>
      </c>
      <c r="L24" s="18" t="b">
        <f t="shared" si="2"/>
        <v>0</v>
      </c>
      <c r="M24" s="18" t="b">
        <f t="shared" si="2"/>
        <v>0</v>
      </c>
      <c r="N24" s="18"/>
      <c r="O24" s="18"/>
      <c r="P24" s="18" t="b">
        <f t="shared" si="3"/>
        <v>0</v>
      </c>
    </row>
    <row r="25" spans="1:16">
      <c r="A25" s="18">
        <f t="shared" si="7"/>
        <v>24</v>
      </c>
      <c r="B25" s="19">
        <v>5</v>
      </c>
      <c r="C25" s="18" t="str" cm="1">
        <f t="array" ref="C25">GetValue("Tbl",B25,"Alias")</f>
        <v>Typ</v>
      </c>
      <c r="D25" s="18">
        <v>5</v>
      </c>
      <c r="E25" s="18" t="str" cm="1">
        <f t="array" ref="E25">GetValue("Dmn",D25,"Name")</f>
        <v>TinyInteger</v>
      </c>
      <c r="F25" s="18">
        <f t="shared" si="4"/>
        <v>10</v>
      </c>
      <c r="G25" s="18" t="str" cm="1">
        <f t="array" ref="G25">GetColumnName(C25,G24)</f>
        <v>CategoryId</v>
      </c>
      <c r="H25" s="18" t="s">
        <v>593</v>
      </c>
      <c r="I25" s="18" t="s">
        <v>102</v>
      </c>
      <c r="J25" s="18" t="str">
        <f t="shared" si="1"/>
        <v/>
      </c>
      <c r="K25" s="18" t="str">
        <f t="shared" si="1"/>
        <v/>
      </c>
      <c r="L25" s="18" t="str">
        <f t="shared" si="2"/>
        <v/>
      </c>
      <c r="M25" s="18" t="str">
        <f t="shared" si="2"/>
        <v/>
      </c>
      <c r="N25" s="18"/>
      <c r="O25" s="18"/>
      <c r="P25" s="18" t="str">
        <f t="shared" si="3"/>
        <v/>
      </c>
    </row>
    <row r="26" spans="1:16">
      <c r="A26" s="18">
        <f t="shared" si="7"/>
        <v>25</v>
      </c>
      <c r="B26" s="19">
        <v>5</v>
      </c>
      <c r="C26" s="18" t="str" cm="1">
        <f t="array" ref="C26">GetValue("Tbl",B26,"Alias")</f>
        <v>Typ</v>
      </c>
      <c r="D26" s="18">
        <v>55</v>
      </c>
      <c r="E26" s="18" t="str" cm="1">
        <f t="array" ref="E26">GetValue("Dmn",D26,"Name")</f>
        <v>Name</v>
      </c>
      <c r="F26" s="18">
        <f t="shared" si="4"/>
        <v>15</v>
      </c>
      <c r="G26" s="18" t="s">
        <v>1</v>
      </c>
      <c r="H26" s="18" t="s">
        <v>594</v>
      </c>
      <c r="I26" s="18" t="s">
        <v>101</v>
      </c>
      <c r="J26" s="18" t="str">
        <f t="shared" si="1"/>
        <v/>
      </c>
      <c r="K26" s="18" t="str">
        <f t="shared" si="1"/>
        <v/>
      </c>
      <c r="L26" s="18" t="str">
        <f t="shared" si="2"/>
        <v/>
      </c>
      <c r="M26" s="18" t="str">
        <f t="shared" si="2"/>
        <v/>
      </c>
      <c r="N26" s="18"/>
      <c r="O26" s="18"/>
      <c r="P26" s="18" t="str">
        <f t="shared" si="3"/>
        <v/>
      </c>
    </row>
    <row r="27" spans="1:16">
      <c r="A27" s="18">
        <f t="shared" si="5"/>
        <v>26</v>
      </c>
      <c r="B27" s="19">
        <v>5</v>
      </c>
      <c r="C27" s="18" t="str" cm="1">
        <f t="array" ref="C27">GetValue("Tbl",B27,"Alias")</f>
        <v>Typ</v>
      </c>
      <c r="D27" s="18">
        <v>42</v>
      </c>
      <c r="E27" s="18" t="str" cm="1">
        <f t="array" ref="E27">GetValue("Dmn",D27,"Name")</f>
        <v>JS</v>
      </c>
      <c r="F27" s="18">
        <f t="shared" si="4"/>
        <v>20</v>
      </c>
      <c r="G27" s="18" t="s">
        <v>17</v>
      </c>
      <c r="H27" s="18" t="s">
        <v>595</v>
      </c>
      <c r="I27" s="18" t="s">
        <v>596</v>
      </c>
      <c r="J27" s="18" t="str">
        <f t="shared" si="1"/>
        <v/>
      </c>
      <c r="K27" s="18" t="str">
        <f t="shared" si="1"/>
        <v/>
      </c>
      <c r="L27" s="18" t="str">
        <f t="shared" si="2"/>
        <v/>
      </c>
      <c r="M27" s="18" t="str">
        <f t="shared" si="2"/>
        <v/>
      </c>
      <c r="N27" s="18"/>
      <c r="O27" s="18"/>
      <c r="P27" s="18" t="str">
        <f t="shared" si="3"/>
        <v/>
      </c>
    </row>
    <row r="28" spans="1:16">
      <c r="A28" s="18">
        <f t="shared" si="5"/>
        <v>27</v>
      </c>
      <c r="B28" s="19">
        <v>5</v>
      </c>
      <c r="C28" s="18" t="str" cm="1">
        <f t="array" ref="C28">GetValue("Tbl",B28,"Alias")</f>
        <v>Typ</v>
      </c>
      <c r="D28" s="18">
        <v>42</v>
      </c>
      <c r="E28" s="18" t="str" cm="1">
        <f t="array" ref="E28">GetValue("Dmn",D28,"Name")</f>
        <v>JS</v>
      </c>
      <c r="F28" s="18">
        <f t="shared" si="4"/>
        <v>25</v>
      </c>
      <c r="G28" s="18" t="s">
        <v>18</v>
      </c>
      <c r="H28" s="18" t="s">
        <v>597</v>
      </c>
      <c r="I28" s="18" t="s">
        <v>601</v>
      </c>
      <c r="J28" s="18" t="str">
        <f t="shared" si="1"/>
        <v/>
      </c>
      <c r="K28" s="18" t="str">
        <f t="shared" si="1"/>
        <v/>
      </c>
      <c r="L28" s="18" t="str">
        <f t="shared" si="2"/>
        <v/>
      </c>
      <c r="M28" s="18" t="str">
        <f t="shared" si="2"/>
        <v/>
      </c>
      <c r="N28" s="18"/>
      <c r="O28" s="18"/>
      <c r="P28" s="18" t="str">
        <f t="shared" si="3"/>
        <v/>
      </c>
    </row>
    <row r="29" spans="1:16">
      <c r="A29" s="18">
        <f t="shared" si="5"/>
        <v>28</v>
      </c>
      <c r="B29" s="19">
        <v>5</v>
      </c>
      <c r="C29" s="18" t="str" cm="1">
        <f t="array" ref="C29">GetValue("Tbl",B29,"Alias")</f>
        <v>Typ</v>
      </c>
      <c r="D29" s="18">
        <v>6</v>
      </c>
      <c r="E29" s="18" t="str" cm="1">
        <f t="array" ref="E29">GetValue("Dmn",D29,"Name")</f>
        <v>Boolean</v>
      </c>
      <c r="F29" s="18">
        <f t="shared" si="4"/>
        <v>30</v>
      </c>
      <c r="G29" s="18" t="s">
        <v>19</v>
      </c>
      <c r="H29" s="18" t="s">
        <v>598</v>
      </c>
      <c r="I29" s="18" t="s">
        <v>598</v>
      </c>
      <c r="J29" s="18" t="str">
        <f t="shared" si="1"/>
        <v/>
      </c>
      <c r="K29" s="18" t="str">
        <f t="shared" si="1"/>
        <v/>
      </c>
      <c r="L29" s="18" t="str">
        <f t="shared" si="2"/>
        <v/>
      </c>
      <c r="M29" s="18" t="str">
        <f t="shared" si="2"/>
        <v/>
      </c>
      <c r="N29" s="18"/>
      <c r="O29" s="18"/>
      <c r="P29" s="18" t="str">
        <f t="shared" si="3"/>
        <v/>
      </c>
    </row>
    <row r="30" spans="1:16">
      <c r="A30" s="18">
        <f t="shared" si="5"/>
        <v>29</v>
      </c>
      <c r="B30" s="19">
        <v>5</v>
      </c>
      <c r="C30" s="18" t="str" cm="1">
        <f t="array" ref="C30">GetValue("Tbl",B30,"Alias")</f>
        <v>Typ</v>
      </c>
      <c r="D30" s="18">
        <v>6</v>
      </c>
      <c r="E30" s="18" t="str" cm="1">
        <f t="array" ref="E30">GetValue("Dmn",D30,"Name")</f>
        <v>Boolean</v>
      </c>
      <c r="F30" s="18">
        <f t="shared" si="4"/>
        <v>35</v>
      </c>
      <c r="G30" s="18" t="s">
        <v>20</v>
      </c>
      <c r="H30" s="18" t="s">
        <v>599</v>
      </c>
      <c r="I30" s="18" t="s">
        <v>599</v>
      </c>
      <c r="J30" s="18" t="str">
        <f t="shared" si="1"/>
        <v/>
      </c>
      <c r="K30" s="18" t="str">
        <f t="shared" si="1"/>
        <v/>
      </c>
      <c r="L30" s="18" t="str">
        <f t="shared" si="2"/>
        <v/>
      </c>
      <c r="M30" s="18" t="str">
        <f t="shared" si="2"/>
        <v/>
      </c>
      <c r="N30" s="18"/>
      <c r="O30" s="18"/>
      <c r="P30" s="18" t="str">
        <f t="shared" si="3"/>
        <v/>
      </c>
    </row>
    <row r="31" spans="1:16">
      <c r="A31" s="18">
        <f t="shared" si="5"/>
        <v>30</v>
      </c>
      <c r="B31" s="19">
        <v>5</v>
      </c>
      <c r="C31" s="18" t="str" cm="1">
        <f t="array" ref="C31">GetValue("Tbl",B31,"Alias")</f>
        <v>Typ</v>
      </c>
      <c r="D31" s="18">
        <v>6</v>
      </c>
      <c r="E31" s="18" t="str" cm="1">
        <f t="array" ref="E31">GetValue("Dmn",D31,"Name")</f>
        <v>Boolean</v>
      </c>
      <c r="F31" s="18">
        <f t="shared" si="4"/>
        <v>40</v>
      </c>
      <c r="G31" s="18" t="s">
        <v>22</v>
      </c>
      <c r="H31" s="18" t="s">
        <v>600</v>
      </c>
      <c r="I31" s="18" t="s">
        <v>600</v>
      </c>
      <c r="J31" s="18" t="str">
        <f t="shared" si="1"/>
        <v/>
      </c>
      <c r="K31" s="18" t="str">
        <f t="shared" si="1"/>
        <v/>
      </c>
      <c r="L31" s="18" t="str">
        <f t="shared" si="2"/>
        <v/>
      </c>
      <c r="M31" s="18" t="str">
        <f t="shared" si="2"/>
        <v/>
      </c>
      <c r="N31" s="18"/>
      <c r="O31" s="18"/>
      <c r="P31" s="18" t="str">
        <f t="shared" si="3"/>
        <v/>
      </c>
    </row>
    <row r="32" spans="1:16">
      <c r="A32" s="18">
        <f>ROW(A32)-1</f>
        <v>31</v>
      </c>
      <c r="B32" s="19">
        <v>5</v>
      </c>
      <c r="C32" s="18" t="str" cm="1">
        <f t="array" ref="C32">GetValue("Tbl",B32,"Alias")</f>
        <v>Typ</v>
      </c>
      <c r="D32" s="18">
        <v>6</v>
      </c>
      <c r="E32" s="18" t="str" cm="1">
        <f t="array" ref="E32">GetValue("Dmn",D32,"Name")</f>
        <v>Boolean</v>
      </c>
      <c r="F32" s="18">
        <f t="shared" si="4"/>
        <v>45</v>
      </c>
      <c r="G32" s="18" t="s">
        <v>24</v>
      </c>
      <c r="H32" s="18" t="s">
        <v>609</v>
      </c>
      <c r="I32" s="18" t="s">
        <v>116</v>
      </c>
      <c r="J32" s="18" t="str">
        <f t="shared" si="1"/>
        <v/>
      </c>
      <c r="K32" s="18" t="str">
        <f t="shared" si="1"/>
        <v/>
      </c>
      <c r="L32" s="18" t="str">
        <f t="shared" si="2"/>
        <v/>
      </c>
      <c r="M32" s="18" t="str">
        <f t="shared" si="2"/>
        <v/>
      </c>
      <c r="N32" s="18"/>
      <c r="O32" s="18"/>
      <c r="P32" s="18" t="str">
        <f t="shared" si="3"/>
        <v/>
      </c>
    </row>
    <row r="33" spans="1:16">
      <c r="A33" s="20">
        <f t="shared" si="5"/>
        <v>32</v>
      </c>
      <c r="B33" s="21">
        <v>6</v>
      </c>
      <c r="C33" s="20" t="str" cm="1">
        <f t="array" ref="C33">GetValue("Tbl",B33,"Alias")</f>
        <v>EngTyp</v>
      </c>
      <c r="D33" s="20">
        <v>5</v>
      </c>
      <c r="E33" s="20" t="str" cm="1">
        <f t="array" ref="E33">GetValue("Dmn",D33,"Name")</f>
        <v>TinyInteger</v>
      </c>
      <c r="F33" s="20">
        <f>IF(G33="Id",5,F32+5)</f>
        <v>5</v>
      </c>
      <c r="G33" s="20" t="s">
        <v>0</v>
      </c>
      <c r="H33" s="20" t="s">
        <v>622</v>
      </c>
      <c r="I33" s="20" t="s">
        <v>0</v>
      </c>
      <c r="J33" s="20" t="b">
        <f t="shared" si="1"/>
        <v>1</v>
      </c>
      <c r="K33" s="20" t="b">
        <f t="shared" si="1"/>
        <v>1</v>
      </c>
      <c r="L33" s="20" t="b">
        <f t="shared" si="2"/>
        <v>0</v>
      </c>
      <c r="M33" s="20" t="b">
        <f t="shared" si="2"/>
        <v>0</v>
      </c>
      <c r="N33" s="20"/>
      <c r="O33" s="20"/>
      <c r="P33" s="20" t="b">
        <f t="shared" si="3"/>
        <v>0</v>
      </c>
    </row>
    <row r="34" spans="1:16">
      <c r="A34" s="20">
        <f t="shared" si="5"/>
        <v>33</v>
      </c>
      <c r="B34" s="21">
        <v>6</v>
      </c>
      <c r="C34" s="20" t="str" cm="1">
        <f t="array" ref="C34">GetValue("Tbl",B34,"Alias")</f>
        <v>EngTyp</v>
      </c>
      <c r="D34" s="20">
        <v>5</v>
      </c>
      <c r="E34" s="20" t="str" cm="1">
        <f t="array" ref="E34">GetValue("Dmn",D34,"Name")</f>
        <v>TinyInteger</v>
      </c>
      <c r="F34" s="20">
        <f t="shared" si="4"/>
        <v>10</v>
      </c>
      <c r="G34" s="20" t="s">
        <v>509</v>
      </c>
      <c r="H34" s="20" t="s">
        <v>465</v>
      </c>
      <c r="I34" s="20" t="s">
        <v>485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20">
        <f t="shared" si="5"/>
        <v>34</v>
      </c>
      <c r="B35" s="21">
        <v>6</v>
      </c>
      <c r="C35" s="20" t="str" cm="1">
        <f t="array" ref="C35">GetValue("Tbl",B35,"Alias")</f>
        <v>EngTyp</v>
      </c>
      <c r="D35" s="20">
        <v>5</v>
      </c>
      <c r="E35" s="20" t="str" cm="1">
        <f t="array" ref="E35">GetValue("Dmn",D35,"Name")</f>
        <v>TinyInteger</v>
      </c>
      <c r="F35" s="20">
        <f t="shared" si="4"/>
        <v>15</v>
      </c>
      <c r="G35" s="20" t="s">
        <v>53</v>
      </c>
      <c r="H35" s="20" t="s">
        <v>592</v>
      </c>
      <c r="I35" s="20" t="s">
        <v>103</v>
      </c>
      <c r="J35" s="20" t="str">
        <f t="shared" si="1"/>
        <v/>
      </c>
      <c r="K35" s="20" t="str">
        <f t="shared" si="1"/>
        <v/>
      </c>
      <c r="L35" s="20" t="str">
        <f t="shared" si="2"/>
        <v/>
      </c>
      <c r="M35" s="20" t="str">
        <f t="shared" si="2"/>
        <v/>
      </c>
      <c r="N35" s="20"/>
      <c r="O35" s="20"/>
      <c r="P35" s="20" t="str">
        <f t="shared" si="3"/>
        <v/>
      </c>
    </row>
    <row r="36" spans="1:16">
      <c r="A36" s="20">
        <f t="shared" si="5"/>
        <v>35</v>
      </c>
      <c r="B36" s="21">
        <v>6</v>
      </c>
      <c r="C36" s="20" t="str" cm="1">
        <f t="array" ref="C36">GetValue("Tbl",B36,"Alias")</f>
        <v>EngTyp</v>
      </c>
      <c r="D36" s="20">
        <v>55</v>
      </c>
      <c r="E36" s="20" t="str" cm="1">
        <f t="array" ref="E36">GetValue("Dmn",D36,"Name")</f>
        <v>Name</v>
      </c>
      <c r="F36" s="20">
        <f t="shared" si="4"/>
        <v>20</v>
      </c>
      <c r="G36" s="20" t="s">
        <v>1</v>
      </c>
      <c r="H36" s="20" t="s">
        <v>623</v>
      </c>
      <c r="I36" s="20" t="s">
        <v>101</v>
      </c>
      <c r="J36" s="20" t="str">
        <f t="shared" si="1"/>
        <v/>
      </c>
      <c r="K36" s="20" t="str">
        <f t="shared" si="1"/>
        <v/>
      </c>
      <c r="L36" s="20" t="str">
        <f t="shared" si="2"/>
        <v/>
      </c>
      <c r="M36" s="20" t="str">
        <f t="shared" si="2"/>
        <v/>
      </c>
      <c r="N36" s="20"/>
      <c r="O36" s="20"/>
      <c r="P36" s="20" t="str">
        <f t="shared" si="3"/>
        <v/>
      </c>
    </row>
    <row r="37" spans="1:16">
      <c r="A37" s="18">
        <f t="shared" si="5"/>
        <v>36</v>
      </c>
      <c r="B37" s="19">
        <v>7</v>
      </c>
      <c r="C37" s="18" t="str" cm="1">
        <f t="array" ref="C37">GetValue("Tbl",B37,"Alias")</f>
        <v>Cli</v>
      </c>
      <c r="D37" s="18">
        <v>5</v>
      </c>
      <c r="E37" s="18" t="str" cm="1">
        <f t="array" ref="E37">GetValue("Dmn",D37,"Name")</f>
        <v>TinyInteger</v>
      </c>
      <c r="F37" s="18">
        <f>IF(G37="Id",5,F36+5)</f>
        <v>5</v>
      </c>
      <c r="G37" s="18" t="s">
        <v>0</v>
      </c>
      <c r="H37" s="18" t="s">
        <v>602</v>
      </c>
      <c r="I37" s="18" t="s">
        <v>0</v>
      </c>
      <c r="J37" s="18" t="b">
        <f t="shared" si="1"/>
        <v>1</v>
      </c>
      <c r="K37" s="18" t="b">
        <f t="shared" si="1"/>
        <v>1</v>
      </c>
      <c r="L37" s="18" t="b">
        <f t="shared" si="2"/>
        <v>0</v>
      </c>
      <c r="M37" s="18" t="b">
        <f t="shared" si="2"/>
        <v>0</v>
      </c>
      <c r="N37" s="18"/>
      <c r="O37" s="18"/>
      <c r="P37" s="18" t="b">
        <f t="shared" si="3"/>
        <v>0</v>
      </c>
    </row>
    <row r="38" spans="1:16">
      <c r="A38" s="18">
        <f t="shared" si="5"/>
        <v>37</v>
      </c>
      <c r="B38" s="19">
        <v>7</v>
      </c>
      <c r="C38" s="18" t="str" cm="1">
        <f t="array" ref="C38">GetValue("Tbl",B38,"Alias")</f>
        <v>Cli</v>
      </c>
      <c r="D38" s="18">
        <v>58</v>
      </c>
      <c r="E38" s="18" t="str" cm="1">
        <f t="array" ref="E38">GetValue("Dmn",D38,"Name")</f>
        <v>Edit Mask</v>
      </c>
      <c r="F38" s="18">
        <f t="shared" si="4"/>
        <v>10</v>
      </c>
      <c r="G38" s="18" t="s">
        <v>1</v>
      </c>
      <c r="H38" s="18" t="s">
        <v>603</v>
      </c>
      <c r="I38" s="18" t="s">
        <v>101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7</v>
      </c>
      <c r="C39" s="18" t="str" cm="1">
        <f t="array" ref="C39">GetValue("Tbl",B39,"Alias")</f>
        <v>Cli</v>
      </c>
      <c r="D39" s="18">
        <v>55</v>
      </c>
      <c r="E39" s="18" t="str" cm="1">
        <f t="array" ref="E39">GetValue("Dmn",D39,"Name")</f>
        <v>Name</v>
      </c>
      <c r="F39" s="18">
        <f t="shared" si="4"/>
        <v>15</v>
      </c>
      <c r="G39" s="18" t="s">
        <v>275</v>
      </c>
      <c r="H39" s="18" t="s">
        <v>606</v>
      </c>
      <c r="I39" s="18" t="s">
        <v>607</v>
      </c>
      <c r="J39" s="18" t="str">
        <f t="shared" ref="J39:K70" si="10">IF($G39="Id",TRUE,"")</f>
        <v/>
      </c>
      <c r="K39" s="18" t="str">
        <f t="shared" si="10"/>
        <v/>
      </c>
      <c r="L39" s="18" t="str">
        <f t="shared" ref="L39:M70" si="11">IF($G39="Id",FALSE,"")</f>
        <v/>
      </c>
      <c r="M39" s="18" t="str">
        <f t="shared" si="11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7</v>
      </c>
      <c r="C40" s="18" t="str" cm="1">
        <f t="array" ref="C40">GetValue("Tbl",B40,"Alias")</f>
        <v>Cli</v>
      </c>
      <c r="D40" s="18">
        <v>6</v>
      </c>
      <c r="E40" s="18" t="str" cm="1">
        <f t="array" ref="E40">GetValue("Dmn",D40,"Name")</f>
        <v>Boolean</v>
      </c>
      <c r="F40" s="18">
        <f t="shared" si="4"/>
        <v>20</v>
      </c>
      <c r="G40" s="18" t="s">
        <v>24</v>
      </c>
      <c r="H40" s="18" t="s">
        <v>608</v>
      </c>
      <c r="I40" s="18" t="s">
        <v>116</v>
      </c>
      <c r="J40" s="18" t="str">
        <f t="shared" si="10"/>
        <v/>
      </c>
      <c r="K40" s="18" t="str">
        <f t="shared" si="10"/>
        <v/>
      </c>
      <c r="L40" s="18" t="str">
        <f t="shared" si="11"/>
        <v/>
      </c>
      <c r="M40" s="18" t="str">
        <f t="shared" si="11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8</v>
      </c>
      <c r="C41" s="20" t="str" cm="1">
        <f t="array" ref="C41">GetValue("Tbl",B41,"Alias")</f>
        <v>Dmn</v>
      </c>
      <c r="D41" s="20">
        <v>4</v>
      </c>
      <c r="E41" s="20" t="str" cm="1">
        <f t="array" ref="E41">GetValue("Dmn",D41,"Name")</f>
        <v>SmallInteger</v>
      </c>
      <c r="F41" s="20">
        <f t="shared" si="4"/>
        <v>5</v>
      </c>
      <c r="G41" s="20" t="s">
        <v>0</v>
      </c>
      <c r="H41" s="20" t="s">
        <v>610</v>
      </c>
      <c r="I41" s="20" t="s">
        <v>0</v>
      </c>
      <c r="J41" s="20" t="b">
        <f t="shared" si="10"/>
        <v>1</v>
      </c>
      <c r="K41" s="20" t="b">
        <f t="shared" si="10"/>
        <v>1</v>
      </c>
      <c r="L41" s="20" t="b">
        <f t="shared" si="11"/>
        <v>0</v>
      </c>
      <c r="M41" s="20" t="b">
        <f t="shared" si="11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8</v>
      </c>
      <c r="C42" s="20" t="str" cm="1">
        <f t="array" ref="C42">GetValue("Tbl",B42,"Alias")</f>
        <v>Dmn</v>
      </c>
      <c r="D42" s="20">
        <v>5</v>
      </c>
      <c r="E42" s="20" t="str" cm="1">
        <f t="array" ref="E42">GetValue("Dmn",D42,"Name")</f>
        <v>TinyInteger</v>
      </c>
      <c r="F42" s="20">
        <f t="shared" si="4"/>
        <v>10</v>
      </c>
      <c r="G42" s="20" t="s">
        <v>53</v>
      </c>
      <c r="H42" s="20" t="s">
        <v>611</v>
      </c>
      <c r="I42" s="20" t="s">
        <v>103</v>
      </c>
      <c r="J42" s="20" t="str">
        <f t="shared" si="10"/>
        <v/>
      </c>
      <c r="K42" s="20" t="str">
        <f t="shared" si="10"/>
        <v/>
      </c>
      <c r="L42" s="20" t="str">
        <f t="shared" si="11"/>
        <v/>
      </c>
      <c r="M42" s="20" t="str">
        <f t="shared" si="11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8</v>
      </c>
      <c r="C43" s="20" t="str" cm="1">
        <f t="array" ref="C43">GetValue("Tbl",B43,"Alias")</f>
        <v>Dmn</v>
      </c>
      <c r="D43" s="20">
        <v>58</v>
      </c>
      <c r="E43" s="20" t="str" cm="1">
        <f t="array" ref="E43">GetValue("Dmn",D43,"Name")</f>
        <v>Edit Mask</v>
      </c>
      <c r="F43" s="20">
        <f t="shared" si="4"/>
        <v>15</v>
      </c>
      <c r="G43" s="20" t="s">
        <v>1</v>
      </c>
      <c r="H43" s="20" t="s">
        <v>104</v>
      </c>
      <c r="I43" s="20" t="s">
        <v>101</v>
      </c>
      <c r="J43" s="20" t="str">
        <f t="shared" si="10"/>
        <v/>
      </c>
      <c r="K43" s="20" t="str">
        <f t="shared" si="10"/>
        <v/>
      </c>
      <c r="L43" s="20" t="str">
        <f t="shared" si="11"/>
        <v/>
      </c>
      <c r="M43" s="20" t="str">
        <f t="shared" si="11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8</v>
      </c>
      <c r="C44" s="20" t="str" cm="1">
        <f t="array" ref="C44">GetValue("Tbl",B44,"Alias")</f>
        <v>Dmn</v>
      </c>
      <c r="D44" s="20">
        <v>4</v>
      </c>
      <c r="E44" s="20" t="str" cm="1">
        <f t="array" ref="E44">GetValue("Dmn",D44,"Name")</f>
        <v>SmallInteger</v>
      </c>
      <c r="F44" s="20">
        <f t="shared" si="4"/>
        <v>20</v>
      </c>
      <c r="G44" s="20" t="s">
        <v>55</v>
      </c>
      <c r="H44" s="20" t="s">
        <v>105</v>
      </c>
      <c r="I44" s="20" t="s">
        <v>106</v>
      </c>
      <c r="J44" s="20" t="str">
        <f t="shared" si="10"/>
        <v/>
      </c>
      <c r="K44" s="20" t="str">
        <f t="shared" si="10"/>
        <v/>
      </c>
      <c r="L44" s="20" t="str">
        <f t="shared" si="11"/>
        <v/>
      </c>
      <c r="M44" s="20" t="str">
        <f t="shared" si="11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8</v>
      </c>
      <c r="C45" s="20" t="str" cm="1">
        <f t="array" ref="C45">GetValue("Tbl",B45,"Alias")</f>
        <v>Dmn</v>
      </c>
      <c r="D45" s="20">
        <v>5</v>
      </c>
      <c r="E45" s="20" t="str" cm="1">
        <f t="array" ref="E45">GetValue("Dmn",D45,"Name")</f>
        <v>TinyInteger</v>
      </c>
      <c r="F45" s="20">
        <f t="shared" si="4"/>
        <v>25</v>
      </c>
      <c r="G45" s="20" t="s">
        <v>56</v>
      </c>
      <c r="H45" s="20" t="s">
        <v>107</v>
      </c>
      <c r="I45" s="20" t="s">
        <v>108</v>
      </c>
      <c r="J45" s="20" t="str">
        <f t="shared" si="10"/>
        <v/>
      </c>
      <c r="K45" s="20" t="str">
        <f t="shared" si="10"/>
        <v/>
      </c>
      <c r="L45" s="20" t="str">
        <f t="shared" si="11"/>
        <v/>
      </c>
      <c r="M45" s="20" t="str">
        <f t="shared" si="11"/>
        <v/>
      </c>
      <c r="N45" s="20"/>
      <c r="O45" s="20"/>
      <c r="P45" s="20" t="str">
        <f t="shared" si="3"/>
        <v/>
      </c>
    </row>
    <row r="46" spans="1:16">
      <c r="A46" s="20">
        <f t="shared" si="5"/>
        <v>45</v>
      </c>
      <c r="B46" s="21">
        <v>8</v>
      </c>
      <c r="C46" s="20" t="str" cm="1">
        <f t="array" ref="C46">GetValue("Tbl",B46,"Alias")</f>
        <v>Dmn</v>
      </c>
      <c r="D46" s="20">
        <v>60</v>
      </c>
      <c r="E46" s="20" t="e" cm="1">
        <f t="array" ref="E46">GetValue("Dmn",D46,"Name")</f>
        <v>#VALUE!</v>
      </c>
      <c r="F46" s="20">
        <f t="shared" si="4"/>
        <v>30</v>
      </c>
      <c r="G46" s="20" t="s">
        <v>145</v>
      </c>
      <c r="H46" s="20" t="s">
        <v>612</v>
      </c>
      <c r="I46" s="20" t="s">
        <v>144</v>
      </c>
      <c r="J46" s="20" t="str">
        <f t="shared" si="10"/>
        <v/>
      </c>
      <c r="K46" s="20" t="str">
        <f t="shared" si="10"/>
        <v/>
      </c>
      <c r="L46" s="20" t="str">
        <f t="shared" si="11"/>
        <v/>
      </c>
      <c r="M46" s="20" t="str">
        <f t="shared" si="11"/>
        <v/>
      </c>
      <c r="N46" s="20"/>
      <c r="O46" s="20"/>
      <c r="P46" s="20" t="str">
        <f t="shared" si="3"/>
        <v/>
      </c>
    </row>
    <row r="47" spans="1:16">
      <c r="A47" s="20">
        <f t="shared" si="5"/>
        <v>46</v>
      </c>
      <c r="B47" s="21">
        <v>8</v>
      </c>
      <c r="C47" s="20" t="str" cm="1">
        <f t="array" ref="C47">GetValue("Tbl",B47,"Alias")</f>
        <v>Dmn</v>
      </c>
      <c r="D47" s="20">
        <v>60</v>
      </c>
      <c r="E47" s="20" t="e" cm="1">
        <f t="array" ref="E47">GetValue("Dmn",D47,"Name")</f>
        <v>#VALUE!</v>
      </c>
      <c r="F47" s="20">
        <f t="shared" si="4"/>
        <v>35</v>
      </c>
      <c r="G47" s="20" t="s">
        <v>574</v>
      </c>
      <c r="H47" s="20" t="s">
        <v>613</v>
      </c>
      <c r="I47" s="20" t="s">
        <v>614</v>
      </c>
      <c r="J47" s="20" t="str">
        <f t="shared" si="10"/>
        <v/>
      </c>
      <c r="K47" s="20" t="str">
        <f t="shared" si="10"/>
        <v/>
      </c>
      <c r="L47" s="20" t="str">
        <f t="shared" si="11"/>
        <v/>
      </c>
      <c r="M47" s="20" t="str">
        <f t="shared" si="11"/>
        <v/>
      </c>
      <c r="N47" s="20"/>
      <c r="O47" s="20"/>
      <c r="P47" s="20" t="str">
        <f t="shared" si="3"/>
        <v/>
      </c>
    </row>
    <row r="48" spans="1:16">
      <c r="A48" s="20">
        <f t="shared" si="5"/>
        <v>47</v>
      </c>
      <c r="B48" s="21">
        <v>8</v>
      </c>
      <c r="C48" s="20" t="str" cm="1">
        <f t="array" ref="C48">GetValue("Tbl",B48,"Alias")</f>
        <v>Dmn</v>
      </c>
      <c r="D48" s="20">
        <v>60</v>
      </c>
      <c r="E48" s="20" t="e" cm="1">
        <f t="array" ref="E48">GetValue("Dmn",D48,"Name")</f>
        <v>#VALUE!</v>
      </c>
      <c r="F48" s="20">
        <f t="shared" si="4"/>
        <v>40</v>
      </c>
      <c r="G48" s="20" t="s">
        <v>548</v>
      </c>
      <c r="H48" s="20" t="s">
        <v>615</v>
      </c>
      <c r="I48" s="20" t="s">
        <v>616</v>
      </c>
      <c r="J48" s="20" t="str">
        <f t="shared" si="10"/>
        <v/>
      </c>
      <c r="K48" s="20" t="str">
        <f t="shared" si="10"/>
        <v/>
      </c>
      <c r="L48" s="20" t="str">
        <f t="shared" si="11"/>
        <v/>
      </c>
      <c r="M48" s="20" t="str">
        <f t="shared" si="11"/>
        <v/>
      </c>
      <c r="N48" s="20"/>
      <c r="O48" s="20"/>
      <c r="P48" s="20" t="str">
        <f t="shared" si="3"/>
        <v/>
      </c>
    </row>
    <row r="49" spans="1:16">
      <c r="A49" s="20">
        <f>ROW(A49)-1</f>
        <v>48</v>
      </c>
      <c r="B49" s="21">
        <v>8</v>
      </c>
      <c r="C49" s="20" t="str" cm="1">
        <f t="array" ref="C49">GetValue("Tbl",B49,"Alias")</f>
        <v>Dmn</v>
      </c>
      <c r="D49" s="20">
        <v>42</v>
      </c>
      <c r="E49" s="20" t="str" cm="1">
        <f t="array" ref="E49">GetValue("Dmn",D49,"Name")</f>
        <v>JS</v>
      </c>
      <c r="F49" s="20">
        <f t="shared" si="4"/>
        <v>45</v>
      </c>
      <c r="G49" s="20" t="s">
        <v>57</v>
      </c>
      <c r="H49" s="20" t="s">
        <v>111</v>
      </c>
      <c r="I49" s="20" t="s">
        <v>617</v>
      </c>
      <c r="J49" s="20" t="str">
        <f t="shared" si="10"/>
        <v/>
      </c>
      <c r="K49" s="20" t="str">
        <f t="shared" si="10"/>
        <v/>
      </c>
      <c r="L49" s="20" t="str">
        <f t="shared" si="11"/>
        <v/>
      </c>
      <c r="M49" s="20" t="str">
        <f t="shared" si="11"/>
        <v/>
      </c>
      <c r="N49" s="20"/>
      <c r="O49" s="20"/>
      <c r="P49" s="20" t="str">
        <f t="shared" si="3"/>
        <v/>
      </c>
    </row>
    <row r="50" spans="1:16">
      <c r="A50" s="20">
        <f>ROW(A50)-1</f>
        <v>49</v>
      </c>
      <c r="B50" s="21">
        <v>8</v>
      </c>
      <c r="C50" s="20" t="str" cm="1">
        <f t="array" ref="C50">GetValue("Tbl",B50,"Alias")</f>
        <v>Dmn</v>
      </c>
      <c r="D50" s="20">
        <v>42</v>
      </c>
      <c r="E50" s="20" t="str" cm="1">
        <f t="array" ref="E50">GetValue("Dmn",D50,"Name")</f>
        <v>JS</v>
      </c>
      <c r="F50" s="20">
        <f t="shared" si="4"/>
        <v>50</v>
      </c>
      <c r="G50" s="20" t="s">
        <v>17</v>
      </c>
      <c r="H50" s="20" t="s">
        <v>109</v>
      </c>
      <c r="I50" s="20" t="s">
        <v>596</v>
      </c>
      <c r="J50" s="20" t="str">
        <f t="shared" si="10"/>
        <v/>
      </c>
      <c r="K50" s="20" t="str">
        <f t="shared" si="10"/>
        <v/>
      </c>
      <c r="L50" s="20" t="str">
        <f t="shared" si="11"/>
        <v/>
      </c>
      <c r="M50" s="20" t="str">
        <f t="shared" si="11"/>
        <v/>
      </c>
      <c r="N50" s="20"/>
      <c r="O50" s="20"/>
      <c r="P50" s="20" t="str">
        <f t="shared" si="3"/>
        <v/>
      </c>
    </row>
    <row r="51" spans="1:16">
      <c r="A51" s="20">
        <f>ROW(A51)-1</f>
        <v>50</v>
      </c>
      <c r="B51" s="21">
        <v>8</v>
      </c>
      <c r="C51" s="20" t="str" cm="1">
        <f t="array" ref="C51">GetValue("Tbl",B51,"Alias")</f>
        <v>Dmn</v>
      </c>
      <c r="D51" s="20">
        <v>42</v>
      </c>
      <c r="E51" s="20" t="str" cm="1">
        <f t="array" ref="E51">GetValue("Dmn",D51,"Name")</f>
        <v>JS</v>
      </c>
      <c r="F51" s="20">
        <f t="shared" si="4"/>
        <v>55</v>
      </c>
      <c r="G51" s="20" t="s">
        <v>18</v>
      </c>
      <c r="H51" s="20" t="s">
        <v>110</v>
      </c>
      <c r="I51" s="20" t="s">
        <v>601</v>
      </c>
      <c r="J51" s="20" t="str">
        <f t="shared" si="10"/>
        <v/>
      </c>
      <c r="K51" s="20" t="str">
        <f t="shared" si="10"/>
        <v/>
      </c>
      <c r="L51" s="20" t="str">
        <f t="shared" si="11"/>
        <v/>
      </c>
      <c r="M51" s="20" t="str">
        <f t="shared" si="11"/>
        <v/>
      </c>
      <c r="N51" s="20"/>
      <c r="O51" s="20"/>
      <c r="P51" s="20" t="str">
        <f t="shared" si="3"/>
        <v/>
      </c>
    </row>
    <row r="52" spans="1:16">
      <c r="A52" s="18">
        <f t="shared" si="5"/>
        <v>51</v>
      </c>
      <c r="B52" s="19">
        <v>9</v>
      </c>
      <c r="C52" s="18" t="str" cm="1">
        <f t="array" ref="C52">GetValue("Tbl",B52,"Alias")</f>
        <v>Msk</v>
      </c>
      <c r="D52" s="18">
        <v>61</v>
      </c>
      <c r="E52" s="18" t="e" cm="1">
        <f t="array" ref="E52">GetValue("Dmn",D52,"Name")</f>
        <v>#VALUE!</v>
      </c>
      <c r="F52" s="18">
        <f t="shared" si="4"/>
        <v>5</v>
      </c>
      <c r="G52" s="18" t="s">
        <v>0</v>
      </c>
      <c r="H52" s="18" t="s">
        <v>618</v>
      </c>
      <c r="I52" s="18" t="s">
        <v>0</v>
      </c>
      <c r="J52" s="18" t="b">
        <f t="shared" si="10"/>
        <v>1</v>
      </c>
      <c r="K52" s="18" t="b">
        <f t="shared" si="10"/>
        <v>1</v>
      </c>
      <c r="L52" s="18" t="b">
        <f t="shared" si="11"/>
        <v>0</v>
      </c>
      <c r="M52" s="18" t="b">
        <f t="shared" si="11"/>
        <v>0</v>
      </c>
      <c r="N52" s="18"/>
      <c r="O52" s="18"/>
      <c r="P52" s="18" t="b">
        <f t="shared" si="3"/>
        <v>0</v>
      </c>
    </row>
    <row r="53" spans="1:16">
      <c r="A53" s="18">
        <f t="shared" si="5"/>
        <v>52</v>
      </c>
      <c r="B53" s="19">
        <v>9</v>
      </c>
      <c r="C53" s="18" t="str" cm="1">
        <f t="array" ref="C53">GetValue("Tbl",B53,"Alias")</f>
        <v>Msk</v>
      </c>
      <c r="D53" s="18">
        <v>58</v>
      </c>
      <c r="E53" s="18" t="str" cm="1">
        <f t="array" ref="E53">GetValue("Dmn",D53,"Name")</f>
        <v>Edit Mask</v>
      </c>
      <c r="F53" s="18">
        <f t="shared" si="4"/>
        <v>10</v>
      </c>
      <c r="G53" s="18" t="s">
        <v>1</v>
      </c>
      <c r="H53" s="18" t="s">
        <v>619</v>
      </c>
      <c r="I53" s="18" t="s">
        <v>101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 t="shared" si="5"/>
        <v>53</v>
      </c>
      <c r="B54" s="19">
        <v>9</v>
      </c>
      <c r="C54" s="18" t="str" cm="1">
        <f t="array" ref="C54">GetValue("Tbl",B54,"Alias")</f>
        <v>Msk</v>
      </c>
      <c r="D54" s="18">
        <v>61</v>
      </c>
      <c r="E54" s="18" t="e" cm="1">
        <f t="array" ref="E54">GetValue("Dmn",D54,"Name")</f>
        <v>#VALUE!</v>
      </c>
      <c r="F54" s="18">
        <f t="shared" si="4"/>
        <v>15</v>
      </c>
      <c r="G54" s="18" t="s">
        <v>570</v>
      </c>
      <c r="H54" s="18" t="s">
        <v>112</v>
      </c>
      <c r="I54" s="18" t="s">
        <v>112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 t="shared" si="5"/>
        <v>54</v>
      </c>
      <c r="B55" s="19">
        <v>9</v>
      </c>
      <c r="C55" s="18" t="str" cm="1">
        <f t="array" ref="C55">GetValue("Tbl",B55,"Alias")</f>
        <v>Msk</v>
      </c>
      <c r="D55" s="18">
        <v>61</v>
      </c>
      <c r="E55" s="18" t="e" cm="1">
        <f t="array" ref="E55">GetValue("Dmn",D55,"Name")</f>
        <v>#VALUE!</v>
      </c>
      <c r="F55" s="18">
        <f t="shared" si="4"/>
        <v>20</v>
      </c>
      <c r="G55" s="18" t="s">
        <v>563</v>
      </c>
      <c r="H55" s="18" t="s">
        <v>620</v>
      </c>
      <c r="I55" s="18" t="s">
        <v>620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 t="shared" si="5"/>
        <v>55</v>
      </c>
      <c r="B56" s="19">
        <v>9</v>
      </c>
      <c r="C56" s="18" t="str" cm="1">
        <f t="array" ref="C56">GetValue("Tbl",B56,"Alias")</f>
        <v>Msk</v>
      </c>
      <c r="D56" s="18">
        <v>6</v>
      </c>
      <c r="E56" s="18" t="str" cm="1">
        <f t="array" ref="E56">GetValue("Dmn",D56,"Name")</f>
        <v>Boolean</v>
      </c>
      <c r="F56" s="18">
        <f t="shared" si="4"/>
        <v>25</v>
      </c>
      <c r="G56" s="18" t="s">
        <v>24</v>
      </c>
      <c r="H56" s="18" t="s">
        <v>116</v>
      </c>
      <c r="I56" s="18" t="s">
        <v>116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20">
        <f t="shared" si="5"/>
        <v>56</v>
      </c>
      <c r="B57" s="21">
        <v>10</v>
      </c>
      <c r="C57" s="20" t="str" cm="1">
        <f t="array" ref="C57">GetValue("Tbl",B57,"Alias")</f>
        <v>DmnMsk</v>
      </c>
      <c r="D57" s="20">
        <v>61</v>
      </c>
      <c r="E57" s="20" t="e" cm="1">
        <f t="array" ref="E57">GetValue("Dmn",D57,"Name")</f>
        <v>#VALUE!</v>
      </c>
      <c r="F57" s="20">
        <f t="shared" si="4"/>
        <v>5</v>
      </c>
      <c r="G57" s="20" t="s">
        <v>0</v>
      </c>
      <c r="H57" s="20" t="s">
        <v>624</v>
      </c>
      <c r="I57" s="20" t="s">
        <v>0</v>
      </c>
      <c r="J57" s="20" t="b">
        <f t="shared" si="10"/>
        <v>1</v>
      </c>
      <c r="K57" s="20" t="b">
        <f t="shared" si="10"/>
        <v>1</v>
      </c>
      <c r="L57" s="20" t="b">
        <f t="shared" si="11"/>
        <v>0</v>
      </c>
      <c r="M57" s="20" t="b">
        <f t="shared" si="11"/>
        <v>0</v>
      </c>
      <c r="N57" s="20"/>
      <c r="O57" s="20"/>
      <c r="P57" s="20" t="b">
        <f t="shared" si="3"/>
        <v>0</v>
      </c>
    </row>
    <row r="58" spans="1:16">
      <c r="A58" s="20">
        <f t="shared" si="5"/>
        <v>57</v>
      </c>
      <c r="B58" s="21">
        <v>10</v>
      </c>
      <c r="C58" s="20" t="str" cm="1">
        <f t="array" ref="C58">GetValue("Tbl",B58,"Alias")</f>
        <v>DmnMsk</v>
      </c>
      <c r="D58" s="20">
        <v>1</v>
      </c>
      <c r="E58" s="20" t="str" cm="1">
        <f t="array" ref="E58">GetValue("Dmn",D58,"Name")</f>
        <v>BigInteger</v>
      </c>
      <c r="F58" s="20">
        <f t="shared" si="4"/>
        <v>10</v>
      </c>
      <c r="G58" s="20" t="s">
        <v>100</v>
      </c>
      <c r="H58" s="20" t="s">
        <v>621</v>
      </c>
      <c r="I58" s="20" t="s">
        <v>122</v>
      </c>
      <c r="J58" s="20" t="str">
        <f t="shared" si="10"/>
        <v/>
      </c>
      <c r="K58" s="20" t="str">
        <f t="shared" si="10"/>
        <v/>
      </c>
      <c r="L58" s="20" t="str">
        <f t="shared" si="11"/>
        <v/>
      </c>
      <c r="M58" s="20" t="str">
        <f t="shared" si="11"/>
        <v/>
      </c>
      <c r="N58" s="20"/>
      <c r="O58" s="20"/>
      <c r="P58" s="20" t="str">
        <f t="shared" si="3"/>
        <v/>
      </c>
    </row>
    <row r="59" spans="1:16">
      <c r="A59" s="20">
        <f t="shared" si="5"/>
        <v>58</v>
      </c>
      <c r="B59" s="21">
        <v>10</v>
      </c>
      <c r="C59" s="20" t="str" cm="1">
        <f t="array" ref="C59">GetValue("Tbl",B59,"Alias")</f>
        <v>DmnMsk</v>
      </c>
      <c r="D59" s="20">
        <v>1</v>
      </c>
      <c r="E59" s="20" t="str" cm="1">
        <f t="array" ref="E59">GetValue("Dmn",D59,"Name")</f>
        <v>BigInteger</v>
      </c>
      <c r="F59" s="20">
        <f t="shared" si="4"/>
        <v>15</v>
      </c>
      <c r="G59" s="20" t="s">
        <v>54</v>
      </c>
      <c r="H59" s="20" t="s">
        <v>618</v>
      </c>
      <c r="I59" s="20" t="s">
        <v>112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10</v>
      </c>
      <c r="C60" s="20" t="str" cm="1">
        <f t="array" ref="C60">GetValue("Tbl",B60,"Alias")</f>
        <v>DmnMsk</v>
      </c>
      <c r="D60" s="20">
        <v>5</v>
      </c>
      <c r="E60" s="20" t="str" cm="1">
        <f t="array" ref="E60">GetValue("Dmn",D60,"Name")</f>
        <v>TinyInteger</v>
      </c>
      <c r="F60" s="20">
        <f t="shared" si="4"/>
        <v>20</v>
      </c>
      <c r="G60" s="20" t="s">
        <v>482</v>
      </c>
      <c r="H60" s="20" t="s">
        <v>625</v>
      </c>
      <c r="I60" s="20" t="s">
        <v>629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10</v>
      </c>
      <c r="C61" s="20" t="str" cm="1">
        <f t="array" ref="C61">GetValue("Tbl",B61,"Alias")</f>
        <v>DmnMsk</v>
      </c>
      <c r="D61" s="20">
        <v>60</v>
      </c>
      <c r="E61" s="20" t="e" cm="1">
        <f t="array" ref="E61">GetValue("Dmn",D61,"Name")</f>
        <v>#VALUE!</v>
      </c>
      <c r="F61" s="20">
        <f t="shared" si="4"/>
        <v>25</v>
      </c>
      <c r="G61" s="20" t="s">
        <v>483</v>
      </c>
      <c r="H61" s="20" t="s">
        <v>626</v>
      </c>
      <c r="I61" s="20" t="s">
        <v>628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10</v>
      </c>
      <c r="C62" s="20" t="str" cm="1">
        <f t="array" ref="C62">GetValue("Tbl",B62,"Alias")</f>
        <v>DmnMsk</v>
      </c>
      <c r="D62" s="20">
        <v>56</v>
      </c>
      <c r="E62" s="20" t="str" cm="1">
        <f t="array" ref="E62">GetValue("Dmn",D62,"Name")</f>
        <v>Description</v>
      </c>
      <c r="F62" s="20">
        <f t="shared" si="4"/>
        <v>30</v>
      </c>
      <c r="G62" s="20" t="s">
        <v>484</v>
      </c>
      <c r="H62" s="20" t="s">
        <v>627</v>
      </c>
      <c r="I62" s="20" t="s">
        <v>634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18">
        <f t="shared" si="5"/>
        <v>62</v>
      </c>
      <c r="B63" s="19">
        <v>11</v>
      </c>
      <c r="C63" s="18" t="str" cm="1">
        <f t="array" ref="C63">GetValue("Tbl",B63,"Alias")</f>
        <v>Db</v>
      </c>
      <c r="D63" s="18">
        <v>61</v>
      </c>
      <c r="E63" s="18" t="e" cm="1">
        <f t="array" ref="E63">GetValue("Dmn",D63,"Name")</f>
        <v>#VALUE!</v>
      </c>
      <c r="F63" s="18">
        <f t="shared" si="4"/>
        <v>5</v>
      </c>
      <c r="G63" s="18" t="s">
        <v>0</v>
      </c>
      <c r="H63" s="18" t="s">
        <v>630</v>
      </c>
      <c r="I63" s="18" t="s">
        <v>0</v>
      </c>
      <c r="J63" s="18" t="b">
        <f t="shared" si="10"/>
        <v>1</v>
      </c>
      <c r="K63" s="18" t="b">
        <f t="shared" si="10"/>
        <v>1</v>
      </c>
      <c r="L63" s="18" t="b">
        <f t="shared" si="11"/>
        <v>0</v>
      </c>
      <c r="M63" s="18" t="b">
        <f t="shared" si="11"/>
        <v>0</v>
      </c>
      <c r="N63" s="18"/>
      <c r="O63" s="18"/>
      <c r="P63" s="18" t="b">
        <f t="shared" si="3"/>
        <v>0</v>
      </c>
    </row>
    <row r="64" spans="1:16">
      <c r="A64" s="18">
        <f>ROW(A64)-1</f>
        <v>63</v>
      </c>
      <c r="B64" s="19">
        <v>11</v>
      </c>
      <c r="C64" s="18" t="str" cm="1">
        <f t="array" ref="C64">GetValue("Tbl",B64,"Alias")</f>
        <v>Db</v>
      </c>
      <c r="D64" s="18">
        <v>4</v>
      </c>
      <c r="E64" s="18" t="str" cm="1">
        <f t="array" ref="E64">GetValue("Dmn",D64,"Name")</f>
        <v>SmallInteger</v>
      </c>
      <c r="F64" s="18">
        <f t="shared" si="4"/>
        <v>10</v>
      </c>
      <c r="G64" s="18" t="s">
        <v>463</v>
      </c>
      <c r="H64" s="18" t="s">
        <v>632</v>
      </c>
      <c r="I64" s="18" t="s">
        <v>633</v>
      </c>
      <c r="J64" s="18" t="str">
        <f t="shared" si="10"/>
        <v/>
      </c>
      <c r="K64" s="18" t="str">
        <f t="shared" si="10"/>
        <v/>
      </c>
      <c r="L64" s="18" t="str">
        <f t="shared" si="11"/>
        <v/>
      </c>
      <c r="M64" s="18" t="str">
        <f t="shared" si="11"/>
        <v/>
      </c>
      <c r="N64" s="18"/>
      <c r="O64" s="18"/>
      <c r="P64" s="18" t="str">
        <f t="shared" si="3"/>
        <v/>
      </c>
    </row>
    <row r="65" spans="1:16">
      <c r="A65" s="18">
        <f t="shared" si="5"/>
        <v>64</v>
      </c>
      <c r="B65" s="19">
        <v>11</v>
      </c>
      <c r="C65" s="18" t="str" cm="1">
        <f t="array" ref="C65">GetValue("Tbl",B65,"Alias")</f>
        <v>Db</v>
      </c>
      <c r="D65" s="18">
        <v>57</v>
      </c>
      <c r="E65" s="18" t="str" cm="1">
        <f t="array" ref="E65">GetValue("Dmn",D65,"Name")</f>
        <v>Value List</v>
      </c>
      <c r="F65" s="18">
        <f t="shared" si="4"/>
        <v>15</v>
      </c>
      <c r="G65" s="18" t="s">
        <v>1</v>
      </c>
      <c r="H65" s="18" t="s">
        <v>641</v>
      </c>
      <c r="I65" s="18" t="s">
        <v>101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11</v>
      </c>
      <c r="C66" s="18" t="str" cm="1">
        <f t="array" ref="C66">GetValue("Tbl",B66,"Alias")</f>
        <v>Db</v>
      </c>
      <c r="D66" s="18">
        <v>59</v>
      </c>
      <c r="E66" s="18" t="str" cm="1">
        <f t="array" ref="E66">GetValue("Dmn",D66,"Name")</f>
        <v>Fetch Method</v>
      </c>
      <c r="F66" s="18">
        <f t="shared" si="4"/>
        <v>20</v>
      </c>
      <c r="G66" s="18" t="s">
        <v>68</v>
      </c>
      <c r="H66" s="18" t="s">
        <v>659</v>
      </c>
      <c r="I66" s="18" t="s">
        <v>113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11</v>
      </c>
      <c r="C67" s="18" t="str" cm="1">
        <f t="array" ref="C67">GetValue("Tbl",B67,"Alias")</f>
        <v>Db</v>
      </c>
      <c r="D67" s="18">
        <v>55</v>
      </c>
      <c r="E67" s="18" t="str" cm="1">
        <f t="array" ref="E67">GetValue("Dmn",D67,"Name")</f>
        <v>Name</v>
      </c>
      <c r="F67" s="18">
        <f t="shared" si="4"/>
        <v>25</v>
      </c>
      <c r="G67" s="18" t="s">
        <v>275</v>
      </c>
      <c r="H67" s="18" t="s">
        <v>606</v>
      </c>
      <c r="I67" s="18" t="s">
        <v>607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11</v>
      </c>
      <c r="C68" s="18" t="str" cm="1">
        <f t="array" ref="C68">GetValue("Tbl",B68,"Alias")</f>
        <v>Db</v>
      </c>
      <c r="D68" s="18">
        <v>6</v>
      </c>
      <c r="E68" s="18" t="str" cm="1">
        <f t="array" ref="E68">GetValue("Dmn",D68,"Name")</f>
        <v>Boolean</v>
      </c>
      <c r="F68" s="18">
        <f t="shared" si="4"/>
        <v>30</v>
      </c>
      <c r="G68" s="18" t="s">
        <v>195</v>
      </c>
      <c r="H68" s="18" t="s">
        <v>637</v>
      </c>
      <c r="I68" s="18" t="s">
        <v>638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20">
        <f>ROW(A69)-1</f>
        <v>68</v>
      </c>
      <c r="B69" s="21">
        <v>12</v>
      </c>
      <c r="C69" s="20" t="str" cm="1">
        <f t="array" ref="C69">GetValue("Tbl",B69,"Alias")</f>
        <v>Con</v>
      </c>
      <c r="D69" s="20">
        <v>61</v>
      </c>
      <c r="E69" s="20" t="e" cm="1">
        <f t="array" ref="E69">GetValue("Dmn",D69,"Name")</f>
        <v>#VALUE!</v>
      </c>
      <c r="F69" s="20">
        <f t="shared" si="4"/>
        <v>5</v>
      </c>
      <c r="G69" s="20" t="s">
        <v>0</v>
      </c>
      <c r="H69" s="20" t="s">
        <v>635</v>
      </c>
      <c r="I69" s="20" t="s">
        <v>201</v>
      </c>
      <c r="J69" s="20" t="b">
        <f t="shared" si="10"/>
        <v>1</v>
      </c>
      <c r="K69" s="20" t="b">
        <f t="shared" si="10"/>
        <v>1</v>
      </c>
      <c r="L69" s="20" t="b">
        <f t="shared" si="11"/>
        <v>0</v>
      </c>
      <c r="M69" s="20" t="b">
        <f t="shared" si="11"/>
        <v>0</v>
      </c>
      <c r="N69" s="20"/>
      <c r="O69" s="20"/>
      <c r="P69" s="20" t="b">
        <f t="shared" si="3"/>
        <v>0</v>
      </c>
    </row>
    <row r="70" spans="1:16">
      <c r="A70" s="20">
        <f t="shared" si="5"/>
        <v>69</v>
      </c>
      <c r="B70" s="21">
        <v>12</v>
      </c>
      <c r="C70" s="20" t="str" cm="1">
        <f t="array" ref="C70">GetValue("Tbl",B70,"Alias")</f>
        <v>Con</v>
      </c>
      <c r="D70" s="20">
        <v>4</v>
      </c>
      <c r="E70" s="20" t="str" cm="1">
        <f t="array" ref="E70">GetValue("Dmn",D70,"Name")</f>
        <v>SmallInteger</v>
      </c>
      <c r="F70" s="20">
        <f t="shared" ref="F70:F125" si="12">IF(G70="Id",5,F69+5)</f>
        <v>10</v>
      </c>
      <c r="G70" s="20" t="s">
        <v>463</v>
      </c>
      <c r="H70" s="20" t="s">
        <v>632</v>
      </c>
      <c r="I70" s="20" t="s">
        <v>633</v>
      </c>
      <c r="J70" s="20" t="str">
        <f t="shared" si="10"/>
        <v/>
      </c>
      <c r="K70" s="20" t="str">
        <f t="shared" si="10"/>
        <v/>
      </c>
      <c r="L70" s="20" t="str">
        <f t="shared" si="11"/>
        <v/>
      </c>
      <c r="M70" s="20" t="str">
        <f t="shared" si="11"/>
        <v/>
      </c>
      <c r="N70" s="20"/>
      <c r="O70" s="20"/>
      <c r="P70" s="20" t="str">
        <f t="shared" si="3"/>
        <v/>
      </c>
    </row>
    <row r="71" spans="1:16">
      <c r="A71" s="20">
        <f t="shared" si="5"/>
        <v>70</v>
      </c>
      <c r="B71" s="21">
        <v>12</v>
      </c>
      <c r="C71" s="20" t="str" cm="1">
        <f t="array" ref="C71">GetValue("Tbl",B71,"Alias")</f>
        <v>Con</v>
      </c>
      <c r="D71" s="20">
        <v>1</v>
      </c>
      <c r="E71" s="20" t="str" cm="1">
        <f t="array" ref="E71">GetValue("Dmn",D71,"Name")</f>
        <v>BigInteger</v>
      </c>
      <c r="F71" s="20">
        <f t="shared" si="12"/>
        <v>15</v>
      </c>
      <c r="G71" s="20" t="s">
        <v>87</v>
      </c>
      <c r="H71" s="20" t="s">
        <v>630</v>
      </c>
      <c r="I71" s="20" t="s">
        <v>117</v>
      </c>
      <c r="J71" s="20" t="str">
        <f t="shared" ref="J71:K96" si="13">IF($G71="Id",TRUE,"")</f>
        <v/>
      </c>
      <c r="K71" s="20" t="str">
        <f t="shared" si="13"/>
        <v/>
      </c>
      <c r="L71" s="20" t="str">
        <f t="shared" ref="L71:M96" si="14">IF($G71="Id",FALSE,"")</f>
        <v/>
      </c>
      <c r="M71" s="20" t="str">
        <f t="shared" si="14"/>
        <v/>
      </c>
      <c r="N71" s="20"/>
      <c r="O71" s="20"/>
      <c r="P71" s="20" t="str">
        <f t="shared" ref="P71:P137" si="15">IF($G71="Id",FALSE,"")</f>
        <v/>
      </c>
    </row>
    <row r="72" spans="1:16">
      <c r="A72" s="20">
        <f t="shared" si="5"/>
        <v>71</v>
      </c>
      <c r="B72" s="21">
        <v>12</v>
      </c>
      <c r="C72" s="20" t="str" cm="1">
        <f t="array" ref="C72">GetValue("Tbl",B72,"Alias")</f>
        <v>Con</v>
      </c>
      <c r="D72" s="20">
        <v>9</v>
      </c>
      <c r="E72" s="20" t="str" cm="1">
        <f t="array" ref="E72">GetValue("Dmn",D72,"Name")</f>
        <v>Nvarchar(20)</v>
      </c>
      <c r="F72" s="20">
        <f t="shared" si="12"/>
        <v>20</v>
      </c>
      <c r="G72" s="20" t="s">
        <v>464</v>
      </c>
      <c r="H72" s="20" t="s">
        <v>639</v>
      </c>
      <c r="I72" s="20" t="s">
        <v>640</v>
      </c>
      <c r="J72" s="20" t="str">
        <f t="shared" si="13"/>
        <v/>
      </c>
      <c r="K72" s="20" t="str">
        <f t="shared" si="13"/>
        <v/>
      </c>
      <c r="L72" s="20" t="str">
        <f t="shared" si="14"/>
        <v/>
      </c>
      <c r="M72" s="20" t="str">
        <f t="shared" si="14"/>
        <v/>
      </c>
      <c r="N72" s="20"/>
      <c r="O72" s="20"/>
      <c r="P72" s="20" t="str">
        <f t="shared" si="15"/>
        <v/>
      </c>
    </row>
    <row r="73" spans="1:16">
      <c r="A73" s="20">
        <f t="shared" si="5"/>
        <v>72</v>
      </c>
      <c r="B73" s="21">
        <v>12</v>
      </c>
      <c r="C73" s="20" t="str" cm="1">
        <f t="array" ref="C73">GetValue("Tbl",B73,"Alias")</f>
        <v>Con</v>
      </c>
      <c r="D73" s="20">
        <v>12</v>
      </c>
      <c r="E73" s="20" t="str" cm="1">
        <f t="array" ref="E73">GetValue("Dmn",D73,"Name")</f>
        <v>Nvarchar(256)</v>
      </c>
      <c r="F73" s="20">
        <f t="shared" si="12"/>
        <v>25</v>
      </c>
      <c r="G73" s="20" t="s">
        <v>338</v>
      </c>
      <c r="H73" s="20" t="s">
        <v>642</v>
      </c>
      <c r="I73" s="20" t="s">
        <v>643</v>
      </c>
      <c r="J73" s="20" t="str">
        <f t="shared" si="13"/>
        <v/>
      </c>
      <c r="K73" s="20" t="str">
        <f t="shared" si="13"/>
        <v/>
      </c>
      <c r="L73" s="20" t="str">
        <f t="shared" si="14"/>
        <v/>
      </c>
      <c r="M73" s="20" t="str">
        <f t="shared" si="14"/>
        <v/>
      </c>
      <c r="N73" s="20"/>
      <c r="O73" s="20"/>
      <c r="P73" s="20" t="str">
        <f t="shared" si="15"/>
        <v/>
      </c>
    </row>
    <row r="74" spans="1:16">
      <c r="A74" s="20">
        <f t="shared" si="5"/>
        <v>73</v>
      </c>
      <c r="B74" s="21">
        <v>12</v>
      </c>
      <c r="C74" s="20" t="str" cm="1">
        <f t="array" ref="C74">GetValue("Tbl",B74,"Alias")</f>
        <v>Con</v>
      </c>
      <c r="D74" s="20">
        <v>12</v>
      </c>
      <c r="E74" s="20" t="str" cm="1">
        <f t="array" ref="E74">GetValue("Dmn",D74,"Name")</f>
        <v>Nvarchar(256)</v>
      </c>
      <c r="F74" s="20">
        <f t="shared" si="12"/>
        <v>30</v>
      </c>
      <c r="G74" s="20" t="s">
        <v>234</v>
      </c>
      <c r="H74" s="20" t="s">
        <v>644</v>
      </c>
      <c r="I74" s="20" t="s">
        <v>645</v>
      </c>
      <c r="J74" s="20" t="str">
        <f t="shared" si="13"/>
        <v/>
      </c>
      <c r="K74" s="20" t="str">
        <f t="shared" si="13"/>
        <v/>
      </c>
      <c r="L74" s="20" t="str">
        <f t="shared" si="14"/>
        <v/>
      </c>
      <c r="M74" s="20" t="str">
        <f t="shared" si="14"/>
        <v/>
      </c>
      <c r="N74" s="20"/>
      <c r="O74" s="20"/>
      <c r="P74" s="20" t="str">
        <f t="shared" si="15"/>
        <v/>
      </c>
    </row>
    <row r="75" spans="1:16">
      <c r="A75" s="20">
        <f t="shared" si="5"/>
        <v>74</v>
      </c>
      <c r="B75" s="21">
        <v>12</v>
      </c>
      <c r="C75" s="20" t="str" cm="1">
        <f t="array" ref="C75">GetValue("Tbl",B75,"Alias")</f>
        <v>Con</v>
      </c>
      <c r="D75" s="20">
        <v>6</v>
      </c>
      <c r="E75" s="20" t="str" cm="1">
        <f t="array" ref="E75">GetValue("Dmn",D75,"Name")</f>
        <v>Boolean</v>
      </c>
      <c r="F75" s="20">
        <f t="shared" si="12"/>
        <v>35</v>
      </c>
      <c r="G75" s="20" t="s">
        <v>24</v>
      </c>
      <c r="H75" s="20" t="s">
        <v>646</v>
      </c>
      <c r="I75" s="20" t="s">
        <v>647</v>
      </c>
      <c r="J75" s="20" t="str">
        <f t="shared" si="13"/>
        <v/>
      </c>
      <c r="K75" s="20" t="str">
        <f t="shared" si="13"/>
        <v/>
      </c>
      <c r="L75" s="20" t="str">
        <f t="shared" si="14"/>
        <v/>
      </c>
      <c r="M75" s="20" t="str">
        <f t="shared" si="14"/>
        <v/>
      </c>
      <c r="N75" s="20"/>
      <c r="O75" s="20"/>
      <c r="P75" s="20" t="str">
        <f t="shared" si="15"/>
        <v/>
      </c>
    </row>
    <row r="76" spans="1:16">
      <c r="A76" s="18">
        <f t="shared" si="5"/>
        <v>75</v>
      </c>
      <c r="B76" s="19">
        <v>13</v>
      </c>
      <c r="C76" s="18" t="str" cm="1">
        <f t="array" ref="C76">GetValue("Tbl",B76,"Alias")</f>
        <v>Sys</v>
      </c>
      <c r="D76" s="18">
        <v>61</v>
      </c>
      <c r="E76" s="18" t="e" cm="1">
        <f t="array" ref="E76">GetValue("Dmn",D76,"Name")</f>
        <v>#VALUE!</v>
      </c>
      <c r="F76" s="18">
        <f t="shared" si="12"/>
        <v>5</v>
      </c>
      <c r="G76" s="18" t="s">
        <v>0</v>
      </c>
      <c r="H76" s="18" t="s">
        <v>648</v>
      </c>
      <c r="I76" s="18" t="s">
        <v>0</v>
      </c>
      <c r="J76" s="18" t="b">
        <f t="shared" si="13"/>
        <v>1</v>
      </c>
      <c r="K76" s="18" t="b">
        <f t="shared" si="13"/>
        <v>1</v>
      </c>
      <c r="L76" s="18" t="b">
        <f t="shared" si="14"/>
        <v>0</v>
      </c>
      <c r="M76" s="18" t="b">
        <f t="shared" si="14"/>
        <v>0</v>
      </c>
      <c r="N76" s="18"/>
      <c r="O76" s="18"/>
      <c r="P76" s="18" t="b">
        <f t="shared" si="15"/>
        <v>0</v>
      </c>
    </row>
    <row r="77" spans="1:16">
      <c r="A77" s="18">
        <f t="shared" si="5"/>
        <v>76</v>
      </c>
      <c r="B77" s="19">
        <v>13</v>
      </c>
      <c r="C77" s="18" t="str" cm="1">
        <f t="array" ref="C77">GetValue("Tbl",B77,"Alias")</f>
        <v>Sys</v>
      </c>
      <c r="D77" s="18">
        <v>1</v>
      </c>
      <c r="E77" s="18" t="str" cm="1">
        <f t="array" ref="E77">GetValue("Dmn",D77,"Name")</f>
        <v>BigInteger</v>
      </c>
      <c r="F77" s="18">
        <f t="shared" si="12"/>
        <v>10</v>
      </c>
      <c r="G77" s="18" t="s">
        <v>87</v>
      </c>
      <c r="H77" s="18" t="s">
        <v>649</v>
      </c>
      <c r="I77" s="18" t="s">
        <v>117</v>
      </c>
      <c r="J77" s="18" t="str">
        <f t="shared" si="13"/>
        <v/>
      </c>
      <c r="K77" s="18" t="str">
        <f t="shared" si="13"/>
        <v/>
      </c>
      <c r="L77" s="18" t="str">
        <f t="shared" si="14"/>
        <v/>
      </c>
      <c r="M77" s="18" t="str">
        <f t="shared" si="14"/>
        <v/>
      </c>
      <c r="N77" s="18"/>
      <c r="O77" s="18"/>
      <c r="P77" s="18" t="str">
        <f t="shared" si="15"/>
        <v/>
      </c>
    </row>
    <row r="78" spans="1:16">
      <c r="A78" s="18">
        <f t="shared" si="5"/>
        <v>77</v>
      </c>
      <c r="B78" s="19">
        <v>13</v>
      </c>
      <c r="C78" s="18" t="str" cm="1">
        <f t="array" ref="C78">GetValue("Tbl",B78,"Alias")</f>
        <v>Sys</v>
      </c>
      <c r="D78" s="18">
        <v>9</v>
      </c>
      <c r="E78" s="18" t="str" cm="1">
        <f t="array" ref="E78">GetValue("Dmn",D78,"Name")</f>
        <v>Nvarchar(20)</v>
      </c>
      <c r="F78" s="18">
        <f t="shared" si="12"/>
        <v>15</v>
      </c>
      <c r="G78" s="18" t="s">
        <v>364</v>
      </c>
      <c r="H78" s="18" t="s">
        <v>650</v>
      </c>
      <c r="I78" s="18" t="s">
        <v>651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ref="A79:A142" si="16">ROW(A79)-1</f>
        <v>78</v>
      </c>
      <c r="B79" s="19">
        <v>13</v>
      </c>
      <c r="C79" s="18" t="str" cm="1">
        <f t="array" ref="C79">GetValue("Tbl",B79,"Alias")</f>
        <v>Sys</v>
      </c>
      <c r="D79" s="18">
        <v>58</v>
      </c>
      <c r="E79" s="18" t="str" cm="1">
        <f t="array" ref="E79">GetValue("Dmn",D79,"Name")</f>
        <v>Edit Mask</v>
      </c>
      <c r="F79" s="18">
        <f t="shared" si="12"/>
        <v>20</v>
      </c>
      <c r="G79" s="18" t="s">
        <v>1</v>
      </c>
      <c r="H79" s="18" t="s">
        <v>652</v>
      </c>
      <c r="I79" s="18" t="s">
        <v>101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16"/>
        <v>79</v>
      </c>
      <c r="B80" s="19">
        <v>13</v>
      </c>
      <c r="C80" s="18" t="str" cm="1">
        <f t="array" ref="C80">GetValue("Tbl",B80,"Alias")</f>
        <v>Sys</v>
      </c>
      <c r="D80" s="18">
        <v>59</v>
      </c>
      <c r="E80" s="18" t="str" cm="1">
        <f t="array" ref="E80">GetValue("Dmn",D80,"Name")</f>
        <v>Fetch Method</v>
      </c>
      <c r="F80" s="18">
        <f t="shared" si="12"/>
        <v>25</v>
      </c>
      <c r="G80" s="18" t="s">
        <v>68</v>
      </c>
      <c r="H80" s="18" t="s">
        <v>653</v>
      </c>
      <c r="I80" s="18" t="s">
        <v>113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18">
        <f t="shared" si="16"/>
        <v>80</v>
      </c>
      <c r="B81" s="19">
        <v>13</v>
      </c>
      <c r="C81" s="18" t="str" cm="1">
        <f t="array" ref="C81">GetValue("Tbl",B81,"Alias")</f>
        <v>Sys</v>
      </c>
      <c r="D81" s="18">
        <v>6</v>
      </c>
      <c r="E81" s="18" t="str" cm="1">
        <f t="array" ref="E81">GetValue("Dmn",D81,"Name")</f>
        <v>Boolean</v>
      </c>
      <c r="F81" s="18">
        <f t="shared" si="12"/>
        <v>30</v>
      </c>
      <c r="G81" s="18" t="s">
        <v>69</v>
      </c>
      <c r="H81" s="18" t="s">
        <v>654</v>
      </c>
      <c r="I81" s="18" t="s">
        <v>655</v>
      </c>
      <c r="J81" s="18" t="str">
        <f t="shared" si="13"/>
        <v/>
      </c>
      <c r="K81" s="18" t="str">
        <f t="shared" si="13"/>
        <v/>
      </c>
      <c r="L81" s="18" t="str">
        <f t="shared" si="14"/>
        <v/>
      </c>
      <c r="M81" s="18" t="str">
        <f t="shared" si="14"/>
        <v/>
      </c>
      <c r="N81" s="18"/>
      <c r="O81" s="18"/>
      <c r="P81" s="18" t="str">
        <f t="shared" si="15"/>
        <v/>
      </c>
    </row>
    <row r="82" spans="1:16">
      <c r="A82" s="18">
        <f t="shared" si="16"/>
        <v>81</v>
      </c>
      <c r="B82" s="19">
        <v>13</v>
      </c>
      <c r="C82" s="18" t="str" cm="1">
        <f t="array" ref="C82">GetValue("Tbl",B82,"Alias")</f>
        <v>Sys</v>
      </c>
      <c r="D82" s="18">
        <v>6</v>
      </c>
      <c r="E82" s="18" t="str" cm="1">
        <f t="array" ref="E82">GetValue("Dmn",D82,"Name")</f>
        <v>Boolean</v>
      </c>
      <c r="F82" s="18">
        <f t="shared" si="12"/>
        <v>35</v>
      </c>
      <c r="G82" s="18" t="s">
        <v>24</v>
      </c>
      <c r="H82" s="18" t="s">
        <v>656</v>
      </c>
      <c r="I82" s="18" t="s">
        <v>116</v>
      </c>
      <c r="J82" s="18" t="str">
        <f t="shared" si="13"/>
        <v/>
      </c>
      <c r="K82" s="18" t="str">
        <f t="shared" si="13"/>
        <v/>
      </c>
      <c r="L82" s="18" t="str">
        <f t="shared" si="14"/>
        <v/>
      </c>
      <c r="M82" s="18" t="str">
        <f t="shared" si="14"/>
        <v/>
      </c>
      <c r="N82" s="18"/>
      <c r="O82" s="18"/>
      <c r="P82" s="18" t="str">
        <f t="shared" si="15"/>
        <v/>
      </c>
    </row>
    <row r="83" spans="1:16">
      <c r="A83" s="20">
        <f t="shared" si="16"/>
        <v>82</v>
      </c>
      <c r="B83" s="21">
        <v>15</v>
      </c>
      <c r="C83" s="20" t="str" cm="1">
        <f t="array" ref="C83">GetValue("Tbl",B83,"Alias")</f>
        <v>Tbl</v>
      </c>
      <c r="D83" s="20">
        <v>61</v>
      </c>
      <c r="E83" s="20" t="e" cm="1">
        <f t="array" ref="E83">GetValue("Dmn",D83,"Name")</f>
        <v>#VALUE!</v>
      </c>
      <c r="F83" s="20">
        <f t="shared" si="12"/>
        <v>5</v>
      </c>
      <c r="G83" s="20" t="s">
        <v>0</v>
      </c>
      <c r="H83" s="20" t="s">
        <v>657</v>
      </c>
      <c r="I83" s="20" t="s">
        <v>0</v>
      </c>
      <c r="J83" s="20" t="b">
        <f t="shared" si="13"/>
        <v>1</v>
      </c>
      <c r="K83" s="20" t="b">
        <f t="shared" si="13"/>
        <v>1</v>
      </c>
      <c r="L83" s="20" t="b">
        <f t="shared" si="14"/>
        <v>0</v>
      </c>
      <c r="M83" s="20" t="b">
        <f t="shared" si="14"/>
        <v>0</v>
      </c>
      <c r="N83" s="20"/>
      <c r="O83" s="20"/>
      <c r="P83" s="20" t="b">
        <f t="shared" si="15"/>
        <v>0</v>
      </c>
    </row>
    <row r="84" spans="1:16">
      <c r="A84" s="20">
        <f t="shared" si="16"/>
        <v>83</v>
      </c>
      <c r="B84" s="21">
        <v>15</v>
      </c>
      <c r="C84" s="20" t="str" cm="1">
        <f t="array" ref="C84">GetValue("Tbl",B84,"Alias")</f>
        <v>Tbl</v>
      </c>
      <c r="D84" s="20">
        <v>1</v>
      </c>
      <c r="E84" s="20" t="str" cm="1">
        <f t="array" ref="E84">GetValue("Dmn",D84,"Name")</f>
        <v>BigInteger</v>
      </c>
      <c r="F84" s="20">
        <f t="shared" si="12"/>
        <v>10</v>
      </c>
      <c r="G84" s="20" t="s">
        <v>87</v>
      </c>
      <c r="H84" s="20" t="s">
        <v>630</v>
      </c>
      <c r="I84" s="20" t="s">
        <v>117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15</v>
      </c>
      <c r="C85" s="20" t="str" cm="1">
        <f t="array" ref="C85">GetValue("Tbl",B85,"Alias")</f>
        <v>Tbl</v>
      </c>
      <c r="D85" s="20">
        <v>57</v>
      </c>
      <c r="E85" s="20" t="str" cm="1">
        <f t="array" ref="E85">GetValue("Dmn",D85,"Name")</f>
        <v>Value List</v>
      </c>
      <c r="F85" s="20">
        <f t="shared" si="12"/>
        <v>15</v>
      </c>
      <c r="G85" s="20" t="s">
        <v>1</v>
      </c>
      <c r="H85" s="20" t="s">
        <v>118</v>
      </c>
      <c r="I85" s="20" t="s">
        <v>101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15</v>
      </c>
      <c r="C86" s="20" t="str" cm="1">
        <f t="array" ref="C86">GetValue("Tbl",B86,"Alias")</f>
        <v>Tbl</v>
      </c>
      <c r="D86" s="20">
        <v>57</v>
      </c>
      <c r="E86" s="20" t="str" cm="1">
        <f t="array" ref="E86">GetValue("Dmn",D86,"Name")</f>
        <v>Value List</v>
      </c>
      <c r="F86" s="20">
        <f t="shared" si="12"/>
        <v>20</v>
      </c>
      <c r="G86" s="20" t="s">
        <v>86</v>
      </c>
      <c r="H86" s="20" t="s">
        <v>119</v>
      </c>
      <c r="I86" s="20" t="s">
        <v>86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15</v>
      </c>
      <c r="C87" s="20" t="str" cm="1">
        <f t="array" ref="C87">GetValue("Tbl",B87,"Alias")</f>
        <v>Tbl</v>
      </c>
      <c r="D87" s="20">
        <v>59</v>
      </c>
      <c r="E87" s="20" t="str" cm="1">
        <f t="array" ref="E87">GetValue("Dmn",D87,"Name")</f>
        <v>Fetch Method</v>
      </c>
      <c r="F87" s="20">
        <f t="shared" si="12"/>
        <v>25</v>
      </c>
      <c r="G87" s="20" t="s">
        <v>68</v>
      </c>
      <c r="H87" s="20" t="s">
        <v>120</v>
      </c>
      <c r="I87" s="20" t="s">
        <v>113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20">
        <f t="shared" si="16"/>
        <v>87</v>
      </c>
      <c r="B88" s="21">
        <v>15</v>
      </c>
      <c r="C88" s="20" t="str" cm="1">
        <f t="array" ref="C88">GetValue("Tbl",B88,"Alias")</f>
        <v>Tbl</v>
      </c>
      <c r="D88" s="20">
        <v>1</v>
      </c>
      <c r="E88" s="20" t="str" cm="1">
        <f t="array" ref="E88">GetValue("Dmn",D88,"Name")</f>
        <v>BigInteger</v>
      </c>
      <c r="F88" s="20">
        <f t="shared" si="12"/>
        <v>30</v>
      </c>
      <c r="G88" s="20" t="s">
        <v>168</v>
      </c>
      <c r="H88" s="20" t="s">
        <v>115</v>
      </c>
      <c r="I88" s="20" t="s">
        <v>115</v>
      </c>
      <c r="J88" s="20" t="str">
        <f t="shared" si="13"/>
        <v/>
      </c>
      <c r="K88" s="20" t="str">
        <f t="shared" si="13"/>
        <v/>
      </c>
      <c r="L88" s="20" t="str">
        <f t="shared" si="14"/>
        <v/>
      </c>
      <c r="M88" s="20" t="str">
        <f t="shared" si="14"/>
        <v/>
      </c>
      <c r="N88" s="20"/>
      <c r="O88" s="20"/>
      <c r="P88" s="20" t="str">
        <f t="shared" si="15"/>
        <v/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61</v>
      </c>
      <c r="E89" s="18" t="e" cm="1">
        <f t="array" ref="E89">GetValue("Dmn",D89,"Name")</f>
        <v>#VALUE!</v>
      </c>
      <c r="F89" s="18">
        <f t="shared" si="12"/>
        <v>5</v>
      </c>
      <c r="G89" s="18" t="s">
        <v>0</v>
      </c>
      <c r="H89" s="18" t="s">
        <v>662</v>
      </c>
      <c r="I89" s="18" t="s">
        <v>0</v>
      </c>
      <c r="J89" s="18" t="b">
        <f t="shared" si="13"/>
        <v>1</v>
      </c>
      <c r="K89" s="18" t="b">
        <f t="shared" si="13"/>
        <v>1</v>
      </c>
      <c r="L89" s="18" t="b">
        <f t="shared" si="14"/>
        <v>0</v>
      </c>
      <c r="M89" s="18" t="b">
        <f t="shared" si="14"/>
        <v>0</v>
      </c>
      <c r="N89" s="18"/>
      <c r="O89" s="18"/>
      <c r="P89" s="18" t="b">
        <f t="shared" si="15"/>
        <v>0</v>
      </c>
    </row>
    <row r="90" spans="1:16">
      <c r="A90" s="18">
        <f t="shared" si="16"/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10</v>
      </c>
      <c r="G90" s="18" t="s">
        <v>70</v>
      </c>
      <c r="H90" s="18" t="s">
        <v>648</v>
      </c>
      <c r="I90" s="18" t="s">
        <v>114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>ROW(A91)-1</f>
        <v>90</v>
      </c>
      <c r="B91" s="19">
        <v>14</v>
      </c>
      <c r="C91" s="18" t="str" cm="1">
        <f t="array" ref="C91">GetValue("Tbl",B91,"Alias")</f>
        <v>Mnu</v>
      </c>
      <c r="D91" s="18">
        <v>1</v>
      </c>
      <c r="E91" s="18" t="str" cm="1">
        <f t="array" ref="E91">GetValue("Dmn",D91,"Name")</f>
        <v>BigInteger</v>
      </c>
      <c r="F91" s="18">
        <f t="shared" si="12"/>
        <v>15</v>
      </c>
      <c r="G91" s="18" t="s">
        <v>75</v>
      </c>
      <c r="H91" s="18" t="s">
        <v>668</v>
      </c>
      <c r="I91" s="18" t="s">
        <v>669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4</v>
      </c>
      <c r="E92" s="18" t="str" cm="1">
        <f t="array" ref="E92">GetValue("Dmn",D92,"Name")</f>
        <v>SmallInteger</v>
      </c>
      <c r="F92" s="18">
        <f t="shared" si="12"/>
        <v>20</v>
      </c>
      <c r="G92" s="18" t="s">
        <v>71</v>
      </c>
      <c r="H92" s="18" t="s">
        <v>663</v>
      </c>
      <c r="I92" s="18" t="s">
        <v>115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58</v>
      </c>
      <c r="E93" s="18" t="str" cm="1">
        <f t="array" ref="E93">GetValue("Dmn",D93,"Name")</f>
        <v>Edit Mask</v>
      </c>
      <c r="F93" s="18">
        <f t="shared" si="12"/>
        <v>25</v>
      </c>
      <c r="G93" s="18" t="s">
        <v>72</v>
      </c>
      <c r="H93" s="18" t="s">
        <v>664</v>
      </c>
      <c r="I93" s="18" t="s">
        <v>665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59</v>
      </c>
      <c r="E94" s="18" t="str" cm="1">
        <f t="array" ref="E94">GetValue("Dmn",D94,"Name")</f>
        <v>Fetch Method</v>
      </c>
      <c r="F94" s="18">
        <f t="shared" si="12"/>
        <v>30</v>
      </c>
      <c r="G94" s="18" t="s">
        <v>73</v>
      </c>
      <c r="H94" s="18" t="s">
        <v>666</v>
      </c>
      <c r="I94" s="18" t="s">
        <v>667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18">
        <f t="shared" si="16"/>
        <v>94</v>
      </c>
      <c r="B95" s="19">
        <v>14</v>
      </c>
      <c r="C95" s="18" t="str" cm="1">
        <f t="array" ref="C95">GetValue("Tbl",B95,"Alias")</f>
        <v>Mnu</v>
      </c>
      <c r="D95" s="18">
        <v>6</v>
      </c>
      <c r="E95" s="18" t="str" cm="1">
        <f t="array" ref="E95">GetValue("Dmn",D95,"Name")</f>
        <v>Boolean</v>
      </c>
      <c r="F95" s="18">
        <f t="shared" si="12"/>
        <v>35</v>
      </c>
      <c r="G95" s="18" t="s">
        <v>24</v>
      </c>
      <c r="H95" s="18" t="s">
        <v>670</v>
      </c>
      <c r="I95" s="18" t="s">
        <v>116</v>
      </c>
      <c r="J95" s="18" t="str">
        <f t="shared" si="13"/>
        <v/>
      </c>
      <c r="K95" s="18" t="str">
        <f t="shared" si="13"/>
        <v/>
      </c>
      <c r="L95" s="18" t="str">
        <f t="shared" si="14"/>
        <v/>
      </c>
      <c r="M95" s="18" t="str">
        <f t="shared" si="14"/>
        <v/>
      </c>
      <c r="N95" s="18"/>
      <c r="O95" s="18"/>
      <c r="P95" s="18" t="str">
        <f t="shared" si="15"/>
        <v/>
      </c>
    </row>
    <row r="96" spans="1:16">
      <c r="A96" s="18">
        <f t="shared" si="16"/>
        <v>95</v>
      </c>
      <c r="B96" s="19">
        <v>15</v>
      </c>
      <c r="C96" s="18" t="str" cm="1">
        <f t="array" ref="C96">GetValue("Tbl",B96,"Alias")</f>
        <v>Tbl</v>
      </c>
      <c r="D96" s="18">
        <v>61</v>
      </c>
      <c r="E96" s="18" t="e" cm="1">
        <f t="array" ref="E96">GetValue("Dmn",D96,"Name")</f>
        <v>#VALUE!</v>
      </c>
      <c r="F96" s="18">
        <f>IF(G96="Id",5,#REF!+5)</f>
        <v>5</v>
      </c>
      <c r="G96" s="18" t="s">
        <v>0</v>
      </c>
      <c r="H96" s="18" t="s">
        <v>671</v>
      </c>
      <c r="I96" s="18" t="s">
        <v>0</v>
      </c>
      <c r="J96" s="18" t="b">
        <f t="shared" si="13"/>
        <v>1</v>
      </c>
      <c r="K96" s="18" t="b">
        <f t="shared" si="13"/>
        <v>1</v>
      </c>
      <c r="L96" s="18" t="b">
        <f t="shared" si="14"/>
        <v>0</v>
      </c>
      <c r="M96" s="18" t="b">
        <f t="shared" si="14"/>
        <v>0</v>
      </c>
      <c r="N96" s="18"/>
      <c r="O96" s="18"/>
      <c r="P96" s="18" t="b">
        <f t="shared" si="15"/>
        <v>0</v>
      </c>
    </row>
    <row r="97" spans="1:16">
      <c r="A97" s="18">
        <f t="shared" si="16"/>
        <v>96</v>
      </c>
      <c r="B97" s="19">
        <v>15</v>
      </c>
      <c r="C97" s="18" t="str" cm="1">
        <f t="array" ref="C97">GetValue("Tbl",B97,"Alias")</f>
        <v>Tbl</v>
      </c>
      <c r="D97" s="18">
        <v>1</v>
      </c>
      <c r="E97" s="18" t="str" cm="1">
        <f t="array" ref="E97">GetValue("Dmn",D97,"Name")</f>
        <v>BigInteger</v>
      </c>
      <c r="F97" s="18">
        <f t="shared" si="12"/>
        <v>10</v>
      </c>
      <c r="G97" s="18" t="s">
        <v>99</v>
      </c>
      <c r="H97" s="18" t="s">
        <v>657</v>
      </c>
      <c r="I97" s="18" t="s">
        <v>121</v>
      </c>
      <c r="J97" s="18" t="str">
        <f t="shared" ref="J97:K142" si="17">IF($G97="Id",TRUE,"")</f>
        <v/>
      </c>
      <c r="K97" s="18" t="str">
        <f t="shared" si="17"/>
        <v/>
      </c>
      <c r="L97" s="18" t="str">
        <f t="shared" ref="L97:M142" si="18">IF($G97="Id",FALSE,"")</f>
        <v/>
      </c>
      <c r="M97" s="18" t="str">
        <f t="shared" si="18"/>
        <v/>
      </c>
      <c r="N97" s="18"/>
      <c r="O97" s="18"/>
      <c r="P97" s="18" t="str">
        <f t="shared" si="15"/>
        <v/>
      </c>
    </row>
    <row r="98" spans="1:16">
      <c r="A98" s="18">
        <f t="shared" si="16"/>
        <v>97</v>
      </c>
      <c r="B98" s="19">
        <v>15</v>
      </c>
      <c r="C98" s="18" t="str" cm="1">
        <f t="array" ref="C98">GetValue("Tbl",B98,"Alias")</f>
        <v>Tbl</v>
      </c>
      <c r="D98" s="18">
        <v>1</v>
      </c>
      <c r="E98" s="18" t="str" cm="1">
        <f t="array" ref="E98">GetValue("Dmn",D98,"Name")</f>
        <v>BigInteger</v>
      </c>
      <c r="F98" s="18">
        <f t="shared" si="12"/>
        <v>15</v>
      </c>
      <c r="G98" s="18" t="s">
        <v>100</v>
      </c>
      <c r="H98" s="18" t="s">
        <v>672</v>
      </c>
      <c r="I98" s="18" t="s">
        <v>122</v>
      </c>
      <c r="J98" s="18" t="str">
        <f t="shared" si="17"/>
        <v/>
      </c>
      <c r="K98" s="18" t="str">
        <f t="shared" si="17"/>
        <v/>
      </c>
      <c r="L98" s="18" t="str">
        <f t="shared" si="18"/>
        <v/>
      </c>
      <c r="M98" s="18" t="str">
        <f t="shared" si="18"/>
        <v/>
      </c>
      <c r="N98" s="18"/>
      <c r="O98" s="18"/>
      <c r="P98" s="18" t="str">
        <f t="shared" si="15"/>
        <v/>
      </c>
    </row>
    <row r="99" spans="1:16">
      <c r="A99" s="18">
        <f t="shared" si="16"/>
        <v>98</v>
      </c>
      <c r="B99" s="19">
        <v>15</v>
      </c>
      <c r="C99" s="18" t="str" cm="1">
        <f t="array" ref="C99">GetValue("Tbl",B99,"Alias")</f>
        <v>Tbl</v>
      </c>
      <c r="D99" s="18">
        <v>4</v>
      </c>
      <c r="E99" s="18" t="str" cm="1">
        <f t="array" ref="E99">GetValue("Dmn",D99,"Name")</f>
        <v>SmallInteger</v>
      </c>
      <c r="F99" s="18">
        <f t="shared" si="12"/>
        <v>20</v>
      </c>
      <c r="G99" s="18" t="s">
        <v>71</v>
      </c>
      <c r="H99" s="18" t="s">
        <v>673</v>
      </c>
      <c r="I99" s="18" t="s">
        <v>115</v>
      </c>
      <c r="J99" s="18" t="str">
        <f t="shared" si="17"/>
        <v/>
      </c>
      <c r="K99" s="18" t="str">
        <f t="shared" si="17"/>
        <v/>
      </c>
      <c r="L99" s="18" t="str">
        <f t="shared" si="18"/>
        <v/>
      </c>
      <c r="M99" s="18" t="str">
        <f t="shared" si="18"/>
        <v/>
      </c>
      <c r="N99" s="18"/>
      <c r="O99" s="18"/>
      <c r="P99" s="18" t="str">
        <f t="shared" si="15"/>
        <v/>
      </c>
    </row>
    <row r="100" spans="1:16">
      <c r="A100" s="18">
        <f t="shared" si="16"/>
        <v>99</v>
      </c>
      <c r="B100" s="19">
        <v>15</v>
      </c>
      <c r="C100" s="18" t="str" cm="1">
        <f t="array" ref="C100">GetValue("Tbl",B100,"Alias")</f>
        <v>Tbl</v>
      </c>
      <c r="D100" s="18">
        <v>57</v>
      </c>
      <c r="E100" s="18" t="str" cm="1">
        <f t="array" ref="E100">GetValue("Dmn",D100,"Name")</f>
        <v>Value List</v>
      </c>
      <c r="F100" s="18">
        <f t="shared" si="12"/>
        <v>25</v>
      </c>
      <c r="G100" s="18" t="s">
        <v>1</v>
      </c>
      <c r="H100" s="18" t="s">
        <v>123</v>
      </c>
      <c r="I100" s="18" t="s">
        <v>101</v>
      </c>
      <c r="J100" s="18" t="str">
        <f t="shared" si="17"/>
        <v/>
      </c>
      <c r="K100" s="18" t="str">
        <f t="shared" si="17"/>
        <v/>
      </c>
      <c r="L100" s="18" t="str">
        <f t="shared" si="18"/>
        <v/>
      </c>
      <c r="M100" s="18" t="str">
        <f t="shared" si="18"/>
        <v/>
      </c>
      <c r="N100" s="18"/>
      <c r="O100" s="18"/>
      <c r="P100" s="18" t="str">
        <f t="shared" si="15"/>
        <v/>
      </c>
    </row>
    <row r="101" spans="1:16">
      <c r="A101" s="18">
        <f t="shared" si="16"/>
        <v>100</v>
      </c>
      <c r="B101" s="19">
        <v>15</v>
      </c>
      <c r="C101" s="18" t="str" cm="1">
        <f t="array" ref="C101">GetValue("Tbl",B101,"Alias")</f>
        <v>Tbl</v>
      </c>
      <c r="D101" s="18">
        <v>59</v>
      </c>
      <c r="E101" s="18" t="str" cm="1">
        <f t="array" ref="E101">GetValue("Dmn",D101,"Name")</f>
        <v>Fetch Method</v>
      </c>
      <c r="F101" s="18">
        <f t="shared" si="12"/>
        <v>30</v>
      </c>
      <c r="G101" s="18" t="s">
        <v>68</v>
      </c>
      <c r="H101" s="18" t="s">
        <v>674</v>
      </c>
      <c r="I101" s="18" t="s">
        <v>113</v>
      </c>
      <c r="J101" s="18" t="str">
        <f t="shared" si="17"/>
        <v/>
      </c>
      <c r="K101" s="18" t="str">
        <f t="shared" si="17"/>
        <v/>
      </c>
      <c r="L101" s="18" t="str">
        <f t="shared" si="18"/>
        <v/>
      </c>
      <c r="M101" s="18" t="str">
        <f t="shared" si="18"/>
        <v/>
      </c>
      <c r="N101" s="18"/>
      <c r="O101" s="18"/>
      <c r="P101" s="18" t="str">
        <f t="shared" si="15"/>
        <v/>
      </c>
    </row>
    <row r="102" spans="1:16">
      <c r="A102" s="18">
        <f t="shared" si="16"/>
        <v>101</v>
      </c>
      <c r="B102" s="19">
        <v>15</v>
      </c>
      <c r="C102" s="18" t="str" cm="1">
        <f t="array" ref="C102">GetValue("Tbl",B102,"Alias")</f>
        <v>Tbl</v>
      </c>
      <c r="D102" s="18">
        <v>58</v>
      </c>
      <c r="E102" s="18" t="str" cm="1">
        <f t="array" ref="E102">GetValue("Dmn",D102,"Name")</f>
        <v>Edit Mask</v>
      </c>
      <c r="F102" s="18">
        <f t="shared" si="12"/>
        <v>35</v>
      </c>
      <c r="G102" s="18" t="s">
        <v>72</v>
      </c>
      <c r="H102" s="18" t="s">
        <v>675</v>
      </c>
      <c r="I102" s="18" t="s">
        <v>665</v>
      </c>
      <c r="J102" s="18" t="str">
        <f t="shared" si="17"/>
        <v/>
      </c>
      <c r="K102" s="18" t="str">
        <f t="shared" si="17"/>
        <v/>
      </c>
      <c r="L102" s="18" t="str">
        <f t="shared" si="18"/>
        <v/>
      </c>
      <c r="M102" s="18" t="str">
        <f t="shared" si="18"/>
        <v/>
      </c>
      <c r="N102" s="18"/>
      <c r="O102" s="18"/>
      <c r="P102" s="18" t="str">
        <f t="shared" si="15"/>
        <v/>
      </c>
    </row>
    <row r="103" spans="1:16">
      <c r="A103" s="18">
        <f t="shared" si="16"/>
        <v>102</v>
      </c>
      <c r="B103" s="19">
        <v>15</v>
      </c>
      <c r="C103" s="18" t="str" cm="1">
        <f t="array" ref="C103">GetValue("Tbl",B103,"Alias")</f>
        <v>Tbl</v>
      </c>
      <c r="D103" s="18">
        <v>42</v>
      </c>
      <c r="E103" s="18" t="str" cm="1">
        <f t="array" ref="E103">GetValue("Dmn",D103,"Name")</f>
        <v>JS</v>
      </c>
      <c r="F103" s="18">
        <f t="shared" si="12"/>
        <v>40</v>
      </c>
      <c r="G103" s="18" t="s">
        <v>57</v>
      </c>
      <c r="H103" s="18" t="s">
        <v>678</v>
      </c>
      <c r="I103" s="18" t="s">
        <v>617</v>
      </c>
      <c r="J103" s="18" t="str">
        <f t="shared" si="17"/>
        <v/>
      </c>
      <c r="K103" s="18" t="str">
        <f t="shared" si="17"/>
        <v/>
      </c>
      <c r="L103" s="18" t="str">
        <f t="shared" si="18"/>
        <v/>
      </c>
      <c r="M103" s="18" t="str">
        <f t="shared" si="18"/>
        <v/>
      </c>
      <c r="N103" s="18"/>
      <c r="O103" s="18"/>
      <c r="P103" s="18" t="str">
        <f t="shared" si="15"/>
        <v/>
      </c>
    </row>
    <row r="104" spans="1:16">
      <c r="A104" s="18">
        <f t="shared" si="16"/>
        <v>103</v>
      </c>
      <c r="B104" s="19">
        <v>15</v>
      </c>
      <c r="C104" s="18" t="str" cm="1">
        <f t="array" ref="C104">GetValue("Tbl",B104,"Alias")</f>
        <v>Tbl</v>
      </c>
      <c r="D104" s="18">
        <v>42</v>
      </c>
      <c r="E104" s="18" t="str" cm="1">
        <f t="array" ref="E104">GetValue("Dmn",D104,"Name")</f>
        <v>JS</v>
      </c>
      <c r="F104" s="18">
        <f t="shared" si="12"/>
        <v>45</v>
      </c>
      <c r="G104" s="18" t="s">
        <v>17</v>
      </c>
      <c r="H104" s="18" t="s">
        <v>679</v>
      </c>
      <c r="I104" s="18" t="s">
        <v>596</v>
      </c>
      <c r="J104" s="18" t="str">
        <f t="shared" si="17"/>
        <v/>
      </c>
      <c r="K104" s="18" t="str">
        <f t="shared" si="17"/>
        <v/>
      </c>
      <c r="L104" s="18" t="str">
        <f t="shared" si="18"/>
        <v/>
      </c>
      <c r="M104" s="18" t="str">
        <f t="shared" si="18"/>
        <v/>
      </c>
      <c r="N104" s="18"/>
      <c r="O104" s="18"/>
      <c r="P104" s="18" t="str">
        <f t="shared" si="15"/>
        <v/>
      </c>
    </row>
    <row r="105" spans="1:16">
      <c r="A105" s="18">
        <f t="shared" si="16"/>
        <v>104</v>
      </c>
      <c r="B105" s="19">
        <v>15</v>
      </c>
      <c r="C105" s="18" t="str" cm="1">
        <f t="array" ref="C105">GetValue("Tbl",B105,"Alias")</f>
        <v>Tbl</v>
      </c>
      <c r="D105" s="18">
        <v>42</v>
      </c>
      <c r="E105" s="18" t="str" cm="1">
        <f t="array" ref="E105">GetValue("Dmn",D105,"Name")</f>
        <v>JS</v>
      </c>
      <c r="F105" s="18">
        <f t="shared" si="12"/>
        <v>50</v>
      </c>
      <c r="G105" s="18" t="s">
        <v>18</v>
      </c>
      <c r="H105" s="18" t="s">
        <v>680</v>
      </c>
      <c r="I105" s="18" t="s">
        <v>601</v>
      </c>
      <c r="J105" s="18" t="str">
        <f t="shared" si="17"/>
        <v/>
      </c>
      <c r="K105" s="18" t="str">
        <f t="shared" si="17"/>
        <v/>
      </c>
      <c r="L105" s="18" t="str">
        <f t="shared" si="18"/>
        <v/>
      </c>
      <c r="M105" s="18" t="str">
        <f t="shared" si="18"/>
        <v/>
      </c>
      <c r="N105" s="18"/>
      <c r="O105" s="18"/>
      <c r="P105" s="18" t="str">
        <f t="shared" si="15"/>
        <v/>
      </c>
    </row>
    <row r="106" spans="1:16">
      <c r="A106" s="18">
        <f t="shared" si="16"/>
        <v>105</v>
      </c>
      <c r="B106" s="19">
        <v>15</v>
      </c>
      <c r="C106" s="18" t="str" cm="1">
        <f t="array" ref="C106">GetValue("Tbl",B106,"Alias")</f>
        <v>Tbl</v>
      </c>
      <c r="D106" s="18">
        <v>6</v>
      </c>
      <c r="E106" s="18" t="str" cm="1">
        <f t="array" ref="E106">GetValue("Dmn",D106,"Name")</f>
        <v>Boolean</v>
      </c>
      <c r="F106" s="18">
        <f t="shared" si="12"/>
        <v>55</v>
      </c>
      <c r="G106" s="18" t="s">
        <v>686</v>
      </c>
      <c r="H106" s="18" t="s">
        <v>763</v>
      </c>
      <c r="I106" s="18" t="s">
        <v>766</v>
      </c>
      <c r="J106" s="18" t="str">
        <f t="shared" si="17"/>
        <v/>
      </c>
      <c r="K106" s="18" t="str">
        <f t="shared" si="17"/>
        <v/>
      </c>
      <c r="L106" s="18" t="str">
        <f t="shared" si="18"/>
        <v/>
      </c>
      <c r="M106" s="18" t="str">
        <f t="shared" si="18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15</v>
      </c>
      <c r="C107" s="18" t="str" cm="1">
        <f t="array" ref="C107">GetValue("Tbl",B107,"Alias")</f>
        <v>Tbl</v>
      </c>
      <c r="D107" s="18">
        <v>6</v>
      </c>
      <c r="E107" s="18" t="str" cm="1">
        <f t="array" ref="E107">GetValue("Dmn",D107,"Name")</f>
        <v>Boolean</v>
      </c>
      <c r="F107" s="18">
        <f t="shared" ref="F107:F108" si="19">IF(G107="Id",5,F106+5)</f>
        <v>60</v>
      </c>
      <c r="G107" s="18" t="s">
        <v>687</v>
      </c>
      <c r="H107" s="18" t="s">
        <v>764</v>
      </c>
      <c r="I107" s="18" t="s">
        <v>765</v>
      </c>
      <c r="J107" s="18" t="str">
        <f t="shared" si="17"/>
        <v/>
      </c>
      <c r="K107" s="18" t="str">
        <f t="shared" si="17"/>
        <v/>
      </c>
      <c r="L107" s="18" t="str">
        <f t="shared" si="18"/>
        <v/>
      </c>
      <c r="M107" s="18" t="str">
        <f t="shared" si="18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15</v>
      </c>
      <c r="C108" s="18" t="str" cm="1">
        <f t="array" ref="C108">GetValue("Tbl",B108,"Alias")</f>
        <v>Tbl</v>
      </c>
      <c r="D108" s="18">
        <v>6</v>
      </c>
      <c r="E108" s="18" t="str" cm="1">
        <f t="array" ref="E108">GetValue("Dmn",D108,"Name")</f>
        <v>Boolean</v>
      </c>
      <c r="F108" s="18">
        <f t="shared" si="19"/>
        <v>65</v>
      </c>
      <c r="G108" s="18" t="s">
        <v>685</v>
      </c>
      <c r="H108" s="18" t="s">
        <v>768</v>
      </c>
      <c r="I108" s="18" t="s">
        <v>767</v>
      </c>
      <c r="J108" s="18" t="str">
        <f t="shared" si="17"/>
        <v/>
      </c>
      <c r="K108" s="18" t="str">
        <f t="shared" si="17"/>
        <v/>
      </c>
      <c r="L108" s="18" t="str">
        <f t="shared" si="18"/>
        <v/>
      </c>
      <c r="M108" s="18" t="str">
        <f t="shared" si="18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15</v>
      </c>
      <c r="C109" s="18" t="str" cm="1">
        <f t="array" ref="C109">GetValue("Tbl",B109,"Alias")</f>
        <v>Tbl</v>
      </c>
      <c r="D109" s="18">
        <v>6</v>
      </c>
      <c r="E109" s="18" t="str" cm="1">
        <f t="array" ref="E109">GetValue("Dmn",D109,"Name")</f>
        <v>Boolean</v>
      </c>
      <c r="F109" s="18">
        <f t="shared" ref="F109" si="20">IF(G109="Id",5,F108+5)</f>
        <v>70</v>
      </c>
      <c r="G109" s="18" t="s">
        <v>688</v>
      </c>
      <c r="H109" s="18" t="s">
        <v>769</v>
      </c>
      <c r="I109" s="18" t="s">
        <v>770</v>
      </c>
      <c r="J109" s="18" t="str">
        <f t="shared" si="17"/>
        <v/>
      </c>
      <c r="K109" s="18" t="str">
        <f t="shared" si="17"/>
        <v/>
      </c>
      <c r="L109" s="18" t="str">
        <f t="shared" si="18"/>
        <v/>
      </c>
      <c r="M109" s="18" t="str">
        <f t="shared" si="18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15</v>
      </c>
      <c r="C110" s="18" t="str" cm="1">
        <f t="array" ref="C110">GetValue("Tbl",B110,"Alias")</f>
        <v>Tbl</v>
      </c>
      <c r="D110" s="18">
        <v>6</v>
      </c>
      <c r="E110" s="18" t="str" cm="1">
        <f t="array" ref="E110">GetValue("Dmn",D110,"Name")</f>
        <v>Boolean</v>
      </c>
      <c r="F110" s="18">
        <f t="shared" ref="F110" si="21">IF(G110="Id",5,F109+5)</f>
        <v>75</v>
      </c>
      <c r="G110" s="18" t="s">
        <v>689</v>
      </c>
      <c r="H110" s="18" t="s">
        <v>771</v>
      </c>
      <c r="I110" s="18" t="s">
        <v>772</v>
      </c>
      <c r="J110" s="18" t="str">
        <f t="shared" si="17"/>
        <v/>
      </c>
      <c r="K110" s="18" t="str">
        <f t="shared" si="17"/>
        <v/>
      </c>
      <c r="L110" s="18" t="str">
        <f t="shared" si="18"/>
        <v/>
      </c>
      <c r="M110" s="18" t="str">
        <f t="shared" si="18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15</v>
      </c>
      <c r="C111" s="18" t="str" cm="1">
        <f t="array" ref="C111">GetValue("Tbl",B111,"Alias")</f>
        <v>Tbl</v>
      </c>
      <c r="D111" s="18">
        <v>6</v>
      </c>
      <c r="E111" s="18" t="str" cm="1">
        <f t="array" ref="E111">GetValue("Dmn",D111,"Name")</f>
        <v>Boolean</v>
      </c>
      <c r="F111" s="18">
        <f t="shared" ref="F111" si="22">IF(G111="Id",5,F110+5)</f>
        <v>80</v>
      </c>
      <c r="G111" s="18" t="s">
        <v>690</v>
      </c>
      <c r="H111" s="18" t="s">
        <v>773</v>
      </c>
      <c r="I111" s="18" t="s">
        <v>774</v>
      </c>
      <c r="J111" s="18" t="str">
        <f t="shared" si="17"/>
        <v/>
      </c>
      <c r="K111" s="18" t="str">
        <f t="shared" si="17"/>
        <v/>
      </c>
      <c r="L111" s="18" t="str">
        <f t="shared" si="18"/>
        <v/>
      </c>
      <c r="M111" s="18" t="str">
        <f t="shared" si="18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15</v>
      </c>
      <c r="C112" s="18" t="str" cm="1">
        <f t="array" ref="C112">GetValue("Tbl",B112,"Alias")</f>
        <v>Tbl</v>
      </c>
      <c r="D112" s="18">
        <v>6</v>
      </c>
      <c r="E112" s="18" t="str" cm="1">
        <f t="array" ref="E112">GetValue("Dmn",D112,"Name")</f>
        <v>Boolean</v>
      </c>
      <c r="F112" s="18">
        <f t="shared" ref="F112" si="23">IF(G112="Id",5,F111+5)</f>
        <v>85</v>
      </c>
      <c r="G112" s="18" t="s">
        <v>693</v>
      </c>
      <c r="H112" s="18" t="s">
        <v>775</v>
      </c>
      <c r="I112" s="18" t="s">
        <v>776</v>
      </c>
      <c r="J112" s="18" t="str">
        <f t="shared" si="17"/>
        <v/>
      </c>
      <c r="K112" s="18" t="str">
        <f t="shared" si="17"/>
        <v/>
      </c>
      <c r="L112" s="18" t="str">
        <f t="shared" si="18"/>
        <v/>
      </c>
      <c r="M112" s="18" t="str">
        <f t="shared" si="18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15</v>
      </c>
      <c r="C113" s="18" t="str" cm="1">
        <f t="array" ref="C113">GetValue("Tbl",B113,"Alias")</f>
        <v>Tbl</v>
      </c>
      <c r="D113" s="18">
        <v>6</v>
      </c>
      <c r="E113" s="18" t="str" cm="1">
        <f t="array" ref="E113">GetValue("Dmn",D113,"Name")</f>
        <v>Boolean</v>
      </c>
      <c r="F113" s="18">
        <f t="shared" ref="F113" si="24">IF(G113="Id",5,F112+5)</f>
        <v>90</v>
      </c>
      <c r="G113" s="18" t="s">
        <v>692</v>
      </c>
      <c r="H113" s="18" t="s">
        <v>777</v>
      </c>
      <c r="I113" s="18" t="s">
        <v>778</v>
      </c>
      <c r="J113" s="18" t="str">
        <f t="shared" si="17"/>
        <v/>
      </c>
      <c r="K113" s="18" t="str">
        <f t="shared" si="17"/>
        <v/>
      </c>
      <c r="L113" s="18" t="str">
        <f t="shared" si="18"/>
        <v/>
      </c>
      <c r="M113" s="18" t="str">
        <f t="shared" si="18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15</v>
      </c>
      <c r="C114" s="18" t="str" cm="1">
        <f t="array" ref="C114">GetValue("Tbl",B114,"Alias")</f>
        <v>Tbl</v>
      </c>
      <c r="D114" s="18">
        <v>6</v>
      </c>
      <c r="E114" s="18" t="str" cm="1">
        <f t="array" ref="E114">GetValue("Dmn",D114,"Name")</f>
        <v>Boolean</v>
      </c>
      <c r="F114" s="18">
        <f t="shared" ref="F114" si="25">IF(G114="Id",5,F113+5)</f>
        <v>95</v>
      </c>
      <c r="G114" s="18" t="s">
        <v>691</v>
      </c>
      <c r="H114" s="18" t="s">
        <v>779</v>
      </c>
      <c r="I114" s="18" t="s">
        <v>780</v>
      </c>
      <c r="J114" s="18" t="str">
        <f t="shared" si="17"/>
        <v/>
      </c>
      <c r="K114" s="18" t="str">
        <f t="shared" si="17"/>
        <v/>
      </c>
      <c r="L114" s="18" t="str">
        <f t="shared" si="18"/>
        <v/>
      </c>
      <c r="M114" s="18" t="str">
        <f t="shared" si="18"/>
        <v/>
      </c>
      <c r="N114" s="18"/>
      <c r="O114" s="18"/>
      <c r="P114" s="18" t="str">
        <f t="shared" si="15"/>
        <v/>
      </c>
    </row>
    <row r="115" spans="1:16">
      <c r="A115" s="20">
        <f t="shared" si="16"/>
        <v>114</v>
      </c>
      <c r="B115" s="21">
        <v>16</v>
      </c>
      <c r="C115" s="18" t="str" cm="1">
        <f t="array" ref="C115">GetValue("Tbl",B115,"Alias")</f>
        <v>Col</v>
      </c>
      <c r="D115" s="20">
        <v>61</v>
      </c>
      <c r="E115" s="20" t="e" cm="1">
        <f t="array" ref="E115">GetValue("Dmn",D115,"Name")</f>
        <v>#VALUE!</v>
      </c>
      <c r="F115" s="20">
        <f>IF(G115="Id",5,F106+5)</f>
        <v>5</v>
      </c>
      <c r="G115" s="20" t="s">
        <v>0</v>
      </c>
      <c r="H115" s="20" t="s">
        <v>681</v>
      </c>
      <c r="I115" s="20" t="s">
        <v>0</v>
      </c>
      <c r="J115" s="20" t="b">
        <f t="shared" si="17"/>
        <v>1</v>
      </c>
      <c r="K115" s="20" t="b">
        <f t="shared" si="17"/>
        <v>1</v>
      </c>
      <c r="L115" s="20" t="b">
        <f t="shared" si="18"/>
        <v>0</v>
      </c>
      <c r="M115" s="20" t="b">
        <f t="shared" si="18"/>
        <v>0</v>
      </c>
      <c r="N115" s="20"/>
      <c r="O115" s="20"/>
      <c r="P115" s="20" t="b">
        <f t="shared" si="15"/>
        <v>0</v>
      </c>
    </row>
    <row r="116" spans="1:16">
      <c r="A116" s="20">
        <f t="shared" si="16"/>
        <v>115</v>
      </c>
      <c r="B116" s="21">
        <v>16</v>
      </c>
      <c r="C116" s="18" t="str" cm="1">
        <f t="array" ref="C116">GetValue("Tbl",B116,"Alias")</f>
        <v>Col</v>
      </c>
      <c r="D116" s="20">
        <v>57</v>
      </c>
      <c r="E116" s="20" t="str" cm="1">
        <f t="array" ref="E116">GetValue("Dmn",D116,"Name")</f>
        <v>Value List</v>
      </c>
      <c r="F116" s="20">
        <f>IF(G116="Id",5,F115+5)</f>
        <v>10</v>
      </c>
      <c r="G116" s="20" t="s">
        <v>1</v>
      </c>
      <c r="H116" s="20" t="s">
        <v>682</v>
      </c>
      <c r="I116" s="20" t="s">
        <v>101</v>
      </c>
      <c r="J116" s="20" t="str">
        <f t="shared" si="17"/>
        <v/>
      </c>
      <c r="K116" s="20" t="str">
        <f t="shared" si="17"/>
        <v/>
      </c>
      <c r="L116" s="20" t="str">
        <f t="shared" si="18"/>
        <v/>
      </c>
      <c r="M116" s="20" t="str">
        <f t="shared" si="18"/>
        <v/>
      </c>
      <c r="N116" s="20"/>
      <c r="O116" s="20"/>
      <c r="P116" s="20" t="str">
        <f t="shared" si="15"/>
        <v/>
      </c>
    </row>
    <row r="117" spans="1:16">
      <c r="A117" s="20">
        <f t="shared" si="16"/>
        <v>116</v>
      </c>
      <c r="B117" s="21">
        <v>16</v>
      </c>
      <c r="C117" s="18" t="str" cm="1">
        <f t="array" ref="C117">GetValue("Tbl",B117,"Alias")</f>
        <v>Col</v>
      </c>
      <c r="D117" s="20">
        <v>6</v>
      </c>
      <c r="E117" s="20" t="str" cm="1">
        <f t="array" ref="E117">GetValue("Dmn",D117,"Name")</f>
        <v>Boolean</v>
      </c>
      <c r="F117" s="20">
        <f t="shared" si="12"/>
        <v>15</v>
      </c>
      <c r="G117" s="20" t="s">
        <v>124</v>
      </c>
      <c r="H117" s="20" t="s">
        <v>683</v>
      </c>
      <c r="I117" s="20" t="s">
        <v>684</v>
      </c>
      <c r="J117" s="20" t="str">
        <f t="shared" si="17"/>
        <v/>
      </c>
      <c r="K117" s="20" t="str">
        <f t="shared" si="17"/>
        <v/>
      </c>
      <c r="L117" s="20" t="str">
        <f t="shared" si="18"/>
        <v/>
      </c>
      <c r="M117" s="20" t="str">
        <f t="shared" si="18"/>
        <v/>
      </c>
      <c r="N117" s="20"/>
      <c r="O117" s="20"/>
      <c r="P117" s="20" t="str">
        <f t="shared" si="15"/>
        <v/>
      </c>
    </row>
    <row r="118" spans="1:16">
      <c r="A118" s="18">
        <f t="shared" si="16"/>
        <v>117</v>
      </c>
      <c r="B118" s="19">
        <v>17</v>
      </c>
      <c r="C118" s="18" t="str" cm="1">
        <f t="array" ref="C118">GetValue("Tbl",B118,"Alias")</f>
        <v>Idx</v>
      </c>
      <c r="D118" s="18">
        <v>1</v>
      </c>
      <c r="E118" s="18" t="str" cm="1">
        <f t="array" ref="E118">GetValue("Dmn",D118,"Name")</f>
        <v>BigInteger</v>
      </c>
      <c r="F118" s="18">
        <f t="shared" si="12"/>
        <v>5</v>
      </c>
      <c r="G118" s="18" t="s">
        <v>0</v>
      </c>
      <c r="H118" s="18" t="s">
        <v>694</v>
      </c>
      <c r="I118" s="18" t="s">
        <v>114</v>
      </c>
      <c r="J118" s="18" t="b">
        <f t="shared" si="17"/>
        <v>1</v>
      </c>
      <c r="K118" s="18" t="b">
        <f t="shared" si="17"/>
        <v>1</v>
      </c>
      <c r="L118" s="18" t="b">
        <f t="shared" si="18"/>
        <v>0</v>
      </c>
      <c r="M118" s="18" t="b">
        <f t="shared" si="18"/>
        <v>0</v>
      </c>
      <c r="N118" s="18"/>
      <c r="O118" s="18"/>
      <c r="P118" s="18" t="b">
        <f t="shared" si="15"/>
        <v>0</v>
      </c>
    </row>
    <row r="119" spans="1:16">
      <c r="A119" s="18">
        <f t="shared" si="16"/>
        <v>118</v>
      </c>
      <c r="B119" s="19">
        <v>17</v>
      </c>
      <c r="C119" s="18" t="str" cm="1">
        <f t="array" ref="C119">GetValue("Tbl",B119,"Alias")</f>
        <v>Idx</v>
      </c>
      <c r="D119" s="18">
        <v>1</v>
      </c>
      <c r="E119" s="18" t="str" cm="1">
        <f t="array" ref="E119">GetValue("Dmn",D119,"Name")</f>
        <v>BigInteger</v>
      </c>
      <c r="F119" s="18">
        <f t="shared" si="12"/>
        <v>10</v>
      </c>
      <c r="G119" s="18" t="s">
        <v>125</v>
      </c>
      <c r="H119" s="18" t="s">
        <v>681</v>
      </c>
      <c r="I119" s="18" t="s">
        <v>695</v>
      </c>
      <c r="J119" s="18" t="str">
        <f t="shared" si="17"/>
        <v/>
      </c>
      <c r="K119" s="18" t="str">
        <f t="shared" si="17"/>
        <v/>
      </c>
      <c r="L119" s="18" t="str">
        <f t="shared" si="18"/>
        <v/>
      </c>
      <c r="M119" s="18" t="str">
        <f t="shared" si="18"/>
        <v/>
      </c>
      <c r="N119" s="18"/>
      <c r="O119" s="18"/>
      <c r="P119" s="18" t="str">
        <f t="shared" si="15"/>
        <v/>
      </c>
    </row>
    <row r="120" spans="1:16">
      <c r="A120" s="18">
        <f t="shared" si="16"/>
        <v>119</v>
      </c>
      <c r="B120" s="19">
        <v>17</v>
      </c>
      <c r="C120" s="18" t="str" cm="1">
        <f t="array" ref="C120">GetValue("Tbl",B120,"Alias")</f>
        <v>Idx</v>
      </c>
      <c r="D120" s="18">
        <v>1</v>
      </c>
      <c r="E120" s="18" t="str" cm="1">
        <f t="array" ref="E120">GetValue("Dmn",D120,"Name")</f>
        <v>BigInteger</v>
      </c>
      <c r="F120" s="18">
        <f t="shared" si="12"/>
        <v>15</v>
      </c>
      <c r="G120" s="18" t="s">
        <v>126</v>
      </c>
      <c r="H120" s="18" t="s">
        <v>696</v>
      </c>
      <c r="I120" s="18" t="s">
        <v>697</v>
      </c>
      <c r="J120" s="18" t="str">
        <f t="shared" si="17"/>
        <v/>
      </c>
      <c r="K120" s="18" t="str">
        <f t="shared" si="17"/>
        <v/>
      </c>
      <c r="L120" s="18" t="str">
        <f t="shared" si="18"/>
        <v/>
      </c>
      <c r="M120" s="18" t="str">
        <f t="shared" si="18"/>
        <v/>
      </c>
      <c r="N120" s="18"/>
      <c r="O120" s="18"/>
      <c r="P120" s="18" t="str">
        <f t="shared" si="15"/>
        <v/>
      </c>
    </row>
    <row r="121" spans="1:16">
      <c r="A121" s="18">
        <f t="shared" si="16"/>
        <v>120</v>
      </c>
      <c r="B121" s="19">
        <v>17</v>
      </c>
      <c r="C121" s="18" t="str" cm="1">
        <f t="array" ref="C121">GetValue("Tbl",B121,"Alias")</f>
        <v>Idx</v>
      </c>
      <c r="D121" s="18">
        <v>4</v>
      </c>
      <c r="E121" s="18" t="str" cm="1">
        <f t="array" ref="E121">GetValue("Dmn",D121,"Name")</f>
        <v>SmallInteger</v>
      </c>
      <c r="F121" s="18">
        <f t="shared" si="12"/>
        <v>20</v>
      </c>
      <c r="G121" s="18" t="s">
        <v>71</v>
      </c>
      <c r="H121" s="18" t="s">
        <v>698</v>
      </c>
      <c r="I121" s="18" t="s">
        <v>115</v>
      </c>
      <c r="J121" s="18" t="str">
        <f t="shared" si="17"/>
        <v/>
      </c>
      <c r="K121" s="18" t="str">
        <f t="shared" si="17"/>
        <v/>
      </c>
      <c r="L121" s="18" t="str">
        <f t="shared" si="18"/>
        <v/>
      </c>
      <c r="M121" s="18" t="str">
        <f t="shared" si="18"/>
        <v/>
      </c>
      <c r="N121" s="18"/>
      <c r="O121" s="18"/>
      <c r="P121" s="18" t="str">
        <f t="shared" si="15"/>
        <v/>
      </c>
    </row>
    <row r="122" spans="1:16">
      <c r="A122" s="18">
        <f t="shared" si="16"/>
        <v>121</v>
      </c>
      <c r="B122" s="19">
        <v>17</v>
      </c>
      <c r="C122" s="18" t="str" cm="1">
        <f t="array" ref="C122">GetValue("Tbl",B122,"Alias")</f>
        <v>Idx</v>
      </c>
      <c r="D122" s="18">
        <v>6</v>
      </c>
      <c r="E122" s="18" t="str" cm="1">
        <f t="array" ref="E122">GetValue("Dmn",D122,"Name")</f>
        <v>Boolean</v>
      </c>
      <c r="F122" s="18">
        <f t="shared" si="12"/>
        <v>25</v>
      </c>
      <c r="G122" s="18" t="s">
        <v>127</v>
      </c>
      <c r="H122" s="18" t="s">
        <v>699</v>
      </c>
      <c r="I122" s="18" t="s">
        <v>700</v>
      </c>
      <c r="J122" s="18" t="str">
        <f t="shared" si="17"/>
        <v/>
      </c>
      <c r="K122" s="18" t="str">
        <f t="shared" si="17"/>
        <v/>
      </c>
      <c r="L122" s="18" t="str">
        <f t="shared" si="18"/>
        <v/>
      </c>
      <c r="M122" s="18" t="str">
        <f t="shared" si="18"/>
        <v/>
      </c>
      <c r="N122" s="18"/>
      <c r="O122" s="18"/>
      <c r="P122" s="18" t="str">
        <f t="shared" si="15"/>
        <v/>
      </c>
    </row>
    <row r="123" spans="1:16">
      <c r="A123" s="20">
        <f t="shared" si="16"/>
        <v>122</v>
      </c>
      <c r="B123" s="21">
        <v>18</v>
      </c>
      <c r="C123" s="18" t="str" cm="1">
        <f t="array" ref="C123">GetValue("Tbl",B123,"Alias")</f>
        <v>Idk</v>
      </c>
      <c r="D123" s="20">
        <v>61</v>
      </c>
      <c r="E123" s="20" t="e" cm="1">
        <f t="array" ref="E123">GetValue("Dmn",D123,"Name")</f>
        <v>#VALUE!</v>
      </c>
      <c r="F123" s="20">
        <f t="shared" si="12"/>
        <v>5</v>
      </c>
      <c r="G123" s="20" t="s">
        <v>0</v>
      </c>
      <c r="H123" s="20" t="s">
        <v>706</v>
      </c>
      <c r="I123" s="20" t="s">
        <v>0</v>
      </c>
      <c r="J123" s="20" t="b">
        <f t="shared" si="17"/>
        <v>1</v>
      </c>
      <c r="K123" s="20" t="b">
        <f t="shared" si="17"/>
        <v>1</v>
      </c>
      <c r="L123" s="20" t="b">
        <f t="shared" si="18"/>
        <v>0</v>
      </c>
      <c r="M123" s="20" t="b">
        <f t="shared" si="18"/>
        <v>0</v>
      </c>
      <c r="N123" s="20"/>
      <c r="O123" s="20"/>
      <c r="P123" s="20" t="b">
        <f t="shared" si="15"/>
        <v>0</v>
      </c>
    </row>
    <row r="124" spans="1:16">
      <c r="A124" s="20">
        <f t="shared" si="16"/>
        <v>123</v>
      </c>
      <c r="B124" s="21">
        <v>18</v>
      </c>
      <c r="C124" s="18" t="str" cm="1">
        <f t="array" ref="C124">GetValue("Tbl",B124,"Alias")</f>
        <v>Idk</v>
      </c>
      <c r="D124" s="20">
        <v>1</v>
      </c>
      <c r="E124" s="20" t="str" cm="1">
        <f t="array" ref="E124">GetValue("Dmn",D124,"Name")</f>
        <v>BigInteger</v>
      </c>
      <c r="F124" s="20">
        <f t="shared" si="12"/>
        <v>10</v>
      </c>
      <c r="G124" s="20" t="s">
        <v>125</v>
      </c>
      <c r="H124" s="20" t="s">
        <v>703</v>
      </c>
      <c r="I124" s="20" t="s">
        <v>695</v>
      </c>
      <c r="J124" s="20" t="str">
        <f t="shared" si="17"/>
        <v/>
      </c>
      <c r="K124" s="20" t="str">
        <f t="shared" si="17"/>
        <v/>
      </c>
      <c r="L124" s="20" t="str">
        <f t="shared" si="18"/>
        <v/>
      </c>
      <c r="M124" s="20" t="str">
        <f t="shared" si="18"/>
        <v/>
      </c>
      <c r="N124" s="20"/>
      <c r="O124" s="20"/>
      <c r="P124" s="20" t="str">
        <f t="shared" si="15"/>
        <v/>
      </c>
    </row>
    <row r="125" spans="1:16">
      <c r="A125" s="18">
        <f t="shared" si="16"/>
        <v>124</v>
      </c>
      <c r="B125" s="19">
        <v>19</v>
      </c>
      <c r="C125" s="18" t="str" cm="1">
        <f t="array" ref="C125">GetValue("Tbl",B125,"Alias")</f>
        <v>Inc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">
        <v>126</v>
      </c>
      <c r="H125" s="18" t="s">
        <v>704</v>
      </c>
      <c r="I125" s="18" t="s">
        <v>705</v>
      </c>
      <c r="J125" s="18" t="str">
        <f t="shared" si="17"/>
        <v/>
      </c>
      <c r="K125" s="18" t="str">
        <f t="shared" si="17"/>
        <v/>
      </c>
      <c r="L125" s="18" t="str">
        <f t="shared" si="18"/>
        <v/>
      </c>
      <c r="M125" s="18" t="str">
        <f t="shared" si="18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19</v>
      </c>
      <c r="C126" s="18" t="str" cm="1">
        <f t="array" ref="C126">GetValue("Tbl",B126,"Alias")</f>
        <v>Inc</v>
      </c>
      <c r="D126" s="18">
        <v>1</v>
      </c>
      <c r="E126" s="18" t="str" cm="1">
        <f t="array" ref="E126">GetValue("Dmn",D126,"Name")</f>
        <v>BigInteger</v>
      </c>
      <c r="F126" s="18">
        <f t="shared" ref="F126:F140" si="26">IF(G126="Id",5,F125+5)</f>
        <v>5</v>
      </c>
      <c r="G126" s="18" t="s">
        <v>0</v>
      </c>
      <c r="H126" s="18" t="s">
        <v>204</v>
      </c>
      <c r="I126" s="18" t="s">
        <v>0</v>
      </c>
      <c r="J126" s="18" t="b">
        <f t="shared" si="17"/>
        <v>1</v>
      </c>
      <c r="K126" s="18" t="b">
        <f t="shared" si="17"/>
        <v>1</v>
      </c>
      <c r="L126" s="18" t="b">
        <f t="shared" si="18"/>
        <v>0</v>
      </c>
      <c r="M126" s="18" t="b">
        <f t="shared" si="18"/>
        <v>0</v>
      </c>
      <c r="N126" s="18"/>
      <c r="O126" s="18"/>
      <c r="P126" s="18" t="b">
        <f t="shared" si="15"/>
        <v>0</v>
      </c>
    </row>
    <row r="127" spans="1:16">
      <c r="A127" s="18">
        <f t="shared" si="16"/>
        <v>126</v>
      </c>
      <c r="B127" s="19">
        <v>19</v>
      </c>
      <c r="C127" s="18" t="str" cm="1">
        <f t="array" ref="C127">GetValue("Tbl",B127,"Alias")</f>
        <v>Inc</v>
      </c>
      <c r="D127" s="18">
        <v>1</v>
      </c>
      <c r="E127" s="18" t="str" cm="1">
        <f t="array" ref="E127">GetValue("Dmn",D127,"Name")</f>
        <v>BigInteger</v>
      </c>
      <c r="F127" s="18">
        <f t="shared" si="26"/>
        <v>10</v>
      </c>
      <c r="G127" s="18" t="s">
        <v>205</v>
      </c>
      <c r="H127" s="18" t="s">
        <v>707</v>
      </c>
      <c r="I127" s="18" t="s">
        <v>207</v>
      </c>
      <c r="J127" s="18" t="str">
        <f t="shared" si="17"/>
        <v/>
      </c>
      <c r="K127" s="18" t="str">
        <f t="shared" si="17"/>
        <v/>
      </c>
      <c r="L127" s="18" t="str">
        <f t="shared" si="18"/>
        <v/>
      </c>
      <c r="M127" s="18" t="str">
        <f t="shared" si="18"/>
        <v/>
      </c>
      <c r="N127" s="18"/>
      <c r="O127" s="18"/>
      <c r="P127" s="18" t="str">
        <f t="shared" si="15"/>
        <v/>
      </c>
    </row>
    <row r="128" spans="1:16">
      <c r="A128" s="18">
        <f t="shared" si="16"/>
        <v>127</v>
      </c>
      <c r="B128" s="19">
        <v>19</v>
      </c>
      <c r="C128" s="18" t="str" cm="1">
        <f t="array" ref="C128">GetValue("Tbl",B128,"Alias")</f>
        <v>Inc</v>
      </c>
      <c r="D128" s="18">
        <v>1</v>
      </c>
      <c r="E128" s="18" t="str" cm="1">
        <f t="array" ref="E128">GetValue("Dmn",D128,"Name")</f>
        <v>BigInteger</v>
      </c>
      <c r="F128" s="18">
        <f t="shared" si="26"/>
        <v>15</v>
      </c>
      <c r="G128" s="18" t="s">
        <v>206</v>
      </c>
      <c r="H128" s="18" t="s">
        <v>708</v>
      </c>
      <c r="I128" s="18" t="s">
        <v>208</v>
      </c>
      <c r="J128" s="18" t="str">
        <f t="shared" si="17"/>
        <v/>
      </c>
      <c r="K128" s="18" t="str">
        <f t="shared" si="17"/>
        <v/>
      </c>
      <c r="L128" s="18" t="str">
        <f t="shared" si="18"/>
        <v/>
      </c>
      <c r="M128" s="18" t="str">
        <f t="shared" si="18"/>
        <v/>
      </c>
      <c r="N128" s="18"/>
      <c r="O128" s="18"/>
      <c r="P128" s="18" t="str">
        <f t="shared" si="15"/>
        <v/>
      </c>
    </row>
    <row r="129" spans="1:16">
      <c r="A129" s="18">
        <f t="shared" si="16"/>
        <v>128</v>
      </c>
      <c r="B129" s="19">
        <v>19</v>
      </c>
      <c r="C129" s="18" t="str" cm="1">
        <f t="array" ref="C129">GetValue("Tbl",B129,"Alias")</f>
        <v>Inc</v>
      </c>
      <c r="D129" s="18">
        <v>21</v>
      </c>
      <c r="E129" s="18" t="str" cm="1">
        <f t="array" ref="E129">GetValue("Dmn",D129,"Name")</f>
        <v>Raíz CNPJ</v>
      </c>
      <c r="F129" s="18">
        <f t="shared" si="26"/>
        <v>20</v>
      </c>
      <c r="G129" s="18" t="s">
        <v>701</v>
      </c>
      <c r="H129" s="18" t="s">
        <v>702</v>
      </c>
      <c r="I129" s="18" t="s">
        <v>213</v>
      </c>
      <c r="J129" s="18" t="str">
        <f t="shared" si="17"/>
        <v/>
      </c>
      <c r="K129" s="18" t="str">
        <f t="shared" si="17"/>
        <v/>
      </c>
      <c r="L129" s="18" t="str">
        <f t="shared" si="18"/>
        <v/>
      </c>
      <c r="M129" s="18" t="str">
        <f t="shared" si="18"/>
        <v/>
      </c>
      <c r="N129" s="18"/>
      <c r="O129" s="18"/>
      <c r="P129" s="18" t="str">
        <f t="shared" si="15"/>
        <v/>
      </c>
    </row>
    <row r="130" spans="1:16">
      <c r="A130" s="20">
        <f t="shared" si="16"/>
        <v>129</v>
      </c>
      <c r="B130" s="21">
        <v>20</v>
      </c>
      <c r="C130" s="18" t="str" cm="1">
        <f t="array" ref="C130">GetValue("Tbl",B130,"Alias")</f>
        <v>Uni</v>
      </c>
      <c r="D130" s="20">
        <v>61</v>
      </c>
      <c r="E130" s="20" t="e" cm="1">
        <f t="array" ref="E130">GetValue("Dmn",D130,"Name")</f>
        <v>#VALUE!</v>
      </c>
      <c r="F130" s="20">
        <f t="shared" si="26"/>
        <v>5</v>
      </c>
      <c r="G130" s="20" t="s">
        <v>0</v>
      </c>
      <c r="H130" s="20" t="s">
        <v>710</v>
      </c>
      <c r="I130" s="20" t="s">
        <v>0</v>
      </c>
      <c r="J130" s="20" t="b">
        <f t="shared" si="17"/>
        <v>1</v>
      </c>
      <c r="K130" s="20" t="b">
        <f t="shared" si="17"/>
        <v>1</v>
      </c>
      <c r="L130" s="20" t="b">
        <f t="shared" si="18"/>
        <v>0</v>
      </c>
      <c r="M130" s="20" t="b">
        <f t="shared" si="18"/>
        <v>0</v>
      </c>
      <c r="N130" s="20"/>
      <c r="O130" s="20"/>
      <c r="P130" s="20" t="b">
        <f t="shared" si="15"/>
        <v>0</v>
      </c>
    </row>
    <row r="131" spans="1:16">
      <c r="A131" s="20">
        <f t="shared" si="16"/>
        <v>130</v>
      </c>
      <c r="B131" s="21">
        <v>20</v>
      </c>
      <c r="C131" s="18" t="str" cm="1">
        <f t="array" ref="C131">GetValue("Tbl",B131,"Alias")</f>
        <v>Uni</v>
      </c>
      <c r="D131" s="20">
        <v>1</v>
      </c>
      <c r="E131" s="20" t="str" cm="1">
        <f t="array" ref="E131">GetValue("Dmn",D131,"Name")</f>
        <v>BigInteger</v>
      </c>
      <c r="F131" s="20">
        <f t="shared" si="26"/>
        <v>10</v>
      </c>
      <c r="G131" s="20" t="s">
        <v>99</v>
      </c>
      <c r="H131" s="20" t="s">
        <v>711</v>
      </c>
      <c r="I131" s="20" t="s">
        <v>121</v>
      </c>
      <c r="J131" s="20" t="str">
        <f t="shared" si="17"/>
        <v/>
      </c>
      <c r="K131" s="20" t="str">
        <f t="shared" si="17"/>
        <v/>
      </c>
      <c r="L131" s="20" t="str">
        <f t="shared" si="18"/>
        <v/>
      </c>
      <c r="M131" s="20" t="str">
        <f t="shared" si="18"/>
        <v/>
      </c>
      <c r="N131" s="20"/>
      <c r="O131" s="20"/>
      <c r="P131" s="20" t="str">
        <f t="shared" si="15"/>
        <v/>
      </c>
    </row>
    <row r="132" spans="1:16">
      <c r="A132" s="20">
        <f t="shared" si="16"/>
        <v>131</v>
      </c>
      <c r="B132" s="21">
        <v>20</v>
      </c>
      <c r="C132" s="18" t="str" cm="1">
        <f t="array" ref="C132">GetValue("Tbl",B132,"Alias")</f>
        <v>Uni</v>
      </c>
      <c r="D132" s="20">
        <v>6</v>
      </c>
      <c r="E132" s="20" t="str" cm="1">
        <f t="array" ref="E132">GetValue("Dmn",D132,"Name")</f>
        <v>Boolean</v>
      </c>
      <c r="F132" s="20">
        <f t="shared" si="26"/>
        <v>15</v>
      </c>
      <c r="G132" s="20" t="s">
        <v>1</v>
      </c>
      <c r="H132" s="20" t="s">
        <v>712</v>
      </c>
      <c r="I132" s="20" t="s">
        <v>101</v>
      </c>
      <c r="J132" s="20" t="str">
        <f t="shared" si="17"/>
        <v/>
      </c>
      <c r="K132" s="20" t="str">
        <f t="shared" si="17"/>
        <v/>
      </c>
      <c r="L132" s="20" t="str">
        <f t="shared" si="18"/>
        <v/>
      </c>
      <c r="M132" s="20" t="str">
        <f t="shared" si="18"/>
        <v/>
      </c>
      <c r="N132" s="20"/>
      <c r="O132" s="20"/>
      <c r="P132" s="20" t="str">
        <f t="shared" si="15"/>
        <v/>
      </c>
    </row>
    <row r="133" spans="1:16">
      <c r="A133" s="18">
        <f t="shared" si="16"/>
        <v>132</v>
      </c>
      <c r="B133" s="19">
        <v>21</v>
      </c>
      <c r="C133" s="18" t="str" cm="1">
        <f t="array" ref="C133">GetValue("Tbl",B133,"Alias")</f>
        <v>Exp</v>
      </c>
      <c r="D133" s="18">
        <v>61</v>
      </c>
      <c r="E133" s="18" t="e" cm="1">
        <f t="array" ref="E133">GetValue("Dmn",D133,"Name")</f>
        <v>#VALUE!</v>
      </c>
      <c r="F133" s="18">
        <f t="shared" si="26"/>
        <v>5</v>
      </c>
      <c r="G133" s="18" t="s">
        <v>0</v>
      </c>
      <c r="H133" s="18" t="s">
        <v>713</v>
      </c>
      <c r="I133" s="18" t="s">
        <v>0</v>
      </c>
      <c r="J133" s="18" t="b">
        <f t="shared" si="17"/>
        <v>1</v>
      </c>
      <c r="K133" s="18" t="b">
        <f t="shared" si="17"/>
        <v>1</v>
      </c>
      <c r="L133" s="18" t="b">
        <f t="shared" si="18"/>
        <v>0</v>
      </c>
      <c r="M133" s="18" t="b">
        <f t="shared" si="18"/>
        <v>0</v>
      </c>
      <c r="N133" s="18"/>
      <c r="O133" s="18"/>
      <c r="P133" s="18" t="b">
        <f t="shared" si="15"/>
        <v>0</v>
      </c>
    </row>
    <row r="134" spans="1:16">
      <c r="A134" s="18">
        <f t="shared" si="16"/>
        <v>133</v>
      </c>
      <c r="B134" s="19">
        <v>21</v>
      </c>
      <c r="C134" s="18" t="str" cm="1">
        <f t="array" ref="C134">GetValue("Tbl",B134,"Alias")</f>
        <v>Exp</v>
      </c>
      <c r="D134" s="18">
        <v>1</v>
      </c>
      <c r="E134" s="18" t="str" cm="1">
        <f t="array" ref="E134">GetValue("Dmn",D134,"Name")</f>
        <v>BigInteger</v>
      </c>
      <c r="F134" s="18">
        <f t="shared" si="26"/>
        <v>10</v>
      </c>
      <c r="G134" s="18" t="s">
        <v>517</v>
      </c>
      <c r="H134" s="18" t="s">
        <v>710</v>
      </c>
      <c r="I134" s="18" t="s">
        <v>715</v>
      </c>
      <c r="J134" s="18" t="str">
        <f t="shared" si="17"/>
        <v/>
      </c>
      <c r="K134" s="18" t="str">
        <f t="shared" si="17"/>
        <v/>
      </c>
      <c r="L134" s="18" t="str">
        <f t="shared" si="18"/>
        <v/>
      </c>
      <c r="M134" s="18" t="str">
        <f t="shared" si="18"/>
        <v/>
      </c>
      <c r="N134" s="18"/>
      <c r="O134" s="18"/>
      <c r="P134" s="18" t="str">
        <f t="shared" si="15"/>
        <v/>
      </c>
    </row>
    <row r="135" spans="1:16">
      <c r="A135" s="18">
        <f t="shared" si="16"/>
        <v>134</v>
      </c>
      <c r="B135" s="19">
        <v>21</v>
      </c>
      <c r="C135" s="18" t="str" cm="1">
        <f t="array" ref="C135">GetValue("Tbl",B135,"Alias")</f>
        <v>Exp</v>
      </c>
      <c r="D135" s="18">
        <v>1</v>
      </c>
      <c r="E135" s="18" t="str" cm="1">
        <f t="array" ref="E135">GetValue("Dmn",D135,"Name")</f>
        <v>BigInteger</v>
      </c>
      <c r="F135" s="18">
        <f t="shared" si="26"/>
        <v>15</v>
      </c>
      <c r="G135" s="18" t="s">
        <v>71</v>
      </c>
      <c r="H135" s="18" t="s">
        <v>714</v>
      </c>
      <c r="I135" s="18" t="s">
        <v>115</v>
      </c>
      <c r="J135" s="18" t="str">
        <f t="shared" si="17"/>
        <v/>
      </c>
      <c r="K135" s="18" t="str">
        <f t="shared" si="17"/>
        <v/>
      </c>
      <c r="L135" s="18" t="str">
        <f t="shared" si="18"/>
        <v/>
      </c>
      <c r="M135" s="18" t="str">
        <f t="shared" si="18"/>
        <v/>
      </c>
      <c r="N135" s="18"/>
      <c r="O135" s="18"/>
      <c r="P135" s="18" t="str">
        <f t="shared" si="15"/>
        <v/>
      </c>
    </row>
    <row r="136" spans="1:16">
      <c r="A136" s="18">
        <f t="shared" si="16"/>
        <v>135</v>
      </c>
      <c r="B136" s="19">
        <v>21</v>
      </c>
      <c r="C136" s="18" t="str" cm="1">
        <f t="array" ref="C136">GetValue("Tbl",B136,"Alias")</f>
        <v>Exp</v>
      </c>
      <c r="D136" s="18">
        <v>1</v>
      </c>
      <c r="E136" s="18" t="str" cm="1">
        <f t="array" ref="E136">GetValue("Dmn",D136,"Name")</f>
        <v>BigInteger</v>
      </c>
      <c r="F136" s="18">
        <f t="shared" si="26"/>
        <v>20</v>
      </c>
      <c r="G136" s="18" t="s">
        <v>721</v>
      </c>
      <c r="H136" s="18" t="s">
        <v>722</v>
      </c>
      <c r="I136" s="18" t="s">
        <v>723</v>
      </c>
      <c r="J136" s="18" t="str">
        <f t="shared" si="17"/>
        <v/>
      </c>
      <c r="K136" s="18" t="str">
        <f t="shared" si="17"/>
        <v/>
      </c>
      <c r="L136" s="18" t="str">
        <f t="shared" si="18"/>
        <v/>
      </c>
      <c r="M136" s="18" t="str">
        <f t="shared" si="18"/>
        <v/>
      </c>
      <c r="N136" s="18"/>
      <c r="O136" s="18"/>
      <c r="P136" s="18" t="str">
        <f t="shared" si="15"/>
        <v/>
      </c>
    </row>
    <row r="137" spans="1:16">
      <c r="A137" s="18">
        <f t="shared" si="16"/>
        <v>136</v>
      </c>
      <c r="B137" s="19">
        <v>21</v>
      </c>
      <c r="C137" s="18" t="str" cm="1">
        <f t="array" ref="C137">GetValue("Tbl",B137,"Alias")</f>
        <v>Exp</v>
      </c>
      <c r="D137" s="18">
        <v>51</v>
      </c>
      <c r="E137" s="18" t="str" cm="1">
        <f t="array" ref="E137">GetValue("Dmn",D137,"Name")</f>
        <v>Deprecated Image</v>
      </c>
      <c r="F137" s="18">
        <f t="shared" si="26"/>
        <v>25</v>
      </c>
      <c r="G137" s="18" t="s">
        <v>500</v>
      </c>
      <c r="H137" s="18" t="s">
        <v>717</v>
      </c>
      <c r="I137" s="18" t="s">
        <v>716</v>
      </c>
      <c r="J137" s="18" t="str">
        <f t="shared" si="17"/>
        <v/>
      </c>
      <c r="K137" s="18" t="str">
        <f t="shared" si="17"/>
        <v/>
      </c>
      <c r="L137" s="18" t="str">
        <f t="shared" si="18"/>
        <v/>
      </c>
      <c r="M137" s="18" t="str">
        <f t="shared" si="18"/>
        <v/>
      </c>
      <c r="N137" s="18"/>
      <c r="O137" s="18"/>
      <c r="P137" s="18" t="str">
        <f t="shared" si="15"/>
        <v/>
      </c>
    </row>
    <row r="138" spans="1:16">
      <c r="A138" s="18">
        <f t="shared" si="16"/>
        <v>137</v>
      </c>
      <c r="B138" s="19">
        <v>21</v>
      </c>
      <c r="C138" s="18" t="str" cm="1">
        <f t="array" ref="C138">GetValue("Tbl",B138,"Alias")</f>
        <v>Exp</v>
      </c>
      <c r="D138" s="18">
        <v>52</v>
      </c>
      <c r="E138" s="18" t="str" cm="1">
        <f t="array" ref="E138">GetValue("Dmn",D138,"Name")</f>
        <v>Image</v>
      </c>
      <c r="F138" s="18">
        <f t="shared" si="26"/>
        <v>30</v>
      </c>
      <c r="G138" s="18" t="s">
        <v>568</v>
      </c>
      <c r="H138" s="18" t="s">
        <v>718</v>
      </c>
      <c r="I138" s="18" t="s">
        <v>718</v>
      </c>
      <c r="J138" s="18" t="str">
        <f t="shared" si="17"/>
        <v/>
      </c>
      <c r="K138" s="18" t="str">
        <f t="shared" si="17"/>
        <v/>
      </c>
      <c r="L138" s="18" t="str">
        <f t="shared" si="18"/>
        <v/>
      </c>
      <c r="M138" s="18" t="str">
        <f t="shared" si="18"/>
        <v/>
      </c>
      <c r="N138" s="18"/>
      <c r="O138" s="18"/>
      <c r="P138" s="18" t="str">
        <f t="shared" ref="P138:P142" si="27">IF($G138="Id",FALSE,"")</f>
        <v/>
      </c>
    </row>
    <row r="139" spans="1:16">
      <c r="A139" s="18">
        <f t="shared" si="16"/>
        <v>138</v>
      </c>
      <c r="B139" s="19">
        <v>21</v>
      </c>
      <c r="C139" s="18" t="str" cm="1">
        <f t="array" ref="C139">GetValue("Tbl",B139,"Alias")</f>
        <v>Exp</v>
      </c>
      <c r="D139" s="18">
        <v>51</v>
      </c>
      <c r="E139" s="18" t="str" cm="1">
        <f t="array" ref="E139">GetValue("Dmn",D139,"Name")</f>
        <v>Deprecated Image</v>
      </c>
      <c r="F139" s="18">
        <f t="shared" si="26"/>
        <v>35</v>
      </c>
      <c r="G139" s="18" t="s">
        <v>413</v>
      </c>
      <c r="H139" s="18" t="s">
        <v>719</v>
      </c>
      <c r="I139" s="18" t="s">
        <v>720</v>
      </c>
      <c r="J139" s="18" t="str">
        <f t="shared" si="17"/>
        <v/>
      </c>
      <c r="K139" s="18" t="str">
        <f t="shared" si="17"/>
        <v/>
      </c>
      <c r="L139" s="18" t="str">
        <f t="shared" si="18"/>
        <v/>
      </c>
      <c r="M139" s="18" t="str">
        <f t="shared" si="18"/>
        <v/>
      </c>
      <c r="N139" s="18"/>
      <c r="O139" s="18"/>
      <c r="P139" s="18" t="str">
        <f t="shared" si="27"/>
        <v/>
      </c>
    </row>
    <row r="140" spans="1:16">
      <c r="A140" s="18">
        <f t="shared" si="16"/>
        <v>139</v>
      </c>
      <c r="B140" s="19">
        <v>21</v>
      </c>
      <c r="C140" s="18" t="str" cm="1">
        <f t="array" ref="C140">GetValue("Tbl",B140,"Alias")</f>
        <v>Exp</v>
      </c>
      <c r="D140" s="18">
        <v>1</v>
      </c>
      <c r="E140" s="18" t="str" cm="1">
        <f t="array" ref="E140">GetValue("Dmn",D140,"Name")</f>
        <v>BigInteger</v>
      </c>
      <c r="F140" s="18">
        <f t="shared" si="26"/>
        <v>40</v>
      </c>
      <c r="G140" s="18" t="s">
        <v>724</v>
      </c>
      <c r="H140" s="18" t="s">
        <v>725</v>
      </c>
      <c r="I140" s="18" t="s">
        <v>726</v>
      </c>
      <c r="J140" s="18" t="str">
        <f t="shared" si="17"/>
        <v/>
      </c>
      <c r="K140" s="18" t="str">
        <f t="shared" si="17"/>
        <v/>
      </c>
      <c r="L140" s="18" t="str">
        <f t="shared" si="18"/>
        <v/>
      </c>
      <c r="M140" s="18" t="str">
        <f t="shared" si="18"/>
        <v/>
      </c>
      <c r="N140" s="18"/>
      <c r="O140" s="18"/>
      <c r="P140" s="18" t="str">
        <f t="shared" si="27"/>
        <v/>
      </c>
    </row>
    <row r="141" spans="1:16">
      <c r="A141" s="18">
        <f t="shared" si="16"/>
        <v>140</v>
      </c>
      <c r="B141" s="19">
        <v>21</v>
      </c>
      <c r="C141" s="18" t="str" cm="1">
        <f t="array" ref="C141">GetValue("Tbl",B141,"Alias")</f>
        <v>Exp</v>
      </c>
      <c r="D141" s="18">
        <v>42</v>
      </c>
      <c r="E141" s="18" t="str" cm="1">
        <f t="array" ref="E141">GetValue("Dmn",D141,"Name")</f>
        <v>JS</v>
      </c>
      <c r="F141" s="18">
        <f t="shared" ref="F141:F142" si="28">IF(G141="Id",5,F140+5)</f>
        <v>45</v>
      </c>
      <c r="G141" s="18" t="s">
        <v>730</v>
      </c>
      <c r="H141" s="18" t="s">
        <v>731</v>
      </c>
      <c r="I141" s="18" t="s">
        <v>732</v>
      </c>
      <c r="J141" s="18" t="str">
        <f t="shared" si="17"/>
        <v/>
      </c>
      <c r="K141" s="18" t="str">
        <f t="shared" si="17"/>
        <v/>
      </c>
      <c r="L141" s="18" t="str">
        <f t="shared" si="18"/>
        <v/>
      </c>
      <c r="M141" s="18" t="str">
        <f t="shared" si="18"/>
        <v/>
      </c>
      <c r="N141" s="18"/>
      <c r="O141" s="18"/>
      <c r="P141" s="18" t="str">
        <f t="shared" si="27"/>
        <v/>
      </c>
    </row>
    <row r="142" spans="1:16">
      <c r="A142" s="18">
        <f t="shared" si="16"/>
        <v>141</v>
      </c>
      <c r="B142" s="19">
        <v>21</v>
      </c>
      <c r="C142" s="18" t="str" cm="1">
        <f t="array" ref="C142">GetValue("Tbl",B142,"Alias")</f>
        <v>Exp</v>
      </c>
      <c r="D142" s="18">
        <v>53</v>
      </c>
      <c r="E142" s="18" t="str" cm="1">
        <f t="array" ref="E142">GetValue("Dmn",D142,"Name")</f>
        <v>Nchar(1)</v>
      </c>
      <c r="F142" s="18">
        <f t="shared" si="28"/>
        <v>50</v>
      </c>
      <c r="G142" s="18" t="s">
        <v>569</v>
      </c>
      <c r="H142" s="18" t="s">
        <v>733</v>
      </c>
      <c r="I142" s="18" t="s">
        <v>733</v>
      </c>
      <c r="J142" s="18" t="str">
        <f t="shared" si="17"/>
        <v/>
      </c>
      <c r="K142" s="18" t="str">
        <f t="shared" si="17"/>
        <v/>
      </c>
      <c r="L142" s="18" t="str">
        <f t="shared" si="18"/>
        <v/>
      </c>
      <c r="M142" s="18" t="str">
        <f t="shared" si="18"/>
        <v/>
      </c>
      <c r="N142" s="18"/>
      <c r="O142" s="18"/>
      <c r="P142" s="18" t="str">
        <f t="shared" si="27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3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15" sqref="D15"/>
    </sheetView>
  </sheetViews>
  <sheetFormatPr defaultRowHeight="14.4"/>
  <cols>
    <col min="1" max="1" width="3.6640625" bestFit="1" customWidth="1"/>
    <col min="2" max="2" width="7.21875" bestFit="1" customWidth="1"/>
    <col min="3" max="3" width="14.33203125" bestFit="1" customWidth="1"/>
    <col min="4" max="4" width="48.109375" bestFit="1" customWidth="1"/>
    <col min="5" max="5" width="11.77734375" bestFit="1" customWidth="1"/>
  </cols>
  <sheetData>
    <row r="1" spans="1:5" s="1" customFormat="1">
      <c r="A1" s="1" t="s">
        <v>0</v>
      </c>
      <c r="B1" s="1" t="s">
        <v>99</v>
      </c>
      <c r="C1" s="1" t="s">
        <v>157</v>
      </c>
      <c r="D1" s="1" t="s">
        <v>1</v>
      </c>
      <c r="E1" s="1" t="s">
        <v>124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141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133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135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134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136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161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171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137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167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190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138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139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162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189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147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140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163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191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164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165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202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166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169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236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237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214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231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232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232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232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232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232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232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232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232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232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Snipers</v>
      </c>
      <c r="D38" t="s">
        <v>232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232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232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232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C9" sqref="C9"/>
    </sheetView>
  </sheetViews>
  <sheetFormatPr defaultRowHeight="14.4"/>
  <cols>
    <col min="1" max="1" width="3.6640625" bestFit="1" customWidth="1"/>
    <col min="2" max="2" width="7.33203125" bestFit="1" customWidth="1"/>
    <col min="3" max="3" width="48.109375" bestFit="1" customWidth="1"/>
    <col min="4" max="4" width="9.21875" bestFit="1" customWidth="1"/>
    <col min="5" max="5" width="17" bestFit="1" customWidth="1"/>
    <col min="6" max="6" width="9.21875" bestFit="1" customWidth="1"/>
    <col min="7" max="7" width="12" bestFit="1" customWidth="1"/>
  </cols>
  <sheetData>
    <row r="1" spans="1:7" s="1" customFormat="1">
      <c r="A1" s="1" t="s">
        <v>0</v>
      </c>
      <c r="B1" s="1" t="s">
        <v>125</v>
      </c>
      <c r="C1" s="1" t="s">
        <v>159</v>
      </c>
      <c r="D1" s="1" t="s">
        <v>126</v>
      </c>
      <c r="E1" s="1" t="s">
        <v>160</v>
      </c>
      <c r="F1" s="1" t="s">
        <v>71</v>
      </c>
      <c r="G1" s="1" t="s">
        <v>127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ValidMask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EditMask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IsActive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CheckDigitFactors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Logo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IsLegacy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IsActive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Id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IsActive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Id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DatabaseId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Alias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Description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Caption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Message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IsActive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MenuId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IsActive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MenuId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Sequence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IsInWords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33203125" bestFit="1" customWidth="1"/>
    <col min="3" max="3" width="40.33203125" bestFit="1" customWidth="1"/>
    <col min="4" max="4" width="9.21875" bestFit="1" customWidth="1"/>
    <col min="5" max="5" width="17" bestFit="1" customWidth="1"/>
  </cols>
  <sheetData>
    <row r="1" spans="1:5" s="1" customFormat="1">
      <c r="A1" s="1" t="s">
        <v>0</v>
      </c>
      <c r="B1" s="1" t="s">
        <v>125</v>
      </c>
      <c r="C1" s="1" t="s">
        <v>159</v>
      </c>
      <c r="D1" s="1" t="s">
        <v>126</v>
      </c>
      <c r="E1" s="1" t="s">
        <v>160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ComparatorId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TypeId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Logo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ValidLists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EditMask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ValidMask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EditMask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IsActive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CheckDigitFactors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Logo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IsLegacy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IsActive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Id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IsActive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Id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DatabaseId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Alias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Description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Caption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Message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IsActive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MenuId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IsActive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MenuId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Sequence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IsInWords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10.21875" bestFit="1" customWidth="1"/>
    <col min="3" max="3" width="12.5546875" bestFit="1" customWidth="1"/>
    <col min="4" max="4" width="14.6640625" bestFit="1" customWidth="1"/>
    <col min="5" max="5" width="10.21875" bestFit="1" customWidth="1"/>
    <col min="6" max="6" width="12.5546875" bestFit="1" customWidth="1"/>
    <col min="7" max="7" width="14.6640625" bestFit="1" customWidth="1"/>
    <col min="8" max="8" width="11.77734375" bestFit="1" customWidth="1"/>
  </cols>
  <sheetData>
    <row r="1" spans="1:8" s="1" customFormat="1">
      <c r="A1" s="1" t="s">
        <v>0</v>
      </c>
      <c r="B1" s="1" t="s">
        <v>205</v>
      </c>
      <c r="C1" s="1" t="s">
        <v>209</v>
      </c>
      <c r="D1" s="1" t="s">
        <v>211</v>
      </c>
      <c r="E1" s="1" t="s">
        <v>206</v>
      </c>
      <c r="F1" s="1" t="s">
        <v>210</v>
      </c>
      <c r="G1" s="1" t="s">
        <v>212</v>
      </c>
      <c r="H1" s="1" t="s">
        <v>701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Alias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Description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E12" sqref="E12"/>
    </sheetView>
  </sheetViews>
  <sheetFormatPr defaultRowHeight="14.4"/>
  <cols>
    <col min="1" max="1" width="3.6640625" bestFit="1" customWidth="1"/>
    <col min="2" max="2" width="7.21875" bestFit="1" customWidth="1"/>
    <col min="3" max="3" width="11.5546875" bestFit="1" customWidth="1"/>
    <col min="4" max="4" width="12.109375" bestFit="1" customWidth="1"/>
    <col min="5" max="5" width="8.5546875" bestFit="1" customWidth="1"/>
    <col min="6" max="6" width="5.77734375" bestFit="1" customWidth="1"/>
    <col min="8" max="8" width="15.21875" bestFit="1" customWidth="1"/>
    <col min="9" max="9" width="9.77734375" bestFit="1" customWidth="1"/>
  </cols>
  <sheetData>
    <row r="1" spans="1:9" s="6" customFormat="1">
      <c r="A1" s="1" t="s">
        <v>0</v>
      </c>
      <c r="B1" s="1" t="s">
        <v>99</v>
      </c>
      <c r="C1" s="1" t="s">
        <v>157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709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9.21875" bestFit="1" customWidth="1"/>
    <col min="4" max="4" width="12.44140625" bestFit="1" customWidth="1"/>
    <col min="5" max="5" width="9.77734375" style="6" bestFit="1" customWidth="1"/>
    <col min="6" max="6" width="14" style="6" bestFit="1" customWidth="1"/>
    <col min="7" max="7" width="21.6640625" bestFit="1" customWidth="1"/>
    <col min="8" max="8" width="8.5546875" style="6" bestFit="1" customWidth="1"/>
    <col min="9" max="9" width="18.6640625" bestFit="1" customWidth="1"/>
    <col min="10" max="10" width="22.77734375" bestFit="1" customWidth="1"/>
    <col min="11" max="11" width="10.109375" bestFit="1" customWidth="1"/>
    <col min="12" max="12" width="15.21875" style="6" bestFit="1" customWidth="1"/>
  </cols>
  <sheetData>
    <row r="1" spans="1:12" s="6" customFormat="1">
      <c r="A1" s="1" t="s">
        <v>0</v>
      </c>
      <c r="B1" s="1" t="s">
        <v>517</v>
      </c>
      <c r="C1" s="1" t="s">
        <v>71</v>
      </c>
      <c r="D1" s="1" t="s">
        <v>721</v>
      </c>
      <c r="E1" s="1" t="s">
        <v>500</v>
      </c>
      <c r="F1" s="1" t="s">
        <v>568</v>
      </c>
      <c r="G1" s="1" t="s">
        <v>728</v>
      </c>
      <c r="H1" s="1" t="s">
        <v>413</v>
      </c>
      <c r="I1" s="16" t="s">
        <v>724</v>
      </c>
      <c r="J1" s="1" t="s">
        <v>727</v>
      </c>
      <c r="K1" s="1" t="s">
        <v>729</v>
      </c>
      <c r="L1" s="1" t="s">
        <v>569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498</v>
      </c>
      <c r="G2" t="e" cm="1">
        <f t="array" ref="G2">GetValue("Col",D2,"#TableName")&amp;"-"&amp;GetValue("Col",D2,"Name")</f>
        <v>#VALUE!</v>
      </c>
      <c r="H2" s="6" t="s">
        <v>415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501</v>
      </c>
      <c r="G3" t="e" cm="1">
        <f t="array" ref="G3">GetValue("Col",D3,"#TableName")&amp;"-"&amp;GetValue("Col",D3,"Name")</f>
        <v>#VALUE!</v>
      </c>
      <c r="H3" s="6" t="s">
        <v>414</v>
      </c>
      <c r="J3" t="str" cm="1">
        <f t="array" ref="J3">GetValue("Col",I3,"#TableName")&amp;IF(I3="","","-"&amp;GetValue("Col",I3,"Name"))</f>
        <v/>
      </c>
      <c r="K3">
        <v>20</v>
      </c>
      <c r="L3" s="6" t="s">
        <v>499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502</v>
      </c>
      <c r="F4" s="6" t="s">
        <v>498</v>
      </c>
      <c r="G4" t="e" cm="1">
        <f t="array" ref="G4">GetValue("Col",D4,"#TableName")&amp;"-"&amp;GetValue("Col",D4,"Name")</f>
        <v>#VALUE!</v>
      </c>
      <c r="H4" s="6" t="s">
        <v>503</v>
      </c>
      <c r="J4" t="str" cm="1">
        <f t="array" ref="J4">GetValue("Col",I4,"#TableName")&amp;IF(I4="","","-"&amp;GetValue("Col",I4,"Name"))</f>
        <v/>
      </c>
      <c r="K4">
        <v>100</v>
      </c>
      <c r="L4" s="6" t="s">
        <v>499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activeCell="F3" sqref="F3"/>
    </sheetView>
  </sheetViews>
  <sheetFormatPr defaultRowHeight="14.4"/>
  <cols>
    <col min="1" max="1" width="2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0.44140625" bestFit="1" customWidth="1"/>
    <col min="6" max="6" width="16.6640625" bestFit="1" customWidth="1"/>
    <col min="7" max="7" width="21.109375" bestFit="1" customWidth="1"/>
    <col min="8" max="8" width="12.77734375" bestFit="1" customWidth="1"/>
  </cols>
  <sheetData>
    <row r="1" spans="1:14" s="1" customFormat="1">
      <c r="A1" s="1" t="s">
        <v>0</v>
      </c>
      <c r="B1" s="1" t="s">
        <v>126</v>
      </c>
      <c r="C1" s="1" t="s">
        <v>160</v>
      </c>
      <c r="D1" s="1" t="s">
        <v>99</v>
      </c>
      <c r="E1" s="1" t="s">
        <v>533</v>
      </c>
      <c r="F1" s="1" t="s">
        <v>546</v>
      </c>
      <c r="G1" s="1" t="s">
        <v>797</v>
      </c>
      <c r="H1" s="1" t="s">
        <v>203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Id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A2" sqref="A2"/>
    </sheetView>
  </sheetViews>
  <sheetFormatPr defaultColWidth="8.3320312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10.77734375" bestFit="1" customWidth="1"/>
    <col min="7" max="7" width="11.77734375" bestFit="1" customWidth="1"/>
  </cols>
  <sheetData>
    <row r="1" spans="1:7" s="1" customFormat="1">
      <c r="A1" s="1" t="s">
        <v>0</v>
      </c>
      <c r="B1" s="1" t="s">
        <v>463</v>
      </c>
      <c r="C1" s="1" t="s">
        <v>363</v>
      </c>
      <c r="D1" s="1" t="s">
        <v>1</v>
      </c>
      <c r="E1" s="1" t="s">
        <v>82</v>
      </c>
      <c r="F1" s="1" t="s">
        <v>83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146</v>
      </c>
      <c r="E2" t="s">
        <v>146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149</v>
      </c>
      <c r="E3" t="s">
        <v>84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7734375" defaultRowHeight="14.4"/>
  <cols>
    <col min="1" max="1" width="3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7.21875" bestFit="1" customWidth="1"/>
    <col min="7" max="7" width="20.5546875" bestFit="1" customWidth="1"/>
    <col min="8" max="11" width="11.77734375" bestFit="1" customWidth="1"/>
  </cols>
  <sheetData>
    <row r="1" spans="1:11" s="1" customFormat="1">
      <c r="A1" s="1" t="s">
        <v>0</v>
      </c>
      <c r="B1" s="1" t="s">
        <v>70</v>
      </c>
      <c r="C1" s="1" t="s">
        <v>155</v>
      </c>
      <c r="D1" s="1" t="s">
        <v>85</v>
      </c>
      <c r="E1" s="1" t="s">
        <v>154</v>
      </c>
      <c r="F1" s="1" t="s">
        <v>99</v>
      </c>
      <c r="G1" s="1" t="s">
        <v>157</v>
      </c>
      <c r="H1" s="1" t="s">
        <v>494</v>
      </c>
      <c r="I1" s="1" t="s">
        <v>495</v>
      </c>
      <c r="J1" s="1" t="s">
        <v>496</v>
      </c>
      <c r="K1" s="1" t="s">
        <v>497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A2" sqref="A2:A20"/>
    </sheetView>
  </sheetViews>
  <sheetFormatPr defaultRowHeight="14.4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151</v>
      </c>
      <c r="E1" s="8" t="s">
        <v>68</v>
      </c>
      <c r="F1" s="1" t="s">
        <v>24</v>
      </c>
    </row>
    <row r="2" spans="1:6">
      <c r="A2" s="10">
        <f>ROW(A2)-1</f>
        <v>1</v>
      </c>
      <c r="B2" s="10" t="s">
        <v>416</v>
      </c>
      <c r="C2" s="10"/>
      <c r="D2" s="10" t="str" cm="1">
        <f t="array" ref="D2">GetValue("Cat",C2,"Name")</f>
        <v/>
      </c>
      <c r="E2" s="10" t="s">
        <v>445</v>
      </c>
      <c r="F2" t="b">
        <v>1</v>
      </c>
    </row>
    <row r="3" spans="1:6">
      <c r="A3" s="10">
        <f t="shared" ref="A3:A20" si="0">ROW(A3)-1</f>
        <v>2</v>
      </c>
      <c r="B3" s="10" t="s">
        <v>417</v>
      </c>
      <c r="C3" s="10"/>
      <c r="D3" s="10" t="str" cm="1">
        <f t="array" ref="D3">GetValue("Cat",C3,"Name")</f>
        <v/>
      </c>
      <c r="E3" s="10" t="s">
        <v>446</v>
      </c>
      <c r="F3" t="b">
        <v>1</v>
      </c>
    </row>
    <row r="4" spans="1:6">
      <c r="A4" s="10">
        <f t="shared" si="0"/>
        <v>3</v>
      </c>
      <c r="B4" s="10" t="s">
        <v>418</v>
      </c>
      <c r="C4" s="10"/>
      <c r="D4" s="10" t="str" cm="1">
        <f t="array" ref="D4">GetValue("Cat",C4,"Name")</f>
        <v/>
      </c>
      <c r="E4" s="10" t="s">
        <v>447</v>
      </c>
      <c r="F4" t="b">
        <v>1</v>
      </c>
    </row>
    <row r="5" spans="1:6">
      <c r="A5" s="10">
        <f t="shared" si="0"/>
        <v>4</v>
      </c>
      <c r="B5" s="10" t="s">
        <v>419</v>
      </c>
      <c r="C5" s="10"/>
      <c r="D5" s="10" t="str" cm="1">
        <f t="array" ref="D5">GetValue("Cat",C5,"Name")</f>
        <v/>
      </c>
      <c r="E5" s="10" t="s">
        <v>448</v>
      </c>
      <c r="F5" t="b">
        <v>1</v>
      </c>
    </row>
    <row r="6" spans="1:6">
      <c r="A6" s="10">
        <f t="shared" si="0"/>
        <v>5</v>
      </c>
      <c r="B6" s="10" t="s">
        <v>420</v>
      </c>
      <c r="C6" s="10"/>
      <c r="D6" s="10" t="str" cm="1">
        <f t="array" ref="D6">GetValue("Cat",C6,"Name")</f>
        <v/>
      </c>
      <c r="E6" s="10" t="s">
        <v>449</v>
      </c>
      <c r="F6" t="b">
        <v>1</v>
      </c>
    </row>
    <row r="7" spans="1:6">
      <c r="A7" s="10">
        <f t="shared" si="0"/>
        <v>6</v>
      </c>
      <c r="B7" s="10" t="s">
        <v>421</v>
      </c>
      <c r="C7" s="10"/>
      <c r="D7" s="10" t="str" cm="1">
        <f t="array" ref="D7">GetValue("Cat",C7,"Name")</f>
        <v/>
      </c>
      <c r="E7" s="10" t="s">
        <v>450</v>
      </c>
      <c r="F7" t="b">
        <v>1</v>
      </c>
    </row>
    <row r="8" spans="1:6">
      <c r="A8" s="10">
        <f t="shared" si="0"/>
        <v>7</v>
      </c>
      <c r="B8" s="10" t="s">
        <v>422</v>
      </c>
      <c r="C8" s="10">
        <v>10</v>
      </c>
      <c r="D8" s="10" t="str" cm="1">
        <f t="array" ref="D8">GetValue("Cat",C8,"Name")</f>
        <v>undefined</v>
      </c>
      <c r="E8" s="10" t="s">
        <v>451</v>
      </c>
      <c r="F8" t="b">
        <v>1</v>
      </c>
    </row>
    <row r="9" spans="1:6">
      <c r="A9" s="10">
        <f t="shared" si="0"/>
        <v>8</v>
      </c>
      <c r="B9" s="10" t="s">
        <v>423</v>
      </c>
      <c r="C9" s="10">
        <v>1</v>
      </c>
      <c r="D9" s="10" t="str" cm="1">
        <f t="array" ref="D9">GetValue("Cat",C9,"Name")</f>
        <v>string</v>
      </c>
      <c r="E9" s="10" t="s">
        <v>424</v>
      </c>
      <c r="F9" t="b">
        <v>1</v>
      </c>
    </row>
    <row r="10" spans="1:6">
      <c r="A10" s="10">
        <f t="shared" si="0"/>
        <v>9</v>
      </c>
      <c r="B10" s="10" t="s">
        <v>425</v>
      </c>
      <c r="C10" s="10">
        <v>1</v>
      </c>
      <c r="D10" s="10" t="str" cm="1">
        <f t="array" ref="D10">GetValue("Cat",C10,"Name")</f>
        <v>string</v>
      </c>
      <c r="E10" s="10" t="s">
        <v>426</v>
      </c>
      <c r="F10" t="b">
        <v>1</v>
      </c>
    </row>
    <row r="11" spans="1:6">
      <c r="A11" s="10">
        <f t="shared" si="0"/>
        <v>10</v>
      </c>
      <c r="B11" s="10" t="s">
        <v>427</v>
      </c>
      <c r="C11" s="10">
        <v>1</v>
      </c>
      <c r="D11" s="10" t="str" cm="1">
        <f t="array" ref="D11">GetValue("Cat",C11,"Name")</f>
        <v>string</v>
      </c>
      <c r="E11" s="10" t="s">
        <v>428</v>
      </c>
      <c r="F11" t="b">
        <v>1</v>
      </c>
    </row>
    <row r="12" spans="1:6">
      <c r="A12" s="10">
        <f t="shared" si="0"/>
        <v>11</v>
      </c>
      <c r="B12" s="10" t="s">
        <v>429</v>
      </c>
      <c r="C12" s="10">
        <v>1</v>
      </c>
      <c r="D12" s="10" t="str" cm="1">
        <f t="array" ref="D12">GetValue("Cat",C12,"Name")</f>
        <v>string</v>
      </c>
      <c r="E12" s="10" t="s">
        <v>430</v>
      </c>
      <c r="F12" t="b">
        <v>1</v>
      </c>
    </row>
    <row r="13" spans="1:6">
      <c r="A13" s="10">
        <f t="shared" si="0"/>
        <v>12</v>
      </c>
      <c r="B13" s="10" t="s">
        <v>431</v>
      </c>
      <c r="C13" s="10">
        <v>10</v>
      </c>
      <c r="D13" s="10" t="str" cm="1">
        <f t="array" ref="D13">GetValue("Cat",C13,"Name")</f>
        <v>undefined</v>
      </c>
      <c r="E13" s="10" t="s">
        <v>452</v>
      </c>
      <c r="F13" t="b">
        <v>1</v>
      </c>
    </row>
    <row r="14" spans="1:6">
      <c r="A14" s="10">
        <f t="shared" si="0"/>
        <v>13</v>
      </c>
      <c r="B14" s="10" t="s">
        <v>432</v>
      </c>
      <c r="C14" s="10">
        <v>10</v>
      </c>
      <c r="D14" s="10" t="str" cm="1">
        <f t="array" ref="D14">GetValue("Cat",C14,"Name")</f>
        <v>undefined</v>
      </c>
      <c r="E14" s="10" t="s">
        <v>453</v>
      </c>
      <c r="F14" t="b">
        <v>1</v>
      </c>
    </row>
    <row r="15" spans="1:6">
      <c r="A15" s="10">
        <f t="shared" si="0"/>
        <v>14</v>
      </c>
      <c r="B15" s="10" t="s">
        <v>433</v>
      </c>
      <c r="C15" s="10">
        <v>2</v>
      </c>
      <c r="D15" s="10" t="str" cm="1">
        <f t="array" ref="D15">GetValue("Cat",C15,"Name")</f>
        <v>number</v>
      </c>
      <c r="E15" s="10" t="s">
        <v>434</v>
      </c>
      <c r="F15" t="b">
        <v>1</v>
      </c>
    </row>
    <row r="16" spans="1:6">
      <c r="A16" s="10">
        <f t="shared" si="0"/>
        <v>15</v>
      </c>
      <c r="B16" s="10" t="s">
        <v>435</v>
      </c>
      <c r="C16" s="10">
        <v>2</v>
      </c>
      <c r="D16" s="10" t="str" cm="1">
        <f t="array" ref="D16">GetValue("Cat",C16,"Name")</f>
        <v>number</v>
      </c>
      <c r="E16" s="10" t="s">
        <v>436</v>
      </c>
      <c r="F16" t="b">
        <v>1</v>
      </c>
    </row>
    <row r="17" spans="1:6">
      <c r="A17" s="10">
        <f t="shared" si="0"/>
        <v>16</v>
      </c>
      <c r="B17" s="10" t="s">
        <v>437</v>
      </c>
      <c r="C17" s="10">
        <v>2</v>
      </c>
      <c r="D17" s="10" t="str" cm="1">
        <f t="array" ref="D17">GetValue("Cat",C17,"Name")</f>
        <v>number</v>
      </c>
      <c r="E17" s="10" t="s">
        <v>438</v>
      </c>
      <c r="F17" t="b">
        <v>1</v>
      </c>
    </row>
    <row r="18" spans="1:6">
      <c r="A18" s="10">
        <f t="shared" si="0"/>
        <v>17</v>
      </c>
      <c r="B18" s="10" t="s">
        <v>439</v>
      </c>
      <c r="C18" s="10">
        <v>1</v>
      </c>
      <c r="D18" s="10" t="str" cm="1">
        <f t="array" ref="D18">GetValue("Cat",C18,"Name")</f>
        <v>string</v>
      </c>
      <c r="E18" s="10" t="s">
        <v>440</v>
      </c>
      <c r="F18" t="b">
        <v>1</v>
      </c>
    </row>
    <row r="19" spans="1:6">
      <c r="A19" s="10">
        <f t="shared" si="0"/>
        <v>18</v>
      </c>
      <c r="B19" s="10" t="s">
        <v>441</v>
      </c>
      <c r="C19" s="10">
        <v>1</v>
      </c>
      <c r="D19" s="10" t="str" cm="1">
        <f t="array" ref="D19">GetValue("Cat",C19,"Name")</f>
        <v>string</v>
      </c>
      <c r="E19" s="10" t="s">
        <v>442</v>
      </c>
      <c r="F19" t="b">
        <v>1</v>
      </c>
    </row>
    <row r="20" spans="1:6">
      <c r="A20" s="10">
        <f t="shared" si="0"/>
        <v>19</v>
      </c>
      <c r="B20" s="10" t="s">
        <v>443</v>
      </c>
      <c r="C20" s="10">
        <v>1</v>
      </c>
      <c r="D20" s="10" t="str" cm="1">
        <f t="array" ref="D20">GetValue("Cat",C20,"Name")</f>
        <v>string</v>
      </c>
      <c r="E20" s="10" t="s">
        <v>444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A3" sqref="A3"/>
    </sheetView>
  </sheetViews>
  <sheetFormatPr defaultColWidth="9" defaultRowHeight="14.4"/>
  <cols>
    <col min="1" max="1" width="3.6640625" bestFit="1" customWidth="1"/>
    <col min="2" max="2" width="10.88671875" bestFit="1" customWidth="1"/>
    <col min="3" max="3" width="16" bestFit="1" customWidth="1"/>
    <col min="4" max="4" width="10" bestFit="1" customWidth="1"/>
    <col min="5" max="5" width="14.44140625" bestFit="1" customWidth="1"/>
  </cols>
  <sheetData>
    <row r="1" spans="1:6" s="1" customFormat="1">
      <c r="A1" s="8" t="s">
        <v>0</v>
      </c>
      <c r="B1" s="1" t="s">
        <v>517</v>
      </c>
      <c r="C1" s="1" t="s">
        <v>532</v>
      </c>
      <c r="D1" s="1" t="s">
        <v>518</v>
      </c>
      <c r="E1" s="1" t="s">
        <v>456</v>
      </c>
      <c r="F1" s="1" t="s">
        <v>339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416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6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1.77734375" bestFit="1" customWidth="1"/>
  </cols>
  <sheetData>
    <row r="1" spans="1:13" s="1" customFormat="1">
      <c r="A1" s="1" t="s">
        <v>0</v>
      </c>
      <c r="B1" s="1" t="s">
        <v>463</v>
      </c>
      <c r="C1" s="1" t="s">
        <v>363</v>
      </c>
      <c r="D1" s="1" t="s">
        <v>1</v>
      </c>
      <c r="E1" s="1" t="s">
        <v>537</v>
      </c>
      <c r="F1" s="1" t="s">
        <v>460</v>
      </c>
      <c r="G1" s="1" t="s">
        <v>538</v>
      </c>
      <c r="H1" s="1" t="s">
        <v>539</v>
      </c>
      <c r="I1" s="1" t="s">
        <v>540</v>
      </c>
      <c r="J1" s="1" t="s">
        <v>541</v>
      </c>
      <c r="K1" s="1" t="s">
        <v>542</v>
      </c>
      <c r="L1" s="1" t="s">
        <v>543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817</v>
      </c>
      <c r="E2">
        <v>1</v>
      </c>
      <c r="F2" t="s">
        <v>818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5" sqref="C5"/>
    </sheetView>
  </sheetViews>
  <sheetFormatPr defaultColWidth="9" defaultRowHeight="14.4"/>
  <cols>
    <col min="1" max="1" width="2.6640625" bestFit="1" customWidth="1"/>
    <col min="2" max="2" width="7.21875" bestFit="1" customWidth="1"/>
    <col min="3" max="3" width="11.5546875" bestFit="1" customWidth="1"/>
    <col min="4" max="4" width="7.88671875" bestFit="1" customWidth="1"/>
    <col min="5" max="5" width="11.77734375" bestFit="1" customWidth="1"/>
    <col min="6" max="6" width="7.5546875" bestFit="1" customWidth="1"/>
  </cols>
  <sheetData>
    <row r="1" spans="1:6" s="1" customFormat="1">
      <c r="A1" s="1" t="s">
        <v>0</v>
      </c>
      <c r="B1" s="1" t="s">
        <v>99</v>
      </c>
      <c r="C1" s="1" t="s">
        <v>157</v>
      </c>
      <c r="D1" s="1" t="s">
        <v>1</v>
      </c>
      <c r="E1" s="1" t="s">
        <v>545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819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D8" sqref="D8"/>
    </sheetView>
  </sheetViews>
  <sheetFormatPr defaultRowHeight="14.4"/>
  <cols>
    <col min="1" max="1" width="2.6640625" bestFit="1" customWidth="1"/>
    <col min="2" max="2" width="8" bestFit="1" customWidth="1"/>
    <col min="3" max="3" width="12.33203125" bestFit="1" customWidth="1"/>
    <col min="4" max="4" width="10.44140625" bestFit="1" customWidth="1"/>
    <col min="5" max="5" width="14.88671875" bestFit="1" customWidth="1"/>
    <col min="6" max="6" width="9.21875" bestFit="1" customWidth="1"/>
    <col min="7" max="7" width="19.6640625" bestFit="1" customWidth="1"/>
  </cols>
  <sheetData>
    <row r="1" spans="1:7" s="1" customFormat="1">
      <c r="A1" s="1" t="s">
        <v>0</v>
      </c>
      <c r="B1" s="1" t="s">
        <v>828</v>
      </c>
      <c r="C1" s="1" t="s">
        <v>829</v>
      </c>
      <c r="D1" s="1" t="s">
        <v>87</v>
      </c>
      <c r="E1" s="1" t="s">
        <v>156</v>
      </c>
      <c r="F1" s="1" t="s">
        <v>71</v>
      </c>
      <c r="G1" s="1" t="s">
        <v>544</v>
      </c>
    </row>
    <row r="2" spans="1:7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820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3" sqref="E3"/>
    </sheetView>
  </sheetViews>
  <sheetFormatPr defaultRowHeight="14.4"/>
  <cols>
    <col min="1" max="1" width="2.6640625" bestFit="1" customWidth="1"/>
    <col min="2" max="2" width="8" bestFit="1" customWidth="1"/>
    <col min="3" max="3" width="12.33203125" bestFit="1" customWidth="1"/>
    <col min="4" max="4" width="9.21875" bestFit="1" customWidth="1"/>
    <col min="5" max="5" width="7.77734375" bestFit="1" customWidth="1"/>
    <col min="6" max="6" width="14.77734375" bestFit="1" customWidth="1"/>
  </cols>
  <sheetData>
    <row r="1" spans="1:6">
      <c r="A1" s="1" t="s">
        <v>0</v>
      </c>
      <c r="B1" s="1" t="s">
        <v>828</v>
      </c>
      <c r="C1" s="1" t="s">
        <v>829</v>
      </c>
      <c r="D1" s="1" t="s">
        <v>71</v>
      </c>
      <c r="E1" s="1" t="s">
        <v>831</v>
      </c>
      <c r="F1" s="1" t="s">
        <v>830</v>
      </c>
    </row>
    <row r="2" spans="1:6">
      <c r="A2" s="10">
        <f>ROW(A2)-1</f>
        <v>1</v>
      </c>
      <c r="B2" s="10">
        <v>1</v>
      </c>
      <c r="C2" s="10" t="str" cm="1">
        <f t="array" ref="C2">GetValue("Snp",B2,"Name")</f>
        <v>Snp0001</v>
      </c>
      <c r="D2">
        <v>10</v>
      </c>
      <c r="E2" t="s">
        <v>832</v>
      </c>
      <c r="F2" s="28" t="s">
        <v>827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2.6640625" bestFit="1" customWidth="1"/>
    <col min="2" max="2" width="7.44140625" bestFit="1" customWidth="1"/>
    <col min="3" max="3" width="11.777343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0</v>
      </c>
      <c r="B1" s="1" t="s">
        <v>463</v>
      </c>
      <c r="C1" s="1" t="s">
        <v>363</v>
      </c>
      <c r="D1" s="1" t="s">
        <v>70</v>
      </c>
      <c r="E1" s="1" t="s">
        <v>155</v>
      </c>
      <c r="F1" s="1" t="s">
        <v>85</v>
      </c>
      <c r="G1" s="1" t="s">
        <v>154</v>
      </c>
      <c r="H1" s="1" t="s">
        <v>148</v>
      </c>
      <c r="I1" s="1" t="s">
        <v>150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0</v>
      </c>
      <c r="B1" s="1" t="s">
        <v>230</v>
      </c>
      <c r="C1" s="1" t="s">
        <v>197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3" sqref="A3"/>
    </sheetView>
  </sheetViews>
  <sheetFormatPr defaultRowHeight="14.4"/>
  <cols>
    <col min="1" max="1" width="3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0</v>
      </c>
      <c r="B1" s="1" t="s">
        <v>198</v>
      </c>
      <c r="C1" s="1" t="s">
        <v>199</v>
      </c>
      <c r="D1" s="1" t="s">
        <v>74</v>
      </c>
      <c r="E1" s="1" t="s">
        <v>215</v>
      </c>
      <c r="F1" s="1" t="s">
        <v>200</v>
      </c>
      <c r="G1" s="1" t="s">
        <v>197</v>
      </c>
    </row>
    <row r="2" spans="1:7">
      <c r="A2" s="10">
        <f>ROW(A2)-1</f>
        <v>1</v>
      </c>
      <c r="B2">
        <v>1</v>
      </c>
      <c r="C2" t="s">
        <v>94</v>
      </c>
      <c r="D2" t="s">
        <v>821</v>
      </c>
      <c r="E2" t="s">
        <v>822</v>
      </c>
      <c r="F2" t="s">
        <v>822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CatCmp</vt:lpstr>
      <vt:lpstr>Eng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2025-12-07T10:07:13Z</dcterms:modified>
</cp:coreProperties>
</file>