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89A0FF2C-C2AA-47B9-B1F8-9607915F8987}" xr6:coauthVersionLast="47" xr6:coauthVersionMax="47" xr10:uidLastSave="{00000000-0000-0000-0000-000000000000}"/>
  <bookViews>
    <workbookView xWindow="-108" yWindow="-108" windowWidth="23256" windowHeight="13176" tabRatio="969" xr2:uid="{62178005-964C-499D-8BA4-3BC85200C027}"/>
  </bookViews>
  <sheets>
    <sheet name="Eng" sheetId="26" r:id="rId1"/>
    <sheet name="Cat" sheetId="1" r:id="rId2"/>
    <sheet name="Typ" sheetId="2" r:id="rId3"/>
    <sheet name="EngTyp" sheetId="27" r:id="rId4"/>
    <sheet name="Cli" sheetId="28" r:id="rId5"/>
    <sheet name="Dmn" sheetId="4" r:id="rId6"/>
    <sheet name="EngDmn" sheetId="36" r:id="rId7"/>
    <sheet name="Msk" sheetId="3" r:id="rId8"/>
    <sheet name="DmnMsk" sheetId="31" r:id="rId9"/>
    <sheet name="Dig" sheetId="30" r:id="rId10"/>
    <sheet name="MskDig" sheetId="32" r:id="rId11"/>
    <sheet name="Db" sheetId="9" r:id="rId12"/>
    <sheet name="DbEnv" sheetId="33" r:id="rId13"/>
    <sheet name="Sys" sheetId="5" r:id="rId14"/>
    <sheet name="Mnu" sheetId="6" r:id="rId15"/>
    <sheet name="Usr" sheetId="7" r:id="rId16"/>
    <sheet name="SysUsr" sheetId="8" r:id="rId17"/>
    <sheet name="Tbl" sheetId="11" r:id="rId18"/>
    <sheet name="Col" sheetId="12" r:id="rId19"/>
    <sheet name="Idx" sheetId="13" r:id="rId20"/>
    <sheet name="Idk" sheetId="14" r:id="rId21"/>
    <sheet name="Uni" sheetId="22" r:id="rId22"/>
    <sheet name="Cnd" sheetId="34" r:id="rId23"/>
    <sheet name="Prp" sheetId="37" r:id="rId24"/>
    <sheet name="Bhv" sheetId="38" r:id="rId25"/>
    <sheet name="Ses" sheetId="15" r:id="rId26"/>
    <sheet name="Trs" sheetId="19" r:id="rId27"/>
    <sheet name="Ope" sheetId="20" r:id="rId28"/>
  </sheets>
  <functionGroups builtInGroupCount="19"/>
  <definedNames>
    <definedName name="_xlnm._FilterDatabase" localSheetId="18" hidden="1">Col!$J$1:$J$123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1" l="1" a="1"/>
  <c r="C8" i="11" a="1"/>
  <c r="C27" i="11" a="1"/>
  <c r="C7" i="11" a="1"/>
  <c r="C16" i="11" a="1"/>
  <c r="C15" i="11" a="1"/>
  <c r="C14" i="11" a="1"/>
  <c r="C23" i="11" a="1"/>
  <c r="C22" i="11" a="1"/>
  <c r="C11" i="11" a="1"/>
  <c r="C10" i="11" a="1"/>
  <c r="C29" i="11" a="1"/>
  <c r="C9" i="11" a="1"/>
  <c r="C18" i="11" a="1"/>
  <c r="C17" i="11" a="1"/>
  <c r="C6" i="11" a="1"/>
  <c r="C25" i="11" a="1"/>
  <c r="C5" i="11" a="1"/>
  <c r="C24" i="11" a="1"/>
  <c r="C4" i="11" a="1"/>
  <c r="C13" i="11" a="1"/>
  <c r="C3" i="11" a="1"/>
  <c r="C12" i="11" a="1"/>
  <c r="C21" i="11" a="1"/>
  <c r="C20" i="11" a="1"/>
  <c r="C19" i="11" a="1"/>
  <c r="C26" i="11" a="1"/>
  <c r="C2" i="11" a="1"/>
  <c r="D3" i="8" a="1"/>
  <c r="D2" i="8" a="1"/>
  <c r="B3" i="8" a="1"/>
  <c r="B2" i="8" a="1"/>
  <c r="J13" i="6" a="1"/>
  <c r="J3" i="6" a="1"/>
  <c r="J12" i="6" a="1"/>
  <c r="J11" i="6" a="1"/>
  <c r="J10" i="6" a="1"/>
  <c r="J9" i="6" a="1"/>
  <c r="J8" i="6" a="1"/>
  <c r="J7" i="6" a="1"/>
  <c r="J6" i="6" a="1"/>
  <c r="J5" i="6" a="1"/>
  <c r="J4" i="6" a="1"/>
  <c r="J2" i="6" a="1"/>
  <c r="C7" i="6" a="1"/>
  <c r="C6" i="6" a="1"/>
  <c r="C5" i="6" a="1"/>
  <c r="C4" i="6" a="1"/>
  <c r="C13" i="6" a="1"/>
  <c r="C3" i="6" a="1"/>
  <c r="C12" i="6" a="1"/>
  <c r="C11" i="6" a="1"/>
  <c r="C10" i="6" a="1"/>
  <c r="C9" i="6" a="1"/>
  <c r="C8" i="6" a="1"/>
  <c r="C2" i="6" a="1"/>
  <c r="B4" i="33" a="1"/>
  <c r="B3" i="33" a="1"/>
  <c r="B2" i="33" a="1"/>
  <c r="D11" i="32" a="1"/>
  <c r="D10" i="32" a="1"/>
  <c r="D9" i="32" a="1"/>
  <c r="D8" i="32" a="1"/>
  <c r="D7" i="32" a="1"/>
  <c r="D6" i="32" a="1"/>
  <c r="D5" i="32" a="1"/>
  <c r="D14" i="32" a="1"/>
  <c r="D4" i="32" a="1"/>
  <c r="D13" i="32" a="1"/>
  <c r="D3" i="32" a="1"/>
  <c r="D12" i="32" a="1"/>
  <c r="D2" i="32" a="1"/>
  <c r="B14" i="32" a="1"/>
  <c r="B13" i="32" a="1"/>
  <c r="B3" i="32" a="1"/>
  <c r="B12" i="32" a="1"/>
  <c r="B10" i="32" a="1"/>
  <c r="B8" i="32" a="1"/>
  <c r="B7" i="32" a="1"/>
  <c r="B4" i="32" a="1"/>
  <c r="B11" i="32" a="1"/>
  <c r="B9" i="32" a="1"/>
  <c r="B6" i="32" a="1"/>
  <c r="B5" i="32" a="1"/>
  <c r="B2" i="32" a="1"/>
  <c r="D12" i="31" a="1"/>
  <c r="D11" i="31" a="1"/>
  <c r="D10" i="31" a="1"/>
  <c r="D9" i="31" a="1"/>
  <c r="D8" i="31" a="1"/>
  <c r="D7" i="31" a="1"/>
  <c r="D6" i="31" a="1"/>
  <c r="D15" i="31" a="1"/>
  <c r="D5" i="31" a="1"/>
  <c r="D14" i="31" a="1"/>
  <c r="D4" i="31" a="1"/>
  <c r="D13" i="31" a="1"/>
  <c r="D3" i="31" a="1"/>
  <c r="D2" i="31" a="1"/>
  <c r="B12" i="31" a="1"/>
  <c r="B11" i="31" a="1"/>
  <c r="B10" i="31" a="1"/>
  <c r="B9" i="31" a="1"/>
  <c r="B8" i="31" a="1"/>
  <c r="B7" i="31" a="1"/>
  <c r="B6" i="31" a="1"/>
  <c r="B15" i="31" a="1"/>
  <c r="B5" i="31" a="1"/>
  <c r="B14" i="31" a="1"/>
  <c r="B4" i="31" a="1"/>
  <c r="B13" i="31" a="1"/>
  <c r="B3" i="31" a="1"/>
  <c r="B2" i="31" a="1"/>
  <c r="H331" i="36" a="1"/>
  <c r="H321" i="36" a="1"/>
  <c r="H311" i="36" a="1"/>
  <c r="H301" i="36" a="1"/>
  <c r="H291" i="36" a="1"/>
  <c r="H281" i="36" a="1"/>
  <c r="H271" i="36" a="1"/>
  <c r="H261" i="36" a="1"/>
  <c r="H251" i="36" a="1"/>
  <c r="H241" i="36" a="1"/>
  <c r="H231" i="36" a="1"/>
  <c r="H221" i="36" a="1"/>
  <c r="H211" i="36" a="1"/>
  <c r="H201" i="36" a="1"/>
  <c r="H191" i="36" a="1"/>
  <c r="H181" i="36" a="1"/>
  <c r="H171" i="36" a="1"/>
  <c r="H161" i="36" a="1"/>
  <c r="H151" i="36" a="1"/>
  <c r="H141" i="36" a="1"/>
  <c r="H131" i="36" a="1"/>
  <c r="H121" i="36" a="1"/>
  <c r="H111" i="36" a="1"/>
  <c r="H101" i="36" a="1"/>
  <c r="H91" i="36" a="1"/>
  <c r="H81" i="36" a="1"/>
  <c r="H71" i="36" a="1"/>
  <c r="H61" i="36" a="1"/>
  <c r="H51" i="36" a="1"/>
  <c r="H41" i="36" a="1"/>
  <c r="H31" i="36" a="1"/>
  <c r="H21" i="36" a="1"/>
  <c r="H11" i="36" a="1"/>
  <c r="H330" i="36" a="1"/>
  <c r="H307" i="36" a="1"/>
  <c r="H284" i="36" a="1"/>
  <c r="H248" i="36" a="1"/>
  <c r="H225" i="36" a="1"/>
  <c r="H202" i="36" a="1"/>
  <c r="H189" i="36" a="1"/>
  <c r="H166" i="36" a="1"/>
  <c r="H143" i="36" a="1"/>
  <c r="H130" i="36" a="1"/>
  <c r="H107" i="36" a="1"/>
  <c r="H84" i="36" a="1"/>
  <c r="H48" i="36" a="1"/>
  <c r="H318" i="36" a="1"/>
  <c r="H327" i="36" a="1"/>
  <c r="H304" i="36" a="1"/>
  <c r="H268" i="36" a="1"/>
  <c r="H245" i="36" a="1"/>
  <c r="H222" i="36" a="1"/>
  <c r="H209" i="36" a="1"/>
  <c r="H186" i="36" a="1"/>
  <c r="H163" i="36" a="1"/>
  <c r="H150" i="36" a="1"/>
  <c r="H127" i="36" a="1"/>
  <c r="H104" i="36" a="1"/>
  <c r="H68" i="36" a="1"/>
  <c r="H45" i="36" a="1"/>
  <c r="H315" i="36" a="1"/>
  <c r="H292" i="36" a="1"/>
  <c r="H279" i="36" a="1"/>
  <c r="H256" i="36" a="1"/>
  <c r="H233" i="36" a="1"/>
  <c r="H220" i="36" a="1"/>
  <c r="H197" i="36" a="1"/>
  <c r="H174" i="36" a="1"/>
  <c r="H138" i="36" a="1"/>
  <c r="H115" i="36" a="1"/>
  <c r="H92" i="36" a="1"/>
  <c r="H79" i="36" a="1"/>
  <c r="H56" i="36" a="1"/>
  <c r="H33" i="36" a="1"/>
  <c r="H22" i="36" a="1"/>
  <c r="H10" i="36" a="1"/>
  <c r="H326" i="36" a="1"/>
  <c r="H303" i="36" a="1"/>
  <c r="H290" i="36" a="1"/>
  <c r="H267" i="36" a="1"/>
  <c r="H244" i="36" a="1"/>
  <c r="H208" i="36" a="1"/>
  <c r="H185" i="36" a="1"/>
  <c r="H162" i="36" a="1"/>
  <c r="H149" i="36" a="1"/>
  <c r="H126" i="36" a="1"/>
  <c r="H103" i="36" a="1"/>
  <c r="H90" i="36" a="1"/>
  <c r="H67" i="36" a="1"/>
  <c r="H44" i="36" a="1"/>
  <c r="H314" i="36" a="1"/>
  <c r="H278" i="36" a="1"/>
  <c r="H255" i="36" a="1"/>
  <c r="H232" i="36" a="1"/>
  <c r="H219" i="36" a="1"/>
  <c r="H196" i="36" a="1"/>
  <c r="H173" i="36" a="1"/>
  <c r="H160" i="36" a="1"/>
  <c r="H137" i="36" a="1"/>
  <c r="H313" i="36" a="1"/>
  <c r="H283" i="36" a="1"/>
  <c r="H250" i="36" a="1"/>
  <c r="H218" i="36" a="1"/>
  <c r="H204" i="36" a="1"/>
  <c r="H188" i="36" a="1"/>
  <c r="H172" i="36" a="1"/>
  <c r="H142" i="36" a="1"/>
  <c r="H96" i="36" a="1"/>
  <c r="H82" i="36" a="1"/>
  <c r="H52" i="36" a="1"/>
  <c r="H37" i="36" a="1"/>
  <c r="H8" i="36" a="1"/>
  <c r="H329" i="36" a="1"/>
  <c r="H297" i="36" a="1"/>
  <c r="H265" i="36" a="1"/>
  <c r="H235" i="36" a="1"/>
  <c r="H170" i="36" a="1"/>
  <c r="H156" i="36" a="1"/>
  <c r="H140" i="36" a="1"/>
  <c r="H124" i="36" a="1"/>
  <c r="H109" i="36" a="1"/>
  <c r="H95" i="36" a="1"/>
  <c r="H80" i="36" a="1"/>
  <c r="H65" i="36" a="1"/>
  <c r="H50" i="36" a="1"/>
  <c r="H36" i="36" a="1"/>
  <c r="H23" i="36" a="1"/>
  <c r="H312" i="36" a="1"/>
  <c r="H282" i="36" a="1"/>
  <c r="H249" i="36" a="1"/>
  <c r="H217" i="36" a="1"/>
  <c r="H203" i="36" a="1"/>
  <c r="H187" i="36" a="1"/>
  <c r="H78" i="36" a="1"/>
  <c r="H20" i="36" a="1"/>
  <c r="H7" i="36" a="1"/>
  <c r="H328" i="36" a="1"/>
  <c r="H310" i="36" a="1"/>
  <c r="H296" i="36" a="1"/>
  <c r="H280" i="36" a="1"/>
  <c r="H264" i="36" a="1"/>
  <c r="H234" i="36" a="1"/>
  <c r="H169" i="36" a="1"/>
  <c r="H155" i="36" a="1"/>
  <c r="H139" i="36" a="1"/>
  <c r="H123" i="36" a="1"/>
  <c r="H108" i="36" a="1"/>
  <c r="H94" i="36" a="1"/>
  <c r="H64" i="36" a="1"/>
  <c r="H49" i="36" a="1"/>
  <c r="H35" i="36" a="1"/>
  <c r="H295" i="36" a="1"/>
  <c r="H230" i="36" a="1"/>
  <c r="H216" i="36" a="1"/>
  <c r="H200" i="36" a="1"/>
  <c r="H184" i="36" a="1"/>
  <c r="H154" i="36" a="1"/>
  <c r="H77" i="36" a="1"/>
  <c r="H19" i="36" a="1"/>
  <c r="H6" i="36" a="1"/>
  <c r="H294" i="36" a="1"/>
  <c r="H229" i="36" a="1"/>
  <c r="H215" i="36" a="1"/>
  <c r="H199" i="36" a="1"/>
  <c r="H183" i="36" a="1"/>
  <c r="H153" i="36" a="1"/>
  <c r="H120" i="36" a="1"/>
  <c r="H106" i="36" a="1"/>
  <c r="H76" i="36" a="1"/>
  <c r="H47" i="36" a="1"/>
  <c r="H32" i="36" a="1"/>
  <c r="H18" i="36" a="1"/>
  <c r="H5" i="36" a="1"/>
  <c r="H324" i="36" a="1"/>
  <c r="H308" i="36" a="1"/>
  <c r="H276" i="36" a="1"/>
  <c r="H262" i="36" a="1"/>
  <c r="H246" i="36" a="1"/>
  <c r="H167" i="36" a="1"/>
  <c r="H135" i="36" a="1"/>
  <c r="H89" i="36" a="1"/>
  <c r="H62" i="36" a="1"/>
  <c r="H293" i="36" a="1"/>
  <c r="H260" i="36" a="1"/>
  <c r="H228" i="36" a="1"/>
  <c r="H214" i="36" a="1"/>
  <c r="H198" i="36" a="1"/>
  <c r="H182" i="36" a="1"/>
  <c r="H152" i="36" a="1"/>
  <c r="H119" i="36" a="1"/>
  <c r="H105" i="36" a="1"/>
  <c r="H75" i="36" a="1"/>
  <c r="H60" i="36" a="1"/>
  <c r="H46" i="36" a="1"/>
  <c r="H30" i="36" a="1"/>
  <c r="H17" i="36" a="1"/>
  <c r="H4" i="36" a="1"/>
  <c r="H323" i="36" a="1"/>
  <c r="H289" i="36" a="1"/>
  <c r="H275" i="36" a="1"/>
  <c r="H259" i="36" a="1"/>
  <c r="H243" i="36" a="1"/>
  <c r="H213" i="36" a="1"/>
  <c r="H180" i="36" a="1"/>
  <c r="H148" i="36" a="1"/>
  <c r="H134" i="36" a="1"/>
  <c r="H118" i="36" a="1"/>
  <c r="H88" i="36" a="1"/>
  <c r="H59" i="36" a="1"/>
  <c r="H3" i="36" a="1"/>
  <c r="H306" i="36" a="1"/>
  <c r="H227" i="36" a="1"/>
  <c r="H195" i="36" a="1"/>
  <c r="H165" i="36" a="1"/>
  <c r="H74" i="36" a="1"/>
  <c r="H29" i="36" a="1"/>
  <c r="H16" i="36" a="1"/>
  <c r="H322" i="36" a="1"/>
  <c r="H288" i="36" a="1"/>
  <c r="H274" i="36" a="1"/>
  <c r="H258" i="36" a="1"/>
  <c r="H242" i="36" a="1"/>
  <c r="H212" i="36" a="1"/>
  <c r="H179" i="36" a="1"/>
  <c r="H147" i="36" a="1"/>
  <c r="H133" i="36" a="1"/>
  <c r="H117" i="36" a="1"/>
  <c r="H102" i="36" a="1"/>
  <c r="H87" i="36" a="1"/>
  <c r="H58" i="36" a="1"/>
  <c r="H43" i="36" a="1"/>
  <c r="H320" i="36" a="1"/>
  <c r="H305" i="36" a="1"/>
  <c r="H240" i="36" a="1"/>
  <c r="H226" i="36" a="1"/>
  <c r="H210" i="36" a="1"/>
  <c r="H194" i="36" a="1"/>
  <c r="H164" i="36" a="1"/>
  <c r="H100" i="36" a="1"/>
  <c r="H73" i="36" a="1"/>
  <c r="H28" i="36" a="1"/>
  <c r="H15" i="36" a="1"/>
  <c r="H287" i="36" a="1"/>
  <c r="H273" i="36" a="1"/>
  <c r="H257" i="36" a="1"/>
  <c r="H178" i="36" a="1"/>
  <c r="H146" i="36" a="1"/>
  <c r="H132" i="36" a="1"/>
  <c r="H116" i="36" a="1"/>
  <c r="H86" i="36" a="1"/>
  <c r="H72" i="36" a="1"/>
  <c r="H57" i="36" a="1"/>
  <c r="H42" i="36" a="1"/>
  <c r="H14" i="36" a="1"/>
  <c r="H319" i="36" a="1"/>
  <c r="H302" i="36" a="1"/>
  <c r="H272" i="36" a="1"/>
  <c r="H239" i="36" a="1"/>
  <c r="H207" i="36" a="1"/>
  <c r="H193" i="36" a="1"/>
  <c r="H177" i="36" a="1"/>
  <c r="H114" i="36" a="1"/>
  <c r="H99" i="36" a="1"/>
  <c r="H70" i="36" a="1"/>
  <c r="H55" i="36" a="1"/>
  <c r="H40" i="36" a="1"/>
  <c r="H27" i="36" a="1"/>
  <c r="H300" i="36" a="1"/>
  <c r="H286" i="36" a="1"/>
  <c r="H270" i="36" a="1"/>
  <c r="H254" i="36" a="1"/>
  <c r="H224" i="36" a="1"/>
  <c r="H159" i="36" a="1"/>
  <c r="H145" i="36" a="1"/>
  <c r="H129" i="36" a="1"/>
  <c r="H85" i="36" a="1"/>
  <c r="H325" i="36" a="1"/>
  <c r="H263" i="36" a="1"/>
  <c r="H136" i="36" a="1"/>
  <c r="H26" i="36" a="1"/>
  <c r="H317" i="36" a="1"/>
  <c r="H192" i="36" a="1"/>
  <c r="H25" i="36" a="1"/>
  <c r="H253" i="36" a="1"/>
  <c r="H190" i="36" a="1"/>
  <c r="H128" i="36" a="1"/>
  <c r="H69" i="36" a="1"/>
  <c r="H316" i="36" a="1"/>
  <c r="H24" i="36" a="1"/>
  <c r="H252" i="36" a="1"/>
  <c r="H125" i="36" a="1"/>
  <c r="H309" i="36" a="1"/>
  <c r="H247" i="36" a="1"/>
  <c r="H122" i="36" a="1"/>
  <c r="H66" i="36" a="1"/>
  <c r="H13" i="36" a="1"/>
  <c r="H238" i="36" a="1"/>
  <c r="H176" i="36" a="1"/>
  <c r="H113" i="36" a="1"/>
  <c r="H63" i="36" a="1"/>
  <c r="H299" i="36" a="1"/>
  <c r="H12" i="36" a="1"/>
  <c r="H237" i="36" a="1"/>
  <c r="H175" i="36" a="1"/>
  <c r="H112" i="36" a="1"/>
  <c r="H54" i="36" a="1"/>
  <c r="H9" i="36" a="1"/>
  <c r="H298" i="36" a="1"/>
  <c r="H236" i="36" a="1"/>
  <c r="H110" i="36" a="1"/>
  <c r="H168" i="36" a="1"/>
  <c r="H53" i="36" a="1"/>
  <c r="H98" i="36" a="1"/>
  <c r="H285" i="36" a="1"/>
  <c r="H223" i="36" a="1"/>
  <c r="H158" i="36" a="1"/>
  <c r="H97" i="36" a="1"/>
  <c r="H157" i="36" a="1"/>
  <c r="H39" i="36" a="1"/>
  <c r="H277" i="36" a="1"/>
  <c r="H93" i="36" a="1"/>
  <c r="H206" i="36" a="1"/>
  <c r="H38" i="36" a="1"/>
  <c r="H269" i="36" a="1"/>
  <c r="H144" i="36" a="1"/>
  <c r="H205" i="36" a="1"/>
  <c r="H83" i="36" a="1"/>
  <c r="H34" i="36" a="1"/>
  <c r="H266" i="36" a="1"/>
  <c r="H2" i="36" a="1"/>
  <c r="G331" i="36" a="1"/>
  <c r="G321" i="36" a="1"/>
  <c r="G311" i="36" a="1"/>
  <c r="G301" i="36" a="1"/>
  <c r="G291" i="36" a="1"/>
  <c r="G281" i="36" a="1"/>
  <c r="G271" i="36" a="1"/>
  <c r="G261" i="36" a="1"/>
  <c r="G251" i="36" a="1"/>
  <c r="G241" i="36" a="1"/>
  <c r="G231" i="36" a="1"/>
  <c r="G221" i="36" a="1"/>
  <c r="G211" i="36" a="1"/>
  <c r="G201" i="36" a="1"/>
  <c r="G191" i="36" a="1"/>
  <c r="G181" i="36" a="1"/>
  <c r="G171" i="36" a="1"/>
  <c r="G161" i="36" a="1"/>
  <c r="G151" i="36" a="1"/>
  <c r="G141" i="36" a="1"/>
  <c r="G131" i="36" a="1"/>
  <c r="G121" i="36" a="1"/>
  <c r="G111" i="36" a="1"/>
  <c r="G101" i="36" a="1"/>
  <c r="G91" i="36" a="1"/>
  <c r="G81" i="36" a="1"/>
  <c r="G71" i="36" a="1"/>
  <c r="G61" i="36" a="1"/>
  <c r="G51" i="36" a="1"/>
  <c r="G41" i="36" a="1"/>
  <c r="G31" i="36" a="1"/>
  <c r="G21" i="36" a="1"/>
  <c r="G11" i="36" a="1"/>
  <c r="G325" i="36" a="1"/>
  <c r="G330" i="36" a="1"/>
  <c r="G318" i="36" a="1"/>
  <c r="G295" i="36" a="1"/>
  <c r="G272" i="36" a="1"/>
  <c r="G259" i="36" a="1"/>
  <c r="G236" i="36" a="1"/>
  <c r="G213" i="36" a="1"/>
  <c r="G200" i="36" a="1"/>
  <c r="G177" i="36" a="1"/>
  <c r="G154" i="36" a="1"/>
  <c r="G118" i="36" a="1"/>
  <c r="G95" i="36" a="1"/>
  <c r="G72" i="36" a="1"/>
  <c r="G59" i="36" a="1"/>
  <c r="G36" i="36" a="1"/>
  <c r="G25" i="36" a="1"/>
  <c r="G14" i="36" a="1"/>
  <c r="G3" i="36" a="1"/>
  <c r="G306" i="36" a="1"/>
  <c r="G283" i="36" a="1"/>
  <c r="G270" i="36" a="1"/>
  <c r="G247" i="36" a="1"/>
  <c r="G188" i="36" a="1"/>
  <c r="G165" i="36" a="1"/>
  <c r="G142" i="36" a="1"/>
  <c r="G129" i="36" a="1"/>
  <c r="G106" i="36" a="1"/>
  <c r="G83" i="36" a="1"/>
  <c r="G70" i="36" a="1"/>
  <c r="G47" i="36" a="1"/>
  <c r="G329" i="36" a="1"/>
  <c r="G317" i="36" a="1"/>
  <c r="G294" i="36" a="1"/>
  <c r="G258" i="36" a="1"/>
  <c r="G212" i="36" a="1"/>
  <c r="G199" i="36" a="1"/>
  <c r="G176" i="36" a="1"/>
  <c r="G153" i="36" a="1"/>
  <c r="G117" i="36" a="1"/>
  <c r="G94" i="36" a="1"/>
  <c r="G58" i="36" a="1"/>
  <c r="G13" i="36" a="1"/>
  <c r="G269" i="36" a="1"/>
  <c r="G246" i="36" a="1"/>
  <c r="G210" i="36" a="1"/>
  <c r="G164" i="36" a="1"/>
  <c r="G105" i="36" a="1"/>
  <c r="G69" i="36" a="1"/>
  <c r="G46" i="36" a="1"/>
  <c r="G316" i="36" a="1"/>
  <c r="G280" i="36" a="1"/>
  <c r="G198" i="36" a="1"/>
  <c r="G175" i="36" a="1"/>
  <c r="G139" i="36" a="1"/>
  <c r="G80" i="36" a="1"/>
  <c r="G57" i="36" a="1"/>
  <c r="G23" i="36" a="1"/>
  <c r="G304" i="36" a="1"/>
  <c r="G222" i="36" a="1"/>
  <c r="G186" i="36" a="1"/>
  <c r="G150" i="36" a="1"/>
  <c r="G68" i="36" a="1"/>
  <c r="G315" i="36" a="1"/>
  <c r="G279" i="36" a="1"/>
  <c r="G256" i="36" a="1"/>
  <c r="G220" i="36" a="1"/>
  <c r="G174" i="36" a="1"/>
  <c r="G138" i="36" a="1"/>
  <c r="G79" i="36" a="1"/>
  <c r="G56" i="36" a="1"/>
  <c r="G22" i="36" a="1"/>
  <c r="G303" i="36" a="1"/>
  <c r="G244" i="36" a="1"/>
  <c r="G185" i="36" a="1"/>
  <c r="G149" i="36" a="1"/>
  <c r="G126" i="36" a="1"/>
  <c r="G90" i="36" a="1"/>
  <c r="G314" i="36" a="1"/>
  <c r="G278" i="36" a="1"/>
  <c r="G255" i="36" a="1"/>
  <c r="G219" i="36" a="1"/>
  <c r="G173" i="36" a="1"/>
  <c r="G137" i="36" a="1"/>
  <c r="G55" i="36" a="1"/>
  <c r="G32" i="36" a="1"/>
  <c r="G9" i="36" a="1"/>
  <c r="G289" i="36" a="1"/>
  <c r="G243" i="36" a="1"/>
  <c r="G207" i="36" a="1"/>
  <c r="G224" i="36" a="1"/>
  <c r="G235" i="36" a="1"/>
  <c r="G140" i="36" a="1"/>
  <c r="G35" i="36" a="1"/>
  <c r="G24" i="36" a="1"/>
  <c r="G305" i="36" a="1"/>
  <c r="G282" i="36" a="1"/>
  <c r="G223" i="36" a="1"/>
  <c r="G187" i="36" a="1"/>
  <c r="G128" i="36" a="1"/>
  <c r="G82" i="36" a="1"/>
  <c r="G328" i="36" a="1"/>
  <c r="G293" i="36" a="1"/>
  <c r="G257" i="36" a="1"/>
  <c r="G234" i="36" a="1"/>
  <c r="G152" i="36" a="1"/>
  <c r="G116" i="36" a="1"/>
  <c r="G93" i="36" a="1"/>
  <c r="G34" i="36" a="1"/>
  <c r="G12" i="36" a="1"/>
  <c r="G268" i="36" a="1"/>
  <c r="G245" i="36" a="1"/>
  <c r="G209" i="36" a="1"/>
  <c r="G163" i="36" a="1"/>
  <c r="G127" i="36" a="1"/>
  <c r="G104" i="36" a="1"/>
  <c r="G45" i="36" a="1"/>
  <c r="G327" i="36" a="1"/>
  <c r="G292" i="36" a="1"/>
  <c r="G233" i="36" a="1"/>
  <c r="G197" i="36" a="1"/>
  <c r="G115" i="36" a="1"/>
  <c r="G92" i="36" a="1"/>
  <c r="G33" i="36" a="1"/>
  <c r="G10" i="36" a="1"/>
  <c r="G290" i="36" a="1"/>
  <c r="G267" i="36" a="1"/>
  <c r="G208" i="36" a="1"/>
  <c r="G162" i="36" a="1"/>
  <c r="G103" i="36" a="1"/>
  <c r="G67" i="36" a="1"/>
  <c r="G44" i="36" a="1"/>
  <c r="G326" i="36" a="1"/>
  <c r="G232" i="36" a="1"/>
  <c r="G196" i="36" a="1"/>
  <c r="G160" i="36" a="1"/>
  <c r="G114" i="36" a="1"/>
  <c r="G78" i="36" a="1"/>
  <c r="G20" i="36" a="1"/>
  <c r="G302" i="36" a="1"/>
  <c r="G266" i="36" a="1"/>
  <c r="G230" i="36" a="1"/>
  <c r="G300" i="36" a="1"/>
  <c r="G277" i="36" a="1"/>
  <c r="G254" i="36" a="1"/>
  <c r="G184" i="36" a="1"/>
  <c r="G99" i="36" a="1"/>
  <c r="G77" i="36" a="1"/>
  <c r="G324" i="36" a="1"/>
  <c r="G229" i="36" a="1"/>
  <c r="G206" i="36" a="1"/>
  <c r="G166" i="36" a="1"/>
  <c r="G144" i="36" a="1"/>
  <c r="G122" i="36" a="1"/>
  <c r="G37" i="36" a="1"/>
  <c r="G16" i="36" a="1"/>
  <c r="G299" i="36" a="1"/>
  <c r="G276" i="36" a="1"/>
  <c r="G253" i="36" a="1"/>
  <c r="G183" i="36" a="1"/>
  <c r="G120" i="36" a="1"/>
  <c r="G98" i="36" a="1"/>
  <c r="G76" i="36" a="1"/>
  <c r="G54" i="36" a="1"/>
  <c r="G323" i="36" a="1"/>
  <c r="G228" i="36" a="1"/>
  <c r="G205" i="36" a="1"/>
  <c r="G159" i="36" a="1"/>
  <c r="G143" i="36" a="1"/>
  <c r="G15" i="36" a="1"/>
  <c r="G298" i="36" a="1"/>
  <c r="G275" i="36" a="1"/>
  <c r="G252" i="36" a="1"/>
  <c r="G182" i="36" a="1"/>
  <c r="G119" i="36" a="1"/>
  <c r="G97" i="36" a="1"/>
  <c r="G75" i="36" a="1"/>
  <c r="G53" i="36" a="1"/>
  <c r="G30" i="36" a="1"/>
  <c r="G322" i="36" a="1"/>
  <c r="G250" i="36" a="1"/>
  <c r="G227" i="36" a="1"/>
  <c r="G204" i="36" a="1"/>
  <c r="G180" i="36" a="1"/>
  <c r="G158" i="36" a="1"/>
  <c r="G136" i="36" a="1"/>
  <c r="G320" i="36" a="1"/>
  <c r="G297" i="36" a="1"/>
  <c r="G274" i="36" a="1"/>
  <c r="G96" i="36" a="1"/>
  <c r="G74" i="36" a="1"/>
  <c r="G52" i="36" a="1"/>
  <c r="G29" i="36" a="1"/>
  <c r="G8" i="36" a="1"/>
  <c r="G249" i="36" a="1"/>
  <c r="G226" i="36" a="1"/>
  <c r="G203" i="36" a="1"/>
  <c r="G179" i="36" a="1"/>
  <c r="G157" i="36" a="1"/>
  <c r="G135" i="36" a="1"/>
  <c r="G113" i="36" a="1"/>
  <c r="G50" i="36" a="1"/>
  <c r="G319" i="36" a="1"/>
  <c r="G296" i="36" a="1"/>
  <c r="G273" i="36" a="1"/>
  <c r="G89" i="36" a="1"/>
  <c r="G73" i="36" a="1"/>
  <c r="G28" i="36" a="1"/>
  <c r="G7" i="36" a="1"/>
  <c r="G248" i="36" a="1"/>
  <c r="G225" i="36" a="1"/>
  <c r="G202" i="36" a="1"/>
  <c r="G178" i="36" a="1"/>
  <c r="G156" i="36" a="1"/>
  <c r="G134" i="36" a="1"/>
  <c r="G112" i="36" a="1"/>
  <c r="G49" i="36" a="1"/>
  <c r="G310" i="36" a="1"/>
  <c r="G287" i="36" a="1"/>
  <c r="G264" i="36" a="1"/>
  <c r="G170" i="36" a="1"/>
  <c r="G148" i="36" a="1"/>
  <c r="G132" i="36" a="1"/>
  <c r="G239" i="36" a="1"/>
  <c r="G216" i="36" a="1"/>
  <c r="G193" i="36" a="1"/>
  <c r="G130" i="36" a="1"/>
  <c r="G108" i="36" a="1"/>
  <c r="G86" i="36" a="1"/>
  <c r="G64" i="36" a="1"/>
  <c r="G42" i="36" a="1"/>
  <c r="G4" i="36" a="1"/>
  <c r="G309" i="36" a="1"/>
  <c r="G286" i="36" a="1"/>
  <c r="G263" i="36" a="1"/>
  <c r="G169" i="36" a="1"/>
  <c r="G147" i="36" a="1"/>
  <c r="G125" i="36" a="1"/>
  <c r="G40" i="36" a="1"/>
  <c r="G19" i="36" a="1"/>
  <c r="G238" i="36" a="1"/>
  <c r="G215" i="36" a="1"/>
  <c r="G192" i="36" a="1"/>
  <c r="G107" i="36" a="1"/>
  <c r="G85" i="36" a="1"/>
  <c r="G63" i="36" a="1"/>
  <c r="G308" i="36" a="1"/>
  <c r="G285" i="36" a="1"/>
  <c r="G262" i="36" a="1"/>
  <c r="G190" i="36" a="1"/>
  <c r="G168" i="36" a="1"/>
  <c r="G146" i="36" a="1"/>
  <c r="G124" i="36" a="1"/>
  <c r="G102" i="36" a="1"/>
  <c r="G39" i="36" a="1"/>
  <c r="G18" i="36" a="1"/>
  <c r="G260" i="36" a="1"/>
  <c r="G237" i="36" a="1"/>
  <c r="G214" i="36" a="1"/>
  <c r="G100" i="36" a="1"/>
  <c r="G84" i="36" a="1"/>
  <c r="G62" i="36" a="1"/>
  <c r="G307" i="36" a="1"/>
  <c r="G284" i="36" a="1"/>
  <c r="G189" i="36" a="1"/>
  <c r="G167" i="36" a="1"/>
  <c r="G145" i="36" a="1"/>
  <c r="G123" i="36" a="1"/>
  <c r="G60" i="36" a="1"/>
  <c r="G38" i="36" a="1"/>
  <c r="G17" i="36" a="1"/>
  <c r="G313" i="36" a="1"/>
  <c r="G172" i="36" a="1"/>
  <c r="G26" i="36" a="1"/>
  <c r="G312" i="36" a="1"/>
  <c r="G155" i="36" a="1"/>
  <c r="G6" i="36" a="1"/>
  <c r="G288" i="36" a="1"/>
  <c r="G133" i="36" a="1"/>
  <c r="G5" i="36" a="1"/>
  <c r="G265" i="36" a="1"/>
  <c r="G110" i="36" a="1"/>
  <c r="G109" i="36" a="1"/>
  <c r="G242" i="36" a="1"/>
  <c r="G88" i="36" a="1"/>
  <c r="G240" i="36" a="1"/>
  <c r="G218" i="36" a="1"/>
  <c r="G87" i="36" a="1"/>
  <c r="G66" i="36" a="1"/>
  <c r="G217" i="36" a="1"/>
  <c r="G195" i="36" a="1"/>
  <c r="G65" i="36" a="1"/>
  <c r="G194" i="36" a="1"/>
  <c r="G48" i="36" a="1"/>
  <c r="G43" i="36" a="1"/>
  <c r="G27" i="36" a="1"/>
  <c r="G2" i="36" a="1"/>
  <c r="E331" i="36" a="1"/>
  <c r="E321" i="36" a="1"/>
  <c r="E311" i="36" a="1"/>
  <c r="E301" i="36" a="1"/>
  <c r="E291" i="36" a="1"/>
  <c r="E281" i="36" a="1"/>
  <c r="E271" i="36" a="1"/>
  <c r="E261" i="36" a="1"/>
  <c r="E251" i="36" a="1"/>
  <c r="E241" i="36" a="1"/>
  <c r="E231" i="36" a="1"/>
  <c r="E221" i="36" a="1"/>
  <c r="E211" i="36" a="1"/>
  <c r="E201" i="36" a="1"/>
  <c r="E191" i="36" a="1"/>
  <c r="E181" i="36" a="1"/>
  <c r="E171" i="36" a="1"/>
  <c r="E161" i="36" a="1"/>
  <c r="E151" i="36" a="1"/>
  <c r="E141" i="36" a="1"/>
  <c r="E131" i="36" a="1"/>
  <c r="E121" i="36" a="1"/>
  <c r="E111" i="36" a="1"/>
  <c r="E101" i="36" a="1"/>
  <c r="E91" i="36" a="1"/>
  <c r="E81" i="36" a="1"/>
  <c r="E71" i="36" a="1"/>
  <c r="E61" i="36" a="1"/>
  <c r="E51" i="36" a="1"/>
  <c r="E41" i="36" a="1"/>
  <c r="E31" i="36" a="1"/>
  <c r="E21" i="36" a="1"/>
  <c r="E11" i="36" a="1"/>
  <c r="E330" i="36" a="1"/>
  <c r="E307" i="36" a="1"/>
  <c r="E284" i="36" a="1"/>
  <c r="E248" i="36" a="1"/>
  <c r="E225" i="36" a="1"/>
  <c r="E202" i="36" a="1"/>
  <c r="E189" i="36" a="1"/>
  <c r="E166" i="36" a="1"/>
  <c r="E143" i="36" a="1"/>
  <c r="E130" i="36" a="1"/>
  <c r="E107" i="36" a="1"/>
  <c r="E84" i="36" a="1"/>
  <c r="E48" i="36" a="1"/>
  <c r="E318" i="36" a="1"/>
  <c r="E295" i="36" a="1"/>
  <c r="E272" i="36" a="1"/>
  <c r="E259" i="36" a="1"/>
  <c r="E236" i="36" a="1"/>
  <c r="E213" i="36" a="1"/>
  <c r="E200" i="36" a="1"/>
  <c r="E177" i="36" a="1"/>
  <c r="E154" i="36" a="1"/>
  <c r="E118" i="36" a="1"/>
  <c r="E95" i="36" a="1"/>
  <c r="E72" i="36" a="1"/>
  <c r="E59" i="36" a="1"/>
  <c r="E36" i="36" a="1"/>
  <c r="E25" i="36" a="1"/>
  <c r="E14" i="36" a="1"/>
  <c r="E3" i="36" a="1"/>
  <c r="E329" i="36" a="1"/>
  <c r="E306" i="36" a="1"/>
  <c r="E283" i="36" a="1"/>
  <c r="E270" i="36" a="1"/>
  <c r="E247" i="36" a="1"/>
  <c r="E224" i="36" a="1"/>
  <c r="E188" i="36" a="1"/>
  <c r="E165" i="36" a="1"/>
  <c r="E142" i="36" a="1"/>
  <c r="E129" i="36" a="1"/>
  <c r="E106" i="36" a="1"/>
  <c r="E83" i="36" a="1"/>
  <c r="E70" i="36" a="1"/>
  <c r="E47" i="36" a="1"/>
  <c r="E317" i="36" a="1"/>
  <c r="E294" i="36" a="1"/>
  <c r="E258" i="36" a="1"/>
  <c r="E235" i="36" a="1"/>
  <c r="E212" i="36" a="1"/>
  <c r="E199" i="36" a="1"/>
  <c r="E176" i="36" a="1"/>
  <c r="E153" i="36" a="1"/>
  <c r="E140" i="36" a="1"/>
  <c r="E117" i="36" a="1"/>
  <c r="E94" i="36" a="1"/>
  <c r="E58" i="36" a="1"/>
  <c r="E35" i="36" a="1"/>
  <c r="E24" i="36" a="1"/>
  <c r="E13" i="36" a="1"/>
  <c r="E328" i="36" a="1"/>
  <c r="E305" i="36" a="1"/>
  <c r="E282" i="36" a="1"/>
  <c r="E269" i="36" a="1"/>
  <c r="E246" i="36" a="1"/>
  <c r="E223" i="36" a="1"/>
  <c r="E210" i="36" a="1"/>
  <c r="E187" i="36" a="1"/>
  <c r="E164" i="36" a="1"/>
  <c r="E128" i="36" a="1"/>
  <c r="E105" i="36" a="1"/>
  <c r="E82" i="36" a="1"/>
  <c r="E69" i="36" a="1"/>
  <c r="E46" i="36" a="1"/>
  <c r="E316" i="36" a="1"/>
  <c r="E293" i="36" a="1"/>
  <c r="E280" i="36" a="1"/>
  <c r="E257" i="36" a="1"/>
  <c r="E234" i="36" a="1"/>
  <c r="E198" i="36" a="1"/>
  <c r="E175" i="36" a="1"/>
  <c r="E152" i="36" a="1"/>
  <c r="E139" i="36" a="1"/>
  <c r="E116" i="36" a="1"/>
  <c r="E93" i="36" a="1"/>
  <c r="E80" i="36" a="1"/>
  <c r="E57" i="36" a="1"/>
  <c r="E34" i="36" a="1"/>
  <c r="E23" i="36" a="1"/>
  <c r="E12" i="36" a="1"/>
  <c r="E126" i="36" a="1"/>
  <c r="E44" i="36" a="1"/>
  <c r="E278" i="36" a="1"/>
  <c r="E255" i="36" a="1"/>
  <c r="E232" i="36" a="1"/>
  <c r="E219" i="36" a="1"/>
  <c r="E196" i="36" a="1"/>
  <c r="E160" i="36" a="1"/>
  <c r="E137" i="36" a="1"/>
  <c r="E78" i="36" a="1"/>
  <c r="E55" i="36" a="1"/>
  <c r="E20" i="36" a="1"/>
  <c r="E302" i="36" a="1"/>
  <c r="E243" i="36" a="1"/>
  <c r="E207" i="36" a="1"/>
  <c r="E184" i="36" a="1"/>
  <c r="E148" i="36" a="1"/>
  <c r="E89" i="36" a="1"/>
  <c r="E327" i="36" a="1"/>
  <c r="E304" i="36" a="1"/>
  <c r="E268" i="36" a="1"/>
  <c r="E245" i="36" a="1"/>
  <c r="E222" i="36" a="1"/>
  <c r="E209" i="36" a="1"/>
  <c r="E186" i="36" a="1"/>
  <c r="E163" i="36" a="1"/>
  <c r="E150" i="36" a="1"/>
  <c r="E127" i="36" a="1"/>
  <c r="E104" i="36" a="1"/>
  <c r="E68" i="36" a="1"/>
  <c r="E45" i="36" a="1"/>
  <c r="E315" i="36" a="1"/>
  <c r="E292" i="36" a="1"/>
  <c r="E279" i="36" a="1"/>
  <c r="E256" i="36" a="1"/>
  <c r="E233" i="36" a="1"/>
  <c r="E220" i="36" a="1"/>
  <c r="E197" i="36" a="1"/>
  <c r="E174" i="36" a="1"/>
  <c r="E138" i="36" a="1"/>
  <c r="E115" i="36" a="1"/>
  <c r="E92" i="36" a="1"/>
  <c r="E79" i="36" a="1"/>
  <c r="E56" i="36" a="1"/>
  <c r="E33" i="36" a="1"/>
  <c r="E22" i="36" a="1"/>
  <c r="E10" i="36" a="1"/>
  <c r="E326" i="36" a="1"/>
  <c r="E303" i="36" a="1"/>
  <c r="E290" i="36" a="1"/>
  <c r="E267" i="36" a="1"/>
  <c r="E244" i="36" a="1"/>
  <c r="E208" i="36" a="1"/>
  <c r="E185" i="36" a="1"/>
  <c r="E162" i="36" a="1"/>
  <c r="E149" i="36" a="1"/>
  <c r="E103" i="36" a="1"/>
  <c r="E90" i="36" a="1"/>
  <c r="E67" i="36" a="1"/>
  <c r="E314" i="36" a="1"/>
  <c r="E173" i="36" a="1"/>
  <c r="E114" i="36" a="1"/>
  <c r="E32" i="36" a="1"/>
  <c r="E9" i="36" a="1"/>
  <c r="E325" i="36" a="1"/>
  <c r="E289" i="36" a="1"/>
  <c r="E266" i="36" a="1"/>
  <c r="E230" i="36" a="1"/>
  <c r="E125" i="36" a="1"/>
  <c r="E102" i="36" a="1"/>
  <c r="E66" i="36" a="1"/>
  <c r="E320" i="36" a="1"/>
  <c r="E296" i="36" a="1"/>
  <c r="E265" i="36" a="1"/>
  <c r="E190" i="36" a="1"/>
  <c r="E159" i="36" a="1"/>
  <c r="E135" i="36" a="1"/>
  <c r="E60" i="36" a="1"/>
  <c r="E37" i="36" a="1"/>
  <c r="E15" i="36" a="1"/>
  <c r="E239" i="36" a="1"/>
  <c r="E215" i="36" a="1"/>
  <c r="E109" i="36" a="1"/>
  <c r="E85" i="36" a="1"/>
  <c r="E319" i="36" a="1"/>
  <c r="E288" i="36" a="1"/>
  <c r="E264" i="36" a="1"/>
  <c r="E158" i="36" a="1"/>
  <c r="E134" i="36" a="1"/>
  <c r="E54" i="36" a="1"/>
  <c r="E30" i="36" a="1"/>
  <c r="E8" i="36" a="1"/>
  <c r="E313" i="36" a="1"/>
  <c r="E238" i="36" a="1"/>
  <c r="E214" i="36" a="1"/>
  <c r="E183" i="36" a="1"/>
  <c r="E108" i="36" a="1"/>
  <c r="E77" i="36" a="1"/>
  <c r="E287" i="36" a="1"/>
  <c r="E263" i="36" a="1"/>
  <c r="E157" i="36" a="1"/>
  <c r="E133" i="36" a="1"/>
  <c r="E53" i="36" a="1"/>
  <c r="E29" i="36" a="1"/>
  <c r="E7" i="36" a="1"/>
  <c r="E312" i="36" a="1"/>
  <c r="E237" i="36" a="1"/>
  <c r="E206" i="36" a="1"/>
  <c r="E182" i="36" a="1"/>
  <c r="E100" i="36" a="1"/>
  <c r="E76" i="36" a="1"/>
  <c r="E310" i="36" a="1"/>
  <c r="E286" i="36" a="1"/>
  <c r="E262" i="36" a="1"/>
  <c r="E180" i="36" a="1"/>
  <c r="E156" i="36" a="1"/>
  <c r="E132" i="36" a="1"/>
  <c r="E52" i="36" a="1"/>
  <c r="E28" i="36" a="1"/>
  <c r="E6" i="36" a="1"/>
  <c r="E260" i="36" a="1"/>
  <c r="E229" i="36" a="1"/>
  <c r="E205" i="36" a="1"/>
  <c r="E99" i="36" a="1"/>
  <c r="E75" i="36" a="1"/>
  <c r="E50" i="36" a="1"/>
  <c r="E322" i="36" a="1"/>
  <c r="E62" i="36" a="1"/>
  <c r="E309" i="36" a="1"/>
  <c r="E274" i="36" a="1"/>
  <c r="E179" i="36" a="1"/>
  <c r="E144" i="36" a="1"/>
  <c r="E17" i="36" a="1"/>
  <c r="E226" i="36" a="1"/>
  <c r="E96" i="36" a="1"/>
  <c r="E49" i="36" a="1"/>
  <c r="E308" i="36" a="1"/>
  <c r="E273" i="36" a="1"/>
  <c r="E178" i="36" a="1"/>
  <c r="E136" i="36" a="1"/>
  <c r="E16" i="36" a="1"/>
  <c r="E218" i="36" a="1"/>
  <c r="E172" i="36" a="1"/>
  <c r="E88" i="36" a="1"/>
  <c r="E43" i="36" a="1"/>
  <c r="E300" i="36" a="1"/>
  <c r="E254" i="36" a="1"/>
  <c r="E170" i="36" a="1"/>
  <c r="E124" i="36" a="1"/>
  <c r="E217" i="36" a="1"/>
  <c r="E87" i="36" a="1"/>
  <c r="E42" i="36" a="1"/>
  <c r="E5" i="36" a="1"/>
  <c r="E299" i="36" a="1"/>
  <c r="E253" i="36" a="1"/>
  <c r="E169" i="36" a="1"/>
  <c r="E123" i="36" a="1"/>
  <c r="E40" i="36" a="1"/>
  <c r="E216" i="36" a="1"/>
  <c r="E86" i="36" a="1"/>
  <c r="E4" i="36" a="1"/>
  <c r="E298" i="36" a="1"/>
  <c r="E252" i="36" a="1"/>
  <c r="E168" i="36" a="1"/>
  <c r="E122" i="36" a="1"/>
  <c r="E39" i="36" a="1"/>
  <c r="E250" i="36" a="1"/>
  <c r="E204" i="36" a="1"/>
  <c r="E120" i="36" a="1"/>
  <c r="E74" i="36" a="1"/>
  <c r="E297" i="36" a="1"/>
  <c r="E167" i="36" a="1"/>
  <c r="E38" i="36" a="1"/>
  <c r="E249" i="36" a="1"/>
  <c r="E203" i="36" a="1"/>
  <c r="E119" i="36" a="1"/>
  <c r="E73" i="36" a="1"/>
  <c r="E285" i="36" a="1"/>
  <c r="E155" i="36" a="1"/>
  <c r="E113" i="36" a="1"/>
  <c r="E27" i="36" a="1"/>
  <c r="E195" i="36" a="1"/>
  <c r="E65" i="36" a="1"/>
  <c r="E277" i="36" a="1"/>
  <c r="E242" i="36" a="1"/>
  <c r="E147" i="36" a="1"/>
  <c r="E112" i="36" a="1"/>
  <c r="E26" i="36" a="1"/>
  <c r="E324" i="36" a="1"/>
  <c r="E240" i="36" a="1"/>
  <c r="E194" i="36" a="1"/>
  <c r="E110" i="36" a="1"/>
  <c r="E64" i="36" a="1"/>
  <c r="E276" i="36" a="1"/>
  <c r="E146" i="36" a="1"/>
  <c r="E19" i="36" a="1"/>
  <c r="E323" i="36" a="1"/>
  <c r="E228" i="36" a="1"/>
  <c r="E193" i="36" a="1"/>
  <c r="E98" i="36" a="1"/>
  <c r="E63" i="36" a="1"/>
  <c r="E275" i="36" a="1"/>
  <c r="E145" i="36" a="1"/>
  <c r="E18" i="36" a="1"/>
  <c r="E227" i="36" a="1"/>
  <c r="E192" i="36" a="1"/>
  <c r="E97" i="36" a="1"/>
  <c r="E2" i="36" a="1"/>
  <c r="D328" i="36" a="1"/>
  <c r="D318" i="36" a="1"/>
  <c r="D308" i="36" a="1"/>
  <c r="D298" i="36" a="1"/>
  <c r="D288" i="36" a="1"/>
  <c r="D278" i="36" a="1"/>
  <c r="D268" i="36" a="1"/>
  <c r="D258" i="36" a="1"/>
  <c r="D248" i="36" a="1"/>
  <c r="D238" i="36" a="1"/>
  <c r="D228" i="36" a="1"/>
  <c r="D218" i="36" a="1"/>
  <c r="D208" i="36" a="1"/>
  <c r="D198" i="36" a="1"/>
  <c r="D188" i="36" a="1"/>
  <c r="D178" i="36" a="1"/>
  <c r="D168" i="36" a="1"/>
  <c r="D158" i="36" a="1"/>
  <c r="D148" i="36" a="1"/>
  <c r="D138" i="36" a="1"/>
  <c r="D128" i="36" a="1"/>
  <c r="D118" i="36" a="1"/>
  <c r="D108" i="36" a="1"/>
  <c r="D98" i="36" a="1"/>
  <c r="D88" i="36" a="1"/>
  <c r="D78" i="36" a="1"/>
  <c r="D68" i="36" a="1"/>
  <c r="D58" i="36" a="1"/>
  <c r="D48" i="36" a="1"/>
  <c r="D38" i="36" a="1"/>
  <c r="D28" i="36" a="1"/>
  <c r="D18" i="36" a="1"/>
  <c r="D8" i="36" a="1"/>
  <c r="D327" i="36" a="1"/>
  <c r="D304" i="36" a="1"/>
  <c r="D281" i="36" a="1"/>
  <c r="D245" i="36" a="1"/>
  <c r="D222" i="36" a="1"/>
  <c r="D199" i="36" a="1"/>
  <c r="D186" i="36" a="1"/>
  <c r="D163" i="36" a="1"/>
  <c r="D140" i="36" a="1"/>
  <c r="D127" i="36" a="1"/>
  <c r="D104" i="36" a="1"/>
  <c r="D81" i="36" a="1"/>
  <c r="D45" i="36" a="1"/>
  <c r="D315" i="36" a="1"/>
  <c r="D292" i="36" a="1"/>
  <c r="D269" i="36" a="1"/>
  <c r="D256" i="36" a="1"/>
  <c r="D233" i="36" a="1"/>
  <c r="D210" i="36" a="1"/>
  <c r="D197" i="36" a="1"/>
  <c r="D174" i="36" a="1"/>
  <c r="D151" i="36" a="1"/>
  <c r="D115" i="36" a="1"/>
  <c r="D92" i="36" a="1"/>
  <c r="D69" i="36" a="1"/>
  <c r="D56" i="36" a="1"/>
  <c r="D33" i="36" a="1"/>
  <c r="D22" i="36" a="1"/>
  <c r="D11" i="36" a="1"/>
  <c r="D326" i="36" a="1"/>
  <c r="D303" i="36" a="1"/>
  <c r="D280" i="36" a="1"/>
  <c r="D267" i="36" a="1"/>
  <c r="D244" i="36" a="1"/>
  <c r="D221" i="36" a="1"/>
  <c r="D185" i="36" a="1"/>
  <c r="D162" i="36" a="1"/>
  <c r="D139" i="36" a="1"/>
  <c r="D126" i="36" a="1"/>
  <c r="D103" i="36" a="1"/>
  <c r="D80" i="36" a="1"/>
  <c r="D67" i="36" a="1"/>
  <c r="D44" i="36" a="1"/>
  <c r="D314" i="36" a="1"/>
  <c r="D291" i="36" a="1"/>
  <c r="D255" i="36" a="1"/>
  <c r="D232" i="36" a="1"/>
  <c r="D209" i="36" a="1"/>
  <c r="D196" i="36" a="1"/>
  <c r="D173" i="36" a="1"/>
  <c r="D150" i="36" a="1"/>
  <c r="D137" i="36" a="1"/>
  <c r="D114" i="36" a="1"/>
  <c r="D91" i="36" a="1"/>
  <c r="D55" i="36" a="1"/>
  <c r="D32" i="36" a="1"/>
  <c r="D21" i="36" a="1"/>
  <c r="D10" i="36" a="1"/>
  <c r="D325" i="36" a="1"/>
  <c r="D302" i="36" a="1"/>
  <c r="D279" i="36" a="1"/>
  <c r="D266" i="36" a="1"/>
  <c r="D243" i="36" a="1"/>
  <c r="D220" i="36" a="1"/>
  <c r="D207" i="36" a="1"/>
  <c r="D184" i="36" a="1"/>
  <c r="D161" i="36" a="1"/>
  <c r="D125" i="36" a="1"/>
  <c r="D102" i="36" a="1"/>
  <c r="D79" i="36" a="1"/>
  <c r="D66" i="36" a="1"/>
  <c r="D43" i="36" a="1"/>
  <c r="D313" i="36" a="1"/>
  <c r="D290" i="36" a="1"/>
  <c r="D277" i="36" a="1"/>
  <c r="D254" i="36" a="1"/>
  <c r="D231" i="36" a="1"/>
  <c r="D195" i="36" a="1"/>
  <c r="D172" i="36" a="1"/>
  <c r="D149" i="36" a="1"/>
  <c r="D136" i="36" a="1"/>
  <c r="D113" i="36" a="1"/>
  <c r="D90" i="36" a="1"/>
  <c r="D77" i="36" a="1"/>
  <c r="D54" i="36" a="1"/>
  <c r="D31" i="36" a="1"/>
  <c r="D20" i="36" a="1"/>
  <c r="D9" i="36" a="1"/>
  <c r="D324" i="36" a="1"/>
  <c r="D301" i="36" a="1"/>
  <c r="D265" i="36" a="1"/>
  <c r="D242" i="36" a="1"/>
  <c r="D219" i="36" a="1"/>
  <c r="D206" i="36" a="1"/>
  <c r="D183" i="36" a="1"/>
  <c r="D160" i="36" a="1"/>
  <c r="D147" i="36" a="1"/>
  <c r="D124" i="36" a="1"/>
  <c r="D101" i="36" a="1"/>
  <c r="D65" i="36" a="1"/>
  <c r="D42" i="36" a="1"/>
  <c r="D312" i="36" a="1"/>
  <c r="D289" i="36" a="1"/>
  <c r="D276" i="36" a="1"/>
  <c r="D253" i="36" a="1"/>
  <c r="D230" i="36" a="1"/>
  <c r="D217" i="36" a="1"/>
  <c r="D177" i="36" a="1"/>
  <c r="D157" i="36" a="1"/>
  <c r="D142" i="36" a="1"/>
  <c r="D122" i="36" a="1"/>
  <c r="D34" i="36" a="1"/>
  <c r="D15" i="36" a="1"/>
  <c r="D331" i="36" a="1"/>
  <c r="D310" i="36" a="1"/>
  <c r="D293" i="36" a="1"/>
  <c r="D272" i="36" a="1"/>
  <c r="D251" i="36" a="1"/>
  <c r="D234" i="36" a="1"/>
  <c r="D213" i="36" a="1"/>
  <c r="D193" i="36" a="1"/>
  <c r="D105" i="36" a="1"/>
  <c r="D85" i="36" a="1"/>
  <c r="D70" i="36" a="1"/>
  <c r="D50" i="36" a="1"/>
  <c r="D30" i="36" a="1"/>
  <c r="D287" i="36" a="1"/>
  <c r="D176" i="36" a="1"/>
  <c r="D156" i="36" a="1"/>
  <c r="D141" i="36" a="1"/>
  <c r="D121" i="36" a="1"/>
  <c r="D14" i="36" a="1"/>
  <c r="D330" i="36" a="1"/>
  <c r="D309" i="36" a="1"/>
  <c r="D271" i="36" a="1"/>
  <c r="D250" i="36" a="1"/>
  <c r="D229" i="36" a="1"/>
  <c r="D212" i="36" a="1"/>
  <c r="D192" i="36" a="1"/>
  <c r="D84" i="36" a="1"/>
  <c r="D64" i="36" a="1"/>
  <c r="D49" i="36" a="1"/>
  <c r="D29" i="36" a="1"/>
  <c r="D307" i="36" a="1"/>
  <c r="D286" i="36" a="1"/>
  <c r="D227" i="36" a="1"/>
  <c r="D175" i="36" a="1"/>
  <c r="D155" i="36" a="1"/>
  <c r="D135" i="36" a="1"/>
  <c r="D120" i="36" a="1"/>
  <c r="D100" i="36" a="1"/>
  <c r="D47" i="36" a="1"/>
  <c r="D13" i="36" a="1"/>
  <c r="D329" i="36" a="1"/>
  <c r="D270" i="36" a="1"/>
  <c r="D249" i="36" a="1"/>
  <c r="D211" i="36" a="1"/>
  <c r="D191" i="36" a="1"/>
  <c r="D171" i="36" a="1"/>
  <c r="D323" i="36" a="1"/>
  <c r="D299" i="36" a="1"/>
  <c r="D241" i="36" a="1"/>
  <c r="D165" i="36" a="1"/>
  <c r="D134" i="36" a="1"/>
  <c r="D111" i="36" a="1"/>
  <c r="D87" i="36" a="1"/>
  <c r="D62" i="36" a="1"/>
  <c r="D297" i="36" a="1"/>
  <c r="D273" i="36" a="1"/>
  <c r="D215" i="36" a="1"/>
  <c r="D189" i="36" a="1"/>
  <c r="D39" i="36" a="1"/>
  <c r="D16" i="36" a="1"/>
  <c r="D322" i="36" a="1"/>
  <c r="D264" i="36" a="1"/>
  <c r="D240" i="36" a="1"/>
  <c r="D187" i="36" a="1"/>
  <c r="D164" i="36" a="1"/>
  <c r="D133" i="36" a="1"/>
  <c r="D110" i="36" a="1"/>
  <c r="D86" i="36" a="1"/>
  <c r="D61" i="36" a="1"/>
  <c r="D37" i="36" a="1"/>
  <c r="D296" i="36" a="1"/>
  <c r="D214" i="36" a="1"/>
  <c r="D83" i="36" a="1"/>
  <c r="D321" i="36" a="1"/>
  <c r="D263" i="36" a="1"/>
  <c r="D239" i="36" a="1"/>
  <c r="D132" i="36" a="1"/>
  <c r="D109" i="36" a="1"/>
  <c r="D60" i="36" a="1"/>
  <c r="D36" i="36" a="1"/>
  <c r="D12" i="36" a="1"/>
  <c r="D295" i="36" a="1"/>
  <c r="D237" i="36" a="1"/>
  <c r="D205" i="36" a="1"/>
  <c r="D182" i="36" a="1"/>
  <c r="D159" i="36" a="1"/>
  <c r="D107" i="36" a="1"/>
  <c r="D82" i="36" a="1"/>
  <c r="D7" i="36" a="1"/>
  <c r="D320" i="36" a="1"/>
  <c r="D262" i="36" a="1"/>
  <c r="D154" i="36" a="1"/>
  <c r="D131" i="36" a="1"/>
  <c r="D59" i="36" a="1"/>
  <c r="D35" i="36" a="1"/>
  <c r="D294" i="36" a="1"/>
  <c r="D236" i="36" a="1"/>
  <c r="D204" i="36" a="1"/>
  <c r="D181" i="36" a="1"/>
  <c r="D106" i="36" a="1"/>
  <c r="D76" i="36" a="1"/>
  <c r="D57" i="36" a="1"/>
  <c r="D6" i="36" a="1"/>
  <c r="D319" i="36" a="1"/>
  <c r="D285" i="36" a="1"/>
  <c r="D261" i="36" a="1"/>
  <c r="D153" i="36" a="1"/>
  <c r="D130" i="36" a="1"/>
  <c r="D53" i="36" a="1"/>
  <c r="D27" i="36" a="1"/>
  <c r="D317" i="36" a="1"/>
  <c r="D235" i="36" a="1"/>
  <c r="D203" i="36" a="1"/>
  <c r="D180" i="36" a="1"/>
  <c r="D99" i="36" a="1"/>
  <c r="D75" i="36" a="1"/>
  <c r="D5" i="36" a="1"/>
  <c r="D284" i="36" a="1"/>
  <c r="D260" i="36" a="1"/>
  <c r="D226" i="36" a="1"/>
  <c r="D152" i="36" a="1"/>
  <c r="D129" i="36" a="1"/>
  <c r="D97" i="36" a="1"/>
  <c r="D52" i="36" a="1"/>
  <c r="D26" i="36" a="1"/>
  <c r="D316" i="36" a="1"/>
  <c r="D202" i="36" a="1"/>
  <c r="D179" i="36" a="1"/>
  <c r="D74" i="36" a="1"/>
  <c r="D4" i="36" a="1"/>
  <c r="D283" i="36" a="1"/>
  <c r="D259" i="36" a="1"/>
  <c r="D225" i="36" a="1"/>
  <c r="D146" i="36" a="1"/>
  <c r="D123" i="36" a="1"/>
  <c r="D96" i="36" a="1"/>
  <c r="D51" i="36" a="1"/>
  <c r="D25" i="36" a="1"/>
  <c r="D311" i="36" a="1"/>
  <c r="D257" i="36" a="1"/>
  <c r="D201" i="36" a="1"/>
  <c r="D170" i="36" a="1"/>
  <c r="D73" i="36" a="1"/>
  <c r="D3" i="36" a="1"/>
  <c r="D306" i="36" a="1"/>
  <c r="D282" i="36" a="1"/>
  <c r="D224" i="36" a="1"/>
  <c r="D145" i="36" a="1"/>
  <c r="D119" i="36" a="1"/>
  <c r="D95" i="36" a="1"/>
  <c r="D46" i="36" a="1"/>
  <c r="D24" i="36" a="1"/>
  <c r="D252" i="36" a="1"/>
  <c r="D200" i="36" a="1"/>
  <c r="D169" i="36" a="1"/>
  <c r="D117" i="36" a="1"/>
  <c r="D72" i="36" a="1"/>
  <c r="D305" i="36" a="1"/>
  <c r="D166" i="36" a="1"/>
  <c r="D300" i="36" a="1"/>
  <c r="D40" i="36" a="1"/>
  <c r="D144" i="36" a="1"/>
  <c r="D23" i="36" a="1"/>
  <c r="D275" i="36" a="1"/>
  <c r="D19" i="36" a="1"/>
  <c r="D143" i="36" a="1"/>
  <c r="D274" i="36" a="1"/>
  <c r="D17" i="36" a="1"/>
  <c r="D247" i="36" a="1"/>
  <c r="D116" i="36" a="1"/>
  <c r="D246" i="36" a="1"/>
  <c r="D112" i="36" a="1"/>
  <c r="D223" i="36" a="1"/>
  <c r="D94" i="36" a="1"/>
  <c r="D93" i="36" a="1"/>
  <c r="D216" i="36" a="1"/>
  <c r="D89" i="36" a="1"/>
  <c r="D194" i="36" a="1"/>
  <c r="D71" i="36" a="1"/>
  <c r="D63" i="36" a="1"/>
  <c r="D190" i="36" a="1"/>
  <c r="D167" i="36" a="1"/>
  <c r="D41" i="36" a="1"/>
  <c r="D2" i="36" a="1"/>
  <c r="C26" i="11" l="1"/>
  <c r="C19" i="11"/>
  <c r="C20" i="11"/>
  <c r="C21" i="11"/>
  <c r="C12" i="11"/>
  <c r="C3" i="11"/>
  <c r="C13" i="11"/>
  <c r="C4" i="11"/>
  <c r="C24" i="11"/>
  <c r="C5" i="11"/>
  <c r="C25" i="11"/>
  <c r="C6" i="11"/>
  <c r="C17" i="11"/>
  <c r="C18" i="11"/>
  <c r="C9" i="11"/>
  <c r="C29" i="11"/>
  <c r="C10" i="11"/>
  <c r="C11" i="11"/>
  <c r="C22" i="11"/>
  <c r="C23" i="11"/>
  <c r="C14" i="11"/>
  <c r="C15" i="11"/>
  <c r="C16" i="11"/>
  <c r="C7" i="11"/>
  <c r="C27" i="11"/>
  <c r="C8" i="11"/>
  <c r="C28" i="11"/>
  <c r="C2" i="11"/>
  <c r="D3" i="8"/>
  <c r="D2" i="8"/>
  <c r="B3" i="8"/>
  <c r="B2" i="8"/>
  <c r="J4" i="6"/>
  <c r="J5" i="6"/>
  <c r="J6" i="6"/>
  <c r="J7" i="6"/>
  <c r="J8" i="6"/>
  <c r="J9" i="6"/>
  <c r="J10" i="6"/>
  <c r="J11" i="6"/>
  <c r="J12" i="6"/>
  <c r="J3" i="6"/>
  <c r="J13" i="6"/>
  <c r="J2" i="6"/>
  <c r="C8" i="6"/>
  <c r="C9" i="6"/>
  <c r="C10" i="6"/>
  <c r="C11" i="6"/>
  <c r="C12" i="6"/>
  <c r="C3" i="6"/>
  <c r="C13" i="6"/>
  <c r="C4" i="6"/>
  <c r="C5" i="6"/>
  <c r="C6" i="6"/>
  <c r="C7" i="6"/>
  <c r="C2" i="6"/>
  <c r="B3" i="33"/>
  <c r="B4" i="33"/>
  <c r="B2" i="33"/>
  <c r="D12" i="32"/>
  <c r="D3" i="32"/>
  <c r="D13" i="32"/>
  <c r="D4" i="32"/>
  <c r="D14" i="32"/>
  <c r="D5" i="32"/>
  <c r="D6" i="32"/>
  <c r="D7" i="32"/>
  <c r="D8" i="32"/>
  <c r="D9" i="32"/>
  <c r="D10" i="32"/>
  <c r="D11" i="32"/>
  <c r="D2" i="32"/>
  <c r="B5" i="32"/>
  <c r="B6" i="32"/>
  <c r="B9" i="32"/>
  <c r="B11" i="32"/>
  <c r="B4" i="32"/>
  <c r="B7" i="32"/>
  <c r="B8" i="32"/>
  <c r="B10" i="32"/>
  <c r="B12" i="32"/>
  <c r="B3" i="32"/>
  <c r="B13" i="32"/>
  <c r="B14" i="32"/>
  <c r="B2" i="32"/>
  <c r="D3" i="31"/>
  <c r="D13" i="31"/>
  <c r="D4" i="31"/>
  <c r="D14" i="31"/>
  <c r="D5" i="31"/>
  <c r="D15" i="31"/>
  <c r="D6" i="31"/>
  <c r="D7" i="31"/>
  <c r="D8" i="31"/>
  <c r="D9" i="31"/>
  <c r="D10" i="31"/>
  <c r="D11" i="31"/>
  <c r="D12" i="31"/>
  <c r="D2" i="31"/>
  <c r="B3" i="31"/>
  <c r="B13" i="31"/>
  <c r="B4" i="31"/>
  <c r="B14" i="31"/>
  <c r="B5" i="31"/>
  <c r="B15" i="31"/>
  <c r="B6" i="31"/>
  <c r="B7" i="31"/>
  <c r="B8" i="31"/>
  <c r="B9" i="31"/>
  <c r="B10" i="31"/>
  <c r="B11" i="31"/>
  <c r="B12" i="31"/>
  <c r="B2" i="31"/>
  <c r="H266" i="36"/>
  <c r="H34" i="36"/>
  <c r="H83" i="36"/>
  <c r="H205" i="36"/>
  <c r="H144" i="36"/>
  <c r="H269" i="36"/>
  <c r="H38" i="36"/>
  <c r="H206" i="36"/>
  <c r="H93" i="36"/>
  <c r="H277" i="36"/>
  <c r="H39" i="36"/>
  <c r="H157" i="36"/>
  <c r="H97" i="36"/>
  <c r="H158" i="36"/>
  <c r="H223" i="36"/>
  <c r="H285" i="36"/>
  <c r="H98" i="36"/>
  <c r="H53" i="36"/>
  <c r="H168" i="36"/>
  <c r="H110" i="36"/>
  <c r="H236" i="36"/>
  <c r="H298" i="36"/>
  <c r="H9" i="36"/>
  <c r="H54" i="36"/>
  <c r="H112" i="36"/>
  <c r="H175" i="36"/>
  <c r="H237" i="36"/>
  <c r="H12" i="36"/>
  <c r="H299" i="36"/>
  <c r="H63" i="36"/>
  <c r="H113" i="36"/>
  <c r="H176" i="36"/>
  <c r="H238" i="36"/>
  <c r="H13" i="36"/>
  <c r="H66" i="36"/>
  <c r="H122" i="36"/>
  <c r="H247" i="36"/>
  <c r="H309" i="36"/>
  <c r="H125" i="36"/>
  <c r="H252" i="36"/>
  <c r="H24" i="36"/>
  <c r="H316" i="36"/>
  <c r="H69" i="36"/>
  <c r="H128" i="36"/>
  <c r="H190" i="36"/>
  <c r="H253" i="36"/>
  <c r="H25" i="36"/>
  <c r="H192" i="36"/>
  <c r="H317" i="36"/>
  <c r="H26" i="36"/>
  <c r="H136" i="36"/>
  <c r="H263" i="36"/>
  <c r="H325" i="36"/>
  <c r="H85" i="36"/>
  <c r="H129" i="36"/>
  <c r="H145" i="36"/>
  <c r="H159" i="36"/>
  <c r="H224" i="36"/>
  <c r="H254" i="36"/>
  <c r="H270" i="36"/>
  <c r="H286" i="36"/>
  <c r="H300" i="36"/>
  <c r="H27" i="36"/>
  <c r="H40" i="36"/>
  <c r="H55" i="36"/>
  <c r="H70" i="36"/>
  <c r="H99" i="36"/>
  <c r="H114" i="36"/>
  <c r="H177" i="36"/>
  <c r="H193" i="36"/>
  <c r="H207" i="36"/>
  <c r="H239" i="36"/>
  <c r="H272" i="36"/>
  <c r="H302" i="36"/>
  <c r="H319" i="36"/>
  <c r="H14" i="36"/>
  <c r="H42" i="36"/>
  <c r="H57" i="36"/>
  <c r="H72" i="36"/>
  <c r="H86" i="36"/>
  <c r="H116" i="36"/>
  <c r="H132" i="36"/>
  <c r="H146" i="36"/>
  <c r="H178" i="36"/>
  <c r="H257" i="36"/>
  <c r="H273" i="36"/>
  <c r="H287" i="36"/>
  <c r="H15" i="36"/>
  <c r="H28" i="36"/>
  <c r="H73" i="36"/>
  <c r="H100" i="36"/>
  <c r="H164" i="36"/>
  <c r="H194" i="36"/>
  <c r="H210" i="36"/>
  <c r="H226" i="36"/>
  <c r="H240" i="36"/>
  <c r="H305" i="36"/>
  <c r="H320" i="36"/>
  <c r="H43" i="36"/>
  <c r="H58" i="36"/>
  <c r="H87" i="36"/>
  <c r="H102" i="36"/>
  <c r="H117" i="36"/>
  <c r="H133" i="36"/>
  <c r="H147" i="36"/>
  <c r="H179" i="36"/>
  <c r="H212" i="36"/>
  <c r="H242" i="36"/>
  <c r="H258" i="36"/>
  <c r="H274" i="36"/>
  <c r="H288" i="36"/>
  <c r="H322" i="36"/>
  <c r="H16" i="36"/>
  <c r="H29" i="36"/>
  <c r="H74" i="36"/>
  <c r="H165" i="36"/>
  <c r="H195" i="36"/>
  <c r="H227" i="36"/>
  <c r="H306" i="36"/>
  <c r="H3" i="36"/>
  <c r="H59" i="36"/>
  <c r="H88" i="36"/>
  <c r="H118" i="36"/>
  <c r="H134" i="36"/>
  <c r="H148" i="36"/>
  <c r="H180" i="36"/>
  <c r="H213" i="36"/>
  <c r="H243" i="36"/>
  <c r="H259" i="36"/>
  <c r="H275" i="36"/>
  <c r="H289" i="36"/>
  <c r="H323" i="36"/>
  <c r="H4" i="36"/>
  <c r="H17" i="36"/>
  <c r="H30" i="36"/>
  <c r="H46" i="36"/>
  <c r="H60" i="36"/>
  <c r="H75" i="36"/>
  <c r="H105" i="36"/>
  <c r="H119" i="36"/>
  <c r="H152" i="36"/>
  <c r="H182" i="36"/>
  <c r="H198" i="36"/>
  <c r="H214" i="36"/>
  <c r="H228" i="36"/>
  <c r="H260" i="36"/>
  <c r="H293" i="36"/>
  <c r="H62" i="36"/>
  <c r="H89" i="36"/>
  <c r="H135" i="36"/>
  <c r="H167" i="36"/>
  <c r="H246" i="36"/>
  <c r="H262" i="36"/>
  <c r="H276" i="36"/>
  <c r="H308" i="36"/>
  <c r="H324" i="36"/>
  <c r="H5" i="36"/>
  <c r="H18" i="36"/>
  <c r="H32" i="36"/>
  <c r="H47" i="36"/>
  <c r="H76" i="36"/>
  <c r="H106" i="36"/>
  <c r="H120" i="36"/>
  <c r="H153" i="36"/>
  <c r="H183" i="36"/>
  <c r="H199" i="36"/>
  <c r="H215" i="36"/>
  <c r="H229" i="36"/>
  <c r="H294" i="36"/>
  <c r="H6" i="36"/>
  <c r="H19" i="36"/>
  <c r="H77" i="36"/>
  <c r="H154" i="36"/>
  <c r="H184" i="36"/>
  <c r="H200" i="36"/>
  <c r="H216" i="36"/>
  <c r="H230" i="36"/>
  <c r="H295" i="36"/>
  <c r="H35" i="36"/>
  <c r="H49" i="36"/>
  <c r="H64" i="36"/>
  <c r="H94" i="36"/>
  <c r="H108" i="36"/>
  <c r="H123" i="36"/>
  <c r="H139" i="36"/>
  <c r="H155" i="36"/>
  <c r="H169" i="36"/>
  <c r="H234" i="36"/>
  <c r="H264" i="36"/>
  <c r="H280" i="36"/>
  <c r="H296" i="36"/>
  <c r="H310" i="36"/>
  <c r="H328" i="36"/>
  <c r="H7" i="36"/>
  <c r="H20" i="36"/>
  <c r="H78" i="36"/>
  <c r="H187" i="36"/>
  <c r="H203" i="36"/>
  <c r="H217" i="36"/>
  <c r="H249" i="36"/>
  <c r="H282" i="36"/>
  <c r="H312" i="36"/>
  <c r="H23" i="36"/>
  <c r="H36" i="36"/>
  <c r="H50" i="36"/>
  <c r="H65" i="36"/>
  <c r="H80" i="36"/>
  <c r="H95" i="36"/>
  <c r="H109" i="36"/>
  <c r="H124" i="36"/>
  <c r="H140" i="36"/>
  <c r="H156" i="36"/>
  <c r="H170" i="36"/>
  <c r="H235" i="36"/>
  <c r="H265" i="36"/>
  <c r="H297" i="36"/>
  <c r="H329" i="36"/>
  <c r="H8" i="36"/>
  <c r="H37" i="36"/>
  <c r="H52" i="36"/>
  <c r="H82" i="36"/>
  <c r="H96" i="36"/>
  <c r="H142" i="36"/>
  <c r="H172" i="36"/>
  <c r="H188" i="36"/>
  <c r="H204" i="36"/>
  <c r="H218" i="36"/>
  <c r="H250" i="36"/>
  <c r="H283" i="36"/>
  <c r="H313" i="36"/>
  <c r="H137" i="36"/>
  <c r="H160" i="36"/>
  <c r="H173" i="36"/>
  <c r="H196" i="36"/>
  <c r="H219" i="36"/>
  <c r="H232" i="36"/>
  <c r="H255" i="36"/>
  <c r="H278" i="36"/>
  <c r="H314" i="36"/>
  <c r="H44" i="36"/>
  <c r="H67" i="36"/>
  <c r="H90" i="36"/>
  <c r="H103" i="36"/>
  <c r="H126" i="36"/>
  <c r="H149" i="36"/>
  <c r="H162" i="36"/>
  <c r="H185" i="36"/>
  <c r="H208" i="36"/>
  <c r="H244" i="36"/>
  <c r="H267" i="36"/>
  <c r="H290" i="36"/>
  <c r="H303" i="36"/>
  <c r="H326" i="36"/>
  <c r="H10" i="36"/>
  <c r="H22" i="36"/>
  <c r="H33" i="36"/>
  <c r="H56" i="36"/>
  <c r="H79" i="36"/>
  <c r="H92" i="36"/>
  <c r="H115" i="36"/>
  <c r="H138" i="36"/>
  <c r="H174" i="36"/>
  <c r="H197" i="36"/>
  <c r="H220" i="36"/>
  <c r="H233" i="36"/>
  <c r="H256" i="36"/>
  <c r="H279" i="36"/>
  <c r="H292" i="36"/>
  <c r="H315" i="36"/>
  <c r="H45" i="36"/>
  <c r="H68" i="36"/>
  <c r="H104" i="36"/>
  <c r="H127" i="36"/>
  <c r="H150" i="36"/>
  <c r="H163" i="36"/>
  <c r="H186" i="36"/>
  <c r="H209" i="36"/>
  <c r="H222" i="36"/>
  <c r="H245" i="36"/>
  <c r="H268" i="36"/>
  <c r="H304" i="36"/>
  <c r="H327" i="36"/>
  <c r="H318" i="36"/>
  <c r="H48" i="36"/>
  <c r="H84" i="36"/>
  <c r="H107" i="36"/>
  <c r="H130" i="36"/>
  <c r="H143" i="36"/>
  <c r="H166" i="36"/>
  <c r="H189" i="36"/>
  <c r="H202" i="36"/>
  <c r="H225" i="36"/>
  <c r="H248" i="36"/>
  <c r="H284" i="36"/>
  <c r="H307" i="36"/>
  <c r="H330" i="36"/>
  <c r="H11" i="36"/>
  <c r="H21" i="36"/>
  <c r="H31" i="36"/>
  <c r="H41" i="36"/>
  <c r="H51" i="36"/>
  <c r="H61" i="36"/>
  <c r="H71" i="36"/>
  <c r="H81" i="36"/>
  <c r="H91" i="36"/>
  <c r="H101" i="36"/>
  <c r="H111" i="36"/>
  <c r="H121" i="36"/>
  <c r="H131" i="36"/>
  <c r="H141" i="36"/>
  <c r="H151" i="36"/>
  <c r="H161" i="36"/>
  <c r="H171" i="36"/>
  <c r="H181" i="36"/>
  <c r="H191" i="36"/>
  <c r="H201" i="36"/>
  <c r="H211" i="36"/>
  <c r="H221" i="36"/>
  <c r="H231" i="36"/>
  <c r="H241" i="36"/>
  <c r="H251" i="36"/>
  <c r="H261" i="36"/>
  <c r="H271" i="36"/>
  <c r="H281" i="36"/>
  <c r="H291" i="36"/>
  <c r="H301" i="36"/>
  <c r="H311" i="36"/>
  <c r="H321" i="36"/>
  <c r="H331" i="36"/>
  <c r="H2" i="36"/>
  <c r="G27" i="36"/>
  <c r="G43" i="36"/>
  <c r="G48" i="36"/>
  <c r="G194" i="36"/>
  <c r="G65" i="36"/>
  <c r="G195" i="36"/>
  <c r="G217" i="36"/>
  <c r="G66" i="36"/>
  <c r="G87" i="36"/>
  <c r="G218" i="36"/>
  <c r="G240" i="36"/>
  <c r="G88" i="36"/>
  <c r="G242" i="36"/>
  <c r="G109" i="36"/>
  <c r="G110" i="36"/>
  <c r="G265" i="36"/>
  <c r="G5" i="36"/>
  <c r="G133" i="36"/>
  <c r="G288" i="36"/>
  <c r="G6" i="36"/>
  <c r="G155" i="36"/>
  <c r="G312" i="36"/>
  <c r="G26" i="36"/>
  <c r="G172" i="36"/>
  <c r="G313" i="36"/>
  <c r="G17" i="36"/>
  <c r="G38" i="36"/>
  <c r="G60" i="36"/>
  <c r="G123" i="36"/>
  <c r="G145" i="36"/>
  <c r="G167" i="36"/>
  <c r="G189" i="36"/>
  <c r="G284" i="36"/>
  <c r="G307" i="36"/>
  <c r="G62" i="36"/>
  <c r="G84" i="36"/>
  <c r="G100" i="36"/>
  <c r="G214" i="36"/>
  <c r="G237" i="36"/>
  <c r="G260" i="36"/>
  <c r="G18" i="36"/>
  <c r="G39" i="36"/>
  <c r="G102" i="36"/>
  <c r="G124" i="36"/>
  <c r="G146" i="36"/>
  <c r="G168" i="36"/>
  <c r="G190" i="36"/>
  <c r="G262" i="36"/>
  <c r="G285" i="36"/>
  <c r="G308" i="36"/>
  <c r="G63" i="36"/>
  <c r="G85" i="36"/>
  <c r="G107" i="36"/>
  <c r="G192" i="36"/>
  <c r="G215" i="36"/>
  <c r="G238" i="36"/>
  <c r="G19" i="36"/>
  <c r="G40" i="36"/>
  <c r="G125" i="36"/>
  <c r="G147" i="36"/>
  <c r="G169" i="36"/>
  <c r="G263" i="36"/>
  <c r="G286" i="36"/>
  <c r="G309" i="36"/>
  <c r="G4" i="36"/>
  <c r="G42" i="36"/>
  <c r="G64" i="36"/>
  <c r="G86" i="36"/>
  <c r="G108" i="36"/>
  <c r="G130" i="36"/>
  <c r="G193" i="36"/>
  <c r="G216" i="36"/>
  <c r="G239" i="36"/>
  <c r="G132" i="36"/>
  <c r="G148" i="36"/>
  <c r="G170" i="36"/>
  <c r="G264" i="36"/>
  <c r="G287" i="36"/>
  <c r="G310" i="36"/>
  <c r="G49" i="36"/>
  <c r="G112" i="36"/>
  <c r="G134" i="36"/>
  <c r="G156" i="36"/>
  <c r="G178" i="36"/>
  <c r="G202" i="36"/>
  <c r="G225" i="36"/>
  <c r="G248" i="36"/>
  <c r="G7" i="36"/>
  <c r="G28" i="36"/>
  <c r="G73" i="36"/>
  <c r="G89" i="36"/>
  <c r="G273" i="36"/>
  <c r="G296" i="36"/>
  <c r="G319" i="36"/>
  <c r="G50" i="36"/>
  <c r="G113" i="36"/>
  <c r="G135" i="36"/>
  <c r="G157" i="36"/>
  <c r="G179" i="36"/>
  <c r="G203" i="36"/>
  <c r="G226" i="36"/>
  <c r="G249" i="36"/>
  <c r="G8" i="36"/>
  <c r="G29" i="36"/>
  <c r="G52" i="36"/>
  <c r="G74" i="36"/>
  <c r="G96" i="36"/>
  <c r="G274" i="36"/>
  <c r="G297" i="36"/>
  <c r="G320" i="36"/>
  <c r="G136" i="36"/>
  <c r="G158" i="36"/>
  <c r="G180" i="36"/>
  <c r="G204" i="36"/>
  <c r="G227" i="36"/>
  <c r="G250" i="36"/>
  <c r="G322" i="36"/>
  <c r="G30" i="36"/>
  <c r="G53" i="36"/>
  <c r="G75" i="36"/>
  <c r="G97" i="36"/>
  <c r="G119" i="36"/>
  <c r="G182" i="36"/>
  <c r="G252" i="36"/>
  <c r="G275" i="36"/>
  <c r="G298" i="36"/>
  <c r="G15" i="36"/>
  <c r="G143" i="36"/>
  <c r="G159" i="36"/>
  <c r="G205" i="36"/>
  <c r="G228" i="36"/>
  <c r="G323" i="36"/>
  <c r="G54" i="36"/>
  <c r="G76" i="36"/>
  <c r="G98" i="36"/>
  <c r="G120" i="36"/>
  <c r="G183" i="36"/>
  <c r="G253" i="36"/>
  <c r="G276" i="36"/>
  <c r="G299" i="36"/>
  <c r="G16" i="36"/>
  <c r="G37" i="36"/>
  <c r="G122" i="36"/>
  <c r="G144" i="36"/>
  <c r="G166" i="36"/>
  <c r="G206" i="36"/>
  <c r="G229" i="36"/>
  <c r="G324" i="36"/>
  <c r="G77" i="36"/>
  <c r="G99" i="36"/>
  <c r="G184" i="36"/>
  <c r="G254" i="36"/>
  <c r="G277" i="36"/>
  <c r="G300" i="36"/>
  <c r="G230" i="36"/>
  <c r="G266" i="36"/>
  <c r="G302" i="36"/>
  <c r="G20" i="36"/>
  <c r="G78" i="36"/>
  <c r="G114" i="36"/>
  <c r="G160" i="36"/>
  <c r="G196" i="36"/>
  <c r="G232" i="36"/>
  <c r="G326" i="36"/>
  <c r="G44" i="36"/>
  <c r="G67" i="36"/>
  <c r="G103" i="36"/>
  <c r="G162" i="36"/>
  <c r="G208" i="36"/>
  <c r="G267" i="36"/>
  <c r="G290" i="36"/>
  <c r="G10" i="36"/>
  <c r="G33" i="36"/>
  <c r="G92" i="36"/>
  <c r="G115" i="36"/>
  <c r="G197" i="36"/>
  <c r="G233" i="36"/>
  <c r="G292" i="36"/>
  <c r="G327" i="36"/>
  <c r="G45" i="36"/>
  <c r="G104" i="36"/>
  <c r="G127" i="36"/>
  <c r="G163" i="36"/>
  <c r="G209" i="36"/>
  <c r="G245" i="36"/>
  <c r="G268" i="36"/>
  <c r="G12" i="36"/>
  <c r="G34" i="36"/>
  <c r="G93" i="36"/>
  <c r="G116" i="36"/>
  <c r="G152" i="36"/>
  <c r="G234" i="36"/>
  <c r="G257" i="36"/>
  <c r="G293" i="36"/>
  <c r="G328" i="36"/>
  <c r="G82" i="36"/>
  <c r="G128" i="36"/>
  <c r="G187" i="36"/>
  <c r="G223" i="36"/>
  <c r="G282" i="36"/>
  <c r="G305" i="36"/>
  <c r="G24" i="36"/>
  <c r="G35" i="36"/>
  <c r="G140" i="36"/>
  <c r="G235" i="36"/>
  <c r="G224" i="36"/>
  <c r="G207" i="36"/>
  <c r="G243" i="36"/>
  <c r="G289" i="36"/>
  <c r="G9" i="36"/>
  <c r="G32" i="36"/>
  <c r="G55" i="36"/>
  <c r="G137" i="36"/>
  <c r="G173" i="36"/>
  <c r="G219" i="36"/>
  <c r="G255" i="36"/>
  <c r="G278" i="36"/>
  <c r="G314" i="36"/>
  <c r="G90" i="36"/>
  <c r="G126" i="36"/>
  <c r="G149" i="36"/>
  <c r="G185" i="36"/>
  <c r="G244" i="36"/>
  <c r="G303" i="36"/>
  <c r="G22" i="36"/>
  <c r="G56" i="36"/>
  <c r="G79" i="36"/>
  <c r="G138" i="36"/>
  <c r="G174" i="36"/>
  <c r="G220" i="36"/>
  <c r="G256" i="36"/>
  <c r="G279" i="36"/>
  <c r="G315" i="36"/>
  <c r="G68" i="36"/>
  <c r="G150" i="36"/>
  <c r="G186" i="36"/>
  <c r="G222" i="36"/>
  <c r="G304" i="36"/>
  <c r="G23" i="36"/>
  <c r="G57" i="36"/>
  <c r="G80" i="36"/>
  <c r="G139" i="36"/>
  <c r="G175" i="36"/>
  <c r="G198" i="36"/>
  <c r="G280" i="36"/>
  <c r="G316" i="36"/>
  <c r="G46" i="36"/>
  <c r="G69" i="36"/>
  <c r="G105" i="36"/>
  <c r="G164" i="36"/>
  <c r="G210" i="36"/>
  <c r="G246" i="36"/>
  <c r="G269" i="36"/>
  <c r="G13" i="36"/>
  <c r="G58" i="36"/>
  <c r="G94" i="36"/>
  <c r="G117" i="36"/>
  <c r="G153" i="36"/>
  <c r="G176" i="36"/>
  <c r="G199" i="36"/>
  <c r="G212" i="36"/>
  <c r="G258" i="36"/>
  <c r="G294" i="36"/>
  <c r="G317" i="36"/>
  <c r="G329" i="36"/>
  <c r="G47" i="36"/>
  <c r="G70" i="36"/>
  <c r="G83" i="36"/>
  <c r="G106" i="36"/>
  <c r="G129" i="36"/>
  <c r="G142" i="36"/>
  <c r="G165" i="36"/>
  <c r="G188" i="36"/>
  <c r="G247" i="36"/>
  <c r="G270" i="36"/>
  <c r="G283" i="36"/>
  <c r="G306" i="36"/>
  <c r="G3" i="36"/>
  <c r="G14" i="36"/>
  <c r="G25" i="36"/>
  <c r="G36" i="36"/>
  <c r="G59" i="36"/>
  <c r="G72" i="36"/>
  <c r="G95" i="36"/>
  <c r="G118" i="36"/>
  <c r="G154" i="36"/>
  <c r="G177" i="36"/>
  <c r="G200" i="36"/>
  <c r="G213" i="36"/>
  <c r="G236" i="36"/>
  <c r="G259" i="36"/>
  <c r="G272" i="36"/>
  <c r="G295" i="36"/>
  <c r="G318" i="36"/>
  <c r="G330" i="36"/>
  <c r="G325" i="36"/>
  <c r="G11" i="36"/>
  <c r="G21" i="36"/>
  <c r="G31" i="36"/>
  <c r="G41" i="36"/>
  <c r="G51" i="36"/>
  <c r="G61" i="36"/>
  <c r="G71" i="36"/>
  <c r="G81" i="36"/>
  <c r="G91" i="36"/>
  <c r="G101" i="36"/>
  <c r="G111" i="36"/>
  <c r="G121" i="36"/>
  <c r="G131" i="36"/>
  <c r="G141" i="36"/>
  <c r="G151" i="36"/>
  <c r="G161" i="36"/>
  <c r="G171" i="36"/>
  <c r="G181" i="36"/>
  <c r="G191" i="36"/>
  <c r="G201" i="36"/>
  <c r="G211" i="36"/>
  <c r="G221" i="36"/>
  <c r="G231" i="36"/>
  <c r="G241" i="36"/>
  <c r="G251" i="36"/>
  <c r="G261" i="36"/>
  <c r="G271" i="36"/>
  <c r="G281" i="36"/>
  <c r="G291" i="36"/>
  <c r="G301" i="36"/>
  <c r="G311" i="36"/>
  <c r="G321" i="36"/>
  <c r="G331" i="36"/>
  <c r="G2" i="36"/>
  <c r="E97" i="36"/>
  <c r="E192" i="36"/>
  <c r="E227" i="36"/>
  <c r="E18" i="36"/>
  <c r="E145" i="36"/>
  <c r="E275" i="36"/>
  <c r="E63" i="36"/>
  <c r="E98" i="36"/>
  <c r="E193" i="36"/>
  <c r="E228" i="36"/>
  <c r="E323" i="36"/>
  <c r="E19" i="36"/>
  <c r="E146" i="36"/>
  <c r="E276" i="36"/>
  <c r="E64" i="36"/>
  <c r="E110" i="36"/>
  <c r="E194" i="36"/>
  <c r="E240" i="36"/>
  <c r="E324" i="36"/>
  <c r="E26" i="36"/>
  <c r="E112" i="36"/>
  <c r="E147" i="36"/>
  <c r="E242" i="36"/>
  <c r="E277" i="36"/>
  <c r="E65" i="36"/>
  <c r="E195" i="36"/>
  <c r="E27" i="36"/>
  <c r="E113" i="36"/>
  <c r="E155" i="36"/>
  <c r="E285" i="36"/>
  <c r="E73" i="36"/>
  <c r="E119" i="36"/>
  <c r="E203" i="36"/>
  <c r="E249" i="36"/>
  <c r="E38" i="36"/>
  <c r="E167" i="36"/>
  <c r="E297" i="36"/>
  <c r="E74" i="36"/>
  <c r="E120" i="36"/>
  <c r="E204" i="36"/>
  <c r="E250" i="36"/>
  <c r="E39" i="36"/>
  <c r="E122" i="36"/>
  <c r="E168" i="36"/>
  <c r="E252" i="36"/>
  <c r="E298" i="36"/>
  <c r="E4" i="36"/>
  <c r="E86" i="36"/>
  <c r="E216" i="36"/>
  <c r="E40" i="36"/>
  <c r="E123" i="36"/>
  <c r="E169" i="36"/>
  <c r="E253" i="36"/>
  <c r="E299" i="36"/>
  <c r="E5" i="36"/>
  <c r="E42" i="36"/>
  <c r="E87" i="36"/>
  <c r="E217" i="36"/>
  <c r="E124" i="36"/>
  <c r="E170" i="36"/>
  <c r="E254" i="36"/>
  <c r="E300" i="36"/>
  <c r="E43" i="36"/>
  <c r="E88" i="36"/>
  <c r="E172" i="36"/>
  <c r="E218" i="36"/>
  <c r="E16" i="36"/>
  <c r="E136" i="36"/>
  <c r="E178" i="36"/>
  <c r="E273" i="36"/>
  <c r="E308" i="36"/>
  <c r="E49" i="36"/>
  <c r="E96" i="36"/>
  <c r="E226" i="36"/>
  <c r="E17" i="36"/>
  <c r="E144" i="36"/>
  <c r="E179" i="36"/>
  <c r="E274" i="36"/>
  <c r="E309" i="36"/>
  <c r="E62" i="36"/>
  <c r="E322" i="36"/>
  <c r="E50" i="36"/>
  <c r="E75" i="36"/>
  <c r="E99" i="36"/>
  <c r="E205" i="36"/>
  <c r="E229" i="36"/>
  <c r="E260" i="36"/>
  <c r="E6" i="36"/>
  <c r="E28" i="36"/>
  <c r="E52" i="36"/>
  <c r="E132" i="36"/>
  <c r="E156" i="36"/>
  <c r="E180" i="36"/>
  <c r="E262" i="36"/>
  <c r="E286" i="36"/>
  <c r="E310" i="36"/>
  <c r="E76" i="36"/>
  <c r="E100" i="36"/>
  <c r="E182" i="36"/>
  <c r="E206" i="36"/>
  <c r="E237" i="36"/>
  <c r="E312" i="36"/>
  <c r="E7" i="36"/>
  <c r="E29" i="36"/>
  <c r="E53" i="36"/>
  <c r="E133" i="36"/>
  <c r="E157" i="36"/>
  <c r="E263" i="36"/>
  <c r="E287" i="36"/>
  <c r="E77" i="36"/>
  <c r="E108" i="36"/>
  <c r="E183" i="36"/>
  <c r="E214" i="36"/>
  <c r="E238" i="36"/>
  <c r="E313" i="36"/>
  <c r="E8" i="36"/>
  <c r="E30" i="36"/>
  <c r="E54" i="36"/>
  <c r="E134" i="36"/>
  <c r="E158" i="36"/>
  <c r="E264" i="36"/>
  <c r="E288" i="36"/>
  <c r="E319" i="36"/>
  <c r="E85" i="36"/>
  <c r="E109" i="36"/>
  <c r="E215" i="36"/>
  <c r="E239" i="36"/>
  <c r="E15" i="36"/>
  <c r="E37" i="36"/>
  <c r="E60" i="36"/>
  <c r="E135" i="36"/>
  <c r="E159" i="36"/>
  <c r="E190" i="36"/>
  <c r="E265" i="36"/>
  <c r="E296" i="36"/>
  <c r="E320" i="36"/>
  <c r="E66" i="36"/>
  <c r="E102" i="36"/>
  <c r="E125" i="36"/>
  <c r="E230" i="36"/>
  <c r="E266" i="36"/>
  <c r="E289" i="36"/>
  <c r="E325" i="36"/>
  <c r="E9" i="36"/>
  <c r="E32" i="36"/>
  <c r="E114" i="36"/>
  <c r="E173" i="36"/>
  <c r="E314" i="36"/>
  <c r="E67" i="36"/>
  <c r="E90" i="36"/>
  <c r="E103" i="36"/>
  <c r="E149" i="36"/>
  <c r="E162" i="36"/>
  <c r="E185" i="36"/>
  <c r="E208" i="36"/>
  <c r="E244" i="36"/>
  <c r="E267" i="36"/>
  <c r="E290" i="36"/>
  <c r="E303" i="36"/>
  <c r="E326" i="36"/>
  <c r="E10" i="36"/>
  <c r="E22" i="36"/>
  <c r="E33" i="36"/>
  <c r="E56" i="36"/>
  <c r="E79" i="36"/>
  <c r="E92" i="36"/>
  <c r="E115" i="36"/>
  <c r="E138" i="36"/>
  <c r="E174" i="36"/>
  <c r="E197" i="36"/>
  <c r="E220" i="36"/>
  <c r="E233" i="36"/>
  <c r="E256" i="36"/>
  <c r="E279" i="36"/>
  <c r="E292" i="36"/>
  <c r="E315" i="36"/>
  <c r="E45" i="36"/>
  <c r="E68" i="36"/>
  <c r="E104" i="36"/>
  <c r="E127" i="36"/>
  <c r="E150" i="36"/>
  <c r="E163" i="36"/>
  <c r="E186" i="36"/>
  <c r="E209" i="36"/>
  <c r="E222" i="36"/>
  <c r="E245" i="36"/>
  <c r="E268" i="36"/>
  <c r="E304" i="36"/>
  <c r="E327" i="36"/>
  <c r="E89" i="36"/>
  <c r="E148" i="36"/>
  <c r="E184" i="36"/>
  <c r="E207" i="36"/>
  <c r="E243" i="36"/>
  <c r="E302" i="36"/>
  <c r="E20" i="36"/>
  <c r="E55" i="36"/>
  <c r="E78" i="36"/>
  <c r="E137" i="36"/>
  <c r="E160" i="36"/>
  <c r="E196" i="36"/>
  <c r="E219" i="36"/>
  <c r="E232" i="36"/>
  <c r="E255" i="36"/>
  <c r="E278" i="36"/>
  <c r="E44" i="36"/>
  <c r="E126" i="36"/>
  <c r="E12" i="36"/>
  <c r="E23" i="36"/>
  <c r="E34" i="36"/>
  <c r="E57" i="36"/>
  <c r="E80" i="36"/>
  <c r="E93" i="36"/>
  <c r="E116" i="36"/>
  <c r="E139" i="36"/>
  <c r="E152" i="36"/>
  <c r="E175" i="36"/>
  <c r="E198" i="36"/>
  <c r="E234" i="36"/>
  <c r="E257" i="36"/>
  <c r="E280" i="36"/>
  <c r="E293" i="36"/>
  <c r="E316" i="36"/>
  <c r="E46" i="36"/>
  <c r="E69" i="36"/>
  <c r="E82" i="36"/>
  <c r="E105" i="36"/>
  <c r="E128" i="36"/>
  <c r="E164" i="36"/>
  <c r="E187" i="36"/>
  <c r="E210" i="36"/>
  <c r="E223" i="36"/>
  <c r="E246" i="36"/>
  <c r="E269" i="36"/>
  <c r="E282" i="36"/>
  <c r="E305" i="36"/>
  <c r="E328" i="36"/>
  <c r="E13" i="36"/>
  <c r="E24" i="36"/>
  <c r="E35" i="36"/>
  <c r="E58" i="36"/>
  <c r="E94" i="36"/>
  <c r="E117" i="36"/>
  <c r="E140" i="36"/>
  <c r="E153" i="36"/>
  <c r="E176" i="36"/>
  <c r="E199" i="36"/>
  <c r="E212" i="36"/>
  <c r="E235" i="36"/>
  <c r="E258" i="36"/>
  <c r="E294" i="36"/>
  <c r="E317" i="36"/>
  <c r="E47" i="36"/>
  <c r="E70" i="36"/>
  <c r="E83" i="36"/>
  <c r="E106" i="36"/>
  <c r="E129" i="36"/>
  <c r="E142" i="36"/>
  <c r="E165" i="36"/>
  <c r="E188" i="36"/>
  <c r="E224" i="36"/>
  <c r="E247" i="36"/>
  <c r="E270" i="36"/>
  <c r="E283" i="36"/>
  <c r="E306" i="36"/>
  <c r="E329" i="36"/>
  <c r="E3" i="36"/>
  <c r="E14" i="36"/>
  <c r="E25" i="36"/>
  <c r="E36" i="36"/>
  <c r="E59" i="36"/>
  <c r="E72" i="36"/>
  <c r="E95" i="36"/>
  <c r="E118" i="36"/>
  <c r="E154" i="36"/>
  <c r="E177" i="36"/>
  <c r="E200" i="36"/>
  <c r="E213" i="36"/>
  <c r="E236" i="36"/>
  <c r="E259" i="36"/>
  <c r="E272" i="36"/>
  <c r="E295" i="36"/>
  <c r="E318" i="36"/>
  <c r="E48" i="36"/>
  <c r="E84" i="36"/>
  <c r="E107" i="36"/>
  <c r="E130" i="36"/>
  <c r="E143" i="36"/>
  <c r="E166" i="36"/>
  <c r="E189" i="36"/>
  <c r="E202" i="36"/>
  <c r="E225" i="36"/>
  <c r="E248" i="36"/>
  <c r="E284" i="36"/>
  <c r="E307" i="36"/>
  <c r="E330" i="36"/>
  <c r="E11" i="36"/>
  <c r="E21" i="36"/>
  <c r="E31" i="36"/>
  <c r="E41" i="36"/>
  <c r="E51" i="36"/>
  <c r="E61" i="36"/>
  <c r="E71" i="36"/>
  <c r="E81" i="36"/>
  <c r="E91" i="36"/>
  <c r="E101" i="36"/>
  <c r="E111" i="36"/>
  <c r="E121" i="36"/>
  <c r="E131" i="36"/>
  <c r="E141" i="36"/>
  <c r="E151" i="36"/>
  <c r="E161" i="36"/>
  <c r="E171" i="36"/>
  <c r="E181" i="36"/>
  <c r="E191" i="36"/>
  <c r="E201" i="36"/>
  <c r="E211" i="36"/>
  <c r="E221" i="36"/>
  <c r="E231" i="36"/>
  <c r="E241" i="36"/>
  <c r="E251" i="36"/>
  <c r="E261" i="36"/>
  <c r="E271" i="36"/>
  <c r="E281" i="36"/>
  <c r="E291" i="36"/>
  <c r="E301" i="36"/>
  <c r="E311" i="36"/>
  <c r="E321" i="36"/>
  <c r="E331" i="36"/>
  <c r="E2" i="36"/>
  <c r="D41" i="36"/>
  <c r="D167" i="36"/>
  <c r="D190" i="36"/>
  <c r="D63" i="36"/>
  <c r="D71" i="36"/>
  <c r="D194" i="36"/>
  <c r="D89" i="36"/>
  <c r="D216" i="36"/>
  <c r="D93" i="36"/>
  <c r="D94" i="36"/>
  <c r="D223" i="36"/>
  <c r="D112" i="36"/>
  <c r="D246" i="36"/>
  <c r="D116" i="36"/>
  <c r="D247" i="36"/>
  <c r="D17" i="36"/>
  <c r="D274" i="36"/>
  <c r="D143" i="36"/>
  <c r="D19" i="36"/>
  <c r="D275" i="36"/>
  <c r="D23" i="36"/>
  <c r="D144" i="36"/>
  <c r="D40" i="36"/>
  <c r="D300" i="36"/>
  <c r="D166" i="36"/>
  <c r="D305" i="36"/>
  <c r="D72" i="36"/>
  <c r="D117" i="36"/>
  <c r="D169" i="36"/>
  <c r="D200" i="36"/>
  <c r="D252" i="36"/>
  <c r="D24" i="36"/>
  <c r="D46" i="36"/>
  <c r="D95" i="36"/>
  <c r="D119" i="36"/>
  <c r="D145" i="36"/>
  <c r="D224" i="36"/>
  <c r="D282" i="36"/>
  <c r="D306" i="36"/>
  <c r="D3" i="36"/>
  <c r="D73" i="36"/>
  <c r="D170" i="36"/>
  <c r="D201" i="36"/>
  <c r="D257" i="36"/>
  <c r="D311" i="36"/>
  <c r="D25" i="36"/>
  <c r="D51" i="36"/>
  <c r="D96" i="36"/>
  <c r="D123" i="36"/>
  <c r="D146" i="36"/>
  <c r="D225" i="36"/>
  <c r="D259" i="36"/>
  <c r="D283" i="36"/>
  <c r="D4" i="36"/>
  <c r="D74" i="36"/>
  <c r="D179" i="36"/>
  <c r="D202" i="36"/>
  <c r="D316" i="36"/>
  <c r="D26" i="36"/>
  <c r="D52" i="36"/>
  <c r="D97" i="36"/>
  <c r="D129" i="36"/>
  <c r="D152" i="36"/>
  <c r="D226" i="36"/>
  <c r="D260" i="36"/>
  <c r="D284" i="36"/>
  <c r="D5" i="36"/>
  <c r="D75" i="36"/>
  <c r="D99" i="36"/>
  <c r="D180" i="36"/>
  <c r="D203" i="36"/>
  <c r="D235" i="36"/>
  <c r="D317" i="36"/>
  <c r="D27" i="36"/>
  <c r="D53" i="36"/>
  <c r="D130" i="36"/>
  <c r="D153" i="36"/>
  <c r="D261" i="36"/>
  <c r="D285" i="36"/>
  <c r="D319" i="36"/>
  <c r="D6" i="36"/>
  <c r="D57" i="36"/>
  <c r="D76" i="36"/>
  <c r="D106" i="36"/>
  <c r="D181" i="36"/>
  <c r="D204" i="36"/>
  <c r="D236" i="36"/>
  <c r="D294" i="36"/>
  <c r="D35" i="36"/>
  <c r="D59" i="36"/>
  <c r="D131" i="36"/>
  <c r="D154" i="36"/>
  <c r="D262" i="36"/>
  <c r="D320" i="36"/>
  <c r="D7" i="36"/>
  <c r="D82" i="36"/>
  <c r="D107" i="36"/>
  <c r="D159" i="36"/>
  <c r="D182" i="36"/>
  <c r="D205" i="36"/>
  <c r="D237" i="36"/>
  <c r="D295" i="36"/>
  <c r="D12" i="36"/>
  <c r="D36" i="36"/>
  <c r="D60" i="36"/>
  <c r="D109" i="36"/>
  <c r="D132" i="36"/>
  <c r="D239" i="36"/>
  <c r="D263" i="36"/>
  <c r="D321" i="36"/>
  <c r="D83" i="36"/>
  <c r="D214" i="36"/>
  <c r="D296" i="36"/>
  <c r="D37" i="36"/>
  <c r="D61" i="36"/>
  <c r="D86" i="36"/>
  <c r="D110" i="36"/>
  <c r="D133" i="36"/>
  <c r="D164" i="36"/>
  <c r="D187" i="36"/>
  <c r="D240" i="36"/>
  <c r="D264" i="36"/>
  <c r="D322" i="36"/>
  <c r="D16" i="36"/>
  <c r="D39" i="36"/>
  <c r="D189" i="36"/>
  <c r="D215" i="36"/>
  <c r="D273" i="36"/>
  <c r="D297" i="36"/>
  <c r="D62" i="36"/>
  <c r="D87" i="36"/>
  <c r="D111" i="36"/>
  <c r="D134" i="36"/>
  <c r="D165" i="36"/>
  <c r="D241" i="36"/>
  <c r="D299" i="36"/>
  <c r="D323" i="36"/>
  <c r="D171" i="36"/>
  <c r="D191" i="36"/>
  <c r="D211" i="36"/>
  <c r="D249" i="36"/>
  <c r="D270" i="36"/>
  <c r="D329" i="36"/>
  <c r="D13" i="36"/>
  <c r="D47" i="36"/>
  <c r="D100" i="36"/>
  <c r="D120" i="36"/>
  <c r="D135" i="36"/>
  <c r="D155" i="36"/>
  <c r="D175" i="36"/>
  <c r="D227" i="36"/>
  <c r="D286" i="36"/>
  <c r="D307" i="36"/>
  <c r="D29" i="36"/>
  <c r="D49" i="36"/>
  <c r="D64" i="36"/>
  <c r="D84" i="36"/>
  <c r="D192" i="36"/>
  <c r="D212" i="36"/>
  <c r="D229" i="36"/>
  <c r="D250" i="36"/>
  <c r="D271" i="36"/>
  <c r="D309" i="36"/>
  <c r="D330" i="36"/>
  <c r="D14" i="36"/>
  <c r="D121" i="36"/>
  <c r="D141" i="36"/>
  <c r="D156" i="36"/>
  <c r="D176" i="36"/>
  <c r="D287" i="36"/>
  <c r="D30" i="36"/>
  <c r="D50" i="36"/>
  <c r="D70" i="36"/>
  <c r="D85" i="36"/>
  <c r="D105" i="36"/>
  <c r="D193" i="36"/>
  <c r="D213" i="36"/>
  <c r="D234" i="36"/>
  <c r="D251" i="36"/>
  <c r="D272" i="36"/>
  <c r="D293" i="36"/>
  <c r="D310" i="36"/>
  <c r="D331" i="36"/>
  <c r="D15" i="36"/>
  <c r="D34" i="36"/>
  <c r="D122" i="36"/>
  <c r="D142" i="36"/>
  <c r="D157" i="36"/>
  <c r="D177" i="36"/>
  <c r="D217" i="36"/>
  <c r="D230" i="36"/>
  <c r="D253" i="36"/>
  <c r="D276" i="36"/>
  <c r="D289" i="36"/>
  <c r="D312" i="36"/>
  <c r="D42" i="36"/>
  <c r="D65" i="36"/>
  <c r="D101" i="36"/>
  <c r="D124" i="36"/>
  <c r="D147" i="36"/>
  <c r="D160" i="36"/>
  <c r="D183" i="36"/>
  <c r="D206" i="36"/>
  <c r="D219" i="36"/>
  <c r="D242" i="36"/>
  <c r="D265" i="36"/>
  <c r="D301" i="36"/>
  <c r="D324" i="36"/>
  <c r="D9" i="36"/>
  <c r="D20" i="36"/>
  <c r="D31" i="36"/>
  <c r="D54" i="36"/>
  <c r="D77" i="36"/>
  <c r="D90" i="36"/>
  <c r="D113" i="36"/>
  <c r="D136" i="36"/>
  <c r="D149" i="36"/>
  <c r="D172" i="36"/>
  <c r="D195" i="36"/>
  <c r="D231" i="36"/>
  <c r="D254" i="36"/>
  <c r="D277" i="36"/>
  <c r="D290" i="36"/>
  <c r="D313" i="36"/>
  <c r="D43" i="36"/>
  <c r="D66" i="36"/>
  <c r="D79" i="36"/>
  <c r="D102" i="36"/>
  <c r="D125" i="36"/>
  <c r="D161" i="36"/>
  <c r="D184" i="36"/>
  <c r="D207" i="36"/>
  <c r="D220" i="36"/>
  <c r="D243" i="36"/>
  <c r="D266" i="36"/>
  <c r="D279" i="36"/>
  <c r="D302" i="36"/>
  <c r="D325" i="36"/>
  <c r="D10" i="36"/>
  <c r="D21" i="36"/>
  <c r="D32" i="36"/>
  <c r="D55" i="36"/>
  <c r="D91" i="36"/>
  <c r="D114" i="36"/>
  <c r="D137" i="36"/>
  <c r="D150" i="36"/>
  <c r="D173" i="36"/>
  <c r="D196" i="36"/>
  <c r="D209" i="36"/>
  <c r="D232" i="36"/>
  <c r="D255" i="36"/>
  <c r="D291" i="36"/>
  <c r="D314" i="36"/>
  <c r="D44" i="36"/>
  <c r="D67" i="36"/>
  <c r="D80" i="36"/>
  <c r="D103" i="36"/>
  <c r="D126" i="36"/>
  <c r="D139" i="36"/>
  <c r="D162" i="36"/>
  <c r="D185" i="36"/>
  <c r="D221" i="36"/>
  <c r="D244" i="36"/>
  <c r="D267" i="36"/>
  <c r="D280" i="36"/>
  <c r="D303" i="36"/>
  <c r="D326" i="36"/>
  <c r="D11" i="36"/>
  <c r="D22" i="36"/>
  <c r="D33" i="36"/>
  <c r="D56" i="36"/>
  <c r="D69" i="36"/>
  <c r="D92" i="36"/>
  <c r="D115" i="36"/>
  <c r="D151" i="36"/>
  <c r="D174" i="36"/>
  <c r="D197" i="36"/>
  <c r="D210" i="36"/>
  <c r="D233" i="36"/>
  <c r="D256" i="36"/>
  <c r="D269" i="36"/>
  <c r="D292" i="36"/>
  <c r="D315" i="36"/>
  <c r="D45" i="36"/>
  <c r="D81" i="36"/>
  <c r="D104" i="36"/>
  <c r="D127" i="36"/>
  <c r="D140" i="36"/>
  <c r="D163" i="36"/>
  <c r="D186" i="36"/>
  <c r="D199" i="36"/>
  <c r="D222" i="36"/>
  <c r="D245" i="36"/>
  <c r="D281" i="36"/>
  <c r="D304" i="36"/>
  <c r="D327" i="36"/>
  <c r="D8" i="36"/>
  <c r="D18" i="36"/>
  <c r="D28" i="36"/>
  <c r="D38" i="36"/>
  <c r="D48" i="36"/>
  <c r="D58" i="36"/>
  <c r="D68" i="36"/>
  <c r="D78" i="36"/>
  <c r="D88" i="36"/>
  <c r="D98" i="36"/>
  <c r="D108" i="36"/>
  <c r="D118" i="36"/>
  <c r="D128" i="36"/>
  <c r="D138" i="36"/>
  <c r="D148" i="36"/>
  <c r="D158" i="36"/>
  <c r="D168" i="36"/>
  <c r="D178" i="36"/>
  <c r="D188" i="36"/>
  <c r="D198" i="36"/>
  <c r="D208" i="36"/>
  <c r="D218" i="36"/>
  <c r="D228" i="36"/>
  <c r="D238" i="36"/>
  <c r="D248" i="36"/>
  <c r="D258" i="36"/>
  <c r="D268" i="36"/>
  <c r="D278" i="36"/>
  <c r="D288" i="36"/>
  <c r="D298" i="36"/>
  <c r="D308" i="36"/>
  <c r="D318" i="36"/>
  <c r="D328" i="36"/>
  <c r="D2" i="36"/>
  <c r="C2" i="4" a="1"/>
  <c r="C2" i="4" l="1"/>
  <c r="C3" i="4" a="1"/>
  <c r="C3" i="4"/>
  <c r="C4" i="4" a="1"/>
  <c r="C4" i="4"/>
  <c r="C5" i="4" a="1"/>
  <c r="C5" i="4"/>
  <c r="C6" i="4" a="1"/>
  <c r="C6" i="4"/>
  <c r="C7" i="4" a="1"/>
  <c r="C7" i="4"/>
  <c r="C8" i="4" a="1"/>
  <c r="C8" i="4"/>
  <c r="C9" i="4" a="1"/>
  <c r="C9" i="4"/>
  <c r="C10" i="4" a="1"/>
  <c r="C10" i="4"/>
  <c r="C11" i="4" a="1"/>
  <c r="C11" i="4"/>
  <c r="C12" i="4" a="1"/>
  <c r="C12" i="4"/>
  <c r="C13" i="4" a="1"/>
  <c r="C13" i="4"/>
  <c r="C14" i="4" a="1"/>
  <c r="C14" i="4"/>
  <c r="C15" i="4" a="1"/>
  <c r="C15" i="4"/>
  <c r="C16" i="4" a="1"/>
  <c r="C16" i="4"/>
  <c r="C17" i="4" a="1"/>
  <c r="C17" i="4"/>
  <c r="C18" i="4" a="1"/>
  <c r="C18" i="4"/>
  <c r="C19" i="4" a="1"/>
  <c r="C19" i="4"/>
  <c r="C20" i="4" a="1"/>
  <c r="C20" i="4"/>
  <c r="C21" i="4" a="1"/>
  <c r="C21" i="4"/>
  <c r="C22" i="4" a="1"/>
  <c r="C22" i="4"/>
  <c r="C23" i="4" a="1"/>
  <c r="C23" i="4"/>
  <c r="C24" i="4" a="1"/>
  <c r="C24" i="4"/>
  <c r="C25" i="4" a="1"/>
  <c r="C25" i="4"/>
  <c r="C26" i="4" a="1"/>
  <c r="C26" i="4"/>
  <c r="C27" i="4" a="1"/>
  <c r="C27" i="4"/>
  <c r="C28" i="4" a="1"/>
  <c r="C28" i="4"/>
  <c r="C29" i="4" a="1"/>
  <c r="C29" i="4"/>
  <c r="C30" i="4" a="1"/>
  <c r="C30" i="4"/>
  <c r="C31" i="4" a="1"/>
  <c r="C31" i="4"/>
  <c r="C32" i="4" a="1"/>
  <c r="C32" i="4"/>
  <c r="C33" i="4" a="1"/>
  <c r="C33" i="4"/>
  <c r="C34" i="4" a="1"/>
  <c r="C34" i="4"/>
  <c r="C35" i="4" a="1"/>
  <c r="C35" i="4"/>
  <c r="C36" i="4" a="1"/>
  <c r="C36" i="4"/>
  <c r="C37" i="4" a="1"/>
  <c r="C37" i="4"/>
  <c r="A2" i="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M3" i="14" a="1"/>
  <c r="M10" i="14" a="1"/>
  <c r="J20" i="14" a="1"/>
  <c r="J34" i="14" a="1"/>
  <c r="D36" i="14" a="1"/>
  <c r="F37" i="14" a="1"/>
  <c r="D26" i="14" a="1"/>
  <c r="F28" i="14" a="1"/>
  <c r="D10" i="14" a="1"/>
  <c r="F14" i="13" a="1"/>
  <c r="D10" i="13" a="1"/>
  <c r="M21" i="14" a="1"/>
  <c r="M39" i="14" a="1"/>
  <c r="J10" i="14" a="1"/>
  <c r="J14" i="14" a="1"/>
  <c r="D32" i="14" a="1"/>
  <c r="F33" i="14" a="1"/>
  <c r="D14" i="14" a="1"/>
  <c r="F24" i="14" a="1"/>
  <c r="D2" i="14" a="1"/>
  <c r="F4" i="13" a="1"/>
  <c r="D17" i="13" a="1"/>
  <c r="M40" i="14" a="1"/>
  <c r="M9" i="14" a="1"/>
  <c r="J39" i="14" a="1"/>
  <c r="J43" i="14" a="1"/>
  <c r="F43" i="14" a="1"/>
  <c r="D45" i="14" a="1"/>
  <c r="D29" i="14" a="1"/>
  <c r="F20" i="14" a="1"/>
  <c r="F17" i="13" a="1"/>
  <c r="F23" i="13" a="1"/>
  <c r="D27" i="13" a="1"/>
  <c r="M20" i="14" a="1"/>
  <c r="M28" i="14" a="1"/>
  <c r="J29" i="14" a="1"/>
  <c r="J23" i="14" a="1"/>
  <c r="F39" i="14" a="1"/>
  <c r="D41" i="14" a="1"/>
  <c r="D25" i="14" a="1"/>
  <c r="F16" i="14" a="1"/>
  <c r="F13" i="13" a="1"/>
  <c r="F3" i="13" a="1"/>
  <c r="D7" i="13" a="1"/>
  <c r="M29" i="14" a="1"/>
  <c r="M8" i="14" a="1"/>
  <c r="J19" i="14" a="1"/>
  <c r="J3" i="14" a="1"/>
  <c r="F35" i="14" a="1"/>
  <c r="D37" i="14" a="1"/>
  <c r="D21" i="14" a="1"/>
  <c r="F12" i="14" a="1"/>
  <c r="F11" i="13" a="1"/>
  <c r="F22" i="13" a="1"/>
  <c r="D26" i="13" a="1"/>
  <c r="M19" i="14" a="1"/>
  <c r="M27" i="14" a="1"/>
  <c r="J9" i="14" a="1"/>
  <c r="J18" i="14" a="1"/>
  <c r="F31" i="14" a="1"/>
  <c r="D33" i="14" a="1"/>
  <c r="D17" i="14" a="1"/>
  <c r="F8" i="14" a="1"/>
  <c r="F29" i="13" a="1"/>
  <c r="F12" i="13" a="1"/>
  <c r="D16" i="13" a="1"/>
  <c r="D20" i="13" a="1"/>
  <c r="M6" i="14" a="1"/>
  <c r="J17" i="14" a="1"/>
  <c r="F38" i="14" a="1"/>
  <c r="F19" i="14" a="1"/>
  <c r="F27" i="13" a="1"/>
  <c r="M34" i="14" a="1"/>
  <c r="J22" i="14" a="1"/>
  <c r="J13" i="14" a="1"/>
  <c r="F5" i="14" a="1"/>
  <c r="F23" i="14" a="1"/>
  <c r="D19" i="13" a="1"/>
  <c r="M24" i="14" a="1"/>
  <c r="F30" i="14" a="1"/>
  <c r="D27" i="14" a="1"/>
  <c r="F26" i="13" a="1"/>
  <c r="D23" i="13" a="1"/>
  <c r="M22" i="14" a="1"/>
  <c r="J26" i="14" a="1"/>
  <c r="D42" i="14" a="1"/>
  <c r="D11" i="14" a="1"/>
  <c r="F7" i="14" a="1"/>
  <c r="D28" i="13" a="1"/>
  <c r="M4" i="14" a="1"/>
  <c r="J31" i="14" a="1"/>
  <c r="F40" i="14" a="1"/>
  <c r="F26" i="14" a="1"/>
  <c r="D18" i="13" a="1"/>
  <c r="M41" i="14" a="1"/>
  <c r="F36" i="14" a="1"/>
  <c r="D7" i="14" a="1"/>
  <c r="D15" i="14" a="1"/>
  <c r="D8" i="13" a="1"/>
  <c r="M33" i="14" a="1"/>
  <c r="J11" i="14" a="1"/>
  <c r="F32" i="14" a="1"/>
  <c r="F10" i="14" a="1"/>
  <c r="F15" i="13" a="1"/>
  <c r="D21" i="13" a="1"/>
  <c r="M11" i="14" a="1"/>
  <c r="J25" i="14" a="1"/>
  <c r="F14" i="14" a="1"/>
  <c r="F6" i="14" a="1"/>
  <c r="D2" i="13" a="1"/>
  <c r="M30" i="14" a="1"/>
  <c r="D40" i="14" a="1"/>
  <c r="F2" i="14" a="1"/>
  <c r="D18" i="14" a="1"/>
  <c r="D11" i="13" a="1"/>
  <c r="M45" i="14" a="1"/>
  <c r="M38" i="14" a="1"/>
  <c r="M7" i="14" a="1"/>
  <c r="J38" i="14" a="1"/>
  <c r="J35" i="14" a="1"/>
  <c r="D43" i="14" a="1"/>
  <c r="F29" i="14" a="1"/>
  <c r="D13" i="14" a="1"/>
  <c r="F4" i="14" a="1"/>
  <c r="F19" i="13" a="1"/>
  <c r="F21" i="13" a="1"/>
  <c r="D6" i="13" a="1"/>
  <c r="M35" i="14" a="1"/>
  <c r="M18" i="14" a="1"/>
  <c r="M36" i="14" a="1"/>
  <c r="J28" i="14" a="1"/>
  <c r="J5" i="14" a="1"/>
  <c r="D39" i="14" a="1"/>
  <c r="F25" i="14" a="1"/>
  <c r="D9" i="14" a="1"/>
  <c r="D28" i="14" a="1"/>
  <c r="F9" i="13" a="1"/>
  <c r="F20" i="13" a="1"/>
  <c r="D25" i="13" a="1"/>
  <c r="M25" i="14" a="1"/>
  <c r="M37" i="14" a="1"/>
  <c r="M16" i="14" a="1"/>
  <c r="J8" i="14" a="1"/>
  <c r="J44" i="14" a="1"/>
  <c r="D35" i="14" a="1"/>
  <c r="F21" i="14" a="1"/>
  <c r="D5" i="14" a="1"/>
  <c r="D20" i="14" a="1"/>
  <c r="F28" i="13" a="1"/>
  <c r="F10" i="13" a="1"/>
  <c r="D15" i="13" a="1"/>
  <c r="M15" i="14" a="1"/>
  <c r="M17" i="14" a="1"/>
  <c r="M2" i="14" a="1"/>
  <c r="J37" i="14" a="1"/>
  <c r="J24" i="14" a="1"/>
  <c r="D31" i="14" a="1"/>
  <c r="F17" i="14" a="1"/>
  <c r="D24" i="14" a="1"/>
  <c r="D12" i="14" a="1"/>
  <c r="F18" i="13" a="1"/>
  <c r="F2" i="13" a="1"/>
  <c r="D5" i="13" a="1"/>
  <c r="M5" i="14" a="1"/>
  <c r="M26" i="14" a="1"/>
  <c r="J42" i="14" a="1"/>
  <c r="J27" i="14" a="1"/>
  <c r="J4" i="14" a="1"/>
  <c r="F42" i="14" a="1"/>
  <c r="F13" i="14" a="1"/>
  <c r="F27" i="14" a="1"/>
  <c r="D8" i="14" a="1"/>
  <c r="F8" i="13" a="1"/>
  <c r="D24" i="13" a="1"/>
  <c r="M44" i="14" a="1"/>
  <c r="J32" i="14" a="1"/>
  <c r="J33" i="14" a="1"/>
  <c r="F9" i="14" a="1"/>
  <c r="D4" i="14" a="1"/>
  <c r="D29" i="13" a="1"/>
  <c r="D14" i="13" a="1"/>
  <c r="M42" i="14" a="1"/>
  <c r="J7" i="14" a="1"/>
  <c r="F34" i="14" a="1"/>
  <c r="F3" i="14" a="1"/>
  <c r="F7" i="13" a="1"/>
  <c r="D4" i="13" a="1"/>
  <c r="M32" i="14" a="1"/>
  <c r="J12" i="14" a="1"/>
  <c r="J36" i="14" a="1"/>
  <c r="J2" i="14" a="1"/>
  <c r="D16" i="14" a="1"/>
  <c r="F15" i="14" a="1"/>
  <c r="D9" i="13" a="1"/>
  <c r="M14" i="14" a="1"/>
  <c r="J41" i="14" a="1"/>
  <c r="F44" i="14" a="1"/>
  <c r="F11" i="14" a="1"/>
  <c r="F16" i="13" a="1"/>
  <c r="D13" i="13" a="1"/>
  <c r="M12" i="14" a="1"/>
  <c r="J16" i="14" a="1"/>
  <c r="D38" i="14" a="1"/>
  <c r="D19" i="14" a="1"/>
  <c r="D23" i="14" a="1"/>
  <c r="F6" i="13" a="1"/>
  <c r="D3" i="13" a="1"/>
  <c r="M43" i="14" a="1"/>
  <c r="J21" i="14" a="1"/>
  <c r="J6" i="14" a="1"/>
  <c r="D34" i="14" a="1"/>
  <c r="F18" i="14" a="1"/>
  <c r="F25" i="13" a="1"/>
  <c r="D12" i="13" a="1"/>
  <c r="M31" i="14" a="1"/>
  <c r="J45" i="14" a="1"/>
  <c r="D30" i="14" a="1"/>
  <c r="F22" i="14" a="1"/>
  <c r="D3" i="14" a="1"/>
  <c r="D22" i="13" a="1"/>
  <c r="M23" i="14" a="1"/>
  <c r="J40" i="14" a="1"/>
  <c r="D44" i="14" a="1"/>
  <c r="F45" i="14" a="1"/>
  <c r="D22" i="14" a="1"/>
  <c r="F5" i="13" a="1"/>
  <c r="M13" i="14" a="1"/>
  <c r="J30" i="14" a="1"/>
  <c r="J15" i="14" a="1"/>
  <c r="F41" i="14" a="1"/>
  <c r="D6" i="14" a="1"/>
  <c r="F24" i="13" a="1"/>
  <c r="E36" i="4" a="1"/>
  <c r="E35" i="4" a="1"/>
  <c r="E37" i="4" a="1"/>
  <c r="M16" i="14" l="1"/>
  <c r="M36" i="14"/>
  <c r="M7" i="14"/>
  <c r="M27" i="14"/>
  <c r="M8" i="14"/>
  <c r="M28" i="14"/>
  <c r="M9" i="14"/>
  <c r="M39" i="14"/>
  <c r="M10" i="14"/>
  <c r="M30" i="14"/>
  <c r="M11" i="14"/>
  <c r="M31" i="14"/>
  <c r="M41" i="14"/>
  <c r="M12" i="14"/>
  <c r="M22" i="14"/>
  <c r="M32" i="14"/>
  <c r="M42" i="14"/>
  <c r="M6" i="14"/>
  <c r="M26" i="14"/>
  <c r="M17" i="14"/>
  <c r="M37" i="14"/>
  <c r="M18" i="14"/>
  <c r="M38" i="14"/>
  <c r="M19" i="14"/>
  <c r="M29" i="14"/>
  <c r="M20" i="14"/>
  <c r="M40" i="14"/>
  <c r="M21" i="14"/>
  <c r="M3" i="14"/>
  <c r="M13" i="14"/>
  <c r="M23" i="14"/>
  <c r="M33" i="14"/>
  <c r="M43" i="14"/>
  <c r="M4" i="14"/>
  <c r="M14" i="14"/>
  <c r="M24" i="14"/>
  <c r="M34" i="14"/>
  <c r="M44" i="14"/>
  <c r="M5" i="14"/>
  <c r="M15" i="14"/>
  <c r="M25" i="14"/>
  <c r="M35" i="14"/>
  <c r="M45" i="14"/>
  <c r="M2" i="14"/>
  <c r="J13" i="14"/>
  <c r="J33" i="14"/>
  <c r="J4" i="14"/>
  <c r="J24" i="14"/>
  <c r="J44" i="14"/>
  <c r="J5" i="14"/>
  <c r="J35" i="14"/>
  <c r="J18" i="14"/>
  <c r="J3" i="14"/>
  <c r="J23" i="14"/>
  <c r="J43" i="14"/>
  <c r="J14" i="14"/>
  <c r="J34" i="14"/>
  <c r="J15" i="14"/>
  <c r="J25" i="14"/>
  <c r="J45" i="14"/>
  <c r="J6" i="14"/>
  <c r="J16" i="14"/>
  <c r="J26" i="14"/>
  <c r="J36" i="14"/>
  <c r="J7" i="14"/>
  <c r="J17" i="14"/>
  <c r="J27" i="14"/>
  <c r="J37" i="14"/>
  <c r="J8" i="14"/>
  <c r="J28" i="14"/>
  <c r="J38" i="14"/>
  <c r="J9" i="14"/>
  <c r="J19" i="14"/>
  <c r="J29" i="14"/>
  <c r="J39" i="14"/>
  <c r="J10" i="14"/>
  <c r="J20" i="14"/>
  <c r="J30" i="14"/>
  <c r="J40" i="14"/>
  <c r="J11" i="14"/>
  <c r="J21" i="14"/>
  <c r="J31" i="14"/>
  <c r="J41" i="14"/>
  <c r="J12" i="14"/>
  <c r="J22" i="14"/>
  <c r="J32" i="14"/>
  <c r="J42" i="14"/>
  <c r="J2" i="14"/>
  <c r="D33" i="14"/>
  <c r="D37" i="14"/>
  <c r="D41" i="14"/>
  <c r="D45" i="14"/>
  <c r="F33" i="14"/>
  <c r="F37" i="14"/>
  <c r="F41" i="14"/>
  <c r="F45" i="14"/>
  <c r="D30" i="14"/>
  <c r="D34" i="14"/>
  <c r="D38" i="14"/>
  <c r="D42" i="14"/>
  <c r="F30" i="14"/>
  <c r="F34" i="14"/>
  <c r="F38" i="14"/>
  <c r="F42" i="14"/>
  <c r="D31" i="14"/>
  <c r="D35" i="14"/>
  <c r="D39" i="14"/>
  <c r="D43" i="14"/>
  <c r="F31" i="14"/>
  <c r="F35" i="14"/>
  <c r="F39" i="14"/>
  <c r="F43" i="14"/>
  <c r="D32" i="14"/>
  <c r="D36" i="14"/>
  <c r="D40" i="14"/>
  <c r="D44" i="14"/>
  <c r="F32" i="14"/>
  <c r="F36" i="14"/>
  <c r="F40" i="14"/>
  <c r="F44" i="14"/>
  <c r="D2" i="14"/>
  <c r="D10" i="14"/>
  <c r="D18" i="14"/>
  <c r="F6" i="14"/>
  <c r="D3" i="14"/>
  <c r="D15" i="14"/>
  <c r="D23" i="14"/>
  <c r="F7" i="14"/>
  <c r="F15" i="14"/>
  <c r="F23" i="14"/>
  <c r="D4" i="14"/>
  <c r="D8" i="14"/>
  <c r="D12" i="14"/>
  <c r="D20" i="14"/>
  <c r="D28" i="14"/>
  <c r="F4" i="14"/>
  <c r="F8" i="14"/>
  <c r="F12" i="14"/>
  <c r="F16" i="14"/>
  <c r="F20" i="14"/>
  <c r="F24" i="14"/>
  <c r="F28" i="14"/>
  <c r="D6" i="14"/>
  <c r="D22" i="14"/>
  <c r="F10" i="14"/>
  <c r="F18" i="14"/>
  <c r="F26" i="14"/>
  <c r="D11" i="14"/>
  <c r="D27" i="14"/>
  <c r="F3" i="14"/>
  <c r="F19" i="14"/>
  <c r="F27" i="14"/>
  <c r="D24" i="14"/>
  <c r="D5" i="14"/>
  <c r="D9" i="14"/>
  <c r="D13" i="14"/>
  <c r="D17" i="14"/>
  <c r="D21" i="14"/>
  <c r="D25" i="14"/>
  <c r="D29" i="14"/>
  <c r="D14" i="14"/>
  <c r="D26" i="14"/>
  <c r="F2" i="14"/>
  <c r="F14" i="14"/>
  <c r="F22" i="14"/>
  <c r="D7" i="14"/>
  <c r="D19" i="14"/>
  <c r="F11" i="14"/>
  <c r="D16" i="14"/>
  <c r="F5" i="14"/>
  <c r="F9" i="14"/>
  <c r="F13" i="14"/>
  <c r="F17" i="14"/>
  <c r="F21" i="14"/>
  <c r="F25" i="14"/>
  <c r="F29" i="14"/>
  <c r="F10" i="13"/>
  <c r="F20" i="13"/>
  <c r="F21" i="13"/>
  <c r="F12" i="13"/>
  <c r="F22" i="13"/>
  <c r="F3" i="13"/>
  <c r="F23" i="13"/>
  <c r="F4" i="13"/>
  <c r="F14" i="13"/>
  <c r="F24" i="13"/>
  <c r="F5" i="13"/>
  <c r="F15" i="13"/>
  <c r="F25" i="13"/>
  <c r="F6" i="13"/>
  <c r="F16" i="13"/>
  <c r="F26" i="13"/>
  <c r="F7" i="13"/>
  <c r="F27" i="13"/>
  <c r="F8" i="13"/>
  <c r="F18" i="13"/>
  <c r="F28" i="13"/>
  <c r="F9" i="13"/>
  <c r="F19" i="13"/>
  <c r="F29" i="13"/>
  <c r="F11" i="13"/>
  <c r="F13" i="13"/>
  <c r="F17" i="13"/>
  <c r="F2" i="13"/>
  <c r="D21" i="13"/>
  <c r="D12" i="13"/>
  <c r="D3" i="13"/>
  <c r="D13" i="13"/>
  <c r="D23" i="13"/>
  <c r="D4" i="13"/>
  <c r="D14" i="13"/>
  <c r="D24" i="13"/>
  <c r="D5" i="13"/>
  <c r="D15" i="13"/>
  <c r="D25" i="13"/>
  <c r="D6" i="13"/>
  <c r="D16" i="13"/>
  <c r="D26" i="13"/>
  <c r="D7" i="13"/>
  <c r="D27" i="13"/>
  <c r="D17" i="13"/>
  <c r="D10" i="13"/>
  <c r="D11" i="13"/>
  <c r="D2" i="13"/>
  <c r="D22" i="13"/>
  <c r="D8" i="13"/>
  <c r="D18" i="13"/>
  <c r="D28" i="13"/>
  <c r="D9" i="13"/>
  <c r="D19" i="13"/>
  <c r="D29" i="13"/>
  <c r="D20" i="13"/>
  <c r="E37" i="4"/>
  <c r="E36" i="4"/>
  <c r="E35" i="4"/>
  <c r="A26" i="11" l="1"/>
  <c r="I2" i="38"/>
  <c r="A25" i="11"/>
  <c r="J3" i="38" a="1"/>
  <c r="J2" i="38" a="1"/>
  <c r="H3" i="38" a="1"/>
  <c r="F2" i="38" a="1"/>
  <c r="D2" i="38" a="1"/>
  <c r="D3" i="38" a="1"/>
  <c r="F3" i="38" a="1"/>
  <c r="H2" i="38" a="1"/>
  <c r="D14" i="37" a="1"/>
  <c r="J3" i="38" l="1"/>
  <c r="J2" i="38"/>
  <c r="D2" i="38"/>
  <c r="F2" i="38"/>
  <c r="H2" i="38"/>
  <c r="D3" i="38"/>
  <c r="F3" i="38"/>
  <c r="H3" i="38"/>
  <c r="D14" i="37"/>
  <c r="A12" i="1"/>
  <c r="D8" i="37" a="1"/>
  <c r="D17" i="37" a="1"/>
  <c r="D7" i="37" a="1"/>
  <c r="D16" i="37" a="1"/>
  <c r="D15" i="37" a="1"/>
  <c r="D5" i="37" a="1"/>
  <c r="D4" i="37" a="1"/>
  <c r="D13" i="37" a="1"/>
  <c r="D3" i="37" a="1"/>
  <c r="D2" i="37" a="1"/>
  <c r="D22" i="37" a="1"/>
  <c r="H3" i="34" a="1"/>
  <c r="D12" i="37" a="1"/>
  <c r="D21" i="37" a="1"/>
  <c r="F3" i="34" a="1"/>
  <c r="D11" i="37" a="1"/>
  <c r="D3" i="34" a="1"/>
  <c r="D20" i="37" a="1"/>
  <c r="F2" i="34" a="1"/>
  <c r="D10" i="37" a="1"/>
  <c r="D2" i="34" a="1"/>
  <c r="D19" i="37" a="1"/>
  <c r="D9" i="37" a="1"/>
  <c r="D6" i="37" a="1"/>
  <c r="H2" i="34" a="1"/>
  <c r="D18" i="37" a="1"/>
  <c r="D3" i="37" l="1"/>
  <c r="D13" i="37"/>
  <c r="D4" i="37"/>
  <c r="D5" i="37"/>
  <c r="D15" i="37"/>
  <c r="D6" i="37"/>
  <c r="D16" i="37"/>
  <c r="D7" i="37"/>
  <c r="D17" i="37"/>
  <c r="D8" i="37"/>
  <c r="D18" i="37"/>
  <c r="D9" i="37"/>
  <c r="D19" i="37"/>
  <c r="D10" i="37"/>
  <c r="D20" i="37"/>
  <c r="D11" i="37"/>
  <c r="D21" i="37"/>
  <c r="D12" i="37"/>
  <c r="D22" i="37"/>
  <c r="D2" i="37"/>
  <c r="H3" i="34"/>
  <c r="H2" i="34"/>
  <c r="D2" i="34"/>
  <c r="F2" i="34"/>
  <c r="D3" i="34"/>
  <c r="F3" i="34"/>
  <c r="A8" i="11" l="1"/>
  <c r="C300" i="36"/>
  <c r="C267" i="36"/>
  <c r="C234" i="36"/>
  <c r="C201" i="36"/>
  <c r="C168" i="36"/>
  <c r="C135" i="36"/>
  <c r="C102" i="36"/>
  <c r="D83" i="27" a="1"/>
  <c r="D54" i="27" a="1"/>
  <c r="D232" i="27" a="1"/>
  <c r="D161" i="27" a="1"/>
  <c r="D331" i="27" a="1"/>
  <c r="D157" i="27" a="1"/>
  <c r="D159" i="27" a="1"/>
  <c r="D328" i="27" a="1"/>
  <c r="D308" i="27" a="1"/>
  <c r="D98" i="27" a="1"/>
  <c r="D263" i="27" a="1"/>
  <c r="D221" i="27" a="1"/>
  <c r="D49" i="27" a="1"/>
  <c r="D164" i="27" a="1"/>
  <c r="D301" i="27" a="1"/>
  <c r="D248" i="27" a="1"/>
  <c r="D156" i="27" a="1"/>
  <c r="D314" i="27" a="1"/>
  <c r="D361" i="27" a="1"/>
  <c r="K5" i="12" a="1"/>
  <c r="D6" i="12" a="1"/>
  <c r="D24" i="12" a="1"/>
  <c r="G120" i="12" a="1"/>
  <c r="G103" i="12" a="1"/>
  <c r="K125" i="12" a="1"/>
  <c r="F37" i="12" a="1"/>
  <c r="K35" i="12" a="1"/>
  <c r="D105" i="12" a="1"/>
  <c r="F42" i="12" a="1"/>
  <c r="F90" i="12" a="1"/>
  <c r="K32" i="12" a="1"/>
  <c r="G140" i="12" a="1"/>
  <c r="K85" i="12" a="1"/>
  <c r="D28" i="12" a="1"/>
  <c r="F140" i="12" a="1"/>
  <c r="G104" i="12" a="1"/>
  <c r="D104" i="12" a="1"/>
  <c r="K50" i="12" a="1"/>
  <c r="D39" i="12" a="1"/>
  <c r="G66" i="12" a="1"/>
  <c r="K127" i="12" a="1"/>
  <c r="G125" i="12" a="1"/>
  <c r="F95" i="12" a="1"/>
  <c r="K141" i="12" a="1"/>
  <c r="D22" i="12" a="1"/>
  <c r="K60" i="12" a="1"/>
  <c r="F50" i="12" a="1"/>
  <c r="D169" i="27" a="1"/>
  <c r="D315" i="27" a="1"/>
  <c r="C2" i="5" a="1"/>
  <c r="D369" i="27" a="1"/>
  <c r="D226" i="27" a="1"/>
  <c r="D138" i="27" a="1"/>
  <c r="D381" i="27" a="1"/>
  <c r="D322" i="27" a="1"/>
  <c r="D251" i="27" a="1"/>
  <c r="D249" i="27" a="1"/>
  <c r="D252" i="27" a="1"/>
  <c r="D68" i="27" a="1"/>
  <c r="D89" i="27" a="1"/>
  <c r="D110" i="27" a="1"/>
  <c r="D321" i="27" a="1"/>
  <c r="D230" i="27" a="1"/>
  <c r="D32" i="12" a="1"/>
  <c r="D10" i="12" a="1"/>
  <c r="G16" i="12" a="1"/>
  <c r="G22" i="12" a="1"/>
  <c r="G35" i="12" a="1"/>
  <c r="D102" i="12" a="1"/>
  <c r="K126" i="12" a="1"/>
  <c r="K112" i="12" a="1"/>
  <c r="F92" i="12" a="1"/>
  <c r="K49" i="12" a="1"/>
  <c r="D21" i="12" a="1"/>
  <c r="G75" i="12" a="1"/>
  <c r="D4" i="12" a="1"/>
  <c r="K83" i="12" a="1"/>
  <c r="G136" i="12" a="1"/>
  <c r="D15" i="27" a="1"/>
  <c r="D274" i="27" a="1"/>
  <c r="D73" i="27" a="1"/>
  <c r="D79" i="27" a="1"/>
  <c r="D132" i="27" a="1"/>
  <c r="D279" i="27" a="1"/>
  <c r="G25" i="12" a="1"/>
  <c r="G48" i="12" a="1"/>
  <c r="G6" i="12" a="1"/>
  <c r="G113" i="12" a="1"/>
  <c r="D112" i="12" a="1"/>
  <c r="F31" i="12" a="1"/>
  <c r="G5" i="12" a="1"/>
  <c r="F136" i="12" a="1"/>
  <c r="K136" i="12" a="1"/>
  <c r="D59" i="12" a="1"/>
  <c r="G14" i="12" a="1"/>
  <c r="K131" i="12" a="1"/>
  <c r="G4" i="12" a="1"/>
  <c r="F10" i="12" a="1"/>
  <c r="D270" i="27" a="1"/>
  <c r="D355" i="27" a="1"/>
  <c r="D111" i="27" a="1"/>
  <c r="D333" i="27" a="1"/>
  <c r="D61" i="27" a="1"/>
  <c r="D59" i="27" a="1"/>
  <c r="D311" i="27" a="1"/>
  <c r="D239" i="27" a="1"/>
  <c r="D262" i="27" a="1"/>
  <c r="D207" i="27" a="1"/>
  <c r="G138" i="12" a="1"/>
  <c r="F2" i="12" a="1"/>
  <c r="F137" i="12" a="1"/>
  <c r="D2" i="12" a="1"/>
  <c r="G89" i="12" a="1"/>
  <c r="D57" i="12" a="1"/>
  <c r="F76" i="12" a="1"/>
  <c r="D133" i="12" a="1"/>
  <c r="G111" i="12" a="1"/>
  <c r="D86" i="12" a="1"/>
  <c r="G59" i="12" a="1"/>
  <c r="G67" i="12" a="1"/>
  <c r="G141" i="12" a="1"/>
  <c r="F114" i="12" a="1"/>
  <c r="D250" i="27" a="1"/>
  <c r="D201" i="27" a="1"/>
  <c r="D38" i="27" a="1"/>
  <c r="D51" i="27" a="1"/>
  <c r="D58" i="27" a="1"/>
  <c r="D18" i="27" a="1"/>
  <c r="D338" i="27" a="1"/>
  <c r="D128" i="27" a="1"/>
  <c r="D108" i="27" a="1"/>
  <c r="D286" i="27" a="1"/>
  <c r="D215" i="27" a="1"/>
  <c r="D176" i="27" a="1"/>
  <c r="D269" i="27" a="1"/>
  <c r="D324" i="27" a="1"/>
  <c r="D112" i="27" a="1"/>
  <c r="D362" i="27" a="1"/>
  <c r="D194" i="27" a="1"/>
  <c r="D29" i="27" a="1"/>
  <c r="D302" i="27" a="1"/>
  <c r="K52" i="12" a="1"/>
  <c r="D103" i="12" a="1"/>
  <c r="G46" i="12" a="1"/>
  <c r="G87" i="12" a="1"/>
  <c r="G26" i="12" a="1"/>
  <c r="G53" i="12" a="1"/>
  <c r="F135" i="12" a="1"/>
  <c r="K82" i="12" a="1"/>
  <c r="D42" i="12" a="1"/>
  <c r="D40" i="12" a="1"/>
  <c r="F88" i="12" a="1"/>
  <c r="K57" i="12" a="1"/>
  <c r="F21" i="12" a="1"/>
  <c r="K95" i="12" a="1"/>
  <c r="D54" i="12" a="1"/>
  <c r="F79" i="12" a="1"/>
  <c r="G43" i="12" a="1"/>
  <c r="K110" i="12" a="1"/>
  <c r="K124" i="12" a="1"/>
  <c r="D56" i="12" a="1"/>
  <c r="F91" i="12" a="1"/>
  <c r="K22" i="12" a="1"/>
  <c r="G50" i="12" a="1"/>
  <c r="D125" i="12" a="1"/>
  <c r="K128" i="12" a="1"/>
  <c r="K81" i="12" a="1"/>
  <c r="K114" i="12" a="1"/>
  <c r="F24" i="12" a="1"/>
  <c r="D123" i="27" a="1"/>
  <c r="D10" i="27" a="1"/>
  <c r="D243" i="27" a="1"/>
  <c r="G55" i="12" a="1"/>
  <c r="G68" i="12" a="1"/>
  <c r="D7" i="12" a="1"/>
  <c r="D92" i="12" a="1"/>
  <c r="F116" i="12" a="1"/>
  <c r="F99" i="12" a="1"/>
  <c r="D12" i="12" a="1"/>
  <c r="G41" i="12" a="1"/>
  <c r="K105" i="12" a="1"/>
  <c r="F30" i="12" a="1"/>
  <c r="F53" i="12" a="1"/>
  <c r="G64" i="12" a="1"/>
  <c r="G122" i="12" a="1"/>
  <c r="D33" i="27" a="1"/>
  <c r="D245" i="27" a="1"/>
  <c r="D199" i="27" a="1"/>
  <c r="D348" i="27" a="1"/>
  <c r="D364" i="27" a="1"/>
  <c r="D75" i="27" a="1"/>
  <c r="D310" i="27" a="1"/>
  <c r="D35" i="27" a="1"/>
  <c r="D259" i="27" a="1"/>
  <c r="D228" i="27" a="1"/>
  <c r="D150" i="27" a="1"/>
  <c r="D374" i="27" a="1"/>
  <c r="D217" i="27" a="1"/>
  <c r="G133" i="12" a="1"/>
  <c r="G2" i="12" a="1"/>
  <c r="F109" i="12" a="1"/>
  <c r="D139" i="12" a="1"/>
  <c r="K38" i="12" a="1"/>
  <c r="D71" i="12" a="1"/>
  <c r="F45" i="12" a="1"/>
  <c r="D113" i="12" a="1"/>
  <c r="G131" i="12" a="1"/>
  <c r="K42" i="12" a="1"/>
  <c r="F63" i="12" a="1"/>
  <c r="D116" i="12" a="1"/>
  <c r="G36" i="12" a="1"/>
  <c r="F111" i="12" a="1"/>
  <c r="D272" i="27" a="1"/>
  <c r="D378" i="27" a="1"/>
  <c r="D171" i="27" a="1"/>
  <c r="D103" i="27" a="1"/>
  <c r="D115" i="27" a="1"/>
  <c r="D17" i="27" a="1"/>
  <c r="D195" i="27" a="1"/>
  <c r="D183" i="27" a="1"/>
  <c r="D320" i="27" a="1"/>
  <c r="F52" i="12" a="1"/>
  <c r="G62" i="12" a="1"/>
  <c r="F120" i="12" a="1"/>
  <c r="G106" i="12" a="1"/>
  <c r="K26" i="12" a="1"/>
  <c r="D111" i="12" a="1"/>
  <c r="G83" i="12" a="1"/>
  <c r="F78" i="12" a="1"/>
  <c r="K117" i="12" a="1"/>
  <c r="K97" i="12" a="1"/>
  <c r="F82" i="12" a="1"/>
  <c r="D15" i="12" a="1"/>
  <c r="F55" i="12" a="1"/>
  <c r="F13" i="12" a="1"/>
  <c r="D5" i="27" a="1"/>
  <c r="D317" i="27" a="1"/>
  <c r="D296" i="27" a="1"/>
  <c r="D170" i="27" a="1"/>
  <c r="D200" i="27" a="1"/>
  <c r="D210" i="27" a="1"/>
  <c r="D254" i="27" a="1"/>
  <c r="D46" i="27" a="1"/>
  <c r="D6" i="27" a="1"/>
  <c r="D196" i="27" a="1"/>
  <c r="D334" i="27" a="1"/>
  <c r="D74" i="27" a="1"/>
  <c r="D96" i="27" a="1"/>
  <c r="D60" i="27" a="1"/>
  <c r="D25" i="27" a="1"/>
  <c r="D303" i="27" a="1"/>
  <c r="D154" i="27" a="1"/>
  <c r="D278" i="27" a="1"/>
  <c r="D370" i="27" a="1"/>
  <c r="G116" i="12" a="1"/>
  <c r="K140" i="12" a="1"/>
  <c r="G88" i="12" a="1"/>
  <c r="F129" i="12" a="1"/>
  <c r="D55" i="12" a="1"/>
  <c r="F47" i="12" a="1"/>
  <c r="K75" i="12" a="1"/>
  <c r="G51" i="12" a="1"/>
  <c r="G30" i="12" a="1"/>
  <c r="F59" i="12" a="1"/>
  <c r="K29" i="12" a="1"/>
  <c r="K37" i="12" a="1"/>
  <c r="F12" i="12" a="1"/>
  <c r="G100" i="12" a="1"/>
  <c r="K11" i="12" a="1"/>
  <c r="F112" i="12" a="1"/>
  <c r="G92" i="12" a="1"/>
  <c r="K94" i="12" a="1"/>
  <c r="G95" i="12" a="1"/>
  <c r="D124" i="12" a="1"/>
  <c r="F87" i="12" a="1"/>
  <c r="G21" i="12" a="1"/>
  <c r="G115" i="12" a="1"/>
  <c r="D33" i="12" a="1"/>
  <c r="D63" i="12" a="1"/>
  <c r="D120" i="12" a="1"/>
  <c r="K20" i="12" a="1"/>
  <c r="F9" i="12" a="1"/>
  <c r="D379" i="27" a="1"/>
  <c r="D209" i="27" a="1"/>
  <c r="D339" i="27" a="1"/>
  <c r="D30" i="27" a="1"/>
  <c r="D267" i="27" a="1"/>
  <c r="D304" i="27" a="1"/>
  <c r="D87" i="27" a="1"/>
  <c r="D306" i="27" a="1"/>
  <c r="D280" i="27" a="1"/>
  <c r="D32" i="27" a="1"/>
  <c r="D145" i="27" a="1"/>
  <c r="D172" i="27" a="1"/>
  <c r="D220" i="27" a="1"/>
  <c r="D347" i="27" a="1"/>
  <c r="D295" i="27" a="1"/>
  <c r="D244" i="27" a="1"/>
  <c r="D346" i="27" a="1"/>
  <c r="D133" i="27" a="1"/>
  <c r="G126" i="12" a="1"/>
  <c r="K7" i="12" a="1"/>
  <c r="F80" i="12" a="1"/>
  <c r="F15" i="12" a="1"/>
  <c r="D85" i="12" a="1"/>
  <c r="D67" i="12" a="1"/>
  <c r="K24" i="12" a="1"/>
  <c r="G79" i="12" a="1"/>
  <c r="F106" i="12" a="1"/>
  <c r="F25" i="12" a="1"/>
  <c r="K56" i="12" a="1"/>
  <c r="K31" i="12" a="1"/>
  <c r="F18" i="12" a="1"/>
  <c r="G81" i="12" a="1"/>
  <c r="K89" i="12" a="1"/>
  <c r="D107" i="12" a="1"/>
  <c r="F110" i="12" a="1"/>
  <c r="K77" i="12" a="1"/>
  <c r="G34" i="12" a="1"/>
  <c r="K101" i="12" a="1"/>
  <c r="F128" i="12" a="1"/>
  <c r="G80" i="12" a="1"/>
  <c r="G18" i="12" a="1"/>
  <c r="K121" i="12" a="1"/>
  <c r="K84" i="12" a="1"/>
  <c r="D62" i="12" a="1"/>
  <c r="K113" i="12" a="1"/>
  <c r="K14" i="12" a="1"/>
  <c r="D219" i="27" a="1"/>
  <c r="D358" i="27" a="1"/>
  <c r="D9" i="27" a="1"/>
  <c r="D139" i="27" a="1"/>
  <c r="D242" i="27" a="1"/>
  <c r="D142" i="27" a="1"/>
  <c r="D107" i="27" a="1"/>
  <c r="D335" i="27" a="1"/>
  <c r="D84" i="27" a="1"/>
  <c r="D57" i="27" a="1"/>
  <c r="D353" i="27" a="1"/>
  <c r="D97" i="27" a="1"/>
  <c r="D323" i="27" a="1"/>
  <c r="D37" i="27" a="1"/>
  <c r="D325" i="27" a="1"/>
  <c r="D143" i="27" a="1"/>
  <c r="D136" i="27" a="1"/>
  <c r="D56" i="27" a="1"/>
  <c r="D266" i="27" a="1"/>
  <c r="G107" i="12" a="1"/>
  <c r="G102" i="12" a="1"/>
  <c r="F27" i="12" a="1"/>
  <c r="F64" i="12" a="1"/>
  <c r="D25" i="12" a="1"/>
  <c r="D30" i="12" a="1"/>
  <c r="G74" i="12" a="1"/>
  <c r="G97" i="12" a="1"/>
  <c r="F56" i="12" a="1"/>
  <c r="D117" i="12" a="1"/>
  <c r="K2" i="12" a="1"/>
  <c r="K109" i="12" a="1"/>
  <c r="D18" i="12" a="1"/>
  <c r="G47" i="12" a="1"/>
  <c r="K106" i="12" a="1"/>
  <c r="D121" i="12" a="1"/>
  <c r="F49" i="12" a="1"/>
  <c r="G94" i="12" a="1"/>
  <c r="G112" i="12" a="1"/>
  <c r="K40" i="12" a="1"/>
  <c r="D19" i="12" a="1"/>
  <c r="G31" i="12" a="1"/>
  <c r="F83" i="12" a="1"/>
  <c r="K23" i="12" a="1"/>
  <c r="G54" i="12" a="1"/>
  <c r="K80" i="12" a="1"/>
  <c r="G42" i="12" a="1"/>
  <c r="G8" i="12" a="1"/>
  <c r="D19" i="27" a="1"/>
  <c r="D158" i="27" a="1"/>
  <c r="D188" i="27" a="1"/>
  <c r="D318" i="27" a="1"/>
  <c r="D377" i="27" a="1"/>
  <c r="D113" i="27" a="1"/>
  <c r="D371" i="27" a="1"/>
  <c r="D100" i="27" a="1"/>
  <c r="D152" i="27" a="1"/>
  <c r="D373" i="27" a="1"/>
  <c r="D131" i="27" a="1"/>
  <c r="D185" i="27" a="1"/>
  <c r="D224" i="27" a="1"/>
  <c r="D203" i="27" a="1"/>
  <c r="D135" i="27" a="1"/>
  <c r="D214" i="27" a="1"/>
  <c r="D284" i="27" a="1"/>
  <c r="D225" i="27" a="1"/>
  <c r="D62" i="27" a="1"/>
  <c r="D175" i="27" a="1"/>
  <c r="D129" i="27" a="1"/>
  <c r="D109" i="27" a="1"/>
  <c r="D187" i="27" a="1"/>
  <c r="D78" i="27" a="1"/>
  <c r="D341" i="27" a="1"/>
  <c r="D235" i="27" a="1"/>
  <c r="C2" i="7" a="1"/>
  <c r="F75" i="12" a="1"/>
  <c r="G45" i="12" a="1"/>
  <c r="F125" i="12" a="1"/>
  <c r="G109" i="12" a="1"/>
  <c r="D90" i="12" a="1"/>
  <c r="K73" i="12" a="1"/>
  <c r="K13" i="12" a="1"/>
  <c r="K123" i="12" a="1"/>
  <c r="G73" i="12" a="1"/>
  <c r="F122" i="12" a="1"/>
  <c r="D77" i="12" a="1"/>
  <c r="G85" i="12" a="1"/>
  <c r="F20" i="12" a="1"/>
  <c r="G65" i="12" a="1"/>
  <c r="F60" i="12" a="1"/>
  <c r="F26" i="12" a="1"/>
  <c r="D66" i="27" a="1"/>
  <c r="D71" i="27" a="1"/>
  <c r="D205" i="27" a="1"/>
  <c r="D372" i="27" a="1"/>
  <c r="D212" i="27" a="1"/>
  <c r="D288" i="27" a="1"/>
  <c r="D140" i="27" a="1"/>
  <c r="D282" i="27" a="1"/>
  <c r="D289" i="27" a="1"/>
  <c r="D343" i="27" a="1"/>
  <c r="K71" i="12" a="1"/>
  <c r="F17" i="12" a="1"/>
  <c r="G123" i="12" a="1"/>
  <c r="D87" i="12" a="1"/>
  <c r="F19" i="12" a="1"/>
  <c r="D88" i="12" a="1"/>
  <c r="K54" i="12" a="1"/>
  <c r="K102" i="12" a="1"/>
  <c r="K104" i="12" a="1"/>
  <c r="G11" i="12" a="1"/>
  <c r="F3" i="12" a="1"/>
  <c r="K111" i="12" a="1"/>
  <c r="G24" i="12" a="1"/>
  <c r="F46" i="12" a="1"/>
  <c r="G17" i="12" a="1"/>
  <c r="K58" i="12" a="1"/>
  <c r="D29" i="12" a="1"/>
  <c r="D124" i="27" a="1"/>
  <c r="D67" i="27" a="1"/>
  <c r="D160" i="27" a="1"/>
  <c r="D256" i="27" a="1"/>
  <c r="D234" i="27" a="1"/>
  <c r="D88" i="27" a="1"/>
  <c r="D14" i="27" a="1"/>
  <c r="D130" i="27" a="1"/>
  <c r="D261" i="27" a="1"/>
  <c r="D290" i="27" a="1"/>
  <c r="K10" i="12" a="1"/>
  <c r="D137" i="12" a="1"/>
  <c r="F51" i="12" a="1"/>
  <c r="D84" i="12" a="1"/>
  <c r="F118" i="12" a="1"/>
  <c r="G7" i="12" a="1"/>
  <c r="K16" i="12" a="1"/>
  <c r="K48" i="12" a="1"/>
  <c r="G28" i="12" a="1"/>
  <c r="G56" i="12" a="1"/>
  <c r="F8" i="12" a="1"/>
  <c r="K36" i="12" a="1"/>
  <c r="G76" i="12" a="1"/>
  <c r="F4" i="12" a="1"/>
  <c r="D41" i="12" a="1"/>
  <c r="D129" i="12" a="1"/>
  <c r="K19" i="12" a="1"/>
  <c r="D198" i="27" a="1"/>
  <c r="D246" i="27" a="1"/>
  <c r="D257" i="27" a="1"/>
  <c r="D293" i="27" a="1"/>
  <c r="D40" i="27" a="1"/>
  <c r="D125" i="27" a="1"/>
  <c r="D238" i="27" a="1"/>
  <c r="D177" i="27" a="1"/>
  <c r="D229" i="27" a="1"/>
  <c r="D275" i="27" a="1"/>
  <c r="D104" i="27" a="1"/>
  <c r="K137" i="12" a="1"/>
  <c r="K45" i="12" a="1"/>
  <c r="F127" i="12" a="1"/>
  <c r="K130" i="12" a="1"/>
  <c r="D61" i="12" a="1"/>
  <c r="D38" i="12" a="1"/>
  <c r="G84" i="12" a="1"/>
  <c r="K4" i="12" a="1"/>
  <c r="G61" i="12" a="1"/>
  <c r="G37" i="12" a="1"/>
  <c r="F94" i="12" a="1"/>
  <c r="G101" i="12" a="1"/>
  <c r="G57" i="12" a="1"/>
  <c r="F84" i="12" a="1"/>
  <c r="G44" i="12" a="1"/>
  <c r="F138" i="12" a="1"/>
  <c r="G71" i="12" a="1"/>
  <c r="D216" i="27" a="1"/>
  <c r="D21" i="27" a="1"/>
  <c r="D166" i="27" a="1"/>
  <c r="D247" i="27" a="1"/>
  <c r="D300" i="27" a="1"/>
  <c r="D336" i="27" a="1"/>
  <c r="D153" i="27" a="1"/>
  <c r="D227" i="27" a="1"/>
  <c r="D69" i="27" a="1"/>
  <c r="D76" i="27" a="1"/>
  <c r="K135" i="12" a="1"/>
  <c r="G114" i="12" a="1"/>
  <c r="F117" i="12" a="1"/>
  <c r="K69" i="12" a="1"/>
  <c r="D52" i="12" a="1"/>
  <c r="D80" i="12" a="1"/>
  <c r="G119" i="12" a="1"/>
  <c r="G15" i="12" a="1"/>
  <c r="F11" i="12" a="1"/>
  <c r="G12" i="12" a="1"/>
  <c r="D47" i="12" a="1"/>
  <c r="G82" i="12" a="1"/>
  <c r="G38" i="12" a="1"/>
  <c r="F43" i="12" a="1"/>
  <c r="G32" i="12" a="1"/>
  <c r="G99" i="12" a="1"/>
  <c r="F38" i="12" a="1"/>
  <c r="D52" i="27" a="1"/>
  <c r="D193" i="27" a="1"/>
  <c r="D55" i="27" a="1"/>
  <c r="D189" i="27" a="1"/>
  <c r="D182" i="27" a="1"/>
  <c r="D121" i="27" a="1"/>
  <c r="D237" i="27" a="1"/>
  <c r="D106" i="27" a="1"/>
  <c r="D34" i="27" a="1"/>
  <c r="D63" i="27" a="1"/>
  <c r="D268" i="27" a="1"/>
  <c r="K116" i="12" a="1"/>
  <c r="G129" i="12" a="1"/>
  <c r="F66" i="12" a="1"/>
  <c r="K132" i="12" a="1"/>
  <c r="K51" i="12" a="1"/>
  <c r="D65" i="12" a="1"/>
  <c r="G128" i="12" a="1"/>
  <c r="G93" i="12" a="1"/>
  <c r="F89" i="12" a="1"/>
  <c r="G96" i="12" a="1"/>
  <c r="D91" i="12" a="1"/>
  <c r="G90" i="12" a="1"/>
  <c r="G49" i="12" a="1"/>
  <c r="F23" i="12" a="1"/>
  <c r="D31" i="12" a="1"/>
  <c r="D69" i="12" a="1"/>
  <c r="D9" i="12" a="1"/>
  <c r="D352" i="27" a="1"/>
  <c r="D41" i="27" a="1"/>
  <c r="D178" i="27" a="1"/>
  <c r="D368" i="27" a="1"/>
  <c r="D264" i="27" a="1"/>
  <c r="D360" i="27" a="1"/>
  <c r="D20" i="27" a="1"/>
  <c r="D181" i="27" a="1"/>
  <c r="D305" i="27" a="1"/>
  <c r="D363" i="27" a="1"/>
  <c r="D81" i="27" a="1"/>
  <c r="G118" i="12" a="1"/>
  <c r="G139" i="12" a="1"/>
  <c r="D78" i="12" a="1"/>
  <c r="F44" i="12" a="1"/>
  <c r="K129" i="12" a="1"/>
  <c r="K79" i="12" a="1"/>
  <c r="D132" i="12" a="1"/>
  <c r="G72" i="12" a="1"/>
  <c r="F28" i="12" a="1"/>
  <c r="F86" i="12" a="1"/>
  <c r="D20" i="12" a="1"/>
  <c r="G108" i="12" a="1"/>
  <c r="F54" i="12" a="1"/>
  <c r="D128" i="12" a="1"/>
  <c r="D3" i="12" a="1"/>
  <c r="F6" i="12" a="1"/>
  <c r="G27" i="12" a="1"/>
  <c r="D22" i="27" a="1"/>
  <c r="D85" i="27" a="1"/>
  <c r="D349" i="27" a="1"/>
  <c r="D48" i="27" a="1"/>
  <c r="D102" i="27" a="1"/>
  <c r="D211" i="27" a="1"/>
  <c r="F108" i="12" a="1"/>
  <c r="D44" i="12" a="1"/>
  <c r="K108" i="12" a="1"/>
  <c r="G98" i="12" a="1"/>
  <c r="D8" i="12" a="1"/>
  <c r="F40" i="12" a="1"/>
  <c r="D140" i="12" a="1"/>
  <c r="G3" i="12" a="1"/>
  <c r="D197" i="27" a="1"/>
  <c r="D319" i="27" a="1"/>
  <c r="D253" i="27" a="1"/>
  <c r="D77" i="27" a="1"/>
  <c r="F32" i="12" a="1"/>
  <c r="D108" i="12" a="1"/>
  <c r="K55" i="12" a="1"/>
  <c r="G91" i="12" a="1"/>
  <c r="F103" i="12" a="1"/>
  <c r="D64" i="12" a="1"/>
  <c r="D49" i="12" a="1"/>
  <c r="K12" i="12" a="1"/>
  <c r="F131" i="12" a="1"/>
  <c r="D101" i="27" a="1"/>
  <c r="D13" i="27" a="1"/>
  <c r="F34" i="12" a="1"/>
  <c r="D135" i="12" a="1"/>
  <c r="F133" i="12" a="1"/>
  <c r="G70" i="12" a="1"/>
  <c r="F141" i="12" a="1"/>
  <c r="F65" i="12" a="1"/>
  <c r="K98" i="12" a="1"/>
  <c r="D66" i="12" a="1"/>
  <c r="D118" i="12" a="1"/>
  <c r="D106" i="12" a="1"/>
  <c r="D50" i="27" a="1"/>
  <c r="D151" i="27" a="1"/>
  <c r="D277" i="27" a="1"/>
  <c r="D231" i="27" a="1"/>
  <c r="D8" i="27" a="1"/>
  <c r="D127" i="27" a="1"/>
  <c r="D130" i="12" a="1"/>
  <c r="D81" i="12" a="1"/>
  <c r="G78" i="12" a="1"/>
  <c r="D141" i="12" a="1"/>
  <c r="K120" i="12" a="1"/>
  <c r="F98" i="12" a="1"/>
  <c r="D96" i="12" a="1"/>
  <c r="D109" i="12" a="1"/>
  <c r="D27" i="27" a="1"/>
  <c r="D365" i="27" a="1"/>
  <c r="D208" i="27" a="1"/>
  <c r="D37" i="12" a="1"/>
  <c r="D123" i="12" a="1"/>
  <c r="F119" i="12" a="1"/>
  <c r="F72" i="12" a="1"/>
  <c r="D131" i="12" a="1"/>
  <c r="G117" i="12" a="1"/>
  <c r="D93" i="12" a="1"/>
  <c r="G130" i="12" a="1"/>
  <c r="D26" i="12" a="1"/>
  <c r="D31" i="27" a="1"/>
  <c r="D327" i="27" a="1"/>
  <c r="F36" i="12" a="1"/>
  <c r="F58" i="12" a="1"/>
  <c r="D60" i="12" a="1"/>
  <c r="G60" i="12" a="1"/>
  <c r="K91" i="12" a="1"/>
  <c r="G52" i="12" a="1"/>
  <c r="D65" i="27" a="1"/>
  <c r="D344" i="27" a="1"/>
  <c r="D206" i="27" a="1"/>
  <c r="D273" i="27" a="1"/>
  <c r="D342" i="27" a="1"/>
  <c r="D47" i="27" a="1"/>
  <c r="D255" i="27" a="1"/>
  <c r="D184" i="27" a="1"/>
  <c r="D168" i="27" a="1"/>
  <c r="D93" i="27" a="1"/>
  <c r="D117" i="27" a="1"/>
  <c r="D354" i="27" a="1"/>
  <c r="D162" i="27" a="1"/>
  <c r="D258" i="27" a="1"/>
  <c r="D92" i="27" a="1"/>
  <c r="D380" i="27" a="1"/>
  <c r="F61" i="12" a="1"/>
  <c r="F14" i="12" a="1"/>
  <c r="D95" i="12" a="1"/>
  <c r="D5" i="12" a="1"/>
  <c r="K76" i="12" a="1"/>
  <c r="K43" i="12" a="1"/>
  <c r="G135" i="12" a="1"/>
  <c r="G9" i="12" a="1"/>
  <c r="F62" i="12" a="1"/>
  <c r="D50" i="12" a="1"/>
  <c r="D97" i="12" a="1"/>
  <c r="F101" i="12" a="1"/>
  <c r="D36" i="12" a="1"/>
  <c r="D16" i="12" a="1"/>
  <c r="F70" i="12" a="1"/>
  <c r="K67" i="12" a="1"/>
  <c r="F102" i="12" a="1"/>
  <c r="D281" i="27" a="1"/>
  <c r="D72" i="27" a="1"/>
  <c r="D28" i="27" a="1"/>
  <c r="D86" i="27" a="1"/>
  <c r="D367" i="27" a="1"/>
  <c r="F139" i="12" a="1"/>
  <c r="D100" i="12" a="1"/>
  <c r="K74" i="12" a="1"/>
  <c r="G13" i="12" a="1"/>
  <c r="F48" i="12" a="1"/>
  <c r="D53" i="12" a="1"/>
  <c r="D11" i="12" a="1"/>
  <c r="D126" i="12" a="1"/>
  <c r="D17" i="12" a="1"/>
  <c r="D114" i="27" a="1"/>
  <c r="D223" i="27" a="1"/>
  <c r="D147" i="27" a="1"/>
  <c r="D149" i="27" a="1"/>
  <c r="D191" i="27" a="1"/>
  <c r="D99" i="27" a="1"/>
  <c r="D91" i="27" a="1"/>
  <c r="D101" i="12" a="1"/>
  <c r="G137" i="12" a="1"/>
  <c r="G124" i="12" a="1"/>
  <c r="G121" i="12" a="1"/>
  <c r="D122" i="12" a="1"/>
  <c r="F107" i="12" a="1"/>
  <c r="K46" i="12" a="1"/>
  <c r="G10" i="12" a="1"/>
  <c r="D265" i="27" a="1"/>
  <c r="D11" i="27" a="1"/>
  <c r="D316" i="27" a="1"/>
  <c r="D241" i="27" a="1"/>
  <c r="D119" i="27" a="1"/>
  <c r="D64" i="27" a="1"/>
  <c r="D204" i="27" a="1"/>
  <c r="D167" i="27" a="1"/>
  <c r="D313" i="27" a="1"/>
  <c r="D23" i="12" a="1"/>
  <c r="G39" i="12" a="1"/>
  <c r="F126" i="12" a="1"/>
  <c r="D45" i="12" a="1"/>
  <c r="F35" i="12" a="1"/>
  <c r="K103" i="12" a="1"/>
  <c r="F74" i="12" a="1"/>
  <c r="D236" i="27" a="1"/>
  <c r="D271" i="27" a="1"/>
  <c r="D298" i="27" a="1"/>
  <c r="D366" i="27" a="1"/>
  <c r="D312" i="27" a="1"/>
  <c r="F97" i="12" a="1"/>
  <c r="D72" i="12" a="1"/>
  <c r="F41" i="12" a="1"/>
  <c r="F67" i="12" a="1"/>
  <c r="D127" i="12" a="1"/>
  <c r="G33" i="12" a="1"/>
  <c r="D14" i="12" a="1"/>
  <c r="K138" i="12" a="1"/>
  <c r="D99" i="12" a="1"/>
  <c r="D283" i="27" a="1"/>
  <c r="D43" i="27" a="1"/>
  <c r="D137" i="27" a="1"/>
  <c r="D233" i="27" a="1"/>
  <c r="D376" i="27" a="1"/>
  <c r="D163" i="27" a="1"/>
  <c r="D292" i="27" a="1"/>
  <c r="D299" i="27" a="1"/>
  <c r="F134" i="12" a="1"/>
  <c r="D34" i="12" a="1"/>
  <c r="F130" i="12" a="1"/>
  <c r="D70" i="12" a="1"/>
  <c r="K59" i="12" a="1"/>
  <c r="F104" i="12" a="1"/>
  <c r="D73" i="12" a="1"/>
  <c r="K70" i="12" a="1"/>
  <c r="D174" i="27" a="1"/>
  <c r="D165" i="27" a="1"/>
  <c r="D287" i="27" a="1"/>
  <c r="D23" i="27" a="1"/>
  <c r="D24" i="27" a="1"/>
  <c r="D36" i="27" a="1"/>
  <c r="D190" i="27" a="1"/>
  <c r="D45" i="27" a="1"/>
  <c r="D53" i="27" a="1"/>
  <c r="K61" i="12" a="1"/>
  <c r="K65" i="12" a="1"/>
  <c r="K92" i="12" a="1"/>
  <c r="F123" i="12" a="1"/>
  <c r="D136" i="12" a="1"/>
  <c r="D48" i="12" a="1"/>
  <c r="K28" i="12" a="1"/>
  <c r="F115" i="12" a="1"/>
  <c r="K86" i="12" a="1"/>
  <c r="K6" i="12" a="1"/>
  <c r="K122" i="12" a="1"/>
  <c r="D134" i="27" a="1"/>
  <c r="D7" i="27" a="1"/>
  <c r="D116" i="27" a="1"/>
  <c r="D82" i="27" a="1"/>
  <c r="D98" i="12" a="1"/>
  <c r="G86" i="12" a="1"/>
  <c r="K47" i="12" a="1"/>
  <c r="F100" i="12" a="1"/>
  <c r="F113" i="12" a="1"/>
  <c r="D213" i="27" a="1"/>
  <c r="D146" i="27" a="1"/>
  <c r="D115" i="12" a="1"/>
  <c r="G77" i="12" a="1"/>
  <c r="K15" i="12" a="1"/>
  <c r="D76" i="12" a="1"/>
  <c r="D351" i="27" a="1"/>
  <c r="D180" i="27" a="1"/>
  <c r="D110" i="12" a="1"/>
  <c r="D13" i="12" a="1"/>
  <c r="D134" i="12" a="1"/>
  <c r="D155" i="27" a="1"/>
  <c r="D307" i="27" a="1"/>
  <c r="D138" i="12" a="1"/>
  <c r="D35" i="12" a="1"/>
  <c r="F105" i="12" a="1"/>
  <c r="D144" i="27" a="1"/>
  <c r="F77" i="12" a="1"/>
  <c r="F33" i="12" a="1"/>
  <c r="D179" i="27" a="1"/>
  <c r="F5" i="12" a="1"/>
  <c r="D27" i="12" a="1"/>
  <c r="D80" i="27" a="1"/>
  <c r="F73" i="12" a="1"/>
  <c r="F121" i="12" a="1"/>
  <c r="D192" i="27" a="1"/>
  <c r="D350" i="27" a="1"/>
  <c r="D83" i="12" a="1"/>
  <c r="D89" i="12" a="1"/>
  <c r="D44" i="27" a="1"/>
  <c r="K134" i="12" a="1"/>
  <c r="D173" i="27" a="1"/>
  <c r="G63" i="12" a="1"/>
  <c r="K115" i="12" a="1"/>
  <c r="K8" i="12" a="1"/>
  <c r="D148" i="27" a="1"/>
  <c r="G20" i="12" a="1"/>
  <c r="D119" i="12" a="1"/>
  <c r="G40" i="12" a="1"/>
  <c r="D218" i="27" a="1"/>
  <c r="D94" i="12" a="1"/>
  <c r="K33" i="12" a="1"/>
  <c r="G110" i="12" a="1"/>
  <c r="K27" i="12" a="1"/>
  <c r="D359" i="27" a="1"/>
  <c r="C3" i="7" a="1"/>
  <c r="G127" i="12" a="1"/>
  <c r="D120" i="27" a="1"/>
  <c r="F39" i="12" a="1"/>
  <c r="D202" i="27" a="1"/>
  <c r="K90" i="12" a="1"/>
  <c r="F132" i="12" a="1"/>
  <c r="D70" i="27" a="1"/>
  <c r="G69" i="12" a="1"/>
  <c r="K133" i="12" a="1"/>
  <c r="D126" i="27" a="1"/>
  <c r="D294" i="27" a="1"/>
  <c r="D68" i="12" a="1"/>
  <c r="D114" i="12" a="1"/>
  <c r="D51" i="12" a="1"/>
  <c r="D329" i="27" a="1"/>
  <c r="D95" i="27" a="1"/>
  <c r="G29" i="12" a="1"/>
  <c r="K39" i="12" a="1"/>
  <c r="F68" i="12" a="1"/>
  <c r="D118" i="27" a="1"/>
  <c r="D337" i="27" a="1"/>
  <c r="K139" i="12" a="1"/>
  <c r="K21" i="12" a="1"/>
  <c r="D74" i="12" a="1"/>
  <c r="K9" i="12" a="1"/>
  <c r="K78" i="12" a="1"/>
  <c r="D375" i="27" a="1"/>
  <c r="F57" i="12" a="1"/>
  <c r="D330" i="27" a="1"/>
  <c r="K62" i="12" a="1"/>
  <c r="G134" i="12" a="1"/>
  <c r="D26" i="27" a="1"/>
  <c r="K34" i="12" a="1"/>
  <c r="D43" i="12" a="1"/>
  <c r="K44" i="12" a="1"/>
  <c r="D276" i="27" a="1"/>
  <c r="K100" i="12" a="1"/>
  <c r="F71" i="12" a="1"/>
  <c r="F124" i="12" a="1"/>
  <c r="F69" i="12" a="1"/>
  <c r="K3" i="12" a="1"/>
  <c r="F81" i="12" a="1"/>
  <c r="D332" i="27" a="1"/>
  <c r="G105" i="12" a="1"/>
  <c r="D105" i="27" a="1"/>
  <c r="G23" i="12" a="1"/>
  <c r="D345" i="27" a="1"/>
  <c r="D340" i="27" a="1"/>
  <c r="D326" i="27" a="1"/>
  <c r="K93" i="12" a="1"/>
  <c r="F22" i="12" a="1"/>
  <c r="K99" i="12" a="1"/>
  <c r="K107" i="12" a="1"/>
  <c r="D46" i="12" a="1"/>
  <c r="D297" i="27" a="1"/>
  <c r="D94" i="27" a="1"/>
  <c r="D285" i="27" a="1"/>
  <c r="K118" i="12" a="1"/>
  <c r="D58" i="12" a="1"/>
  <c r="F29" i="12" a="1"/>
  <c r="K88" i="12" a="1"/>
  <c r="F93" i="12" a="1"/>
  <c r="D90" i="27" a="1"/>
  <c r="D12" i="27" a="1"/>
  <c r="D357" i="27" a="1"/>
  <c r="K72" i="12" a="1"/>
  <c r="D75" i="12" a="1"/>
  <c r="K87" i="12" a="1"/>
  <c r="K25" i="12" a="1"/>
  <c r="F7" i="12" a="1"/>
  <c r="D16" i="27" a="1"/>
  <c r="D309" i="27" a="1"/>
  <c r="D186" i="27" a="1"/>
  <c r="K96" i="12" a="1"/>
  <c r="G58" i="12" a="1"/>
  <c r="K68" i="12" a="1"/>
  <c r="K53" i="12" a="1"/>
  <c r="G132" i="12" a="1"/>
  <c r="D291" i="27" a="1"/>
  <c r="D122" i="27" a="1"/>
  <c r="D39" i="27" a="1"/>
  <c r="K18" i="12" a="1"/>
  <c r="G19" i="12" a="1"/>
  <c r="K66" i="12" a="1"/>
  <c r="D222" i="27" a="1"/>
  <c r="F96" i="12" a="1"/>
  <c r="F16" i="12" a="1"/>
  <c r="K17" i="12" a="1"/>
  <c r="K30" i="12" a="1"/>
  <c r="D356" i="27" a="1"/>
  <c r="K63" i="12" a="1"/>
  <c r="D141" i="27" a="1"/>
  <c r="D79" i="12" a="1"/>
  <c r="D42" i="27" a="1"/>
  <c r="K64" i="12" a="1"/>
  <c r="D260" i="27" a="1"/>
  <c r="D82" i="12" a="1"/>
  <c r="D240" i="27" a="1"/>
  <c r="K41" i="12" a="1"/>
  <c r="K119" i="12" a="1"/>
  <c r="F85" i="12" a="1"/>
  <c r="C2" i="9" a="1"/>
  <c r="C5" i="30" a="1"/>
  <c r="C6" i="30" a="1"/>
  <c r="C8" i="30" a="1"/>
  <c r="C12" i="30" a="1"/>
  <c r="C11" i="30" a="1"/>
  <c r="C10" i="30" a="1"/>
  <c r="C14" i="30" a="1"/>
  <c r="C9" i="30" a="1"/>
  <c r="C2" i="30" a="1"/>
  <c r="C13" i="30" a="1"/>
  <c r="C3" i="30" a="1"/>
  <c r="C7" i="30" a="1"/>
  <c r="C4" i="30" a="1"/>
  <c r="C17" i="3" a="1"/>
  <c r="C13" i="3" a="1"/>
  <c r="C18" i="3" a="1"/>
  <c r="C3" i="3" a="1"/>
  <c r="C19" i="3" a="1"/>
  <c r="C5" i="3" a="1"/>
  <c r="C7" i="3" a="1"/>
  <c r="C2" i="3" a="1"/>
  <c r="C10" i="3" a="1"/>
  <c r="C14" i="3" a="1"/>
  <c r="C12" i="3" a="1"/>
  <c r="C16" i="3" a="1"/>
  <c r="C15" i="3" a="1"/>
  <c r="C4" i="3" a="1"/>
  <c r="C9" i="3" a="1"/>
  <c r="C11" i="3" a="1"/>
  <c r="C8" i="3" a="1"/>
  <c r="C6" i="3" a="1"/>
  <c r="C20" i="3" a="1"/>
  <c r="B259" i="36" a="1"/>
  <c r="B110" i="36" a="1"/>
  <c r="B153" i="36" a="1"/>
  <c r="B123" i="36" a="1"/>
  <c r="B269" i="36" a="1"/>
  <c r="B282" i="36" a="1"/>
  <c r="B284" i="36" a="1"/>
  <c r="B295" i="36" a="1"/>
  <c r="B279" i="36" a="1"/>
  <c r="B215" i="36" a="1"/>
  <c r="B241" i="36" a="1"/>
  <c r="B245" i="36" a="1"/>
  <c r="B198" i="36" a="1"/>
  <c r="B227" i="36" a="1"/>
  <c r="B178" i="36" a="1"/>
  <c r="B278" i="36" a="1"/>
  <c r="B299" i="36" a="1"/>
  <c r="B293" i="36" a="1"/>
  <c r="B108" i="36" a="1"/>
  <c r="B276" i="36" a="1"/>
  <c r="B326" i="36" a="1"/>
  <c r="B236" i="36" a="1"/>
  <c r="B182" i="36" a="1"/>
  <c r="B145" i="36" a="1"/>
  <c r="B67" i="36" a="1"/>
  <c r="B132" i="36" a="1"/>
  <c r="B232" i="36" a="1"/>
  <c r="B292" i="36" a="1"/>
  <c r="B174" i="36" a="1"/>
  <c r="B189" i="36" a="1"/>
  <c r="B219" i="36" a="1"/>
  <c r="B118" i="36" a="1"/>
  <c r="B167" i="36" a="1"/>
  <c r="B130" i="36" a="1"/>
  <c r="B262" i="36" a="1"/>
  <c r="B162" i="36" a="1"/>
  <c r="B235" i="36" a="1"/>
  <c r="B208" i="36" a="1"/>
  <c r="B133" i="36" a="1"/>
  <c r="B289" i="36" a="1"/>
  <c r="B104" i="36" a="1"/>
  <c r="B313" i="36" a="1"/>
  <c r="B331" i="36" a="1"/>
  <c r="B272" i="36" a="1"/>
  <c r="B109" i="36" a="1"/>
  <c r="B265" i="36" a="1"/>
  <c r="B188" i="36" a="1"/>
  <c r="B323" i="36" a="1"/>
  <c r="B161" i="36" a="1"/>
  <c r="B193" i="36" a="1"/>
  <c r="B111" i="36" a="1"/>
  <c r="B274" i="36" a="1"/>
  <c r="B139" i="36" a="1"/>
  <c r="B277" i="36" a="1"/>
  <c r="B266" i="36" a="1"/>
  <c r="B131" i="36" a="1"/>
  <c r="B141" i="36" a="1"/>
  <c r="B249" i="36" a="1"/>
  <c r="B115" i="36" a="1"/>
  <c r="B164" i="36" a="1"/>
  <c r="B285" i="36" a="1"/>
  <c r="B288" i="36" a="1"/>
  <c r="B210" i="36" a="1"/>
  <c r="B304" i="36" a="1"/>
  <c r="B305" i="36" a="1"/>
  <c r="B291" i="36" a="1"/>
  <c r="B224" i="36" a="1"/>
  <c r="B152" i="36" a="1"/>
  <c r="B254" i="36" a="1"/>
  <c r="B297" i="36" a="1"/>
  <c r="B195" i="36" a="1"/>
  <c r="B119" i="36" a="1"/>
  <c r="B312" i="36" a="1"/>
  <c r="B206" i="36" a="1"/>
  <c r="B144" i="36" a="1"/>
  <c r="B105" i="36" a="1"/>
  <c r="B242" i="36" a="1"/>
  <c r="B233" i="36" a="1"/>
  <c r="B268" i="36" a="1"/>
  <c r="B149" i="36" a="1"/>
  <c r="B184" i="36" a="1"/>
  <c r="B238" i="36" a="1"/>
  <c r="B287" i="36" a="1"/>
  <c r="B117" i="36" a="1"/>
  <c r="B173" i="36" a="1"/>
  <c r="B142" i="36" a="1"/>
  <c r="B135" i="36" a="1"/>
  <c r="B213" i="36" a="1"/>
  <c r="B290" i="36" a="1"/>
  <c r="B166" i="36" a="1"/>
  <c r="B221" i="36" a="1"/>
  <c r="B322" i="36" a="1"/>
  <c r="B202" i="36" a="1"/>
  <c r="B100" i="36" a="1"/>
  <c r="B296" i="36" a="1"/>
  <c r="B318" i="36" a="1"/>
  <c r="B125" i="36" a="1"/>
  <c r="B151" i="36" a="1"/>
  <c r="B168" i="36" a="1"/>
  <c r="B116" i="36" a="1"/>
  <c r="B222" i="36" a="1"/>
  <c r="B320" i="36" a="1"/>
  <c r="B234" i="36" a="1"/>
  <c r="B140" i="36" a="1"/>
  <c r="B319" i="36" a="1"/>
  <c r="B260" i="36" a="1"/>
  <c r="B103" i="36" a="1"/>
  <c r="B186" i="36" a="1"/>
  <c r="B243" i="36" a="1"/>
  <c r="B199" i="36" a="1"/>
  <c r="B128" i="36" a="1"/>
  <c r="B212" i="36" a="1"/>
  <c r="B324" i="36" a="1"/>
  <c r="B211" i="36" a="1"/>
  <c r="B237" i="36" a="1"/>
  <c r="B316" i="36" a="1"/>
  <c r="B294" i="36" a="1"/>
  <c r="B330" i="36" a="1"/>
  <c r="B209" i="36" a="1"/>
  <c r="B281" i="36" a="1"/>
  <c r="B191" i="36" a="1"/>
  <c r="B220" i="36" a="1"/>
  <c r="B240" i="36" a="1"/>
  <c r="B231" i="36" a="1"/>
  <c r="B306" i="36" a="1"/>
  <c r="B218" i="36" a="1"/>
  <c r="B223" i="36" a="1"/>
  <c r="B157" i="36" a="1"/>
  <c r="B225" i="36" a="1"/>
  <c r="B136" i="36" a="1"/>
  <c r="B275" i="36" a="1"/>
  <c r="B244" i="36" a="1"/>
  <c r="B315" i="36" a="1"/>
  <c r="B216" i="36" a="1"/>
  <c r="B229" i="36" a="1"/>
  <c r="B134" i="36" a="1"/>
  <c r="B127" i="36" a="1"/>
  <c r="B180" i="36" a="1"/>
  <c r="B155" i="36" a="1"/>
  <c r="B204" i="36" a="1"/>
  <c r="B197" i="36" a="1"/>
  <c r="B217" i="36" a="1"/>
  <c r="B137" i="36" a="1"/>
  <c r="B143" i="36" a="1"/>
  <c r="B310" i="36" a="1"/>
  <c r="B126" i="36" a="1"/>
  <c r="B226" i="36" a="1"/>
  <c r="B169" i="36" a="1"/>
  <c r="B325" i="36" a="1"/>
  <c r="B171" i="36" a="1"/>
  <c r="B121" i="36" a="1"/>
  <c r="B160" i="36" a="1"/>
  <c r="B129" i="36" a="1"/>
  <c r="B328" i="36" a="1"/>
  <c r="B106" i="36" a="1"/>
  <c r="B177" i="36" a="1"/>
  <c r="B248" i="36" a="1"/>
  <c r="B228" i="36" a="1"/>
  <c r="B239" i="36" a="1"/>
  <c r="B183" i="36" a="1"/>
  <c r="B185" i="36" a="1"/>
  <c r="B317" i="36" a="1"/>
  <c r="B329" i="36" a="1"/>
  <c r="B107" i="36" a="1"/>
  <c r="B271" i="36" a="1"/>
  <c r="B190" i="36" a="1"/>
  <c r="B200" i="36" a="1"/>
  <c r="B172" i="36" a="1"/>
  <c r="B175" i="36" a="1"/>
  <c r="B207" i="36" a="1"/>
  <c r="B308" i="36" a="1"/>
  <c r="B307" i="36" a="1"/>
  <c r="B309" i="36" a="1"/>
  <c r="B148" i="36" a="1"/>
  <c r="B102" i="36" a="1"/>
  <c r="B264" i="36" a="1"/>
  <c r="B286" i="36" a="1"/>
  <c r="B114" i="36" a="1"/>
  <c r="B181" i="36" a="1"/>
  <c r="B158" i="36" a="1"/>
  <c r="B192" i="36" a="1"/>
  <c r="B252" i="36" a="1"/>
  <c r="B283" i="36" a="1"/>
  <c r="B273" i="36" a="1"/>
  <c r="B147" i="36" a="1"/>
  <c r="B247" i="36" a="1"/>
  <c r="B258" i="36" a="1"/>
  <c r="B194" i="36" a="1"/>
  <c r="B246" i="36" a="1"/>
  <c r="B267" i="36" a="1"/>
  <c r="B179" i="36" a="1"/>
  <c r="B101" i="36" a="1"/>
  <c r="B196" i="36" a="1"/>
  <c r="B201" i="36" a="1"/>
  <c r="B187" i="36" a="1"/>
  <c r="B122" i="36" a="1"/>
  <c r="B203" i="36" a="1"/>
  <c r="B303" i="36" a="1"/>
  <c r="B138" i="36" a="1"/>
  <c r="B154" i="36" a="1"/>
  <c r="B120" i="36" a="1"/>
  <c r="B302" i="36" a="1"/>
  <c r="B301" i="36" a="1"/>
  <c r="B230" i="36" a="1"/>
  <c r="B205" i="36" a="1"/>
  <c r="B300" i="36" a="1"/>
  <c r="B170" i="36" a="1"/>
  <c r="B176" i="36" a="1"/>
  <c r="B156" i="36" a="1"/>
  <c r="B251" i="36" a="1"/>
  <c r="B280" i="36" a="1"/>
  <c r="B256" i="36" a="1"/>
  <c r="B112" i="36" a="1"/>
  <c r="B298" i="36" a="1"/>
  <c r="B159" i="36" a="1"/>
  <c r="B165" i="36" a="1"/>
  <c r="B270" i="36" a="1"/>
  <c r="B314" i="36" a="1"/>
  <c r="B34" i="36" a="1"/>
  <c r="B261" i="36" a="1"/>
  <c r="B255" i="36" a="1"/>
  <c r="B311" i="36" a="1"/>
  <c r="B250" i="36" a="1"/>
  <c r="B150" i="36" a="1"/>
  <c r="B257" i="36" a="1"/>
  <c r="B163" i="36" a="1"/>
  <c r="B263" i="36" a="1"/>
  <c r="B124" i="36" a="1"/>
  <c r="B146" i="36" a="1"/>
  <c r="B113" i="36" a="1"/>
  <c r="B327" i="36" a="1"/>
  <c r="B214" i="36" a="1"/>
  <c r="B321" i="36" a="1"/>
  <c r="B253" i="36" a="1"/>
  <c r="E8" i="4" a="1"/>
  <c r="E29" i="4" a="1"/>
  <c r="E12" i="4" a="1"/>
  <c r="E19" i="4" a="1"/>
  <c r="E11" i="4" a="1"/>
  <c r="E26" i="4" a="1"/>
  <c r="E5" i="4" a="1"/>
  <c r="E15" i="4" a="1"/>
  <c r="E33" i="4" a="1"/>
  <c r="E20" i="4" a="1"/>
  <c r="E24" i="4" a="1"/>
  <c r="E27" i="4" a="1"/>
  <c r="E32" i="4" a="1"/>
  <c r="E21" i="4" a="1"/>
  <c r="E22" i="4" a="1"/>
  <c r="E25" i="4" a="1"/>
  <c r="E10" i="4" a="1"/>
  <c r="E13" i="4" a="1"/>
  <c r="E17" i="4" a="1"/>
  <c r="E7" i="4" a="1"/>
  <c r="E4" i="4" a="1"/>
  <c r="E34" i="4" a="1"/>
  <c r="E30" i="4" a="1"/>
  <c r="E6" i="4" a="1"/>
  <c r="E28" i="4" a="1"/>
  <c r="E23" i="4" a="1"/>
  <c r="E9" i="4" a="1"/>
  <c r="E3" i="4" a="1"/>
  <c r="E16" i="4" a="1"/>
  <c r="E14" i="4" a="1"/>
  <c r="E18" i="4" a="1"/>
  <c r="E31" i="4" a="1"/>
  <c r="C169" i="36" l="1"/>
  <c r="C202" i="36"/>
  <c r="C203" i="36" s="1"/>
  <c r="C235" i="36"/>
  <c r="C136" i="36"/>
  <c r="C268" i="36"/>
  <c r="C103" i="36"/>
  <c r="C3" i="7"/>
  <c r="C2" i="7"/>
  <c r="K16" i="12"/>
  <c r="K77" i="12"/>
  <c r="K3" i="12"/>
  <c r="K47" i="12"/>
  <c r="K108" i="12"/>
  <c r="K17" i="12"/>
  <c r="K112" i="12"/>
  <c r="K4" i="12"/>
  <c r="K65" i="12"/>
  <c r="K82" i="12"/>
  <c r="K18" i="12"/>
  <c r="K52" i="12"/>
  <c r="K113" i="12"/>
  <c r="K22" i="12"/>
  <c r="K66" i="12"/>
  <c r="K36" i="12"/>
  <c r="K114" i="12"/>
  <c r="K6" i="12"/>
  <c r="K67" i="12"/>
  <c r="K24" i="12"/>
  <c r="K33" i="12"/>
  <c r="K94" i="12"/>
  <c r="K64" i="12"/>
  <c r="K125" i="12"/>
  <c r="K34" i="12"/>
  <c r="K78" i="12"/>
  <c r="K95" i="12"/>
  <c r="K48" i="12"/>
  <c r="K126" i="12"/>
  <c r="K35" i="12"/>
  <c r="K96" i="12"/>
  <c r="K5" i="12"/>
  <c r="K83" i="12"/>
  <c r="K127" i="12"/>
  <c r="K53" i="12"/>
  <c r="K97" i="12"/>
  <c r="K23" i="12"/>
  <c r="K84" i="12"/>
  <c r="K128" i="12"/>
  <c r="K37" i="12"/>
  <c r="K54" i="12"/>
  <c r="K98" i="12"/>
  <c r="K115" i="12"/>
  <c r="K132" i="12"/>
  <c r="K7" i="12"/>
  <c r="K68" i="12"/>
  <c r="K85" i="12"/>
  <c r="K102" i="12"/>
  <c r="K38" i="12"/>
  <c r="K55" i="12"/>
  <c r="K72" i="12"/>
  <c r="K116" i="12"/>
  <c r="K133" i="12"/>
  <c r="K8" i="12"/>
  <c r="K25" i="12"/>
  <c r="K42" i="12"/>
  <c r="K86" i="12"/>
  <c r="K103" i="12"/>
  <c r="K12" i="12"/>
  <c r="K56" i="12"/>
  <c r="K73" i="12"/>
  <c r="K117" i="12"/>
  <c r="K134" i="12"/>
  <c r="K26" i="12"/>
  <c r="K43" i="12"/>
  <c r="K87" i="12"/>
  <c r="K104" i="12"/>
  <c r="K13" i="12"/>
  <c r="K57" i="12"/>
  <c r="K74" i="12"/>
  <c r="K118" i="12"/>
  <c r="K135" i="12"/>
  <c r="K27" i="12"/>
  <c r="K44" i="12"/>
  <c r="K88" i="12"/>
  <c r="K105" i="12"/>
  <c r="K122" i="12"/>
  <c r="K14" i="12"/>
  <c r="K58" i="12"/>
  <c r="K75" i="12"/>
  <c r="K92" i="12"/>
  <c r="K136" i="12"/>
  <c r="K28" i="12"/>
  <c r="K45" i="12"/>
  <c r="K62" i="12"/>
  <c r="K106" i="12"/>
  <c r="K123" i="12"/>
  <c r="K15" i="12"/>
  <c r="K32" i="12"/>
  <c r="K76" i="12"/>
  <c r="K93" i="12"/>
  <c r="K137" i="12"/>
  <c r="K46" i="12"/>
  <c r="K63" i="12"/>
  <c r="K107" i="12"/>
  <c r="K124" i="12"/>
  <c r="K138" i="12"/>
  <c r="K9" i="12"/>
  <c r="K19" i="12"/>
  <c r="K29" i="12"/>
  <c r="K39" i="12"/>
  <c r="K49" i="12"/>
  <c r="K59" i="12"/>
  <c r="K69" i="12"/>
  <c r="K79" i="12"/>
  <c r="K89" i="12"/>
  <c r="K99" i="12"/>
  <c r="K109" i="12"/>
  <c r="K119" i="12"/>
  <c r="K129" i="12"/>
  <c r="K139" i="12"/>
  <c r="K10" i="12"/>
  <c r="K20" i="12"/>
  <c r="K30" i="12"/>
  <c r="K40" i="12"/>
  <c r="K50" i="12"/>
  <c r="K60" i="12"/>
  <c r="K70" i="12"/>
  <c r="K80" i="12"/>
  <c r="K90" i="12"/>
  <c r="K100" i="12"/>
  <c r="K110" i="12"/>
  <c r="K120" i="12"/>
  <c r="K130" i="12"/>
  <c r="K140" i="12"/>
  <c r="K11" i="12"/>
  <c r="K21" i="12"/>
  <c r="K31" i="12"/>
  <c r="K41" i="12"/>
  <c r="K51" i="12"/>
  <c r="K61" i="12"/>
  <c r="K71" i="12"/>
  <c r="K81" i="12"/>
  <c r="K91" i="12"/>
  <c r="K101" i="12"/>
  <c r="K111" i="12"/>
  <c r="K121" i="12"/>
  <c r="K131" i="12"/>
  <c r="K141" i="12"/>
  <c r="K2" i="12"/>
  <c r="G60" i="12"/>
  <c r="G92" i="12"/>
  <c r="G139" i="12"/>
  <c r="G29" i="12"/>
  <c r="G96" i="12"/>
  <c r="G61" i="12"/>
  <c r="G140" i="12"/>
  <c r="G30" i="12"/>
  <c r="G97" i="12"/>
  <c r="G62" i="12"/>
  <c r="G107" i="12"/>
  <c r="G141" i="12"/>
  <c r="G31" i="12"/>
  <c r="G66" i="12"/>
  <c r="G108" i="12"/>
  <c r="G32" i="12"/>
  <c r="G67" i="12"/>
  <c r="G36" i="12"/>
  <c r="G109" i="12"/>
  <c r="G77" i="12"/>
  <c r="G46" i="12"/>
  <c r="G110" i="12"/>
  <c r="G6" i="12"/>
  <c r="G78" i="12"/>
  <c r="G12" i="12"/>
  <c r="G47" i="12"/>
  <c r="G121" i="12"/>
  <c r="G16" i="12"/>
  <c r="G79" i="12"/>
  <c r="G48" i="12"/>
  <c r="G126" i="12"/>
  <c r="G17" i="12"/>
  <c r="G80" i="12"/>
  <c r="G49" i="12"/>
  <c r="G90" i="12"/>
  <c r="G127" i="12"/>
  <c r="G18" i="12"/>
  <c r="G50" i="12"/>
  <c r="G91" i="12"/>
  <c r="G128" i="12"/>
  <c r="G19" i="12"/>
  <c r="G111" i="12"/>
  <c r="G129" i="12"/>
  <c r="G20" i="12"/>
  <c r="G37" i="12"/>
  <c r="G81" i="12"/>
  <c r="G98" i="12"/>
  <c r="G7" i="12"/>
  <c r="G51" i="12"/>
  <c r="G68" i="12"/>
  <c r="G116" i="12"/>
  <c r="G130" i="12"/>
  <c r="G21" i="12"/>
  <c r="G38" i="12"/>
  <c r="G82" i="12"/>
  <c r="G99" i="12"/>
  <c r="G8" i="12"/>
  <c r="G52" i="12"/>
  <c r="G69" i="12"/>
  <c r="G86" i="12"/>
  <c r="G117" i="12"/>
  <c r="G131" i="12"/>
  <c r="G22" i="12"/>
  <c r="G39" i="12"/>
  <c r="G56" i="12"/>
  <c r="G100" i="12"/>
  <c r="G9" i="12"/>
  <c r="G26" i="12"/>
  <c r="G70" i="12"/>
  <c r="G87" i="12"/>
  <c r="G118" i="12"/>
  <c r="G136" i="12"/>
  <c r="G40" i="12"/>
  <c r="G57" i="12"/>
  <c r="G101" i="12"/>
  <c r="G10" i="12"/>
  <c r="G27" i="12"/>
  <c r="G71" i="12"/>
  <c r="G88" i="12"/>
  <c r="G119" i="12"/>
  <c r="G137" i="12"/>
  <c r="G41" i="12"/>
  <c r="G58" i="12"/>
  <c r="G102" i="12"/>
  <c r="G11" i="12"/>
  <c r="G28" i="12"/>
  <c r="G72" i="12"/>
  <c r="G89" i="12"/>
  <c r="G106" i="12"/>
  <c r="G120" i="12"/>
  <c r="G138" i="12"/>
  <c r="G42" i="12"/>
  <c r="G59" i="12"/>
  <c r="G76" i="12"/>
  <c r="G112" i="12"/>
  <c r="G122" i="12"/>
  <c r="G13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13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134" i="12"/>
  <c r="G5" i="12"/>
  <c r="G15" i="12"/>
  <c r="G25" i="12"/>
  <c r="G35" i="12"/>
  <c r="G45" i="12"/>
  <c r="G55" i="12"/>
  <c r="G65" i="12"/>
  <c r="G75" i="12"/>
  <c r="G85" i="12"/>
  <c r="G95" i="12"/>
  <c r="G105" i="12"/>
  <c r="G115" i="12"/>
  <c r="G125" i="12"/>
  <c r="G135" i="12"/>
  <c r="G2" i="12"/>
  <c r="F16" i="12"/>
  <c r="F94" i="12"/>
  <c r="F108" i="12"/>
  <c r="F17" i="12"/>
  <c r="F112" i="12"/>
  <c r="F65" i="12"/>
  <c r="F18" i="12"/>
  <c r="F96" i="12"/>
  <c r="F22" i="12"/>
  <c r="F66" i="12"/>
  <c r="F36" i="12"/>
  <c r="F114" i="12"/>
  <c r="F23" i="12"/>
  <c r="F128" i="12"/>
  <c r="F115" i="12"/>
  <c r="F24" i="12"/>
  <c r="F102" i="12"/>
  <c r="F38" i="12"/>
  <c r="F72" i="12"/>
  <c r="F116" i="12"/>
  <c r="F133" i="12"/>
  <c r="F8" i="12"/>
  <c r="F25" i="12"/>
  <c r="F42" i="12"/>
  <c r="F86" i="12"/>
  <c r="F103" i="12"/>
  <c r="F12" i="12"/>
  <c r="F56" i="12"/>
  <c r="F73" i="12"/>
  <c r="F117" i="12"/>
  <c r="F134" i="12"/>
  <c r="F26" i="12"/>
  <c r="F43" i="12"/>
  <c r="F87" i="12"/>
  <c r="F104" i="12"/>
  <c r="F13" i="12"/>
  <c r="F57" i="12"/>
  <c r="F74" i="12"/>
  <c r="F118" i="12"/>
  <c r="F135" i="12"/>
  <c r="F33" i="12"/>
  <c r="F3" i="12"/>
  <c r="F47" i="12"/>
  <c r="F125" i="12"/>
  <c r="F78" i="12"/>
  <c r="F48" i="12"/>
  <c r="F126" i="12"/>
  <c r="F52" i="12"/>
  <c r="F5" i="12"/>
  <c r="F127" i="12"/>
  <c r="F97" i="12"/>
  <c r="F6" i="12"/>
  <c r="F84" i="12"/>
  <c r="F54" i="12"/>
  <c r="F98" i="12"/>
  <c r="F7" i="12"/>
  <c r="F68" i="12"/>
  <c r="F55" i="12"/>
  <c r="F27" i="12"/>
  <c r="F88" i="12"/>
  <c r="F105" i="12"/>
  <c r="F122" i="12"/>
  <c r="F14" i="12"/>
  <c r="F75" i="12"/>
  <c r="F136" i="12"/>
  <c r="F62" i="12"/>
  <c r="F76" i="12"/>
  <c r="F137" i="12"/>
  <c r="F77" i="12"/>
  <c r="F64" i="12"/>
  <c r="F34" i="12"/>
  <c r="F95" i="12"/>
  <c r="F4" i="12"/>
  <c r="F82" i="12"/>
  <c r="F35" i="12"/>
  <c r="F113" i="12"/>
  <c r="F83" i="12"/>
  <c r="F53" i="12"/>
  <c r="F67" i="12"/>
  <c r="F37" i="12"/>
  <c r="F132" i="12"/>
  <c r="F85" i="12"/>
  <c r="F44" i="12"/>
  <c r="F58" i="12"/>
  <c r="F92" i="12"/>
  <c r="F28" i="12"/>
  <c r="F45" i="12"/>
  <c r="F106" i="12"/>
  <c r="F123" i="12"/>
  <c r="F15" i="12"/>
  <c r="F32" i="12"/>
  <c r="F93" i="12"/>
  <c r="F46" i="12"/>
  <c r="F63" i="12"/>
  <c r="F107" i="12"/>
  <c r="F124" i="12"/>
  <c r="F13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29" i="12"/>
  <c r="F13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30" i="12"/>
  <c r="F14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31" i="12"/>
  <c r="F141" i="12"/>
  <c r="F2" i="12"/>
  <c r="D43" i="12"/>
  <c r="D104" i="12"/>
  <c r="D44" i="12"/>
  <c r="D112" i="12"/>
  <c r="D45" i="12"/>
  <c r="D113" i="12"/>
  <c r="D114" i="12"/>
  <c r="D25" i="12"/>
  <c r="D92" i="12"/>
  <c r="D123" i="12"/>
  <c r="D32" i="12"/>
  <c r="D62" i="12"/>
  <c r="D3" i="12"/>
  <c r="D93" i="12"/>
  <c r="D124" i="12"/>
  <c r="D33" i="12"/>
  <c r="D63" i="12"/>
  <c r="D4" i="12"/>
  <c r="D94" i="12"/>
  <c r="D132" i="12"/>
  <c r="D34" i="12"/>
  <c r="D64" i="12"/>
  <c r="D5" i="12"/>
  <c r="D102" i="12"/>
  <c r="D133" i="12"/>
  <c r="D12" i="12"/>
  <c r="D35" i="12"/>
  <c r="D65" i="12"/>
  <c r="D42" i="12"/>
  <c r="D72" i="12"/>
  <c r="D103" i="12"/>
  <c r="D134" i="12"/>
  <c r="D73" i="12"/>
  <c r="D14" i="12"/>
  <c r="D74" i="12"/>
  <c r="D15" i="12"/>
  <c r="D22" i="12"/>
  <c r="D82" i="12"/>
  <c r="D52" i="12"/>
  <c r="D23" i="12"/>
  <c r="D83" i="12"/>
  <c r="D53" i="12"/>
  <c r="D24" i="12"/>
  <c r="D84" i="12"/>
  <c r="D122" i="12"/>
  <c r="D54" i="12"/>
  <c r="D13" i="12"/>
  <c r="D85" i="12"/>
  <c r="D105" i="12"/>
  <c r="D135" i="12"/>
  <c r="D6" i="12"/>
  <c r="D26" i="12"/>
  <c r="D46" i="12"/>
  <c r="D66" i="12"/>
  <c r="D86" i="12"/>
  <c r="D106" i="12"/>
  <c r="D126" i="12"/>
  <c r="D17" i="12"/>
  <c r="D37" i="12"/>
  <c r="D57" i="12"/>
  <c r="D77" i="12"/>
  <c r="D97" i="12"/>
  <c r="D117" i="12"/>
  <c r="D137" i="12"/>
  <c r="D8" i="12"/>
  <c r="D28" i="12"/>
  <c r="D48" i="12"/>
  <c r="D68" i="12"/>
  <c r="D88" i="12"/>
  <c r="D108" i="12"/>
  <c r="D138" i="12"/>
  <c r="D9" i="12"/>
  <c r="D29" i="12"/>
  <c r="D49" i="12"/>
  <c r="D59" i="12"/>
  <c r="D79" i="12"/>
  <c r="D89" i="12"/>
  <c r="D109" i="12"/>
  <c r="D119" i="12"/>
  <c r="D139" i="12"/>
  <c r="D10" i="12"/>
  <c r="D20" i="12"/>
  <c r="D30" i="12"/>
  <c r="D40" i="12"/>
  <c r="D50" i="12"/>
  <c r="D60" i="12"/>
  <c r="D70" i="12"/>
  <c r="D80" i="12"/>
  <c r="D90" i="12"/>
  <c r="D100" i="12"/>
  <c r="D110" i="12"/>
  <c r="D120" i="12"/>
  <c r="D140" i="12"/>
  <c r="D11" i="12"/>
  <c r="D21" i="12"/>
  <c r="D31" i="12"/>
  <c r="D41" i="12"/>
  <c r="D51" i="12"/>
  <c r="D61" i="12"/>
  <c r="D71" i="12"/>
  <c r="D81" i="12"/>
  <c r="D91" i="12"/>
  <c r="D101" i="12"/>
  <c r="D111" i="12"/>
  <c r="D121" i="12"/>
  <c r="D131" i="12"/>
  <c r="D141" i="12"/>
  <c r="D55" i="12"/>
  <c r="D75" i="12"/>
  <c r="D95" i="12"/>
  <c r="D115" i="12"/>
  <c r="D125" i="12"/>
  <c r="D16" i="12"/>
  <c r="D36" i="12"/>
  <c r="D56" i="12"/>
  <c r="D76" i="12"/>
  <c r="D96" i="12"/>
  <c r="D116" i="12"/>
  <c r="D136" i="12"/>
  <c r="D7" i="12"/>
  <c r="D27" i="12"/>
  <c r="D47" i="12"/>
  <c r="D67" i="12"/>
  <c r="D87" i="12"/>
  <c r="D107" i="12"/>
  <c r="D127" i="12"/>
  <c r="D18" i="12"/>
  <c r="D38" i="12"/>
  <c r="D58" i="12"/>
  <c r="D78" i="12"/>
  <c r="D98" i="12"/>
  <c r="D118" i="12"/>
  <c r="D128" i="12"/>
  <c r="D19" i="12"/>
  <c r="D39" i="12"/>
  <c r="D69" i="12"/>
  <c r="D99" i="12"/>
  <c r="D129" i="12"/>
  <c r="D130" i="12"/>
  <c r="D2" i="12"/>
  <c r="C2" i="5"/>
  <c r="C2" i="9"/>
  <c r="B34" i="36"/>
  <c r="B331" i="36"/>
  <c r="B287" i="36"/>
  <c r="B265" i="36"/>
  <c r="B232" i="36"/>
  <c r="B199" i="36"/>
  <c r="B166" i="36"/>
  <c r="B133" i="36"/>
  <c r="B100" i="36"/>
  <c r="B67" i="36"/>
  <c r="E22" i="4"/>
  <c r="C5" i="30"/>
  <c r="C6" i="30"/>
  <c r="C7" i="30"/>
  <c r="C8" i="30"/>
  <c r="C9" i="30"/>
  <c r="C10" i="30"/>
  <c r="C11" i="30"/>
  <c r="C12" i="30"/>
  <c r="C3" i="30"/>
  <c r="C13" i="30"/>
  <c r="C4" i="30"/>
  <c r="C14" i="30"/>
  <c r="C2" i="30"/>
  <c r="C11" i="3"/>
  <c r="C12" i="3"/>
  <c r="C3" i="3"/>
  <c r="C13" i="3"/>
  <c r="C4" i="3"/>
  <c r="C14" i="3"/>
  <c r="C5" i="3"/>
  <c r="C15" i="3"/>
  <c r="C6" i="3"/>
  <c r="C16" i="3"/>
  <c r="C7" i="3"/>
  <c r="C17" i="3"/>
  <c r="C8" i="3"/>
  <c r="C18" i="3"/>
  <c r="C9" i="3"/>
  <c r="C19" i="3"/>
  <c r="C10" i="3"/>
  <c r="C20" i="3"/>
  <c r="C2" i="3"/>
  <c r="E4" i="4"/>
  <c r="E14" i="4"/>
  <c r="E25" i="4"/>
  <c r="E5" i="4"/>
  <c r="E15" i="4"/>
  <c r="E26" i="4"/>
  <c r="E6" i="4"/>
  <c r="E16" i="4"/>
  <c r="E27" i="4"/>
  <c r="E7" i="4"/>
  <c r="E17" i="4"/>
  <c r="E28" i="4"/>
  <c r="E8" i="4"/>
  <c r="E18" i="4"/>
  <c r="E29" i="4"/>
  <c r="E9" i="4"/>
  <c r="E19" i="4"/>
  <c r="E30" i="4"/>
  <c r="E10" i="4"/>
  <c r="E20" i="4"/>
  <c r="E31" i="4"/>
  <c r="E11" i="4"/>
  <c r="E21" i="4"/>
  <c r="E32" i="4"/>
  <c r="E12" i="4"/>
  <c r="E23" i="4"/>
  <c r="E34" i="4"/>
  <c r="E3" i="4"/>
  <c r="E13" i="4"/>
  <c r="E24" i="4"/>
  <c r="E33" i="4"/>
  <c r="D112" i="27"/>
  <c r="D135" i="27"/>
  <c r="D153" i="27"/>
  <c r="D176" i="27"/>
  <c r="D220" i="27"/>
  <c r="D243" i="27"/>
  <c r="D261" i="27"/>
  <c r="D285" i="27"/>
  <c r="D312" i="27"/>
  <c r="D12" i="27"/>
  <c r="D28" i="27"/>
  <c r="D51" i="27"/>
  <c r="D70" i="27"/>
  <c r="D93" i="27"/>
  <c r="D160" i="27"/>
  <c r="D201" i="27"/>
  <c r="D287" i="27"/>
  <c r="D331" i="27"/>
  <c r="D355" i="27"/>
  <c r="D31" i="27"/>
  <c r="D53" i="27"/>
  <c r="D136" i="27"/>
  <c r="D177" i="27"/>
  <c r="D221" i="27"/>
  <c r="D244" i="27"/>
  <c r="D262" i="27"/>
  <c r="D313" i="27"/>
  <c r="D13" i="27"/>
  <c r="D76" i="27"/>
  <c r="D94" i="27"/>
  <c r="D117" i="27"/>
  <c r="D161" i="27"/>
  <c r="D202" i="27"/>
  <c r="D264" i="27"/>
  <c r="D332" i="27"/>
  <c r="D54" i="27"/>
  <c r="D137" i="27"/>
  <c r="D222" i="27"/>
  <c r="D245" i="27"/>
  <c r="D270" i="27"/>
  <c r="D290" i="27"/>
  <c r="D314" i="27"/>
  <c r="D14" i="27"/>
  <c r="D36" i="27"/>
  <c r="D77" i="27"/>
  <c r="D95" i="27"/>
  <c r="D162" i="27"/>
  <c r="D180" i="27"/>
  <c r="D203" i="27"/>
  <c r="D340" i="27"/>
  <c r="D360" i="27"/>
  <c r="D55" i="27"/>
  <c r="D120" i="27"/>
  <c r="D182" i="27"/>
  <c r="D205" i="27"/>
  <c r="D246" i="27"/>
  <c r="D271" i="27"/>
  <c r="D291" i="27"/>
  <c r="D315" i="27"/>
  <c r="D15" i="27"/>
  <c r="D37" i="27"/>
  <c r="D96" i="27"/>
  <c r="D140" i="27"/>
  <c r="D163" i="27"/>
  <c r="D186" i="27"/>
  <c r="D230" i="27"/>
  <c r="D341" i="27"/>
  <c r="D361" i="27"/>
  <c r="D56" i="27"/>
  <c r="D80" i="27"/>
  <c r="D121" i="27"/>
  <c r="D144" i="27"/>
  <c r="D206" i="27"/>
  <c r="D247" i="27"/>
  <c r="D272" i="27"/>
  <c r="D296" i="27"/>
  <c r="D316" i="27"/>
  <c r="D16" i="27"/>
  <c r="D38" i="27"/>
  <c r="D123" i="27"/>
  <c r="D146" i="27"/>
  <c r="D164" i="27"/>
  <c r="D187" i="27"/>
  <c r="D231" i="27"/>
  <c r="D342" i="27"/>
  <c r="D366" i="27"/>
  <c r="D81" i="27"/>
  <c r="D104" i="27"/>
  <c r="D207" i="27"/>
  <c r="D273" i="27"/>
  <c r="D300" i="27"/>
  <c r="D317" i="27"/>
  <c r="D23" i="27"/>
  <c r="D40" i="27"/>
  <c r="D62" i="27"/>
  <c r="D124" i="27"/>
  <c r="D147" i="27"/>
  <c r="D165" i="27"/>
  <c r="D232" i="27"/>
  <c r="D250" i="27"/>
  <c r="D343" i="27"/>
  <c r="D367" i="27"/>
  <c r="D42" i="27"/>
  <c r="D64" i="27"/>
  <c r="D82" i="27"/>
  <c r="D105" i="27"/>
  <c r="D190" i="27"/>
  <c r="D301" i="27"/>
  <c r="D325" i="27"/>
  <c r="D24" i="27"/>
  <c r="D125" i="27"/>
  <c r="D166" i="27"/>
  <c r="D233" i="27"/>
  <c r="D256" i="27"/>
  <c r="D276" i="27"/>
  <c r="D344" i="27"/>
  <c r="D371" i="27"/>
  <c r="D43" i="27"/>
  <c r="D65" i="27"/>
  <c r="D83" i="27"/>
  <c r="D106" i="27"/>
  <c r="D150" i="27"/>
  <c r="D173" i="27"/>
  <c r="D191" i="27"/>
  <c r="D214" i="27"/>
  <c r="D302" i="27"/>
  <c r="D326" i="27"/>
  <c r="D346" i="27"/>
  <c r="D25" i="27"/>
  <c r="D131" i="27"/>
  <c r="D234" i="27"/>
  <c r="D257" i="27"/>
  <c r="D277" i="27"/>
  <c r="D372" i="27"/>
  <c r="D44" i="27"/>
  <c r="D66" i="27"/>
  <c r="D107" i="27"/>
  <c r="D151" i="27"/>
  <c r="D174" i="27"/>
  <c r="D283" i="27"/>
  <c r="D303" i="27"/>
  <c r="D327" i="27"/>
  <c r="D26" i="27"/>
  <c r="D48" i="27"/>
  <c r="D91" i="27"/>
  <c r="D132" i="27"/>
  <c r="D194" i="27"/>
  <c r="D217" i="27"/>
  <c r="D235" i="27"/>
  <c r="D353" i="27"/>
  <c r="D373" i="27"/>
  <c r="D67" i="27"/>
  <c r="D152" i="27"/>
  <c r="D175" i="27"/>
  <c r="D260" i="27"/>
  <c r="D284" i="27"/>
  <c r="D304" i="27"/>
  <c r="D11" i="27"/>
  <c r="D27" i="27"/>
  <c r="D50" i="27"/>
  <c r="D92" i="27"/>
  <c r="D195" i="27"/>
  <c r="D330" i="27"/>
  <c r="D354" i="27"/>
  <c r="D374" i="27"/>
  <c r="D292" i="27"/>
  <c r="D305" i="27"/>
  <c r="D347" i="27"/>
  <c r="D17" i="27"/>
  <c r="D32" i="27"/>
  <c r="D57" i="27"/>
  <c r="D71" i="27"/>
  <c r="D84" i="27"/>
  <c r="D100" i="27"/>
  <c r="D113" i="27"/>
  <c r="D126" i="27"/>
  <c r="D210" i="27"/>
  <c r="D223" i="27"/>
  <c r="D236" i="27"/>
  <c r="D265" i="27"/>
  <c r="D320" i="27"/>
  <c r="D362" i="27"/>
  <c r="D375" i="27"/>
  <c r="D20" i="27"/>
  <c r="D45" i="27"/>
  <c r="D141" i="27"/>
  <c r="D154" i="27"/>
  <c r="D167" i="27"/>
  <c r="D183" i="27"/>
  <c r="D196" i="27"/>
  <c r="D280" i="27"/>
  <c r="D293" i="27"/>
  <c r="D306" i="27"/>
  <c r="D335" i="27"/>
  <c r="D33" i="27"/>
  <c r="D58" i="27"/>
  <c r="D72" i="27"/>
  <c r="D85" i="27"/>
  <c r="D101" i="27"/>
  <c r="D114" i="27"/>
  <c r="D127" i="27"/>
  <c r="D211" i="27"/>
  <c r="D224" i="27"/>
  <c r="D237" i="27"/>
  <c r="D253" i="27"/>
  <c r="D266" i="27"/>
  <c r="D321" i="27"/>
  <c r="D350" i="27"/>
  <c r="D363" i="27"/>
  <c r="D376" i="27"/>
  <c r="D6" i="27"/>
  <c r="D21" i="27"/>
  <c r="D46" i="27"/>
  <c r="D87" i="27"/>
  <c r="D142" i="27"/>
  <c r="D155" i="27"/>
  <c r="D171" i="27"/>
  <c r="D184" i="27"/>
  <c r="D197" i="27"/>
  <c r="D281" i="27"/>
  <c r="D294" i="27"/>
  <c r="D307" i="27"/>
  <c r="D323" i="27"/>
  <c r="D336" i="27"/>
  <c r="D8" i="27"/>
  <c r="D34" i="27"/>
  <c r="D60" i="27"/>
  <c r="D73" i="27"/>
  <c r="D102" i="27"/>
  <c r="D115" i="27"/>
  <c r="D212" i="27"/>
  <c r="D225" i="27"/>
  <c r="D241" i="27"/>
  <c r="D254" i="27"/>
  <c r="D267" i="27"/>
  <c r="D351" i="27"/>
  <c r="D364" i="27"/>
  <c r="D377" i="27"/>
  <c r="D22" i="27"/>
  <c r="D47" i="27"/>
  <c r="D130" i="27"/>
  <c r="D143" i="27"/>
  <c r="D172" i="27"/>
  <c r="D185" i="27"/>
  <c r="D282" i="27"/>
  <c r="D295" i="27"/>
  <c r="D324" i="27"/>
  <c r="D337" i="27"/>
  <c r="D10" i="27"/>
  <c r="D35" i="27"/>
  <c r="D61" i="27"/>
  <c r="D90" i="27"/>
  <c r="D103" i="27"/>
  <c r="D116" i="27"/>
  <c r="D200" i="27"/>
  <c r="D213" i="27"/>
  <c r="D226" i="27"/>
  <c r="D242" i="27"/>
  <c r="D255" i="27"/>
  <c r="D352" i="27"/>
  <c r="D365" i="27"/>
  <c r="D380" i="27"/>
  <c r="D74" i="27"/>
  <c r="D97" i="27"/>
  <c r="D110" i="27"/>
  <c r="D133" i="27"/>
  <c r="D156" i="27"/>
  <c r="D192" i="27"/>
  <c r="D215" i="27"/>
  <c r="D251" i="27"/>
  <c r="D274" i="27"/>
  <c r="D297" i="27"/>
  <c r="D310" i="27"/>
  <c r="D333" i="27"/>
  <c r="D356" i="27"/>
  <c r="D7" i="27"/>
  <c r="D18" i="27"/>
  <c r="D30" i="27"/>
  <c r="D41" i="27"/>
  <c r="D52" i="27"/>
  <c r="D63" i="27"/>
  <c r="D86" i="27"/>
  <c r="D122" i="27"/>
  <c r="D145" i="27"/>
  <c r="D181" i="27"/>
  <c r="D204" i="27"/>
  <c r="D227" i="27"/>
  <c r="D240" i="27"/>
  <c r="D263" i="27"/>
  <c r="D286" i="27"/>
  <c r="D322" i="27"/>
  <c r="D345" i="27"/>
  <c r="D381" i="27"/>
  <c r="D75" i="27"/>
  <c r="D111" i="27"/>
  <c r="D134" i="27"/>
  <c r="D157" i="27"/>
  <c r="D170" i="27"/>
  <c r="D193" i="27"/>
  <c r="D216" i="27"/>
  <c r="D252" i="27"/>
  <c r="D275" i="27"/>
  <c r="D311" i="27"/>
  <c r="D334" i="27"/>
  <c r="D357" i="27"/>
  <c r="D370" i="27"/>
  <c r="D68" i="27"/>
  <c r="D78" i="27"/>
  <c r="D88" i="27"/>
  <c r="D98" i="27"/>
  <c r="D108" i="27"/>
  <c r="D118" i="27"/>
  <c r="D128" i="27"/>
  <c r="D138" i="27"/>
  <c r="D148" i="27"/>
  <c r="D158" i="27"/>
  <c r="D168" i="27"/>
  <c r="D178" i="27"/>
  <c r="D188" i="27"/>
  <c r="D198" i="27"/>
  <c r="D208" i="27"/>
  <c r="D218" i="27"/>
  <c r="D228" i="27"/>
  <c r="D238" i="27"/>
  <c r="D248" i="27"/>
  <c r="D258" i="27"/>
  <c r="D268" i="27"/>
  <c r="D278" i="27"/>
  <c r="D288" i="27"/>
  <c r="D298" i="27"/>
  <c r="D308" i="27"/>
  <c r="D318" i="27"/>
  <c r="D328" i="27"/>
  <c r="D338" i="27"/>
  <c r="D348" i="27"/>
  <c r="D358" i="27"/>
  <c r="D368" i="27"/>
  <c r="D378" i="27"/>
  <c r="D9" i="27"/>
  <c r="D19" i="27"/>
  <c r="D29" i="27"/>
  <c r="D39" i="27"/>
  <c r="D49" i="27"/>
  <c r="D59" i="27"/>
  <c r="D69" i="27"/>
  <c r="D79" i="27"/>
  <c r="D89" i="27"/>
  <c r="D99" i="27"/>
  <c r="D109" i="27"/>
  <c r="D119" i="27"/>
  <c r="D129" i="27"/>
  <c r="D139" i="27"/>
  <c r="D149" i="27"/>
  <c r="D159" i="27"/>
  <c r="D169" i="27"/>
  <c r="D179" i="27"/>
  <c r="D189" i="27"/>
  <c r="D199" i="27"/>
  <c r="D209" i="27"/>
  <c r="D219" i="27"/>
  <c r="D229" i="27"/>
  <c r="D239" i="27"/>
  <c r="D249" i="27"/>
  <c r="D259" i="27"/>
  <c r="D269" i="27"/>
  <c r="D279" i="27"/>
  <c r="D289" i="27"/>
  <c r="D299" i="27"/>
  <c r="D309" i="27"/>
  <c r="D319" i="27"/>
  <c r="D329" i="27"/>
  <c r="D339" i="27"/>
  <c r="D349" i="27"/>
  <c r="D359" i="27"/>
  <c r="D369" i="27"/>
  <c r="D379" i="27"/>
  <c r="D5" i="27"/>
  <c r="B235" i="36"/>
  <c r="B282" i="36"/>
  <c r="B249" i="36"/>
  <c r="B308" i="36"/>
  <c r="B208" i="36"/>
  <c r="B225" i="36"/>
  <c r="B173" i="36"/>
  <c r="B180" i="36"/>
  <c r="B240" i="36"/>
  <c r="B254" i="36"/>
  <c r="B258" i="36"/>
  <c r="B263" i="36"/>
  <c r="B277" i="36"/>
  <c r="B283" i="36"/>
  <c r="B294" i="36"/>
  <c r="B304" i="36"/>
  <c r="B245" i="36"/>
  <c r="B300" i="36"/>
  <c r="B170" i="36"/>
  <c r="B205" i="36"/>
  <c r="B222" i="36"/>
  <c r="B325" i="36"/>
  <c r="B210" i="36"/>
  <c r="B237" i="36"/>
  <c r="B305" i="36"/>
  <c r="B174" i="36"/>
  <c r="B202" i="36"/>
  <c r="B227" i="36"/>
  <c r="B320" i="36"/>
  <c r="B185" i="36"/>
  <c r="B330" i="36"/>
  <c r="B270" i="36"/>
  <c r="B260" i="36"/>
  <c r="B215" i="36"/>
  <c r="B234" i="36"/>
  <c r="B203" i="36"/>
  <c r="B286" i="36"/>
  <c r="B291" i="36"/>
  <c r="B216" i="36"/>
  <c r="B252" i="36"/>
  <c r="B281" i="36"/>
  <c r="B297" i="36"/>
  <c r="B257" i="36"/>
  <c r="B261" i="36"/>
  <c r="B307" i="36"/>
  <c r="B313" i="36"/>
  <c r="B179" i="36"/>
  <c r="B243" i="36"/>
  <c r="B317" i="36"/>
  <c r="B169" i="36"/>
  <c r="B176" i="36"/>
  <c r="B195" i="36"/>
  <c r="B200" i="36"/>
  <c r="B248" i="36"/>
  <c r="B172" i="36"/>
  <c r="B318" i="36"/>
  <c r="B206" i="36"/>
  <c r="B302" i="36"/>
  <c r="B315" i="36"/>
  <c r="B183" i="36"/>
  <c r="B168" i="36"/>
  <c r="B289" i="36"/>
  <c r="B328" i="36"/>
  <c r="B189" i="36"/>
  <c r="B212" i="36"/>
  <c r="B192" i="36"/>
  <c r="B262" i="36"/>
  <c r="B196" i="36"/>
  <c r="B267" i="36"/>
  <c r="B272" i="36"/>
  <c r="B309" i="36"/>
  <c r="B218" i="36"/>
  <c r="B228" i="36"/>
  <c r="B323" i="36"/>
  <c r="B275" i="36"/>
  <c r="B326" i="36"/>
  <c r="B273" i="36"/>
  <c r="B285" i="36"/>
  <c r="B191" i="36"/>
  <c r="B221" i="36"/>
  <c r="B246" i="36"/>
  <c r="B329" i="36"/>
  <c r="B175" i="36"/>
  <c r="B188" i="36"/>
  <c r="B211" i="36"/>
  <c r="B236" i="36"/>
  <c r="B259" i="36"/>
  <c r="B266" i="36"/>
  <c r="B279" i="36"/>
  <c r="B197" i="36"/>
  <c r="B233" i="36"/>
  <c r="B239" i="36"/>
  <c r="B322" i="36"/>
  <c r="B171" i="36"/>
  <c r="B178" i="36"/>
  <c r="B181" i="36"/>
  <c r="B194" i="36"/>
  <c r="B217" i="36"/>
  <c r="B250" i="36"/>
  <c r="B256" i="36"/>
  <c r="B271" i="36"/>
  <c r="B314" i="36"/>
  <c r="B201" i="36"/>
  <c r="B223" i="36"/>
  <c r="B229" i="36"/>
  <c r="B253" i="36"/>
  <c r="B268" i="36"/>
  <c r="B284" i="36"/>
  <c r="B293" i="36"/>
  <c r="B298" i="36"/>
  <c r="B319" i="36"/>
  <c r="B324" i="36"/>
  <c r="B184" i="36"/>
  <c r="B187" i="36"/>
  <c r="B226" i="36"/>
  <c r="B290" i="36"/>
  <c r="B316" i="36"/>
  <c r="B207" i="36"/>
  <c r="B241" i="36"/>
  <c r="B247" i="36"/>
  <c r="B295" i="36"/>
  <c r="B190" i="36"/>
  <c r="B213" i="36"/>
  <c r="B303" i="36"/>
  <c r="B193" i="36"/>
  <c r="B198" i="36"/>
  <c r="B204" i="36"/>
  <c r="B251" i="36"/>
  <c r="B269" i="36"/>
  <c r="B292" i="36"/>
  <c r="B310" i="36"/>
  <c r="B321" i="36"/>
  <c r="B167" i="36"/>
  <c r="B177" i="36"/>
  <c r="B209" i="36"/>
  <c r="B238" i="36"/>
  <c r="B255" i="36"/>
  <c r="B280" i="36"/>
  <c r="B182" i="36"/>
  <c r="B214" i="36"/>
  <c r="B219" i="36"/>
  <c r="B224" i="36"/>
  <c r="B276" i="36"/>
  <c r="B288" i="36"/>
  <c r="B296" i="36"/>
  <c r="B301" i="36"/>
  <c r="B327" i="36"/>
  <c r="B186" i="36"/>
  <c r="B220" i="36"/>
  <c r="B231" i="36"/>
  <c r="B242" i="36"/>
  <c r="B274" i="36"/>
  <c r="B306" i="36"/>
  <c r="B311" i="36"/>
  <c r="B230" i="36"/>
  <c r="B244" i="36"/>
  <c r="B264" i="36"/>
  <c r="B278" i="36"/>
  <c r="B299" i="36"/>
  <c r="B312" i="36"/>
  <c r="C301" i="36"/>
  <c r="B151" i="36"/>
  <c r="B153" i="36"/>
  <c r="B135" i="36"/>
  <c r="B140" i="36"/>
  <c r="B147" i="36"/>
  <c r="B154" i="36"/>
  <c r="B164" i="36"/>
  <c r="B143" i="36"/>
  <c r="B150" i="36"/>
  <c r="B157" i="36"/>
  <c r="B160" i="36"/>
  <c r="B139" i="36"/>
  <c r="B146" i="36"/>
  <c r="B138" i="36"/>
  <c r="B159" i="36"/>
  <c r="B145" i="36"/>
  <c r="B134" i="36"/>
  <c r="B141" i="36"/>
  <c r="B152" i="36"/>
  <c r="B165" i="36"/>
  <c r="B148" i="36"/>
  <c r="B155" i="36"/>
  <c r="B137" i="36"/>
  <c r="B161" i="36"/>
  <c r="B144" i="36"/>
  <c r="B158" i="36"/>
  <c r="B163" i="36"/>
  <c r="B136" i="36"/>
  <c r="B156" i="36"/>
  <c r="B149" i="36"/>
  <c r="B142" i="36"/>
  <c r="B162" i="36"/>
  <c r="B117" i="36"/>
  <c r="B130" i="36"/>
  <c r="B127" i="36"/>
  <c r="B126" i="36"/>
  <c r="B123" i="36"/>
  <c r="B103" i="36"/>
  <c r="B106" i="36"/>
  <c r="B120" i="36"/>
  <c r="B107" i="36"/>
  <c r="B112" i="36"/>
  <c r="B113" i="36"/>
  <c r="B116" i="36"/>
  <c r="B110" i="36"/>
  <c r="B119" i="36"/>
  <c r="B132" i="36"/>
  <c r="B125" i="36"/>
  <c r="B118" i="36"/>
  <c r="B131" i="36"/>
  <c r="B105" i="36"/>
  <c r="B111" i="36"/>
  <c r="B104" i="36"/>
  <c r="B124" i="36"/>
  <c r="B109" i="36"/>
  <c r="B129" i="36"/>
  <c r="B102" i="36"/>
  <c r="B122" i="36"/>
  <c r="B115" i="36"/>
  <c r="B108" i="36"/>
  <c r="B128" i="36"/>
  <c r="B121" i="36"/>
  <c r="B101" i="36"/>
  <c r="B114" i="36"/>
  <c r="F266" i="36" a="1"/>
  <c r="F167" i="36" a="1"/>
  <c r="F134" i="36" a="1"/>
  <c r="F299" i="36" a="1"/>
  <c r="F200" i="36" a="1"/>
  <c r="F101" i="36" a="1"/>
  <c r="F102" i="36" a="1"/>
  <c r="F233" i="36" a="1"/>
  <c r="C170" i="36" l="1"/>
  <c r="C104" i="36"/>
  <c r="C269" i="36"/>
  <c r="C137" i="36"/>
  <c r="C236" i="36"/>
  <c r="F134" i="36"/>
  <c r="F233" i="36"/>
  <c r="F266" i="36"/>
  <c r="F101" i="36"/>
  <c r="F299" i="36"/>
  <c r="F200" i="36"/>
  <c r="F102" i="36"/>
  <c r="F167" i="36"/>
  <c r="C302" i="36"/>
  <c r="C204" i="36"/>
  <c r="I233" i="36" a="1"/>
  <c r="I266" i="36" a="1"/>
  <c r="I101" i="36" a="1"/>
  <c r="I299" i="36" a="1"/>
  <c r="I200" i="36" a="1"/>
  <c r="I102" i="36" a="1"/>
  <c r="I167" i="36" a="1"/>
  <c r="I134" i="36" a="1"/>
  <c r="F169" i="36" a="1"/>
  <c r="F267" i="36" a="1"/>
  <c r="F168" i="36" a="1"/>
  <c r="F234" i="36" a="1"/>
  <c r="F235" i="36" a="1"/>
  <c r="F201" i="36" a="1"/>
  <c r="F135" i="36" a="1"/>
  <c r="F202" i="36" a="1"/>
  <c r="F300" i="36" a="1"/>
  <c r="I134" i="36" l="1"/>
  <c r="I167" i="36"/>
  <c r="I102" i="36"/>
  <c r="I200" i="36"/>
  <c r="I299" i="36"/>
  <c r="I101" i="36"/>
  <c r="I266" i="36"/>
  <c r="I233" i="36"/>
  <c r="F169" i="36"/>
  <c r="C237" i="36"/>
  <c r="C138" i="36"/>
  <c r="C270" i="36"/>
  <c r="C105" i="36"/>
  <c r="C171" i="36"/>
  <c r="F201" i="36"/>
  <c r="F234" i="36"/>
  <c r="F168" i="36"/>
  <c r="F267" i="36"/>
  <c r="F235" i="36"/>
  <c r="F202" i="36"/>
  <c r="F135" i="36"/>
  <c r="F300" i="36"/>
  <c r="C303" i="36"/>
  <c r="C205" i="36"/>
  <c r="I135" i="36" a="1"/>
  <c r="I300" i="36" a="1"/>
  <c r="I169" i="36" a="1"/>
  <c r="I201" i="36" a="1"/>
  <c r="I234" i="36" a="1"/>
  <c r="I168" i="36" a="1"/>
  <c r="I267" i="36" a="1"/>
  <c r="I235" i="36" a="1"/>
  <c r="I202" i="36" a="1"/>
  <c r="F236" i="36" a="1"/>
  <c r="F170" i="36" a="1"/>
  <c r="F301" i="36" a="1"/>
  <c r="F103" i="36" a="1"/>
  <c r="F136" i="36" a="1"/>
  <c r="F203" i="36" a="1"/>
  <c r="F268" i="36" a="1"/>
  <c r="I202" i="36" l="1"/>
  <c r="I235" i="36"/>
  <c r="I267" i="36"/>
  <c r="I168" i="36"/>
  <c r="I234" i="36"/>
  <c r="I201" i="36"/>
  <c r="I169" i="36"/>
  <c r="I300" i="36"/>
  <c r="I135" i="36"/>
  <c r="F170" i="36"/>
  <c r="F236" i="36"/>
  <c r="C238" i="36"/>
  <c r="C172" i="36"/>
  <c r="C271" i="36"/>
  <c r="C139" i="36"/>
  <c r="C106" i="36"/>
  <c r="F268" i="36"/>
  <c r="F203" i="36"/>
  <c r="F103" i="36"/>
  <c r="F301" i="36"/>
  <c r="F136" i="36"/>
  <c r="C304" i="36"/>
  <c r="C206" i="36"/>
  <c r="I170" i="36" a="1"/>
  <c r="I236" i="36" a="1"/>
  <c r="I268" i="36" a="1"/>
  <c r="I203" i="36" a="1"/>
  <c r="I103" i="36" a="1"/>
  <c r="I301" i="36" a="1"/>
  <c r="I136" i="36" a="1"/>
  <c r="F237" i="36" a="1"/>
  <c r="F171" i="36" a="1"/>
  <c r="F269" i="36" a="1"/>
  <c r="F104" i="36" a="1"/>
  <c r="F204" i="36" a="1"/>
  <c r="F137" i="36" a="1"/>
  <c r="F302" i="36" a="1"/>
  <c r="I136" i="36" l="1"/>
  <c r="I301" i="36"/>
  <c r="I103" i="36"/>
  <c r="I203" i="36"/>
  <c r="I268" i="36"/>
  <c r="I236" i="36"/>
  <c r="I170" i="36"/>
  <c r="F171" i="36"/>
  <c r="F237" i="36"/>
  <c r="C107" i="36"/>
  <c r="C140" i="36"/>
  <c r="C239" i="36"/>
  <c r="C272" i="36"/>
  <c r="C173" i="36"/>
  <c r="F269" i="36"/>
  <c r="F302" i="36"/>
  <c r="F204" i="36"/>
  <c r="F104" i="36"/>
  <c r="F137" i="36"/>
  <c r="C305" i="36"/>
  <c r="C207" i="36"/>
  <c r="I171" i="36" a="1"/>
  <c r="I237" i="36" a="1"/>
  <c r="I269" i="36" a="1"/>
  <c r="I302" i="36" a="1"/>
  <c r="I204" i="36" a="1"/>
  <c r="I104" i="36" a="1"/>
  <c r="I137" i="36" a="1"/>
  <c r="F172" i="36" a="1"/>
  <c r="F238" i="36" a="1"/>
  <c r="F105" i="36" a="1"/>
  <c r="F270" i="36" a="1"/>
  <c r="F303" i="36" a="1"/>
  <c r="F138" i="36" a="1"/>
  <c r="F205" i="36" a="1"/>
  <c r="I137" i="36" l="1"/>
  <c r="I104" i="36"/>
  <c r="I204" i="36"/>
  <c r="I302" i="36"/>
  <c r="I269" i="36"/>
  <c r="I237" i="36"/>
  <c r="I171" i="36"/>
  <c r="F238" i="36"/>
  <c r="F172" i="36"/>
  <c r="C141" i="36"/>
  <c r="C240" i="36"/>
  <c r="C108" i="36"/>
  <c r="C174" i="36"/>
  <c r="C273" i="36"/>
  <c r="F303" i="36"/>
  <c r="F205" i="36"/>
  <c r="F105" i="36"/>
  <c r="F270" i="36"/>
  <c r="F138" i="36"/>
  <c r="C208" i="36"/>
  <c r="C306" i="36"/>
  <c r="I238" i="36" a="1"/>
  <c r="I172" i="36" a="1"/>
  <c r="I303" i="36" a="1"/>
  <c r="I205" i="36" a="1"/>
  <c r="I105" i="36" a="1"/>
  <c r="I270" i="36" a="1"/>
  <c r="I138" i="36" a="1"/>
  <c r="F239" i="36" a="1"/>
  <c r="F173" i="36" a="1"/>
  <c r="F106" i="36" a="1"/>
  <c r="F304" i="36" a="1"/>
  <c r="F206" i="36" a="1"/>
  <c r="F139" i="36" a="1"/>
  <c r="F271" i="36" a="1"/>
  <c r="I138" i="36" l="1"/>
  <c r="I270" i="36"/>
  <c r="I105" i="36"/>
  <c r="I205" i="36"/>
  <c r="I303" i="36"/>
  <c r="I172" i="36"/>
  <c r="I238" i="36"/>
  <c r="F173" i="36"/>
  <c r="F239" i="36"/>
  <c r="C142" i="36"/>
  <c r="C241" i="36"/>
  <c r="C109" i="36"/>
  <c r="C274" i="36"/>
  <c r="C175" i="36"/>
  <c r="F139" i="36"/>
  <c r="F271" i="36"/>
  <c r="F206" i="36"/>
  <c r="F106" i="36"/>
  <c r="F304" i="36"/>
  <c r="C307" i="36"/>
  <c r="C209" i="36"/>
  <c r="I173" i="36" a="1"/>
  <c r="I239" i="36" a="1"/>
  <c r="I139" i="36" a="1"/>
  <c r="I271" i="36" a="1"/>
  <c r="I206" i="36" a="1"/>
  <c r="I106" i="36" a="1"/>
  <c r="I304" i="36" a="1"/>
  <c r="F240" i="36" a="1"/>
  <c r="F174" i="36" a="1"/>
  <c r="F107" i="36" a="1"/>
  <c r="F305" i="36" a="1"/>
  <c r="F272" i="36" a="1"/>
  <c r="F140" i="36" a="1"/>
  <c r="F207" i="36" a="1"/>
  <c r="I304" i="36" l="1"/>
  <c r="I106" i="36"/>
  <c r="I206" i="36"/>
  <c r="I271" i="36"/>
  <c r="I139" i="36"/>
  <c r="I239" i="36"/>
  <c r="I173" i="36"/>
  <c r="F174" i="36"/>
  <c r="F240" i="36"/>
  <c r="C275" i="36"/>
  <c r="C110" i="36"/>
  <c r="C242" i="36"/>
  <c r="C143" i="36"/>
  <c r="C176" i="36"/>
  <c r="F140" i="36"/>
  <c r="F207" i="36"/>
  <c r="F272" i="36"/>
  <c r="F107" i="36"/>
  <c r="F305" i="36"/>
  <c r="C210" i="36"/>
  <c r="C308" i="36"/>
  <c r="I174" i="36" a="1"/>
  <c r="I240" i="36" a="1"/>
  <c r="I140" i="36" a="1"/>
  <c r="I207" i="36" a="1"/>
  <c r="I272" i="36" a="1"/>
  <c r="I107" i="36" a="1"/>
  <c r="I305" i="36" a="1"/>
  <c r="F241" i="36" a="1"/>
  <c r="F175" i="36" a="1"/>
  <c r="F141" i="36" a="1"/>
  <c r="F273" i="36" a="1"/>
  <c r="F208" i="36" a="1"/>
  <c r="F108" i="36" a="1"/>
  <c r="F306" i="36" a="1"/>
  <c r="I305" i="36" l="1"/>
  <c r="I107" i="36"/>
  <c r="I272" i="36"/>
  <c r="I207" i="36"/>
  <c r="I140" i="36"/>
  <c r="I240" i="36"/>
  <c r="I174" i="36"/>
  <c r="F175" i="36"/>
  <c r="F241" i="36"/>
  <c r="C243" i="36"/>
  <c r="C111" i="36"/>
  <c r="C276" i="36"/>
  <c r="C177" i="36"/>
  <c r="C144" i="36"/>
  <c r="F208" i="36"/>
  <c r="F273" i="36"/>
  <c r="F108" i="36"/>
  <c r="F141" i="36"/>
  <c r="F306" i="36"/>
  <c r="C211" i="36"/>
  <c r="C309" i="36"/>
  <c r="I175" i="36" a="1"/>
  <c r="I241" i="36" a="1"/>
  <c r="I208" i="36" a="1"/>
  <c r="I273" i="36" a="1"/>
  <c r="I108" i="36" a="1"/>
  <c r="I141" i="36" a="1"/>
  <c r="I306" i="36" a="1"/>
  <c r="F242" i="36" a="1"/>
  <c r="F176" i="36" a="1"/>
  <c r="F109" i="36" a="1"/>
  <c r="F209" i="36" a="1"/>
  <c r="F274" i="36" a="1"/>
  <c r="F307" i="36" a="1"/>
  <c r="F142" i="36" a="1"/>
  <c r="I306" i="36" l="1"/>
  <c r="I141" i="36"/>
  <c r="I108" i="36"/>
  <c r="I273" i="36"/>
  <c r="I208" i="36"/>
  <c r="I241" i="36"/>
  <c r="I175" i="36"/>
  <c r="F176" i="36"/>
  <c r="F242" i="36"/>
  <c r="C277" i="36"/>
  <c r="C112" i="36"/>
  <c r="C244" i="36"/>
  <c r="C145" i="36"/>
  <c r="C178" i="36"/>
  <c r="F142" i="36"/>
  <c r="F274" i="36"/>
  <c r="F307" i="36"/>
  <c r="F209" i="36"/>
  <c r="F109" i="36"/>
  <c r="C310" i="36"/>
  <c r="C212" i="36"/>
  <c r="I176" i="36" a="1"/>
  <c r="I242" i="36" a="1"/>
  <c r="I142" i="36" a="1"/>
  <c r="I274" i="36" a="1"/>
  <c r="I307" i="36" a="1"/>
  <c r="I209" i="36" a="1"/>
  <c r="I109" i="36" a="1"/>
  <c r="F243" i="36" a="1"/>
  <c r="F177" i="36" a="1"/>
  <c r="F275" i="36" a="1"/>
  <c r="F308" i="36" a="1"/>
  <c r="F210" i="36" a="1"/>
  <c r="F110" i="36" a="1"/>
  <c r="F143" i="36" a="1"/>
  <c r="I109" i="36" l="1"/>
  <c r="I209" i="36"/>
  <c r="I307" i="36"/>
  <c r="I274" i="36"/>
  <c r="I142" i="36"/>
  <c r="I242" i="36"/>
  <c r="I176" i="36"/>
  <c r="F177" i="36"/>
  <c r="F243" i="36"/>
  <c r="C113" i="36"/>
  <c r="C146" i="36"/>
  <c r="C245" i="36"/>
  <c r="C278" i="36"/>
  <c r="C179" i="36"/>
  <c r="F143" i="36"/>
  <c r="F210" i="36"/>
  <c r="F308" i="36"/>
  <c r="F110" i="36"/>
  <c r="F275" i="36"/>
  <c r="C311" i="36"/>
  <c r="C213" i="36"/>
  <c r="I177" i="36" a="1"/>
  <c r="I243" i="36" a="1"/>
  <c r="I143" i="36" a="1"/>
  <c r="I210" i="36" a="1"/>
  <c r="I308" i="36" a="1"/>
  <c r="I110" i="36" a="1"/>
  <c r="I275" i="36" a="1"/>
  <c r="F244" i="36" a="1"/>
  <c r="F178" i="36" a="1"/>
  <c r="F211" i="36" a="1"/>
  <c r="F111" i="36" a="1"/>
  <c r="F309" i="36" a="1"/>
  <c r="F276" i="36" a="1"/>
  <c r="F144" i="36" a="1"/>
  <c r="I275" i="36" l="1"/>
  <c r="I110" i="36"/>
  <c r="I308" i="36"/>
  <c r="I210" i="36"/>
  <c r="I143" i="36"/>
  <c r="I243" i="36"/>
  <c r="I177" i="36"/>
  <c r="F178" i="36"/>
  <c r="F244" i="36"/>
  <c r="C147" i="36"/>
  <c r="C180" i="36"/>
  <c r="C246" i="36"/>
  <c r="C114" i="36"/>
  <c r="C279" i="36"/>
  <c r="F276" i="36"/>
  <c r="F309" i="36"/>
  <c r="F211" i="36"/>
  <c r="F111" i="36"/>
  <c r="F144" i="36"/>
  <c r="C312" i="36"/>
  <c r="C214" i="36"/>
  <c r="I178" i="36" a="1"/>
  <c r="I244" i="36" a="1"/>
  <c r="I276" i="36" a="1"/>
  <c r="I309" i="36" a="1"/>
  <c r="I211" i="36" a="1"/>
  <c r="I111" i="36" a="1"/>
  <c r="I144" i="36" a="1"/>
  <c r="F179" i="36" a="1"/>
  <c r="F245" i="36" a="1"/>
  <c r="F212" i="36" a="1"/>
  <c r="F112" i="36" a="1"/>
  <c r="F145" i="36" a="1"/>
  <c r="F277" i="36" a="1"/>
  <c r="F310" i="36" a="1"/>
  <c r="I144" i="36" l="1"/>
  <c r="I111" i="36"/>
  <c r="I211" i="36"/>
  <c r="I309" i="36"/>
  <c r="I276" i="36"/>
  <c r="I244" i="36"/>
  <c r="I178" i="36"/>
  <c r="F245" i="36"/>
  <c r="F179" i="36"/>
  <c r="C148" i="36"/>
  <c r="C247" i="36"/>
  <c r="C181" i="36"/>
  <c r="C280" i="36"/>
  <c r="C115" i="36"/>
  <c r="F145" i="36"/>
  <c r="F310" i="36"/>
  <c r="F277" i="36"/>
  <c r="F112" i="36"/>
  <c r="F212" i="36"/>
  <c r="C215" i="36"/>
  <c r="C313" i="36"/>
  <c r="I245" i="36" a="1"/>
  <c r="I179" i="36" a="1"/>
  <c r="I145" i="36" a="1"/>
  <c r="I310" i="36" a="1"/>
  <c r="I277" i="36" a="1"/>
  <c r="I112" i="36" a="1"/>
  <c r="I212" i="36" a="1"/>
  <c r="F180" i="36" a="1"/>
  <c r="F246" i="36" a="1"/>
  <c r="F311" i="36" a="1"/>
  <c r="F113" i="36" a="1"/>
  <c r="F278" i="36" a="1"/>
  <c r="F213" i="36" a="1"/>
  <c r="F146" i="36" a="1"/>
  <c r="I212" i="36" l="1"/>
  <c r="I112" i="36"/>
  <c r="I277" i="36"/>
  <c r="I310" i="36"/>
  <c r="I145" i="36"/>
  <c r="I179" i="36"/>
  <c r="I245" i="36"/>
  <c r="F246" i="36"/>
  <c r="F180" i="36"/>
  <c r="C248" i="36"/>
  <c r="C182" i="36"/>
  <c r="C149" i="36"/>
  <c r="C116" i="36"/>
  <c r="C281" i="36"/>
  <c r="F146" i="36"/>
  <c r="F278" i="36"/>
  <c r="F113" i="36"/>
  <c r="F311" i="36"/>
  <c r="F213" i="36"/>
  <c r="C314" i="36"/>
  <c r="C216" i="36"/>
  <c r="I246" i="36" a="1"/>
  <c r="I180" i="36" a="1"/>
  <c r="I146" i="36" a="1"/>
  <c r="I278" i="36" a="1"/>
  <c r="I113" i="36" a="1"/>
  <c r="I311" i="36" a="1"/>
  <c r="I213" i="36" a="1"/>
  <c r="F247" i="36" a="1"/>
  <c r="F181" i="36" a="1"/>
  <c r="F279" i="36" a="1"/>
  <c r="F312" i="36" a="1"/>
  <c r="F114" i="36" a="1"/>
  <c r="F214" i="36" a="1"/>
  <c r="F147" i="36" a="1"/>
  <c r="I213" i="36" l="1"/>
  <c r="I311" i="36"/>
  <c r="I113" i="36"/>
  <c r="I278" i="36"/>
  <c r="I146" i="36"/>
  <c r="I180" i="36"/>
  <c r="I246" i="36"/>
  <c r="F181" i="36"/>
  <c r="F247" i="36"/>
  <c r="C249" i="36"/>
  <c r="C150" i="36"/>
  <c r="C183" i="36"/>
  <c r="C282" i="36"/>
  <c r="C117" i="36"/>
  <c r="F147" i="36"/>
  <c r="F214" i="36"/>
  <c r="F279" i="36"/>
  <c r="F114" i="36"/>
  <c r="F312" i="36"/>
  <c r="C315" i="36"/>
  <c r="C217" i="36"/>
  <c r="I181" i="36" a="1"/>
  <c r="I247" i="36" a="1"/>
  <c r="I147" i="36" a="1"/>
  <c r="I214" i="36" a="1"/>
  <c r="I279" i="36" a="1"/>
  <c r="I114" i="36" a="1"/>
  <c r="I312" i="36" a="1"/>
  <c r="F248" i="36" a="1"/>
  <c r="F182" i="36" a="1"/>
  <c r="F280" i="36" a="1"/>
  <c r="F115" i="36" a="1"/>
  <c r="F313" i="36" a="1"/>
  <c r="F215" i="36" a="1"/>
  <c r="F148" i="36" a="1"/>
  <c r="I312" i="36" l="1"/>
  <c r="I114" i="36"/>
  <c r="I279" i="36"/>
  <c r="I214" i="36"/>
  <c r="I147" i="36"/>
  <c r="I247" i="36"/>
  <c r="I181" i="36"/>
  <c r="F182" i="36"/>
  <c r="F248" i="36"/>
  <c r="C250" i="36"/>
  <c r="C184" i="36"/>
  <c r="C151" i="36"/>
  <c r="C118" i="36"/>
  <c r="C283" i="36"/>
  <c r="F148" i="36"/>
  <c r="F313" i="36"/>
  <c r="F215" i="36"/>
  <c r="F115" i="36"/>
  <c r="F280" i="36"/>
  <c r="C316" i="36"/>
  <c r="C218" i="36"/>
  <c r="I182" i="36" a="1"/>
  <c r="I248" i="36" a="1"/>
  <c r="I148" i="36" a="1"/>
  <c r="I313" i="36" a="1"/>
  <c r="I215" i="36" a="1"/>
  <c r="I115" i="36" a="1"/>
  <c r="I280" i="36" a="1"/>
  <c r="F183" i="36" a="1"/>
  <c r="F249" i="36" a="1"/>
  <c r="F116" i="36" a="1"/>
  <c r="F281" i="36" a="1"/>
  <c r="F314" i="36" a="1"/>
  <c r="F216" i="36" a="1"/>
  <c r="F149" i="36" a="1"/>
  <c r="I280" i="36" l="1"/>
  <c r="I115" i="36"/>
  <c r="I215" i="36"/>
  <c r="I313" i="36"/>
  <c r="I148" i="36"/>
  <c r="I248" i="36"/>
  <c r="I182" i="36"/>
  <c r="F249" i="36"/>
  <c r="F183" i="36"/>
  <c r="C284" i="36"/>
  <c r="C185" i="36"/>
  <c r="C251" i="36"/>
  <c r="C152" i="36"/>
  <c r="C119" i="36"/>
  <c r="F149" i="36"/>
  <c r="F216" i="36"/>
  <c r="F314" i="36"/>
  <c r="F116" i="36"/>
  <c r="F281" i="36"/>
  <c r="C317" i="36"/>
  <c r="C219" i="36"/>
  <c r="I249" i="36" a="1"/>
  <c r="I183" i="36" a="1"/>
  <c r="I149" i="36" a="1"/>
  <c r="I216" i="36" a="1"/>
  <c r="I314" i="36" a="1"/>
  <c r="I116" i="36" a="1"/>
  <c r="I281" i="36" a="1"/>
  <c r="F184" i="36" a="1"/>
  <c r="F250" i="36" a="1"/>
  <c r="F217" i="36" a="1"/>
  <c r="F117" i="36" a="1"/>
  <c r="F315" i="36" a="1"/>
  <c r="F150" i="36" a="1"/>
  <c r="F282" i="36" a="1"/>
  <c r="I281" i="36" l="1"/>
  <c r="I116" i="36"/>
  <c r="I314" i="36"/>
  <c r="I216" i="36"/>
  <c r="I149" i="36"/>
  <c r="I183" i="36"/>
  <c r="I249" i="36"/>
  <c r="F250" i="36"/>
  <c r="F184" i="36"/>
  <c r="C120" i="36"/>
  <c r="C153" i="36"/>
  <c r="C252" i="36"/>
  <c r="C186" i="36"/>
  <c r="C285" i="36"/>
  <c r="F282" i="36"/>
  <c r="F150" i="36"/>
  <c r="F315" i="36"/>
  <c r="F117" i="36"/>
  <c r="F217" i="36"/>
  <c r="C318" i="36"/>
  <c r="C220" i="36"/>
  <c r="I250" i="36" a="1"/>
  <c r="I184" i="36" a="1"/>
  <c r="I282" i="36" a="1"/>
  <c r="I150" i="36" a="1"/>
  <c r="I315" i="36" a="1"/>
  <c r="I117" i="36" a="1"/>
  <c r="I217" i="36" a="1"/>
  <c r="F251" i="36" a="1"/>
  <c r="F185" i="36" a="1"/>
  <c r="F118" i="36" a="1"/>
  <c r="F283" i="36" a="1"/>
  <c r="F316" i="36" a="1"/>
  <c r="F218" i="36" a="1"/>
  <c r="F151" i="36" a="1"/>
  <c r="I217" i="36" l="1"/>
  <c r="I117" i="36"/>
  <c r="I315" i="36"/>
  <c r="I150" i="36"/>
  <c r="I282" i="36"/>
  <c r="I184" i="36"/>
  <c r="I250" i="36"/>
  <c r="F185" i="36"/>
  <c r="F251" i="36"/>
  <c r="C286" i="36"/>
  <c r="C187" i="36"/>
  <c r="C253" i="36"/>
  <c r="C154" i="36"/>
  <c r="C121" i="36"/>
  <c r="F218" i="36"/>
  <c r="F316" i="36"/>
  <c r="F118" i="36"/>
  <c r="F151" i="36"/>
  <c r="F283" i="36"/>
  <c r="C319" i="36"/>
  <c r="C221" i="36"/>
  <c r="I185" i="36" a="1"/>
  <c r="I251" i="36" a="1"/>
  <c r="I218" i="36" a="1"/>
  <c r="I316" i="36" a="1"/>
  <c r="I118" i="36" a="1"/>
  <c r="I151" i="36" a="1"/>
  <c r="I283" i="36" a="1"/>
  <c r="F186" i="36" a="1"/>
  <c r="F252" i="36" a="1"/>
  <c r="F317" i="36" a="1"/>
  <c r="F219" i="36" a="1"/>
  <c r="F119" i="36" a="1"/>
  <c r="F152" i="36" a="1"/>
  <c r="F284" i="36" a="1"/>
  <c r="I283" i="36" l="1"/>
  <c r="I151" i="36"/>
  <c r="I118" i="36"/>
  <c r="I316" i="36"/>
  <c r="I218" i="36"/>
  <c r="I251" i="36"/>
  <c r="I185" i="36"/>
  <c r="F252" i="36"/>
  <c r="F186" i="36"/>
  <c r="C254" i="36"/>
  <c r="C188" i="36"/>
  <c r="C287" i="36"/>
  <c r="C122" i="36"/>
  <c r="C155" i="36"/>
  <c r="F219" i="36"/>
  <c r="F284" i="36"/>
  <c r="F317" i="36"/>
  <c r="F119" i="36"/>
  <c r="F152" i="36"/>
  <c r="C222" i="36"/>
  <c r="C320" i="36"/>
  <c r="I252" i="36" a="1"/>
  <c r="I186" i="36" a="1"/>
  <c r="I219" i="36" a="1"/>
  <c r="I284" i="36" a="1"/>
  <c r="I317" i="36" a="1"/>
  <c r="I119" i="36" a="1"/>
  <c r="I152" i="36" a="1"/>
  <c r="F253" i="36" a="1"/>
  <c r="F187" i="36" a="1"/>
  <c r="F120" i="36" a="1"/>
  <c r="F318" i="36" a="1"/>
  <c r="F220" i="36" a="1"/>
  <c r="F285" i="36" a="1"/>
  <c r="F153" i="36" a="1"/>
  <c r="I152" i="36" l="1"/>
  <c r="I119" i="36"/>
  <c r="I317" i="36"/>
  <c r="I284" i="36"/>
  <c r="I219" i="36"/>
  <c r="I186" i="36"/>
  <c r="I252" i="36"/>
  <c r="F187" i="36"/>
  <c r="F253" i="36"/>
  <c r="C123" i="36"/>
  <c r="C288" i="36"/>
  <c r="C189" i="36"/>
  <c r="C255" i="36"/>
  <c r="C156" i="36"/>
  <c r="F153" i="36"/>
  <c r="F285" i="36"/>
  <c r="F220" i="36"/>
  <c r="F318" i="36"/>
  <c r="F120" i="36"/>
  <c r="C223" i="36"/>
  <c r="C321" i="36"/>
  <c r="I187" i="36" a="1"/>
  <c r="I253" i="36" a="1"/>
  <c r="I153" i="36" a="1"/>
  <c r="I285" i="36" a="1"/>
  <c r="I220" i="36" a="1"/>
  <c r="I318" i="36" a="1"/>
  <c r="I120" i="36" a="1"/>
  <c r="F188" i="36" a="1"/>
  <c r="F254" i="36" a="1"/>
  <c r="F287" i="36" a="1"/>
  <c r="F154" i="36" a="1"/>
  <c r="F121" i="36" a="1"/>
  <c r="F286" i="36" a="1"/>
  <c r="F319" i="36" a="1"/>
  <c r="F221" i="36" a="1"/>
  <c r="I120" i="36" l="1"/>
  <c r="I318" i="36"/>
  <c r="I220" i="36"/>
  <c r="I285" i="36"/>
  <c r="I153" i="36"/>
  <c r="I253" i="36"/>
  <c r="I187" i="36"/>
  <c r="F254" i="36"/>
  <c r="F188" i="36"/>
  <c r="C190" i="36"/>
  <c r="C289" i="36"/>
  <c r="C124" i="36"/>
  <c r="C157" i="36"/>
  <c r="C256" i="36"/>
  <c r="F287" i="36"/>
  <c r="F154" i="36"/>
  <c r="F221" i="36"/>
  <c r="F121" i="36"/>
  <c r="F319" i="36"/>
  <c r="F286" i="36"/>
  <c r="C224" i="36"/>
  <c r="C322" i="36"/>
  <c r="I254" i="36" a="1"/>
  <c r="I188" i="36" a="1"/>
  <c r="I287" i="36" a="1"/>
  <c r="I154" i="36" a="1"/>
  <c r="I221" i="36" a="1"/>
  <c r="I121" i="36" a="1"/>
  <c r="I319" i="36" a="1"/>
  <c r="I286" i="36" a="1"/>
  <c r="F255" i="36" a="1"/>
  <c r="F189" i="36" a="1"/>
  <c r="F122" i="36" a="1"/>
  <c r="F222" i="36" a="1"/>
  <c r="F288" i="36" a="1"/>
  <c r="F155" i="36" a="1"/>
  <c r="F320" i="36" a="1"/>
  <c r="I286" i="36" l="1"/>
  <c r="I319" i="36"/>
  <c r="I121" i="36"/>
  <c r="I221" i="36"/>
  <c r="I154" i="36"/>
  <c r="I287" i="36"/>
  <c r="I188" i="36"/>
  <c r="I254" i="36"/>
  <c r="F189" i="36"/>
  <c r="F255" i="36"/>
  <c r="C257" i="36"/>
  <c r="C158" i="36"/>
  <c r="C125" i="36"/>
  <c r="C290" i="36"/>
  <c r="C191" i="36"/>
  <c r="F155" i="36"/>
  <c r="F222" i="36"/>
  <c r="F320" i="36"/>
  <c r="F288" i="36"/>
  <c r="F122" i="36"/>
  <c r="C225" i="36"/>
  <c r="C323" i="36"/>
  <c r="I189" i="36" a="1"/>
  <c r="I255" i="36" a="1"/>
  <c r="I155" i="36" a="1"/>
  <c r="I222" i="36" a="1"/>
  <c r="I320" i="36" a="1"/>
  <c r="I288" i="36" a="1"/>
  <c r="I122" i="36" a="1"/>
  <c r="F256" i="36" a="1"/>
  <c r="F190" i="36" a="1"/>
  <c r="F123" i="36" a="1"/>
  <c r="F289" i="36" a="1"/>
  <c r="F156" i="36" a="1"/>
  <c r="F321" i="36" a="1"/>
  <c r="F223" i="36" a="1"/>
  <c r="I122" i="36" l="1"/>
  <c r="I288" i="36"/>
  <c r="I320" i="36"/>
  <c r="I222" i="36"/>
  <c r="I155" i="36"/>
  <c r="I255" i="36"/>
  <c r="I189" i="36"/>
  <c r="F190" i="36"/>
  <c r="F256" i="36"/>
  <c r="C126" i="36"/>
  <c r="C159" i="36"/>
  <c r="C258" i="36"/>
  <c r="C192" i="36"/>
  <c r="C291" i="36"/>
  <c r="F156" i="36"/>
  <c r="F223" i="36"/>
  <c r="F321" i="36"/>
  <c r="F289" i="36"/>
  <c r="F123" i="36"/>
  <c r="C226" i="36"/>
  <c r="C324" i="36"/>
  <c r="I190" i="36" a="1"/>
  <c r="I256" i="36" a="1"/>
  <c r="I156" i="36" a="1"/>
  <c r="I223" i="36" a="1"/>
  <c r="I321" i="36" a="1"/>
  <c r="I289" i="36" a="1"/>
  <c r="I123" i="36" a="1"/>
  <c r="F257" i="36" a="1"/>
  <c r="F191" i="36" a="1"/>
  <c r="F290" i="36" a="1"/>
  <c r="F124" i="36" a="1"/>
  <c r="F224" i="36" a="1"/>
  <c r="F322" i="36" a="1"/>
  <c r="F157" i="36" a="1"/>
  <c r="I123" i="36" l="1"/>
  <c r="I289" i="36"/>
  <c r="I321" i="36"/>
  <c r="I223" i="36"/>
  <c r="I156" i="36"/>
  <c r="I256" i="36"/>
  <c r="I190" i="36"/>
  <c r="F191" i="36"/>
  <c r="F257" i="36"/>
  <c r="C259" i="36"/>
  <c r="C160" i="36"/>
  <c r="C127" i="36"/>
  <c r="C292" i="36"/>
  <c r="C193" i="36"/>
  <c r="F322" i="36"/>
  <c r="F224" i="36"/>
  <c r="F124" i="36"/>
  <c r="F290" i="36"/>
  <c r="F157" i="36"/>
  <c r="C325" i="36"/>
  <c r="C227" i="36"/>
  <c r="I191" i="36" a="1"/>
  <c r="I257" i="36" a="1"/>
  <c r="I322" i="36" a="1"/>
  <c r="I224" i="36" a="1"/>
  <c r="I124" i="36" a="1"/>
  <c r="I290" i="36" a="1"/>
  <c r="I157" i="36" a="1"/>
  <c r="F258" i="36" a="1"/>
  <c r="F192" i="36" a="1"/>
  <c r="F323" i="36" a="1"/>
  <c r="F125" i="36" a="1"/>
  <c r="F225" i="36" a="1"/>
  <c r="F291" i="36" a="1"/>
  <c r="F158" i="36" a="1"/>
  <c r="I157" i="36" l="1"/>
  <c r="I290" i="36"/>
  <c r="I124" i="36"/>
  <c r="I224" i="36"/>
  <c r="I322" i="36"/>
  <c r="I257" i="36"/>
  <c r="I191" i="36"/>
  <c r="F192" i="36"/>
  <c r="F258" i="36"/>
  <c r="C194" i="36"/>
  <c r="C293" i="36"/>
  <c r="C161" i="36"/>
  <c r="C260" i="36"/>
  <c r="C128" i="36"/>
  <c r="F125" i="36"/>
  <c r="F225" i="36"/>
  <c r="F158" i="36"/>
  <c r="F323" i="36"/>
  <c r="F291" i="36"/>
  <c r="C228" i="36"/>
  <c r="C326" i="36"/>
  <c r="I192" i="36" a="1"/>
  <c r="I258" i="36" a="1"/>
  <c r="I125" i="36" a="1"/>
  <c r="I225" i="36" a="1"/>
  <c r="I158" i="36" a="1"/>
  <c r="I323" i="36" a="1"/>
  <c r="I291" i="36" a="1"/>
  <c r="F259" i="36" a="1"/>
  <c r="F193" i="36" a="1"/>
  <c r="F292" i="36" a="1"/>
  <c r="F126" i="36" a="1"/>
  <c r="F226" i="36" a="1"/>
  <c r="F324" i="36" a="1"/>
  <c r="F159" i="36" a="1"/>
  <c r="I291" i="36" l="1"/>
  <c r="I323" i="36"/>
  <c r="I158" i="36"/>
  <c r="I225" i="36"/>
  <c r="I125" i="36"/>
  <c r="I258" i="36"/>
  <c r="I192" i="36"/>
  <c r="F193" i="36"/>
  <c r="F259" i="36"/>
  <c r="C129" i="36"/>
  <c r="C261" i="36"/>
  <c r="C162" i="36"/>
  <c r="C294" i="36"/>
  <c r="C195" i="36"/>
  <c r="F159" i="36"/>
  <c r="F324" i="36"/>
  <c r="F226" i="36"/>
  <c r="F126" i="36"/>
  <c r="F292" i="36"/>
  <c r="C229" i="36"/>
  <c r="C327" i="36"/>
  <c r="I193" i="36" a="1"/>
  <c r="I259" i="36" a="1"/>
  <c r="I159" i="36" a="1"/>
  <c r="I324" i="36" a="1"/>
  <c r="I226" i="36" a="1"/>
  <c r="I126" i="36" a="1"/>
  <c r="I292" i="36" a="1"/>
  <c r="F194" i="36" a="1"/>
  <c r="F260" i="36" a="1"/>
  <c r="F127" i="36" a="1"/>
  <c r="F227" i="36" a="1"/>
  <c r="F293" i="36" a="1"/>
  <c r="F160" i="36" a="1"/>
  <c r="F325" i="36" a="1"/>
  <c r="I292" i="36" l="1"/>
  <c r="I126" i="36"/>
  <c r="I226" i="36"/>
  <c r="I324" i="36"/>
  <c r="I159" i="36"/>
  <c r="I259" i="36"/>
  <c r="I193" i="36"/>
  <c r="F260" i="36"/>
  <c r="F194" i="36"/>
  <c r="C262" i="36"/>
  <c r="C196" i="36"/>
  <c r="C295" i="36"/>
  <c r="C130" i="36"/>
  <c r="C163" i="36"/>
  <c r="F160" i="36"/>
  <c r="F325" i="36"/>
  <c r="F227" i="36"/>
  <c r="F293" i="36"/>
  <c r="F127" i="36"/>
  <c r="C328" i="36"/>
  <c r="C230" i="36"/>
  <c r="I260" i="36" a="1"/>
  <c r="I194" i="36" a="1"/>
  <c r="I160" i="36" a="1"/>
  <c r="I325" i="36" a="1"/>
  <c r="I227" i="36" a="1"/>
  <c r="I293" i="36" a="1"/>
  <c r="I127" i="36" a="1"/>
  <c r="F261" i="36" a="1"/>
  <c r="F195" i="36" a="1"/>
  <c r="F326" i="36" a="1"/>
  <c r="F128" i="36" a="1"/>
  <c r="F161" i="36" a="1"/>
  <c r="F294" i="36" a="1"/>
  <c r="F228" i="36" a="1"/>
  <c r="I127" i="36" l="1"/>
  <c r="I293" i="36"/>
  <c r="I227" i="36"/>
  <c r="I325" i="36"/>
  <c r="I160" i="36"/>
  <c r="I194" i="36"/>
  <c r="I260" i="36"/>
  <c r="F195" i="36"/>
  <c r="F261" i="36"/>
  <c r="C296" i="36"/>
  <c r="C197" i="36"/>
  <c r="C263" i="36"/>
  <c r="C164" i="36"/>
  <c r="C131" i="36"/>
  <c r="F228" i="36"/>
  <c r="F161" i="36"/>
  <c r="F294" i="36"/>
  <c r="F326" i="36"/>
  <c r="F128" i="36"/>
  <c r="C329" i="36"/>
  <c r="C231" i="36"/>
  <c r="I195" i="36" a="1"/>
  <c r="I261" i="36" a="1"/>
  <c r="I228" i="36" a="1"/>
  <c r="I161" i="36" a="1"/>
  <c r="I294" i="36" a="1"/>
  <c r="I326" i="36" a="1"/>
  <c r="I128" i="36" a="1"/>
  <c r="F196" i="36" a="1"/>
  <c r="F262" i="36" a="1"/>
  <c r="F327" i="36" a="1"/>
  <c r="F162" i="36" a="1"/>
  <c r="F129" i="36" a="1"/>
  <c r="F229" i="36" a="1"/>
  <c r="F295" i="36" a="1"/>
  <c r="I128" i="36" l="1"/>
  <c r="I326" i="36"/>
  <c r="I294" i="36"/>
  <c r="I161" i="36"/>
  <c r="I228" i="36"/>
  <c r="I261" i="36"/>
  <c r="I195" i="36"/>
  <c r="F262" i="36"/>
  <c r="F196" i="36"/>
  <c r="C165" i="36"/>
  <c r="C264" i="36"/>
  <c r="C198" i="36"/>
  <c r="C297" i="36"/>
  <c r="C232" i="36"/>
  <c r="C132" i="36"/>
  <c r="F162" i="36"/>
  <c r="F327" i="36"/>
  <c r="F295" i="36"/>
  <c r="F229" i="36"/>
  <c r="F129" i="36"/>
  <c r="C330" i="36"/>
  <c r="I262" i="36" a="1"/>
  <c r="I196" i="36" a="1"/>
  <c r="I162" i="36" a="1"/>
  <c r="I327" i="36" a="1"/>
  <c r="I295" i="36" a="1"/>
  <c r="I229" i="36" a="1"/>
  <c r="I129" i="36" a="1"/>
  <c r="F263" i="36" a="1"/>
  <c r="F197" i="36" a="1"/>
  <c r="F328" i="36" a="1"/>
  <c r="F230" i="36" a="1"/>
  <c r="F130" i="36" a="1"/>
  <c r="F163" i="36" a="1"/>
  <c r="F296" i="36" a="1"/>
  <c r="I129" i="36" l="1"/>
  <c r="I229" i="36"/>
  <c r="I295" i="36"/>
  <c r="I327" i="36"/>
  <c r="I162" i="36"/>
  <c r="I196" i="36"/>
  <c r="I262" i="36"/>
  <c r="F197" i="36"/>
  <c r="F263" i="36"/>
  <c r="C265" i="36"/>
  <c r="C331" i="36"/>
  <c r="C199" i="36"/>
  <c r="C166" i="36"/>
  <c r="C133" i="36"/>
  <c r="C298" i="36"/>
  <c r="F130" i="36"/>
  <c r="F163" i="36"/>
  <c r="F296" i="36"/>
  <c r="F230" i="36"/>
  <c r="F328" i="36"/>
  <c r="I197" i="36" a="1"/>
  <c r="I263" i="36" a="1"/>
  <c r="I130" i="36" a="1"/>
  <c r="I163" i="36" a="1"/>
  <c r="I296" i="36" a="1"/>
  <c r="I230" i="36" a="1"/>
  <c r="I328" i="36" a="1"/>
  <c r="F264" i="36" a="1"/>
  <c r="F198" i="36" a="1"/>
  <c r="F131" i="36" a="1"/>
  <c r="F232" i="36" a="1"/>
  <c r="F329" i="36" a="1"/>
  <c r="F231" i="36" a="1"/>
  <c r="F297" i="36" a="1"/>
  <c r="F164" i="36" a="1"/>
  <c r="I328" i="36" l="1"/>
  <c r="I230" i="36"/>
  <c r="I296" i="36"/>
  <c r="I163" i="36"/>
  <c r="I130" i="36"/>
  <c r="I263" i="36"/>
  <c r="I197" i="36"/>
  <c r="F198" i="36"/>
  <c r="F264" i="36"/>
  <c r="F232" i="36"/>
  <c r="F297" i="36"/>
  <c r="F329" i="36"/>
  <c r="F131" i="36"/>
  <c r="F164" i="36"/>
  <c r="F231" i="36"/>
  <c r="I198" i="36" a="1"/>
  <c r="I264" i="36" a="1"/>
  <c r="I232" i="36" a="1"/>
  <c r="I297" i="36" a="1"/>
  <c r="I329" i="36" a="1"/>
  <c r="I131" i="36" a="1"/>
  <c r="I164" i="36" a="1"/>
  <c r="I231" i="36" a="1"/>
  <c r="F199" i="36" a="1"/>
  <c r="F265" i="36" a="1"/>
  <c r="F331" i="36" a="1"/>
  <c r="F298" i="36" a="1"/>
  <c r="F330" i="36" a="1"/>
  <c r="F165" i="36" a="1"/>
  <c r="F166" i="36" a="1"/>
  <c r="F132" i="36" a="1"/>
  <c r="F133" i="36" a="1"/>
  <c r="I231" i="36" l="1"/>
  <c r="I164" i="36"/>
  <c r="I131" i="36"/>
  <c r="I329" i="36"/>
  <c r="I297" i="36"/>
  <c r="I232" i="36"/>
  <c r="I264" i="36"/>
  <c r="I198" i="36"/>
  <c r="F265" i="36"/>
  <c r="F199" i="36"/>
  <c r="F331" i="36"/>
  <c r="F166" i="36"/>
  <c r="F133" i="36"/>
  <c r="F165" i="36"/>
  <c r="F298" i="36"/>
  <c r="F330" i="36"/>
  <c r="F132" i="36"/>
  <c r="I265" i="36" a="1"/>
  <c r="I199" i="36" a="1"/>
  <c r="I331" i="36" a="1"/>
  <c r="I166" i="36" a="1"/>
  <c r="I133" i="36" a="1"/>
  <c r="I165" i="36" a="1"/>
  <c r="I298" i="36" a="1"/>
  <c r="I330" i="36" a="1"/>
  <c r="I132" i="36" a="1"/>
  <c r="I132" i="36" l="1"/>
  <c r="I330" i="36"/>
  <c r="I298" i="36"/>
  <c r="I165" i="36"/>
  <c r="I133" i="36"/>
  <c r="I166" i="36"/>
  <c r="I331" i="36"/>
  <c r="I199" i="36"/>
  <c r="I265" i="36"/>
  <c r="C69" i="36"/>
  <c r="C36" i="36"/>
  <c r="B14" i="36" a="1"/>
  <c r="B84" i="36" a="1"/>
  <c r="B70" i="36" a="1"/>
  <c r="B57" i="36" a="1"/>
  <c r="B41" i="36" a="1"/>
  <c r="B28" i="36" a="1"/>
  <c r="B60" i="36" a="1"/>
  <c r="B91" i="36" a="1"/>
  <c r="B96" i="36" a="1"/>
  <c r="B83" i="36" a="1"/>
  <c r="B23" i="36" a="1"/>
  <c r="B7" i="36" a="1"/>
  <c r="B61" i="36" a="1"/>
  <c r="B26" i="36" a="1"/>
  <c r="B36" i="36" a="1"/>
  <c r="B33" i="36" a="1"/>
  <c r="B71" i="36" a="1"/>
  <c r="B51" i="36" a="1"/>
  <c r="B27" i="36" a="1"/>
  <c r="B80" i="36" a="1"/>
  <c r="B12" i="36" a="1"/>
  <c r="B93" i="36" a="1"/>
  <c r="B62" i="36" a="1"/>
  <c r="B97" i="36" a="1"/>
  <c r="B72" i="36" a="1"/>
  <c r="B47" i="36" a="1"/>
  <c r="B9" i="36" a="1"/>
  <c r="B39" i="36" a="1"/>
  <c r="B21" i="36" a="1"/>
  <c r="B77" i="36" a="1"/>
  <c r="B90" i="36" a="1"/>
  <c r="B95" i="36" a="1"/>
  <c r="B68" i="36" a="1"/>
  <c r="B63" i="36" a="1"/>
  <c r="B73" i="36" a="1"/>
  <c r="B66" i="36" a="1"/>
  <c r="B75" i="36" a="1"/>
  <c r="B16" i="36" a="1"/>
  <c r="B55" i="36" a="1"/>
  <c r="B30" i="36" a="1"/>
  <c r="B31" i="36" a="1"/>
  <c r="B65" i="36" a="1"/>
  <c r="B32" i="36" a="1"/>
  <c r="B20" i="36" a="1"/>
  <c r="B38" i="36" a="1"/>
  <c r="B50" i="36" a="1"/>
  <c r="B86" i="36" a="1"/>
  <c r="B11" i="36" a="1"/>
  <c r="B74" i="36" a="1"/>
  <c r="B44" i="36" a="1"/>
  <c r="B92" i="36" a="1"/>
  <c r="B64" i="36" a="1"/>
  <c r="B29" i="36" a="1"/>
  <c r="B15" i="36" a="1"/>
  <c r="B56" i="36" a="1"/>
  <c r="B53" i="36" a="1"/>
  <c r="B17" i="36" a="1"/>
  <c r="B6" i="36" a="1"/>
  <c r="B88" i="36" a="1"/>
  <c r="B89" i="36" a="1"/>
  <c r="B69" i="36" a="1"/>
  <c r="B78" i="36" a="1"/>
  <c r="B98" i="36" a="1"/>
  <c r="B49" i="36" a="1"/>
  <c r="B81" i="36" a="1"/>
  <c r="B76" i="36" a="1"/>
  <c r="B85" i="36" a="1"/>
  <c r="B35" i="36" a="1"/>
  <c r="B10" i="36" a="1"/>
  <c r="B79" i="36" a="1"/>
  <c r="B43" i="36" a="1"/>
  <c r="B3" i="36" a="1"/>
  <c r="B5" i="36" a="1"/>
  <c r="B18" i="36" a="1"/>
  <c r="B46" i="36" a="1"/>
  <c r="B82" i="36" a="1"/>
  <c r="B94" i="36" a="1"/>
  <c r="B19" i="36" a="1"/>
  <c r="B48" i="36" a="1"/>
  <c r="B54" i="36" a="1"/>
  <c r="B37" i="36" a="1"/>
  <c r="B52" i="36" a="1"/>
  <c r="B25" i="36" a="1"/>
  <c r="B22" i="36" a="1"/>
  <c r="B87" i="36" a="1"/>
  <c r="B99" i="36" a="1"/>
  <c r="B13" i="36" a="1"/>
  <c r="B2" i="36" a="1"/>
  <c r="B45" i="36" a="1"/>
  <c r="B58" i="36" a="1"/>
  <c r="B24" i="36" a="1"/>
  <c r="B59" i="36" a="1"/>
  <c r="B42" i="36" a="1"/>
  <c r="B4" i="36" a="1"/>
  <c r="B8" i="36" a="1"/>
  <c r="B40" i="36" a="1"/>
  <c r="C37" i="36" l="1"/>
  <c r="C70" i="36"/>
  <c r="B72" i="36"/>
  <c r="B80" i="36"/>
  <c r="B90" i="36"/>
  <c r="B74" i="36"/>
  <c r="B86" i="36"/>
  <c r="B69" i="36"/>
  <c r="B78" i="36"/>
  <c r="B97" i="36"/>
  <c r="B79" i="36"/>
  <c r="B81" i="36"/>
  <c r="B91" i="36"/>
  <c r="B93" i="36"/>
  <c r="B94" i="36"/>
  <c r="B92" i="36"/>
  <c r="B99" i="36"/>
  <c r="B83" i="36"/>
  <c r="B84" i="36"/>
  <c r="B76" i="36"/>
  <c r="B96" i="36"/>
  <c r="B73" i="36"/>
  <c r="B87" i="36"/>
  <c r="B68" i="36"/>
  <c r="B85" i="36"/>
  <c r="B89" i="36"/>
  <c r="B71" i="36"/>
  <c r="B98" i="36"/>
  <c r="B70" i="36"/>
  <c r="B77" i="36"/>
  <c r="B82" i="36"/>
  <c r="B75" i="36"/>
  <c r="B95" i="36"/>
  <c r="B88" i="36"/>
  <c r="B60" i="36"/>
  <c r="B50" i="36"/>
  <c r="B47" i="36"/>
  <c r="B44" i="36"/>
  <c r="B36" i="36"/>
  <c r="B39" i="36"/>
  <c r="B58" i="36"/>
  <c r="B42" i="36"/>
  <c r="B40" i="36"/>
  <c r="B55" i="36"/>
  <c r="B52" i="36"/>
  <c r="B62" i="36"/>
  <c r="B64" i="36"/>
  <c r="B59" i="36"/>
  <c r="B54" i="36"/>
  <c r="B56" i="36"/>
  <c r="B51" i="36"/>
  <c r="B38" i="36"/>
  <c r="B46" i="36"/>
  <c r="B66" i="36"/>
  <c r="B35" i="36"/>
  <c r="B48" i="36"/>
  <c r="B43" i="36"/>
  <c r="B63" i="36"/>
  <c r="B37" i="36"/>
  <c r="B41" i="36"/>
  <c r="B45" i="36"/>
  <c r="B49" i="36"/>
  <c r="B53" i="36"/>
  <c r="B57" i="36"/>
  <c r="B61" i="36"/>
  <c r="B65" i="36"/>
  <c r="B33" i="36"/>
  <c r="B7" i="36"/>
  <c r="B17" i="36"/>
  <c r="B27" i="36"/>
  <c r="B8" i="36"/>
  <c r="B18" i="36"/>
  <c r="B28" i="36"/>
  <c r="B9" i="36"/>
  <c r="B19" i="36"/>
  <c r="B29" i="36"/>
  <c r="B10" i="36"/>
  <c r="B20" i="36"/>
  <c r="B30" i="36"/>
  <c r="B11" i="36"/>
  <c r="B21" i="36"/>
  <c r="B31" i="36"/>
  <c r="B12" i="36"/>
  <c r="B22" i="36"/>
  <c r="B32" i="36"/>
  <c r="B3" i="36"/>
  <c r="B13" i="36"/>
  <c r="B23" i="36"/>
  <c r="B4" i="36"/>
  <c r="B14" i="36"/>
  <c r="B24" i="36"/>
  <c r="B5" i="36"/>
  <c r="B15" i="36"/>
  <c r="B25" i="36"/>
  <c r="B6" i="36"/>
  <c r="B16" i="36"/>
  <c r="B26" i="36"/>
  <c r="B2" i="36"/>
  <c r="F2" i="36" a="1"/>
  <c r="F68" i="36" a="1"/>
  <c r="F35" i="36" a="1"/>
  <c r="F36" i="36" a="1"/>
  <c r="C71" i="36" l="1"/>
  <c r="C38" i="36"/>
  <c r="F68" i="36"/>
  <c r="F36" i="36"/>
  <c r="F35" i="36"/>
  <c r="F2" i="36"/>
  <c r="C3" i="36"/>
  <c r="I68" i="36" a="1"/>
  <c r="I36" i="36" a="1"/>
  <c r="I35" i="36" a="1"/>
  <c r="I2" i="36" a="1"/>
  <c r="F70" i="36" a="1"/>
  <c r="F37" i="36" a="1"/>
  <c r="F69" i="36" a="1"/>
  <c r="I2" i="36" l="1"/>
  <c r="I35" i="36"/>
  <c r="I36" i="36"/>
  <c r="I68" i="36"/>
  <c r="C72" i="36"/>
  <c r="C39" i="36"/>
  <c r="C4" i="36"/>
  <c r="F69" i="36"/>
  <c r="F37" i="36"/>
  <c r="F70" i="36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4" i="4" s="1"/>
  <c r="B186" i="27" a="1"/>
  <c r="B63" i="27" a="1"/>
  <c r="B303" i="27" a="1"/>
  <c r="B205" i="27" a="1"/>
  <c r="B50" i="27" a="1"/>
  <c r="B62" i="27" a="1"/>
  <c r="B109" i="27" a="1"/>
  <c r="B185" i="27" a="1"/>
  <c r="B322" i="27" a="1"/>
  <c r="B47" i="27" a="1"/>
  <c r="C17" i="2" a="1"/>
  <c r="B256" i="27" a="1"/>
  <c r="B125" i="27" a="1"/>
  <c r="M121" i="12" a="1"/>
  <c r="M85" i="12" a="1"/>
  <c r="B359" i="27" a="1"/>
  <c r="B237" i="27" a="1"/>
  <c r="B225" i="27" a="1"/>
  <c r="B178" i="27" a="1"/>
  <c r="B288" i="27" a="1"/>
  <c r="B217" i="27" a="1"/>
  <c r="B44" i="27" a="1"/>
  <c r="B337" i="27" a="1"/>
  <c r="B40" i="27" a="1"/>
  <c r="B257" i="27" a="1"/>
  <c r="B376" i="27" a="1"/>
  <c r="B31" i="27" a="1"/>
  <c r="B198" i="27" a="1"/>
  <c r="B348" i="27" a="1"/>
  <c r="B140" i="27" a="1"/>
  <c r="M134" i="12" a="1"/>
  <c r="B112" i="27" a="1"/>
  <c r="B80" i="27" a="1"/>
  <c r="B261" i="27" a="1"/>
  <c r="B352" i="27" a="1"/>
  <c r="M72" i="12" a="1"/>
  <c r="B282" i="27" a="1"/>
  <c r="B199" i="27" a="1"/>
  <c r="B189" i="27" a="1"/>
  <c r="B233" i="27" a="1"/>
  <c r="B338" i="27" a="1"/>
  <c r="B12" i="27" a="1"/>
  <c r="M127" i="12" a="1"/>
  <c r="B242" i="27" a="1"/>
  <c r="B127" i="27" a="1"/>
  <c r="C35" i="2" a="1"/>
  <c r="B200" i="27" a="1"/>
  <c r="B90" i="27" a="1"/>
  <c r="B72" i="27" a="1"/>
  <c r="M77" i="12" a="1"/>
  <c r="B86" i="27" a="1"/>
  <c r="B157" i="27" a="1"/>
  <c r="B182" i="27" a="1"/>
  <c r="B59" i="27" a="1"/>
  <c r="B97" i="27" a="1"/>
  <c r="B251" i="27" a="1"/>
  <c r="B34" i="27" a="1"/>
  <c r="M55" i="12" a="1"/>
  <c r="B108" i="27" a="1"/>
  <c r="B60" i="27" a="1"/>
  <c r="B105" i="27" a="1"/>
  <c r="B313" i="27" a="1"/>
  <c r="B320" i="27" a="1"/>
  <c r="B329" i="27" a="1"/>
  <c r="M48" i="12" a="1"/>
  <c r="C8" i="2" a="1"/>
  <c r="C21" i="2" a="1"/>
  <c r="B312" i="27" a="1"/>
  <c r="B356" i="27" a="1"/>
  <c r="B345" i="27" a="1"/>
  <c r="B148" i="27" a="1"/>
  <c r="B314" i="27" a="1"/>
  <c r="B153" i="27" a="1"/>
  <c r="B301" i="27" a="1"/>
  <c r="M74" i="12" a="1"/>
  <c r="B6" i="27" a="1"/>
  <c r="B121" i="27" a="1"/>
  <c r="B280" i="27" a="1"/>
  <c r="B117" i="27" a="1"/>
  <c r="C37" i="2" a="1"/>
  <c r="B75" i="27" a="1"/>
  <c r="B193" i="27" a="1"/>
  <c r="B158" i="27" a="1"/>
  <c r="B324" i="27" a="1"/>
  <c r="B232" i="27" a="1"/>
  <c r="B37" i="27" a="1"/>
  <c r="B357" i="27" a="1"/>
  <c r="B25" i="27" a="1"/>
  <c r="B181" i="27" a="1"/>
  <c r="B360" i="27" a="1"/>
  <c r="C27" i="2" a="1"/>
  <c r="B22" i="27" a="1"/>
  <c r="B101" i="27" a="1"/>
  <c r="B74" i="27" a="1"/>
  <c r="B135" i="27" a="1"/>
  <c r="B78" i="27" a="1"/>
  <c r="C15" i="2" a="1"/>
  <c r="B85" i="27" a="1"/>
  <c r="B13" i="27" a="1"/>
  <c r="B160" i="27" a="1"/>
  <c r="B42" i="27" a="1"/>
  <c r="B213" i="27" a="1"/>
  <c r="B334" i="27" a="1"/>
  <c r="B341" i="27" a="1"/>
  <c r="B255" i="27" a="1"/>
  <c r="B347" i="27" a="1"/>
  <c r="M75" i="12" a="1"/>
  <c r="M28" i="12" a="1"/>
  <c r="B159" i="27" a="1"/>
  <c r="B68" i="27" a="1"/>
  <c r="C12" i="2" a="1"/>
  <c r="B377" i="27" a="1"/>
  <c r="C10" i="2" a="1"/>
  <c r="B87" i="27" a="1"/>
  <c r="B351" i="27" a="1"/>
  <c r="B163" i="27" a="1"/>
  <c r="B102" i="27" a="1"/>
  <c r="B36" i="27" a="1"/>
  <c r="B110" i="27" a="1"/>
  <c r="B239" i="27" a="1"/>
  <c r="B374" i="27" a="1"/>
  <c r="B10" i="27" a="1"/>
  <c r="B122" i="27" a="1"/>
  <c r="B81" i="27" a="1"/>
  <c r="B100" i="27" a="1"/>
  <c r="B26" i="27" a="1"/>
  <c r="B134" i="27" a="1"/>
  <c r="B355" i="27" a="1"/>
  <c r="B342" i="27" a="1"/>
  <c r="M91" i="12" a="1"/>
  <c r="M31" i="12" a="1"/>
  <c r="B298" i="27" a="1"/>
  <c r="B168" i="27" a="1"/>
  <c r="B141" i="27" a="1"/>
  <c r="B203" i="27" a="1"/>
  <c r="B318" i="27" a="1"/>
  <c r="B287" i="27" a="1"/>
  <c r="B129" i="27" a="1"/>
  <c r="B46" i="27" a="1"/>
  <c r="B340" i="27" a="1"/>
  <c r="B76" i="27" a="1"/>
  <c r="B289" i="27" a="1"/>
  <c r="B253" i="27" a="1"/>
  <c r="B52" i="27" a="1"/>
  <c r="B294" i="27" a="1"/>
  <c r="B316" i="27" a="1"/>
  <c r="B240" i="27" a="1"/>
  <c r="B136" i="27" a="1"/>
  <c r="B207" i="27" a="1"/>
  <c r="B183" i="27" a="1"/>
  <c r="B156" i="27" a="1"/>
  <c r="B327" i="27" a="1"/>
  <c r="M83" i="12" a="1"/>
  <c r="M42" i="12" a="1"/>
  <c r="B65" i="27" a="1"/>
  <c r="B222" i="27" a="1"/>
  <c r="B119" i="27" a="1"/>
  <c r="B48" i="27" a="1"/>
  <c r="B300" i="27" a="1"/>
  <c r="B32" i="27" a="1"/>
  <c r="B244" i="27" a="1"/>
  <c r="B8" i="27" a="1"/>
  <c r="B332" i="27" a="1"/>
  <c r="B274" i="27" a="1"/>
  <c r="B365" i="27" a="1"/>
  <c r="B57" i="27" a="1"/>
  <c r="B236" i="27" a="1"/>
  <c r="B372" i="27" a="1"/>
  <c r="B299" i="27" a="1"/>
  <c r="B164" i="27" a="1"/>
  <c r="B180" i="27" a="1"/>
  <c r="B172" i="27" a="1"/>
  <c r="C31" i="2" a="1"/>
  <c r="B69" i="27" a="1"/>
  <c r="B132" i="27" a="1"/>
  <c r="M54" i="12" a="1"/>
  <c r="M84" i="12" a="1"/>
  <c r="B310" i="27" a="1"/>
  <c r="B315" i="27" a="1"/>
  <c r="B218" i="27" a="1"/>
  <c r="B373" i="27" a="1"/>
  <c r="C25" i="2" a="1"/>
  <c r="C24" i="2" a="1"/>
  <c r="B268" i="27" a="1"/>
  <c r="C20" i="2" a="1"/>
  <c r="B67" i="27" a="1"/>
  <c r="B235" i="27" a="1"/>
  <c r="B188" i="27" a="1"/>
  <c r="B194" i="27" a="1"/>
  <c r="B206" i="27" a="1"/>
  <c r="B120" i="27" a="1"/>
  <c r="B336" i="27" a="1"/>
  <c r="B155" i="27" a="1"/>
  <c r="B7" i="27" a="1"/>
  <c r="B366" i="27" a="1"/>
  <c r="B331" i="27" a="1"/>
  <c r="B150" i="27" a="1"/>
  <c r="B304" i="27" a="1"/>
  <c r="M115" i="12" a="1"/>
  <c r="M88" i="12" a="1"/>
  <c r="B24" i="27" a="1"/>
  <c r="C32" i="2" a="1"/>
  <c r="B15" i="27" a="1"/>
  <c r="B96" i="27" a="1"/>
  <c r="B49" i="27" a="1"/>
  <c r="B371" i="27" a="1"/>
  <c r="B20" i="27" a="1"/>
  <c r="B249" i="27" a="1"/>
  <c r="B247" i="27" a="1"/>
  <c r="B281" i="27" a="1"/>
  <c r="M114" i="12" a="1"/>
  <c r="B243" i="27" a="1"/>
  <c r="B149" i="27" a="1"/>
  <c r="B229" i="27" a="1"/>
  <c r="B128" i="27" a="1"/>
  <c r="B354" i="27" a="1"/>
  <c r="B91" i="27" a="1"/>
  <c r="B126" i="27" a="1"/>
  <c r="B28" i="27" a="1"/>
  <c r="B210" i="27" a="1"/>
  <c r="B190" i="27" a="1"/>
  <c r="B214" i="27" a="1"/>
  <c r="B30" i="27" a="1"/>
  <c r="B212" i="27" a="1"/>
  <c r="B196" i="27" a="1"/>
  <c r="B259" i="27" a="1"/>
  <c r="M65" i="12" a="1"/>
  <c r="M136" i="12" a="1"/>
  <c r="B124" i="27" a="1"/>
  <c r="C7" i="2" a="1"/>
  <c r="C19" i="2" a="1"/>
  <c r="B220" i="27" a="1"/>
  <c r="B93" i="27" a="1"/>
  <c r="B106" i="27" a="1"/>
  <c r="C11" i="2" a="1"/>
  <c r="D2" i="27" a="1"/>
  <c r="C28" i="2" a="1"/>
  <c r="B321" i="27" a="1"/>
  <c r="B245" i="27" a="1"/>
  <c r="C34" i="2" a="1"/>
  <c r="M128" i="12" a="1"/>
  <c r="B275" i="27" a="1"/>
  <c r="B258" i="27" a="1"/>
  <c r="B325" i="27" a="1"/>
  <c r="B165" i="27" a="1"/>
  <c r="B53" i="27" a="1"/>
  <c r="B130" i="27" a="1"/>
  <c r="B231" i="27" a="1"/>
  <c r="B333" i="27" a="1"/>
  <c r="C38" i="2" a="1"/>
  <c r="B107" i="27" a="1"/>
  <c r="M63" i="12" a="1"/>
  <c r="C4" i="2" a="1"/>
  <c r="C33" i="2" a="1"/>
  <c r="B277" i="27" a="1"/>
  <c r="B176" i="27" a="1"/>
  <c r="B94" i="27" a="1"/>
  <c r="B270" i="27" a="1"/>
  <c r="B138" i="27" a="1"/>
  <c r="B362" i="27" a="1"/>
  <c r="B308" i="27" a="1"/>
  <c r="B375" i="27" a="1"/>
  <c r="B209" i="27" a="1"/>
  <c r="B144" i="27" a="1"/>
  <c r="D3" i="27" a="1"/>
  <c r="B151" i="27" a="1"/>
  <c r="B179" i="27" a="1"/>
  <c r="B173" i="27" a="1"/>
  <c r="B263" i="27" a="1"/>
  <c r="B202" i="27" a="1"/>
  <c r="B344" i="27" a="1"/>
  <c r="B170" i="27" a="1"/>
  <c r="B113" i="27" a="1"/>
  <c r="B302" i="27" a="1"/>
  <c r="B167" i="27" a="1"/>
  <c r="B9" i="27" a="1"/>
  <c r="B184" i="27" a="1"/>
  <c r="B191" i="27" a="1"/>
  <c r="B295" i="27" a="1"/>
  <c r="B2" i="27" a="1"/>
  <c r="B175" i="27" a="1"/>
  <c r="M135" i="12" a="1"/>
  <c r="B378" i="27" a="1"/>
  <c r="B353" i="27" a="1"/>
  <c r="B369" i="27" a="1"/>
  <c r="B223" i="27" a="1"/>
  <c r="B248" i="27" a="1"/>
  <c r="B283" i="27" a="1"/>
  <c r="B83" i="27" a="1"/>
  <c r="M125" i="12" a="1"/>
  <c r="B197" i="27" a="1"/>
  <c r="B192" i="27" a="1"/>
  <c r="B169" i="27" a="1"/>
  <c r="B350" i="27" a="1"/>
  <c r="B16" i="27" a="1"/>
  <c r="M61" i="12" a="1"/>
  <c r="B45" i="27" a="1"/>
  <c r="B262" i="27" a="1"/>
  <c r="B177" i="27" a="1"/>
  <c r="B146" i="27" a="1"/>
  <c r="B18" i="27" a="1"/>
  <c r="B98" i="27" a="1"/>
  <c r="B286" i="27" a="1"/>
  <c r="M86" i="12" a="1"/>
  <c r="B260" i="27" a="1"/>
  <c r="B276" i="27" a="1"/>
  <c r="B92" i="27" a="1"/>
  <c r="B187" i="27" a="1"/>
  <c r="B166" i="27" a="1"/>
  <c r="B77" i="27" a="1"/>
  <c r="B291" i="27" a="1"/>
  <c r="B162" i="27" a="1"/>
  <c r="B71" i="27" a="1"/>
  <c r="B381" i="27" a="1"/>
  <c r="C3" i="2" a="1"/>
  <c r="C30" i="2" a="1"/>
  <c r="B265" i="27" a="1"/>
  <c r="C2" i="2" a="1"/>
  <c r="B216" i="27" a="1"/>
  <c r="B79" i="27" a="1"/>
  <c r="M81" i="12" a="1"/>
  <c r="B99" i="27" a="1"/>
  <c r="B254" i="27" a="1"/>
  <c r="B142" i="27" a="1"/>
  <c r="B43" i="27" a="1"/>
  <c r="B293" i="27" a="1"/>
  <c r="B133" i="27" a="1"/>
  <c r="B17" i="27" a="1"/>
  <c r="B328" i="27" a="1"/>
  <c r="B335" i="27" a="1"/>
  <c r="B271" i="27" a="1"/>
  <c r="B54" i="27" a="1"/>
  <c r="B64" i="27" a="1"/>
  <c r="B3" i="27" a="1"/>
  <c r="B252" i="27" a="1"/>
  <c r="C5" i="2" a="1"/>
  <c r="M111" i="12" a="1"/>
  <c r="M92" i="12" a="1"/>
  <c r="B323" i="27" a="1"/>
  <c r="B361" i="27" a="1"/>
  <c r="B230" i="27" a="1"/>
  <c r="B264" i="27" a="1"/>
  <c r="B234" i="27" a="1"/>
  <c r="B171" i="27" a="1"/>
  <c r="B195" i="27" a="1"/>
  <c r="B317" i="27" a="1"/>
  <c r="I69" i="36" a="1"/>
  <c r="B33" i="27" a="1"/>
  <c r="B114" i="27" a="1"/>
  <c r="B204" i="27" a="1"/>
  <c r="B41" i="27" a="1"/>
  <c r="B88" i="27" a="1"/>
  <c r="B38" i="27" a="1"/>
  <c r="B145" i="27" a="1"/>
  <c r="B272" i="27" a="1"/>
  <c r="C39" i="2" a="1"/>
  <c r="B290" i="27" a="1"/>
  <c r="B228" i="27" a="1"/>
  <c r="B55" i="27" a="1"/>
  <c r="B51" i="27" a="1"/>
  <c r="M110" i="12" a="1"/>
  <c r="M119" i="12" a="1"/>
  <c r="B307" i="27" a="1"/>
  <c r="B161" i="27" a="1"/>
  <c r="B306" i="27" a="1"/>
  <c r="B84" i="27" a="1"/>
  <c r="D4" i="27" a="1"/>
  <c r="B349" i="27" a="1"/>
  <c r="B319" i="27" a="1"/>
  <c r="B174" i="27" a="1"/>
  <c r="I37" i="36" a="1"/>
  <c r="B250" i="27" a="1"/>
  <c r="B66" i="27" a="1"/>
  <c r="B267" i="27" a="1"/>
  <c r="B367" i="27" a="1"/>
  <c r="B58" i="27" a="1"/>
  <c r="B116" i="27" a="1"/>
  <c r="B278" i="27" a="1"/>
  <c r="B226" i="27" a="1"/>
  <c r="B5" i="27" a="1"/>
  <c r="B35" i="27" a="1"/>
  <c r="B346" i="27" a="1"/>
  <c r="M49" i="12" a="1"/>
  <c r="B358" i="27" a="1"/>
  <c r="B339" i="27" a="1"/>
  <c r="B82" i="27" a="1"/>
  <c r="B61" i="27" a="1"/>
  <c r="B154" i="27" a="1"/>
  <c r="I70" i="36" a="1"/>
  <c r="B224" i="27" a="1"/>
  <c r="B266" i="27" a="1"/>
  <c r="B139" i="27" a="1"/>
  <c r="B279" i="27" a="1"/>
  <c r="B39" i="27" a="1"/>
  <c r="B273" i="27" a="1"/>
  <c r="B246" i="27" a="1"/>
  <c r="B285" i="27" a="1"/>
  <c r="C18" i="2" a="1"/>
  <c r="B380" i="27" a="1"/>
  <c r="M124" i="12" a="1"/>
  <c r="B73" i="27" a="1"/>
  <c r="B309" i="27" a="1"/>
  <c r="C14" i="2" a="1"/>
  <c r="C9" i="2" a="1"/>
  <c r="C29" i="2" a="1"/>
  <c r="C13" i="2" a="1"/>
  <c r="B311" i="27" a="1"/>
  <c r="B201" i="27" a="1"/>
  <c r="C23" i="2" a="1"/>
  <c r="C26" i="2" a="1"/>
  <c r="B297" i="27" a="1"/>
  <c r="B241" i="27" a="1"/>
  <c r="M120" i="12" a="1"/>
  <c r="B95" i="27" a="1"/>
  <c r="B292" i="27" a="1"/>
  <c r="B23" i="27" a="1"/>
  <c r="B284" i="27" a="1"/>
  <c r="B19" i="27" a="1"/>
  <c r="B221" i="27" a="1"/>
  <c r="B215" i="27" a="1"/>
  <c r="B211" i="27" a="1"/>
  <c r="B89" i="27" a="1"/>
  <c r="B379" i="27" a="1"/>
  <c r="B111" i="27" a="1"/>
  <c r="M33" i="12" a="1"/>
  <c r="B305" i="27" a="1"/>
  <c r="B21" i="27" a="1"/>
  <c r="B11" i="27" a="1"/>
  <c r="B296" i="27" a="1"/>
  <c r="B118" i="27" a="1"/>
  <c r="B137" i="27" a="1"/>
  <c r="M89" i="12" a="1"/>
  <c r="C22" i="2" a="1"/>
  <c r="B343" i="27" a="1"/>
  <c r="B152" i="27" a="1"/>
  <c r="B14" i="27" a="1"/>
  <c r="B123" i="27" a="1"/>
  <c r="B131" i="27" a="1"/>
  <c r="B4" i="27" a="1"/>
  <c r="B238" i="27" a="1"/>
  <c r="C36" i="2" a="1"/>
  <c r="B27" i="27" a="1"/>
  <c r="B370" i="27" a="1"/>
  <c r="B326" i="27" a="1"/>
  <c r="B208" i="27" a="1"/>
  <c r="C6" i="2" a="1"/>
  <c r="B147" i="27" a="1"/>
  <c r="B115" i="27" a="1"/>
  <c r="B103" i="27" a="1"/>
  <c r="B56" i="27" a="1"/>
  <c r="B143" i="27" a="1"/>
  <c r="M117" i="12" a="1"/>
  <c r="B104" i="27" a="1"/>
  <c r="B269" i="27" a="1"/>
  <c r="B70" i="27" a="1"/>
  <c r="B227" i="27" a="1"/>
  <c r="B364" i="27" a="1"/>
  <c r="B29" i="27" a="1"/>
  <c r="C16" i="2" a="1"/>
  <c r="M73" i="12" a="1"/>
  <c r="B368" i="27" a="1"/>
  <c r="B363" i="27" a="1"/>
  <c r="M62" i="12" a="1"/>
  <c r="B330" i="27" a="1"/>
  <c r="M66" i="12" a="1"/>
  <c r="B219" i="27" a="1"/>
  <c r="F38" i="36" a="1"/>
  <c r="F71" i="36" a="1"/>
  <c r="E2" i="4" a="1"/>
  <c r="I70" i="36" l="1"/>
  <c r="I37" i="36"/>
  <c r="I69" i="36"/>
  <c r="F38" i="36"/>
  <c r="C5" i="36"/>
  <c r="C40" i="36"/>
  <c r="C73" i="36"/>
  <c r="A33" i="4"/>
  <c r="A35" i="4" s="1"/>
  <c r="A37" i="4" s="1"/>
  <c r="A36" i="4"/>
  <c r="M86" i="12"/>
  <c r="M61" i="12"/>
  <c r="M125" i="12"/>
  <c r="M135" i="12"/>
  <c r="M72" i="12"/>
  <c r="M134" i="12"/>
  <c r="M63" i="12"/>
  <c r="M124" i="12"/>
  <c r="M136" i="12"/>
  <c r="M114" i="12"/>
  <c r="M119" i="12"/>
  <c r="M92" i="12"/>
  <c r="M88" i="12"/>
  <c r="M84" i="12"/>
  <c r="M42" i="12"/>
  <c r="M31" i="12"/>
  <c r="M28" i="12"/>
  <c r="M85" i="12"/>
  <c r="M66" i="12"/>
  <c r="M74" i="12"/>
  <c r="M73" i="12"/>
  <c r="M55" i="12"/>
  <c r="M77" i="12"/>
  <c r="M127" i="12"/>
  <c r="M89" i="12"/>
  <c r="M33" i="12"/>
  <c r="M120" i="12"/>
  <c r="M128" i="12"/>
  <c r="M65" i="12"/>
  <c r="M49" i="12"/>
  <c r="M110" i="12"/>
  <c r="M111" i="12"/>
  <c r="M115" i="12"/>
  <c r="M54" i="12"/>
  <c r="M83" i="12"/>
  <c r="M91" i="12"/>
  <c r="M75" i="12"/>
  <c r="M121" i="12"/>
  <c r="M81" i="12"/>
  <c r="M62" i="12"/>
  <c r="M48" i="12"/>
  <c r="M117" i="12"/>
  <c r="F71" i="36"/>
  <c r="D2" i="27"/>
  <c r="D3" i="27"/>
  <c r="B212" i="27"/>
  <c r="B106" i="27"/>
  <c r="B220" i="27"/>
  <c r="B128" i="27"/>
  <c r="B30" i="27"/>
  <c r="B130" i="27"/>
  <c r="B248" i="27"/>
  <c r="B132" i="27"/>
  <c r="B155" i="27"/>
  <c r="B55" i="27"/>
  <c r="B156" i="27"/>
  <c r="B56" i="27"/>
  <c r="B157" i="27"/>
  <c r="B78" i="27"/>
  <c r="B183" i="27"/>
  <c r="B314" i="27"/>
  <c r="B80" i="27"/>
  <c r="B315" i="27"/>
  <c r="B104" i="27"/>
  <c r="B210" i="27"/>
  <c r="B5" i="27"/>
  <c r="B28" i="27"/>
  <c r="B354" i="27"/>
  <c r="B247" i="27"/>
  <c r="B32" i="27"/>
  <c r="B54" i="27"/>
  <c r="B276" i="27"/>
  <c r="B277" i="27"/>
  <c r="B286" i="27"/>
  <c r="B184" i="27"/>
  <c r="B4" i="27"/>
  <c r="B82" i="27"/>
  <c r="B190" i="27"/>
  <c r="B316" i="27"/>
  <c r="B344" i="27"/>
  <c r="B105" i="27"/>
  <c r="B6" i="27"/>
  <c r="B222" i="27"/>
  <c r="B326" i="27"/>
  <c r="B58" i="27"/>
  <c r="B290" i="27"/>
  <c r="B367" i="27"/>
  <c r="B250" i="27"/>
  <c r="B33" i="27"/>
  <c r="B83" i="27"/>
  <c r="B133" i="27"/>
  <c r="B194" i="27"/>
  <c r="B317" i="27"/>
  <c r="B166" i="27"/>
  <c r="B288" i="27"/>
  <c r="B8" i="27"/>
  <c r="B34" i="27"/>
  <c r="B84" i="27"/>
  <c r="B108" i="27"/>
  <c r="B138" i="27"/>
  <c r="B195" i="27"/>
  <c r="B260" i="27"/>
  <c r="B356" i="27"/>
  <c r="B14" i="27"/>
  <c r="B38" i="27"/>
  <c r="B64" i="27"/>
  <c r="B88" i="27"/>
  <c r="B114" i="27"/>
  <c r="B142" i="27"/>
  <c r="B167" i="27"/>
  <c r="B224" i="27"/>
  <c r="B262" i="27"/>
  <c r="B327" i="27"/>
  <c r="B16" i="27"/>
  <c r="B42" i="27"/>
  <c r="B66" i="27"/>
  <c r="B92" i="27"/>
  <c r="B116" i="27"/>
  <c r="B196" i="27"/>
  <c r="B292" i="27"/>
  <c r="B357" i="27"/>
  <c r="B143" i="27"/>
  <c r="B168" i="27"/>
  <c r="B263" i="27"/>
  <c r="B328" i="27"/>
  <c r="B366" i="27"/>
  <c r="B17" i="27"/>
  <c r="B43" i="27"/>
  <c r="B67" i="27"/>
  <c r="B93" i="27"/>
  <c r="B117" i="27"/>
  <c r="B197" i="27"/>
  <c r="B234" i="27"/>
  <c r="B300" i="27"/>
  <c r="B144" i="27"/>
  <c r="B170" i="27"/>
  <c r="B204" i="27"/>
  <c r="B264" i="27"/>
  <c r="B302" i="27"/>
  <c r="B330" i="27"/>
  <c r="B18" i="27"/>
  <c r="B44" i="27"/>
  <c r="B68" i="27"/>
  <c r="B94" i="27"/>
  <c r="B118" i="27"/>
  <c r="B172" i="27"/>
  <c r="B206" i="27"/>
  <c r="B235" i="27"/>
  <c r="B332" i="27"/>
  <c r="B287" i="27"/>
  <c r="B7" i="27"/>
  <c r="B57" i="27"/>
  <c r="B107" i="27"/>
  <c r="B164" i="27"/>
  <c r="B252" i="27"/>
  <c r="B355" i="27"/>
  <c r="B223" i="27"/>
  <c r="B145" i="27"/>
  <c r="B303" i="27"/>
  <c r="B368" i="27"/>
  <c r="B20" i="27"/>
  <c r="B45" i="27"/>
  <c r="B70" i="27"/>
  <c r="B95" i="27"/>
  <c r="B120" i="27"/>
  <c r="B207" i="27"/>
  <c r="B236" i="27"/>
  <c r="B274" i="27"/>
  <c r="B340" i="27"/>
  <c r="B152" i="27"/>
  <c r="B180" i="27"/>
  <c r="B304" i="27"/>
  <c r="B342" i="27"/>
  <c r="B370" i="27"/>
  <c r="B22" i="27"/>
  <c r="B46" i="27"/>
  <c r="B72" i="27"/>
  <c r="B96" i="27"/>
  <c r="B122" i="27"/>
  <c r="B154" i="27"/>
  <c r="B182" i="27"/>
  <c r="B208" i="27"/>
  <c r="B237" i="27"/>
  <c r="B275" i="27"/>
  <c r="B372" i="27"/>
  <c r="B26" i="27"/>
  <c r="B52" i="27"/>
  <c r="B76" i="27"/>
  <c r="B102" i="27"/>
  <c r="B126" i="27"/>
  <c r="B246" i="27"/>
  <c r="B343" i="27"/>
  <c r="B380" i="27"/>
  <c r="B146" i="27"/>
  <c r="B185" i="27"/>
  <c r="B305" i="27"/>
  <c r="B293" i="27"/>
  <c r="B373" i="27"/>
  <c r="B35" i="27"/>
  <c r="B73" i="27"/>
  <c r="B97" i="27"/>
  <c r="B123" i="27"/>
  <c r="B147" i="27"/>
  <c r="B266" i="27"/>
  <c r="B294" i="27"/>
  <c r="B334" i="27"/>
  <c r="B374" i="27"/>
  <c r="B36" i="27"/>
  <c r="B74" i="27"/>
  <c r="B112" i="27"/>
  <c r="B136" i="27"/>
  <c r="B242" i="27"/>
  <c r="B347" i="27"/>
  <c r="B175" i="27"/>
  <c r="B215" i="27"/>
  <c r="B255" i="27"/>
  <c r="B295" i="27"/>
  <c r="B335" i="27"/>
  <c r="B375" i="27"/>
  <c r="B134" i="27"/>
  <c r="B225" i="27"/>
  <c r="B198" i="27"/>
  <c r="B238" i="27"/>
  <c r="B358" i="27"/>
  <c r="B10" i="27"/>
  <c r="B47" i="27"/>
  <c r="B85" i="27"/>
  <c r="B135" i="27"/>
  <c r="B186" i="27"/>
  <c r="B226" i="27"/>
  <c r="B346" i="27"/>
  <c r="B174" i="27"/>
  <c r="B214" i="27"/>
  <c r="B240" i="27"/>
  <c r="B280" i="27"/>
  <c r="B320" i="27"/>
  <c r="B12" i="27"/>
  <c r="B48" i="27"/>
  <c r="B86" i="27"/>
  <c r="B124" i="27"/>
  <c r="B162" i="27"/>
  <c r="B202" i="27"/>
  <c r="B282" i="27"/>
  <c r="B307" i="27"/>
  <c r="B13" i="27"/>
  <c r="B37" i="27"/>
  <c r="B50" i="27"/>
  <c r="B63" i="27"/>
  <c r="B75" i="27"/>
  <c r="B87" i="27"/>
  <c r="B100" i="27"/>
  <c r="B113" i="27"/>
  <c r="B125" i="27"/>
  <c r="B137" i="27"/>
  <c r="B150" i="27"/>
  <c r="B163" i="27"/>
  <c r="B188" i="27"/>
  <c r="B203" i="27"/>
  <c r="B228" i="27"/>
  <c r="B243" i="27"/>
  <c r="B268" i="27"/>
  <c r="B283" i="27"/>
  <c r="B308" i="27"/>
  <c r="B323" i="27"/>
  <c r="B348" i="27"/>
  <c r="B363" i="27"/>
  <c r="B158" i="27"/>
  <c r="B265" i="27"/>
  <c r="B345" i="27"/>
  <c r="B173" i="27"/>
  <c r="B213" i="27"/>
  <c r="B253" i="27"/>
  <c r="B278" i="27"/>
  <c r="B318" i="27"/>
  <c r="B333" i="27"/>
  <c r="B23" i="27"/>
  <c r="B60" i="27"/>
  <c r="B110" i="27"/>
  <c r="B160" i="27"/>
  <c r="B306" i="27"/>
  <c r="B200" i="27"/>
  <c r="B254" i="27"/>
  <c r="B360" i="27"/>
  <c r="B24" i="27"/>
  <c r="B62" i="27"/>
  <c r="B98" i="27"/>
  <c r="B148" i="27"/>
  <c r="B187" i="27"/>
  <c r="B227" i="27"/>
  <c r="B267" i="27"/>
  <c r="B322" i="27"/>
  <c r="B362" i="27"/>
  <c r="B25" i="27"/>
  <c r="B176" i="27"/>
  <c r="B216" i="27"/>
  <c r="B256" i="27"/>
  <c r="B296" i="27"/>
  <c r="B336" i="27"/>
  <c r="B376" i="27"/>
  <c r="B230" i="27"/>
  <c r="B244" i="27"/>
  <c r="B270" i="27"/>
  <c r="B284" i="27"/>
  <c r="B310" i="27"/>
  <c r="B324" i="27"/>
  <c r="B350" i="27"/>
  <c r="B364" i="27"/>
  <c r="B177" i="27"/>
  <c r="B192" i="27"/>
  <c r="B217" i="27"/>
  <c r="B232" i="27"/>
  <c r="B257" i="27"/>
  <c r="B272" i="27"/>
  <c r="B297" i="27"/>
  <c r="B312" i="27"/>
  <c r="B337" i="27"/>
  <c r="B352" i="27"/>
  <c r="B377" i="27"/>
  <c r="B3" i="27"/>
  <c r="B15" i="27"/>
  <c r="B27" i="27"/>
  <c r="B40" i="27"/>
  <c r="B53" i="27"/>
  <c r="B65" i="27"/>
  <c r="B77" i="27"/>
  <c r="B90" i="27"/>
  <c r="B103" i="27"/>
  <c r="B115" i="27"/>
  <c r="B127" i="27"/>
  <c r="B140" i="27"/>
  <c r="B153" i="27"/>
  <c r="B165" i="27"/>
  <c r="B205" i="27"/>
  <c r="B245" i="27"/>
  <c r="B285" i="27"/>
  <c r="B325" i="27"/>
  <c r="B365" i="27"/>
  <c r="B178" i="27"/>
  <c r="B193" i="27"/>
  <c r="B218" i="27"/>
  <c r="B233" i="27"/>
  <c r="B258" i="27"/>
  <c r="B273" i="27"/>
  <c r="B298" i="27"/>
  <c r="B313" i="27"/>
  <c r="B338" i="27"/>
  <c r="B353" i="27"/>
  <c r="B378" i="27"/>
  <c r="B9" i="27"/>
  <c r="B19" i="27"/>
  <c r="B29" i="27"/>
  <c r="B39" i="27"/>
  <c r="B49" i="27"/>
  <c r="B59" i="27"/>
  <c r="B69" i="27"/>
  <c r="B79" i="27"/>
  <c r="B89" i="27"/>
  <c r="B99" i="27"/>
  <c r="B109" i="27"/>
  <c r="B119" i="27"/>
  <c r="B129" i="27"/>
  <c r="B139" i="27"/>
  <c r="B149" i="27"/>
  <c r="B159" i="27"/>
  <c r="B169" i="27"/>
  <c r="B179" i="27"/>
  <c r="B189" i="27"/>
  <c r="B199" i="27"/>
  <c r="B209" i="27"/>
  <c r="B219" i="27"/>
  <c r="B229" i="27"/>
  <c r="B239" i="27"/>
  <c r="B249" i="27"/>
  <c r="B259" i="27"/>
  <c r="B269" i="27"/>
  <c r="B279" i="27"/>
  <c r="B289" i="27"/>
  <c r="B299" i="27"/>
  <c r="B309" i="27"/>
  <c r="B319" i="27"/>
  <c r="B329" i="27"/>
  <c r="B339" i="27"/>
  <c r="B349" i="27"/>
  <c r="B359" i="27"/>
  <c r="B369" i="27"/>
  <c r="B379" i="27"/>
  <c r="B11" i="27"/>
  <c r="B21" i="27"/>
  <c r="B31" i="27"/>
  <c r="B41" i="27"/>
  <c r="B51" i="27"/>
  <c r="B61" i="27"/>
  <c r="B71" i="27"/>
  <c r="B81" i="27"/>
  <c r="B91" i="27"/>
  <c r="B101" i="27"/>
  <c r="B111" i="27"/>
  <c r="B121" i="27"/>
  <c r="B131" i="27"/>
  <c r="B141" i="27"/>
  <c r="B151" i="27"/>
  <c r="B161" i="27"/>
  <c r="B171" i="27"/>
  <c r="B181" i="27"/>
  <c r="B191" i="27"/>
  <c r="B201" i="27"/>
  <c r="B211" i="27"/>
  <c r="B221" i="27"/>
  <c r="B231" i="27"/>
  <c r="B241" i="27"/>
  <c r="B251" i="27"/>
  <c r="B261" i="27"/>
  <c r="B271" i="27"/>
  <c r="B281" i="27"/>
  <c r="B291" i="27"/>
  <c r="B301" i="27"/>
  <c r="B311" i="27"/>
  <c r="B321" i="27"/>
  <c r="B331" i="27"/>
  <c r="B341" i="27"/>
  <c r="B351" i="27"/>
  <c r="B361" i="27"/>
  <c r="B371" i="27"/>
  <c r="B381" i="27"/>
  <c r="B2" i="27"/>
  <c r="E2" i="4"/>
  <c r="C10" i="2"/>
  <c r="C20" i="2"/>
  <c r="C30" i="2"/>
  <c r="C11" i="2"/>
  <c r="C21" i="2"/>
  <c r="C31" i="2"/>
  <c r="C12" i="2"/>
  <c r="C22" i="2"/>
  <c r="C32" i="2"/>
  <c r="C3" i="2"/>
  <c r="C13" i="2"/>
  <c r="C23" i="2"/>
  <c r="C33" i="2"/>
  <c r="C4" i="2"/>
  <c r="C14" i="2"/>
  <c r="C24" i="2"/>
  <c r="C34" i="2"/>
  <c r="C5" i="2"/>
  <c r="C15" i="2"/>
  <c r="C25" i="2"/>
  <c r="C35" i="2"/>
  <c r="C6" i="2"/>
  <c r="C16" i="2"/>
  <c r="C26" i="2"/>
  <c r="C36" i="2"/>
  <c r="C7" i="2"/>
  <c r="C17" i="2"/>
  <c r="C27" i="2"/>
  <c r="C37" i="2"/>
  <c r="C8" i="2"/>
  <c r="C18" i="2"/>
  <c r="C28" i="2"/>
  <c r="C38" i="2"/>
  <c r="C9" i="2"/>
  <c r="C19" i="2"/>
  <c r="C29" i="2"/>
  <c r="C39" i="2"/>
  <c r="C2" i="2"/>
  <c r="D4" i="27"/>
  <c r="A24" i="11"/>
  <c r="A23" i="11"/>
  <c r="A29" i="11"/>
  <c r="A28" i="11"/>
  <c r="A27" i="11"/>
  <c r="A21" i="11"/>
  <c r="A20" i="11"/>
  <c r="A39" i="2"/>
  <c r="A7" i="30"/>
  <c r="A6" i="30"/>
  <c r="A5" i="3"/>
  <c r="A20" i="3"/>
  <c r="A19" i="3"/>
  <c r="A18" i="3"/>
  <c r="A17" i="3"/>
  <c r="A16" i="3"/>
  <c r="A15" i="3"/>
  <c r="A14" i="3"/>
  <c r="A13" i="3"/>
  <c r="I38" i="36" a="1"/>
  <c r="I71" i="36" a="1"/>
  <c r="F35" i="4" a="1"/>
  <c r="F36" i="4" a="1"/>
  <c r="F37" i="4" a="1"/>
  <c r="F39" i="36" a="1"/>
  <c r="F3" i="36" a="1"/>
  <c r="F4" i="36" a="1"/>
  <c r="F72" i="36" a="1"/>
  <c r="F25" i="4" a="1"/>
  <c r="F7" i="4" a="1"/>
  <c r="F23" i="4" a="1"/>
  <c r="F6" i="4" a="1"/>
  <c r="F31" i="4" a="1"/>
  <c r="F15" i="4" a="1"/>
  <c r="F10" i="4" a="1"/>
  <c r="F13" i="4" a="1"/>
  <c r="F21" i="4" a="1"/>
  <c r="F26" i="4" a="1"/>
  <c r="F2" i="4" a="1"/>
  <c r="F22" i="4" a="1"/>
  <c r="F12" i="4" a="1"/>
  <c r="F9" i="4" a="1"/>
  <c r="F5" i="4" a="1"/>
  <c r="F30" i="4" a="1"/>
  <c r="F17" i="4" a="1"/>
  <c r="F32" i="4" a="1"/>
  <c r="F29" i="4" a="1"/>
  <c r="F3" i="4" a="1"/>
  <c r="F20" i="4" a="1"/>
  <c r="F8" i="4" a="1"/>
  <c r="F24" i="4" a="1"/>
  <c r="F14" i="4" a="1"/>
  <c r="F4" i="4" a="1"/>
  <c r="F27" i="4" a="1"/>
  <c r="F11" i="4" a="1"/>
  <c r="F28" i="4" a="1"/>
  <c r="F18" i="4" a="1"/>
  <c r="F34" i="4" a="1"/>
  <c r="F16" i="4" a="1"/>
  <c r="F33" i="4" a="1"/>
  <c r="F19" i="4" a="1"/>
  <c r="F37" i="4" l="1"/>
  <c r="F36" i="4"/>
  <c r="F35" i="4"/>
  <c r="I71" i="36"/>
  <c r="I38" i="36"/>
  <c r="F39" i="36"/>
  <c r="C6" i="36"/>
  <c r="C74" i="36"/>
  <c r="C41" i="36"/>
  <c r="F3" i="36"/>
  <c r="F22" i="4"/>
  <c r="F4" i="36"/>
  <c r="F72" i="36"/>
  <c r="F33" i="4"/>
  <c r="F2" i="4"/>
  <c r="F34" i="4"/>
  <c r="F31" i="4"/>
  <c r="F30" i="4"/>
  <c r="F29" i="4"/>
  <c r="F32" i="4"/>
  <c r="F8" i="4"/>
  <c r="F20" i="4"/>
  <c r="F10" i="4"/>
  <c r="F19" i="4"/>
  <c r="F9" i="4"/>
  <c r="F18" i="4"/>
  <c r="F28" i="4"/>
  <c r="F17" i="4"/>
  <c r="F27" i="4"/>
  <c r="F16" i="4"/>
  <c r="F26" i="4"/>
  <c r="F15" i="4"/>
  <c r="F25" i="4"/>
  <c r="F14" i="4"/>
  <c r="F24" i="4"/>
  <c r="F13" i="4"/>
  <c r="F23" i="4"/>
  <c r="F12" i="4"/>
  <c r="F21" i="4"/>
  <c r="F11" i="4"/>
  <c r="F4" i="4"/>
  <c r="F3" i="4"/>
  <c r="F5" i="4"/>
  <c r="F7" i="4"/>
  <c r="F6" i="4"/>
  <c r="I2" i="34"/>
  <c r="L74" i="12" a="1"/>
  <c r="L120" i="12" a="1"/>
  <c r="L4" i="12" a="1"/>
  <c r="L35" i="12" a="1"/>
  <c r="L53" i="12" a="1"/>
  <c r="L26" i="12" a="1"/>
  <c r="L8" i="12" a="1"/>
  <c r="L110" i="12" a="1"/>
  <c r="L68" i="12" a="1"/>
  <c r="L98" i="12" a="1"/>
  <c r="L11" i="12" a="1"/>
  <c r="L129" i="12" a="1"/>
  <c r="L23" i="12" a="1"/>
  <c r="L122" i="12" a="1"/>
  <c r="L40" i="12" a="1"/>
  <c r="L27" i="12" a="1"/>
  <c r="L91" i="12" a="1"/>
  <c r="L5" i="12" a="1"/>
  <c r="L79" i="12" a="1"/>
  <c r="L12" i="12" a="1"/>
  <c r="L141" i="12" a="1"/>
  <c r="L123" i="12" a="1"/>
  <c r="L140" i="12" a="1"/>
  <c r="L9" i="12" a="1"/>
  <c r="L45" i="12" a="1"/>
  <c r="L39" i="12" a="1"/>
  <c r="L86" i="12" a="1"/>
  <c r="M16" i="12" a="1"/>
  <c r="L49" i="12" a="1"/>
  <c r="L85" i="12" a="1"/>
  <c r="L16" i="12" a="1"/>
  <c r="L41" i="12" a="1"/>
  <c r="L112" i="12" a="1"/>
  <c r="L118" i="12" a="1"/>
  <c r="L126" i="12" a="1"/>
  <c r="L72" i="12" a="1"/>
  <c r="L61" i="12" a="1"/>
  <c r="L56" i="12" a="1"/>
  <c r="L51" i="12" a="1"/>
  <c r="L87" i="12" a="1"/>
  <c r="L101" i="12" a="1"/>
  <c r="L105" i="12" a="1"/>
  <c r="L84" i="12" a="1"/>
  <c r="L83" i="12" a="1"/>
  <c r="L43" i="12" a="1"/>
  <c r="L46" i="12" a="1"/>
  <c r="L44" i="12" a="1"/>
  <c r="L82" i="12" a="1"/>
  <c r="L22" i="12" a="1"/>
  <c r="I39" i="36" a="1"/>
  <c r="L33" i="12" a="1"/>
  <c r="L92" i="12" a="1"/>
  <c r="L97" i="12" a="1"/>
  <c r="L138" i="12" a="1"/>
  <c r="L64" i="12" a="1"/>
  <c r="L107" i="12" a="1"/>
  <c r="L25" i="12" a="1"/>
  <c r="L130" i="12" a="1"/>
  <c r="L28" i="12" a="1"/>
  <c r="L115" i="12" a="1"/>
  <c r="L96" i="12" a="1"/>
  <c r="L13" i="12" a="1"/>
  <c r="L58" i="12" a="1"/>
  <c r="L113" i="12" a="1"/>
  <c r="L71" i="12" a="1"/>
  <c r="L125" i="12" a="1"/>
  <c r="L89" i="12" a="1"/>
  <c r="L55" i="12" a="1"/>
  <c r="L93" i="12" a="1"/>
  <c r="L36" i="12" a="1"/>
  <c r="L95" i="12" a="1"/>
  <c r="L133" i="12" a="1"/>
  <c r="L66" i="12" a="1"/>
  <c r="L65" i="12" a="1"/>
  <c r="L88" i="12" a="1"/>
  <c r="L94" i="12" a="1"/>
  <c r="L32" i="12" a="1"/>
  <c r="L76" i="12" a="1"/>
  <c r="I3" i="36" a="1"/>
  <c r="L77" i="12" a="1"/>
  <c r="L124" i="12" a="1"/>
  <c r="L131" i="12" a="1"/>
  <c r="L29" i="12" a="1"/>
  <c r="L59" i="12" a="1"/>
  <c r="L69" i="12" a="1"/>
  <c r="L60" i="12" a="1"/>
  <c r="L81" i="12" a="1"/>
  <c r="L132" i="12" a="1"/>
  <c r="L34" i="12" a="1"/>
  <c r="L2" i="12" a="1"/>
  <c r="L20" i="12" a="1"/>
  <c r="L48" i="12" a="1"/>
  <c r="L14" i="12" a="1"/>
  <c r="L80" i="12" a="1"/>
  <c r="I72" i="36" a="1"/>
  <c r="L30" i="12" a="1"/>
  <c r="L103" i="12" a="1"/>
  <c r="L119" i="12" a="1"/>
  <c r="L117" i="12" a="1"/>
  <c r="L3" i="12" a="1"/>
  <c r="L6" i="12" a="1"/>
  <c r="L54" i="12" a="1"/>
  <c r="L17" i="12" a="1"/>
  <c r="L109" i="12" a="1"/>
  <c r="L137" i="12" a="1"/>
  <c r="L42" i="12" a="1"/>
  <c r="L67" i="12" a="1"/>
  <c r="L47" i="12" a="1"/>
  <c r="L73" i="12" a="1"/>
  <c r="L114" i="12" a="1"/>
  <c r="L50" i="12" a="1"/>
  <c r="L18" i="12" a="1"/>
  <c r="L128" i="12" a="1"/>
  <c r="L90" i="12" a="1"/>
  <c r="L10" i="12" a="1"/>
  <c r="L111" i="12" a="1"/>
  <c r="L139" i="12" a="1"/>
  <c r="L108" i="12" a="1"/>
  <c r="L106" i="12" a="1"/>
  <c r="L75" i="12" a="1"/>
  <c r="L52" i="12" a="1"/>
  <c r="I4" i="36" a="1"/>
  <c r="L127" i="12" a="1"/>
  <c r="L37" i="12" a="1"/>
  <c r="L15" i="12" a="1"/>
  <c r="L7" i="12" a="1"/>
  <c r="L31" i="12" a="1"/>
  <c r="L121" i="12" a="1"/>
  <c r="L70" i="12" a="1"/>
  <c r="L100" i="12" a="1"/>
  <c r="L21" i="12" a="1"/>
  <c r="L63" i="12" a="1"/>
  <c r="L136" i="12" a="1"/>
  <c r="L57" i="12" a="1"/>
  <c r="L78" i="12" a="1"/>
  <c r="L102" i="12" a="1"/>
  <c r="L62" i="12" a="1"/>
  <c r="L38" i="12" a="1"/>
  <c r="L135" i="12" a="1"/>
  <c r="L99" i="12" a="1"/>
  <c r="L24" i="12" a="1"/>
  <c r="L134" i="12" a="1"/>
  <c r="L19" i="12" a="1"/>
  <c r="L116" i="12" a="1"/>
  <c r="L104" i="12" a="1"/>
  <c r="F40" i="36" a="1"/>
  <c r="F5" i="36" a="1"/>
  <c r="F73" i="36" a="1"/>
  <c r="I4" i="36" l="1"/>
  <c r="I72" i="36"/>
  <c r="I3" i="36"/>
  <c r="I39" i="36"/>
  <c r="F40" i="36"/>
  <c r="C42" i="36"/>
  <c r="C75" i="36"/>
  <c r="C7" i="36"/>
  <c r="L71" i="12"/>
  <c r="L25" i="12"/>
  <c r="L22" i="12"/>
  <c r="L105" i="12"/>
  <c r="L126" i="12"/>
  <c r="L8" i="12"/>
  <c r="L104" i="12"/>
  <c r="L10" i="12"/>
  <c r="L24" i="12"/>
  <c r="L47" i="12"/>
  <c r="L12" i="12"/>
  <c r="L109" i="12"/>
  <c r="L27" i="12"/>
  <c r="L21" i="12"/>
  <c r="L11" i="12"/>
  <c r="L7" i="12"/>
  <c r="L20" i="12"/>
  <c r="L60" i="12"/>
  <c r="L106" i="12"/>
  <c r="L133" i="12"/>
  <c r="L113" i="12"/>
  <c r="L107" i="12"/>
  <c r="L82" i="12"/>
  <c r="L101" i="12"/>
  <c r="L118" i="12"/>
  <c r="L26" i="12"/>
  <c r="L108" i="12"/>
  <c r="L19" i="12"/>
  <c r="L9" i="12"/>
  <c r="L123" i="12"/>
  <c r="L137" i="12"/>
  <c r="L102" i="12"/>
  <c r="L6" i="12"/>
  <c r="L23" i="12"/>
  <c r="L103" i="12"/>
  <c r="L80" i="12"/>
  <c r="L52" i="12"/>
  <c r="L69" i="12"/>
  <c r="L76" i="12"/>
  <c r="L95" i="12"/>
  <c r="L58" i="12"/>
  <c r="L64" i="12"/>
  <c r="L44" i="12"/>
  <c r="L87" i="12"/>
  <c r="L112" i="12"/>
  <c r="L53" i="12"/>
  <c r="M16" i="12"/>
  <c r="L39" i="12"/>
  <c r="L18" i="12"/>
  <c r="L99" i="12"/>
  <c r="L38" i="12"/>
  <c r="L17" i="12"/>
  <c r="L40" i="12"/>
  <c r="L100" i="12"/>
  <c r="L98" i="12"/>
  <c r="L14" i="12"/>
  <c r="L2" i="12"/>
  <c r="L59" i="12"/>
  <c r="L32" i="12"/>
  <c r="L36" i="12"/>
  <c r="L13" i="12"/>
  <c r="L138" i="12"/>
  <c r="L46" i="12"/>
  <c r="L51" i="12"/>
  <c r="L41" i="12"/>
  <c r="L35" i="12"/>
  <c r="L116" i="12"/>
  <c r="L90" i="12"/>
  <c r="L50" i="12"/>
  <c r="L67" i="12"/>
  <c r="L79" i="12"/>
  <c r="L78" i="12"/>
  <c r="L3" i="12"/>
  <c r="L129" i="12"/>
  <c r="L68" i="12"/>
  <c r="L15" i="12"/>
  <c r="L34" i="12"/>
  <c r="L29" i="12"/>
  <c r="L94" i="12"/>
  <c r="L93" i="12"/>
  <c r="L96" i="12"/>
  <c r="L97" i="12"/>
  <c r="L43" i="12"/>
  <c r="L56" i="12"/>
  <c r="L16" i="12"/>
  <c r="L4" i="12"/>
  <c r="L139" i="12"/>
  <c r="L45" i="12"/>
  <c r="L140" i="12"/>
  <c r="L141" i="12"/>
  <c r="L5" i="12"/>
  <c r="L57" i="12"/>
  <c r="L122" i="12"/>
  <c r="L70" i="12"/>
  <c r="L30" i="12"/>
  <c r="L37" i="12"/>
  <c r="L132" i="12"/>
  <c r="L131" i="12"/>
  <c r="L88" i="12"/>
  <c r="L55" i="12"/>
  <c r="L115" i="12"/>
  <c r="L92" i="12"/>
  <c r="L83" i="12"/>
  <c r="L61" i="12"/>
  <c r="L85" i="12"/>
  <c r="L120" i="12"/>
  <c r="L86" i="12"/>
  <c r="L134" i="12"/>
  <c r="L114" i="12"/>
  <c r="L135" i="12"/>
  <c r="L62" i="12"/>
  <c r="L54" i="12"/>
  <c r="L63" i="12"/>
  <c r="L119" i="12"/>
  <c r="L31" i="12"/>
  <c r="L48" i="12"/>
  <c r="L75" i="12"/>
  <c r="L124" i="12"/>
  <c r="L65" i="12"/>
  <c r="L89" i="12"/>
  <c r="L28" i="12"/>
  <c r="L33" i="12"/>
  <c r="L84" i="12"/>
  <c r="L72" i="12"/>
  <c r="L49" i="12"/>
  <c r="L74" i="12"/>
  <c r="L111" i="12"/>
  <c r="L128" i="12"/>
  <c r="L73" i="12"/>
  <c r="L42" i="12"/>
  <c r="L91" i="12"/>
  <c r="L136" i="12"/>
  <c r="L117" i="12"/>
  <c r="L121" i="12"/>
  <c r="L110" i="12"/>
  <c r="L127" i="12"/>
  <c r="L81" i="12"/>
  <c r="L77" i="12"/>
  <c r="L66" i="12"/>
  <c r="L125" i="12"/>
  <c r="L130" i="12"/>
  <c r="F5" i="36"/>
  <c r="F73" i="36"/>
  <c r="I40" i="36" a="1"/>
  <c r="I5" i="36" a="1"/>
  <c r="I73" i="36" a="1"/>
  <c r="F41" i="36" a="1"/>
  <c r="F74" i="36" a="1"/>
  <c r="F6" i="36" a="1"/>
  <c r="I73" i="36" l="1"/>
  <c r="I5" i="36"/>
  <c r="I40" i="36"/>
  <c r="F41" i="36"/>
  <c r="C8" i="36"/>
  <c r="C76" i="36"/>
  <c r="C43" i="36"/>
  <c r="F6" i="36"/>
  <c r="F74" i="36"/>
  <c r="I41" i="36" a="1"/>
  <c r="I6" i="36" a="1"/>
  <c r="I74" i="36" a="1"/>
  <c r="M50" i="12" a="1"/>
  <c r="M35" i="12" a="1"/>
  <c r="M90" i="12" a="1"/>
  <c r="M116" i="12" a="1"/>
  <c r="F42" i="36" a="1"/>
  <c r="F75" i="36" a="1"/>
  <c r="F7" i="36" a="1"/>
  <c r="I74" i="36" l="1"/>
  <c r="I6" i="36"/>
  <c r="I41" i="36"/>
  <c r="F42" i="36"/>
  <c r="C44" i="36"/>
  <c r="C77" i="36"/>
  <c r="C9" i="36"/>
  <c r="M116" i="12"/>
  <c r="M90" i="12"/>
  <c r="M35" i="12"/>
  <c r="M50" i="12"/>
  <c r="F7" i="36"/>
  <c r="F75" i="36"/>
  <c r="M138" i="12" a="1"/>
  <c r="I42" i="36" a="1"/>
  <c r="I7" i="36" a="1"/>
  <c r="I75" i="36" a="1"/>
  <c r="M46" i="12" a="1"/>
  <c r="M14" i="12" a="1"/>
  <c r="M32" i="12" a="1"/>
  <c r="M59" i="12" a="1"/>
  <c r="M36" i="12" a="1"/>
  <c r="M2" i="12" a="1"/>
  <c r="M13" i="12" a="1"/>
  <c r="F43" i="36" a="1"/>
  <c r="F76" i="36" a="1"/>
  <c r="F8" i="36" a="1"/>
  <c r="I75" i="36" l="1"/>
  <c r="I7" i="36"/>
  <c r="I42" i="36"/>
  <c r="F43" i="36"/>
  <c r="C10" i="36"/>
  <c r="C78" i="36"/>
  <c r="C45" i="36"/>
  <c r="M138" i="12"/>
  <c r="M13" i="12"/>
  <c r="M2" i="12"/>
  <c r="M36" i="12"/>
  <c r="M59" i="12"/>
  <c r="M32" i="12"/>
  <c r="M14" i="12"/>
  <c r="M46" i="12"/>
  <c r="F8" i="36"/>
  <c r="F76" i="36"/>
  <c r="A4" i="3"/>
  <c r="A14" i="30"/>
  <c r="A12" i="3"/>
  <c r="A13" i="30"/>
  <c r="A12" i="30"/>
  <c r="A11" i="30"/>
  <c r="A10" i="30"/>
  <c r="A11" i="3"/>
  <c r="A10" i="3"/>
  <c r="A9" i="3"/>
  <c r="A8" i="3"/>
  <c r="A7" i="3"/>
  <c r="A9" i="30"/>
  <c r="A6" i="3"/>
  <c r="A8" i="30"/>
  <c r="A5" i="30"/>
  <c r="A4" i="30"/>
  <c r="A3" i="30"/>
  <c r="A2" i="30"/>
  <c r="M60" i="12" a="1"/>
  <c r="M106" i="12" a="1"/>
  <c r="M23" i="12" a="1"/>
  <c r="M102" i="12" a="1"/>
  <c r="M137" i="12" a="1"/>
  <c r="M107" i="12" a="1"/>
  <c r="I43" i="36" a="1"/>
  <c r="M7" i="12" a="1"/>
  <c r="M22" i="12" a="1"/>
  <c r="M105" i="12" a="1"/>
  <c r="M101" i="12" a="1"/>
  <c r="M9" i="12" a="1"/>
  <c r="M123" i="12" a="1"/>
  <c r="M103" i="12" a="1"/>
  <c r="M133" i="12" a="1"/>
  <c r="M82" i="12" a="1"/>
  <c r="M104" i="12" a="1"/>
  <c r="M71" i="12" a="1"/>
  <c r="M47" i="12" a="1"/>
  <c r="M25" i="12" a="1"/>
  <c r="I8" i="36" a="1"/>
  <c r="I76" i="36" a="1"/>
  <c r="M126" i="12" a="1"/>
  <c r="M109" i="12" a="1"/>
  <c r="M108" i="12" a="1"/>
  <c r="M20" i="12" a="1"/>
  <c r="M26" i="12" a="1"/>
  <c r="M27" i="12" a="1"/>
  <c r="M19" i="12" a="1"/>
  <c r="M10" i="12" a="1"/>
  <c r="M118" i="12" a="1"/>
  <c r="M113" i="12" a="1"/>
  <c r="M11" i="12" a="1"/>
  <c r="M8" i="12" a="1"/>
  <c r="M21" i="12" a="1"/>
  <c r="M6" i="12" a="1"/>
  <c r="M24" i="12" a="1"/>
  <c r="M12" i="12" a="1"/>
  <c r="F44" i="36" a="1"/>
  <c r="F9" i="36" a="1"/>
  <c r="F77" i="36" a="1"/>
  <c r="I76" i="36" l="1"/>
  <c r="I8" i="36"/>
  <c r="I43" i="36"/>
  <c r="F44" i="36"/>
  <c r="C46" i="36"/>
  <c r="C79" i="36"/>
  <c r="C11" i="36"/>
  <c r="M71" i="12"/>
  <c r="M10" i="12"/>
  <c r="M82" i="12"/>
  <c r="M27" i="12"/>
  <c r="M103" i="12"/>
  <c r="M9" i="12"/>
  <c r="M26" i="12"/>
  <c r="M22" i="12"/>
  <c r="M107" i="12"/>
  <c r="M102" i="12"/>
  <c r="M106" i="12"/>
  <c r="M12" i="12"/>
  <c r="M108" i="12"/>
  <c r="M109" i="12"/>
  <c r="M21" i="12"/>
  <c r="M8" i="12"/>
  <c r="M11" i="12"/>
  <c r="M25" i="12"/>
  <c r="M113" i="12"/>
  <c r="M47" i="12"/>
  <c r="M118" i="12"/>
  <c r="M104" i="12"/>
  <c r="M19" i="12"/>
  <c r="M133" i="12"/>
  <c r="M123" i="12"/>
  <c r="M101" i="12"/>
  <c r="M105" i="12"/>
  <c r="M7" i="12"/>
  <c r="M137" i="12"/>
  <c r="M23" i="12"/>
  <c r="M60" i="12"/>
  <c r="M20" i="12"/>
  <c r="M24" i="12"/>
  <c r="M6" i="12"/>
  <c r="M126" i="12"/>
  <c r="F9" i="36"/>
  <c r="F77" i="36"/>
  <c r="I9" i="36" a="1"/>
  <c r="I44" i="36" a="1"/>
  <c r="I77" i="36" a="1"/>
  <c r="M45" i="12" a="1"/>
  <c r="M141" i="12" a="1"/>
  <c r="M139" i="12" a="1"/>
  <c r="M140" i="12" a="1"/>
  <c r="F45" i="36" a="1"/>
  <c r="F78" i="36" a="1"/>
  <c r="F10" i="36" a="1"/>
  <c r="I77" i="36" l="1"/>
  <c r="I44" i="36"/>
  <c r="I9" i="36"/>
  <c r="F45" i="36"/>
  <c r="C12" i="36"/>
  <c r="C80" i="36"/>
  <c r="C47" i="36"/>
  <c r="M140" i="12"/>
  <c r="M139" i="12"/>
  <c r="M141" i="12"/>
  <c r="M45" i="12"/>
  <c r="F10" i="36"/>
  <c r="F78" i="36"/>
  <c r="A11" i="26"/>
  <c r="A10" i="26"/>
  <c r="A9" i="26"/>
  <c r="A8" i="26"/>
  <c r="A7" i="26"/>
  <c r="I45" i="36" a="1"/>
  <c r="I10" i="36" a="1"/>
  <c r="I78" i="36" a="1"/>
  <c r="M51" i="12" a="1"/>
  <c r="F46" i="36" a="1"/>
  <c r="F79" i="36" a="1"/>
  <c r="F11" i="36" a="1"/>
  <c r="I78" i="36" l="1"/>
  <c r="I10" i="36"/>
  <c r="I45" i="36"/>
  <c r="F46" i="36"/>
  <c r="C48" i="36"/>
  <c r="C13" i="36"/>
  <c r="C81" i="36"/>
  <c r="M51" i="12"/>
  <c r="F11" i="36"/>
  <c r="F79" i="36"/>
  <c r="A6" i="28"/>
  <c r="A5" i="28"/>
  <c r="A4" i="28"/>
  <c r="A3" i="28"/>
  <c r="A2" i="28"/>
  <c r="M29" i="12" a="1"/>
  <c r="M96" i="12" a="1"/>
  <c r="I11" i="36" a="1"/>
  <c r="M68" i="12" a="1"/>
  <c r="I79" i="36" a="1"/>
  <c r="M15" i="12" a="1"/>
  <c r="M78" i="12" a="1"/>
  <c r="M94" i="12" a="1"/>
  <c r="M97" i="12" a="1"/>
  <c r="M93" i="12" a="1"/>
  <c r="M67" i="12" a="1"/>
  <c r="M79" i="12" a="1"/>
  <c r="M34" i="12" a="1"/>
  <c r="M3" i="12" a="1"/>
  <c r="I46" i="36" a="1"/>
  <c r="M129" i="12" a="1"/>
  <c r="M43" i="12" a="1"/>
  <c r="M56" i="12" a="1"/>
  <c r="F47" i="36" a="1"/>
  <c r="F80" i="36" a="1"/>
  <c r="F12" i="36" a="1"/>
  <c r="I46" i="36" l="1"/>
  <c r="I79" i="36"/>
  <c r="I11" i="36"/>
  <c r="F47" i="36"/>
  <c r="C82" i="36"/>
  <c r="C14" i="36"/>
  <c r="C49" i="36"/>
  <c r="M15" i="12"/>
  <c r="M68" i="12"/>
  <c r="M96" i="12"/>
  <c r="M29" i="12"/>
  <c r="M56" i="12"/>
  <c r="M43" i="12"/>
  <c r="M129" i="12"/>
  <c r="M3" i="12"/>
  <c r="M34" i="12"/>
  <c r="M79" i="12"/>
  <c r="M67" i="12"/>
  <c r="M93" i="12"/>
  <c r="M97" i="12"/>
  <c r="M94" i="12"/>
  <c r="M78" i="12"/>
  <c r="F12" i="36"/>
  <c r="F80" i="36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I12" i="36" a="1"/>
  <c r="I47" i="36" a="1"/>
  <c r="I80" i="36" a="1"/>
  <c r="M87" i="12" a="1"/>
  <c r="M58" i="12" a="1"/>
  <c r="M76" i="12" a="1"/>
  <c r="M52" i="12" a="1"/>
  <c r="M44" i="12" a="1"/>
  <c r="M64" i="12" a="1"/>
  <c r="M80" i="12" a="1"/>
  <c r="M95" i="12" a="1"/>
  <c r="M53" i="12" a="1"/>
  <c r="M112" i="12" a="1"/>
  <c r="M69" i="12" a="1"/>
  <c r="F48" i="36" a="1"/>
  <c r="F81" i="36" a="1"/>
  <c r="F13" i="36" a="1"/>
  <c r="I80" i="36" l="1"/>
  <c r="I47" i="36"/>
  <c r="I12" i="36"/>
  <c r="F48" i="36"/>
  <c r="C50" i="36"/>
  <c r="C15" i="36"/>
  <c r="C83" i="36"/>
  <c r="M69" i="12"/>
  <c r="M53" i="12"/>
  <c r="M95" i="12"/>
  <c r="M80" i="12"/>
  <c r="M64" i="12"/>
  <c r="M112" i="12"/>
  <c r="M44" i="12"/>
  <c r="M52" i="12"/>
  <c r="M76" i="12"/>
  <c r="M58" i="12"/>
  <c r="M87" i="12"/>
  <c r="F13" i="36"/>
  <c r="F81" i="36"/>
  <c r="H141" i="12"/>
  <c r="H140" i="12"/>
  <c r="I139" i="12"/>
  <c r="I140" i="12" s="1"/>
  <c r="I141" i="12" s="1"/>
  <c r="H139" i="12"/>
  <c r="H138" i="12"/>
  <c r="H26" i="12"/>
  <c r="G28" i="13"/>
  <c r="H45" i="14"/>
  <c r="H44" i="14"/>
  <c r="H43" i="14"/>
  <c r="H42" i="14"/>
  <c r="H41" i="14"/>
  <c r="H40" i="14"/>
  <c r="H39" i="14"/>
  <c r="H38" i="14"/>
  <c r="H37" i="14"/>
  <c r="G29" i="13"/>
  <c r="G27" i="13"/>
  <c r="G26" i="13"/>
  <c r="A2" i="22"/>
  <c r="H134" i="12"/>
  <c r="H137" i="12"/>
  <c r="H136" i="12"/>
  <c r="H135" i="12"/>
  <c r="I135" i="12"/>
  <c r="I136" i="12" s="1"/>
  <c r="I137" i="12" s="1"/>
  <c r="A17" i="11"/>
  <c r="I111" i="12"/>
  <c r="H71" i="12"/>
  <c r="H72" i="12"/>
  <c r="I48" i="36" a="1"/>
  <c r="K2" i="22" a="1"/>
  <c r="H2" i="22" a="1"/>
  <c r="F2" i="22" a="1"/>
  <c r="M70" i="12" a="1"/>
  <c r="M57" i="12" a="1"/>
  <c r="C2" i="22" a="1"/>
  <c r="I13" i="36" a="1"/>
  <c r="M122" i="12" a="1"/>
  <c r="I81" i="36" a="1"/>
  <c r="F49" i="36" a="1"/>
  <c r="F14" i="36" a="1"/>
  <c r="F82" i="36" a="1"/>
  <c r="I81" i="36" l="1"/>
  <c r="I13" i="36"/>
  <c r="I48" i="36"/>
  <c r="F49" i="36"/>
  <c r="C84" i="36"/>
  <c r="C16" i="36"/>
  <c r="C51" i="36"/>
  <c r="M57" i="12"/>
  <c r="M70" i="12"/>
  <c r="M122" i="12"/>
  <c r="F14" i="36"/>
  <c r="F82" i="36"/>
  <c r="H2" i="22"/>
  <c r="C2" i="22"/>
  <c r="K2" i="22"/>
  <c r="F2" i="22"/>
  <c r="I66" i="12"/>
  <c r="I67" i="12" s="1"/>
  <c r="I68" i="12" s="1"/>
  <c r="I69" i="12" s="1"/>
  <c r="I70" i="12" s="1"/>
  <c r="I71" i="12" s="1"/>
  <c r="I72" i="12" s="1"/>
  <c r="M30" i="12" a="1"/>
  <c r="M37" i="12" a="1"/>
  <c r="M132" i="12" a="1"/>
  <c r="I49" i="36" a="1"/>
  <c r="I14" i="36" a="1"/>
  <c r="I82" i="36" a="1"/>
  <c r="I2" i="22" a="1"/>
  <c r="D2" i="22" a="1"/>
  <c r="M131" i="12" a="1"/>
  <c r="F50" i="36" a="1"/>
  <c r="F83" i="36" a="1"/>
  <c r="F15" i="36" a="1"/>
  <c r="I82" i="36" l="1"/>
  <c r="I14" i="36"/>
  <c r="I49" i="36"/>
  <c r="F50" i="36"/>
  <c r="C52" i="36"/>
  <c r="C17" i="36"/>
  <c r="C85" i="36"/>
  <c r="M132" i="12"/>
  <c r="M37" i="12"/>
  <c r="M30" i="12"/>
  <c r="M131" i="12"/>
  <c r="F15" i="36"/>
  <c r="F83" i="36"/>
  <c r="D2" i="22"/>
  <c r="I2" i="22"/>
  <c r="H66" i="12"/>
  <c r="G25" i="13"/>
  <c r="I15" i="36" a="1"/>
  <c r="I83" i="36" a="1"/>
  <c r="I50" i="36" a="1"/>
  <c r="F51" i="36" a="1"/>
  <c r="F84" i="36" a="1"/>
  <c r="F16" i="36" a="1"/>
  <c r="I50" i="36" l="1"/>
  <c r="I83" i="36"/>
  <c r="I15" i="36"/>
  <c r="F51" i="36"/>
  <c r="C18" i="36"/>
  <c r="C53" i="36"/>
  <c r="C86" i="36"/>
  <c r="F16" i="36"/>
  <c r="F84" i="36"/>
  <c r="H133" i="12"/>
  <c r="H132" i="12"/>
  <c r="H131" i="12"/>
  <c r="H130" i="12"/>
  <c r="H129" i="12"/>
  <c r="I128" i="12"/>
  <c r="I129" i="12" s="1"/>
  <c r="I130" i="12" s="1"/>
  <c r="I131" i="12" s="1"/>
  <c r="I132" i="12" s="1"/>
  <c r="I133" i="12" s="1"/>
  <c r="H128" i="12"/>
  <c r="H127" i="12"/>
  <c r="H94" i="12"/>
  <c r="I51" i="36" a="1"/>
  <c r="I16" i="36" a="1"/>
  <c r="I84" i="36" a="1"/>
  <c r="F52" i="36" a="1"/>
  <c r="F85" i="36" a="1"/>
  <c r="F17" i="36" a="1"/>
  <c r="I84" i="36" l="1"/>
  <c r="I16" i="36"/>
  <c r="I51" i="36"/>
  <c r="F52" i="36"/>
  <c r="C87" i="36"/>
  <c r="C54" i="36"/>
  <c r="C19" i="36"/>
  <c r="F17" i="36"/>
  <c r="F85" i="36"/>
  <c r="H126" i="12"/>
  <c r="I125" i="12"/>
  <c r="I126" i="12" s="1"/>
  <c r="H125" i="12"/>
  <c r="H124" i="12"/>
  <c r="A22" i="11"/>
  <c r="A16" i="11"/>
  <c r="I17" i="36" a="1"/>
  <c r="I85" i="36" a="1"/>
  <c r="I52" i="36" a="1"/>
  <c r="F53" i="36" a="1"/>
  <c r="F86" i="36" a="1"/>
  <c r="F18" i="36" a="1"/>
  <c r="I52" i="36" l="1"/>
  <c r="I85" i="36"/>
  <c r="I17" i="36"/>
  <c r="F53" i="36"/>
  <c r="C20" i="36"/>
  <c r="C55" i="36"/>
  <c r="C88" i="36"/>
  <c r="F18" i="36"/>
  <c r="F86" i="36"/>
  <c r="I18" i="36" a="1"/>
  <c r="I86" i="36" a="1"/>
  <c r="I53" i="36" a="1"/>
  <c r="F54" i="36" a="1"/>
  <c r="F87" i="36" a="1"/>
  <c r="F19" i="36" a="1"/>
  <c r="I53" i="36" l="1"/>
  <c r="I86" i="36"/>
  <c r="I18" i="36"/>
  <c r="F54" i="36"/>
  <c r="C89" i="36"/>
  <c r="C56" i="36"/>
  <c r="C21" i="36"/>
  <c r="F19" i="36"/>
  <c r="F87" i="36"/>
  <c r="H108" i="12"/>
  <c r="H11" i="12"/>
  <c r="H17" i="12"/>
  <c r="I54" i="36" a="1"/>
  <c r="I19" i="36" a="1"/>
  <c r="I87" i="36" a="1"/>
  <c r="M18" i="12" a="1"/>
  <c r="M40" i="12" a="1"/>
  <c r="M38" i="12" a="1"/>
  <c r="M17" i="12" a="1"/>
  <c r="M39" i="12" a="1"/>
  <c r="M99" i="12" a="1"/>
  <c r="M100" i="12" a="1"/>
  <c r="M98" i="12" a="1"/>
  <c r="F55" i="36" a="1"/>
  <c r="F88" i="36" a="1"/>
  <c r="F20" i="36" a="1"/>
  <c r="I87" i="36" l="1"/>
  <c r="I19" i="36"/>
  <c r="I54" i="36"/>
  <c r="F55" i="36"/>
  <c r="C22" i="36"/>
  <c r="C57" i="36"/>
  <c r="C90" i="36"/>
  <c r="M98" i="12"/>
  <c r="M100" i="12"/>
  <c r="M99" i="12"/>
  <c r="M39" i="12"/>
  <c r="M17" i="12"/>
  <c r="M38" i="12"/>
  <c r="M40" i="12"/>
  <c r="M18" i="12"/>
  <c r="F20" i="36"/>
  <c r="F88" i="36"/>
  <c r="H10" i="14"/>
  <c r="H9" i="14"/>
  <c r="G8" i="13"/>
  <c r="H81" i="12"/>
  <c r="I78" i="12"/>
  <c r="I20" i="36" a="1"/>
  <c r="I88" i="36" a="1"/>
  <c r="M41" i="12" a="1"/>
  <c r="I55" i="36" a="1"/>
  <c r="F56" i="36" a="1"/>
  <c r="F89" i="36" a="1"/>
  <c r="F21" i="36" a="1"/>
  <c r="I55" i="36" l="1"/>
  <c r="I88" i="36"/>
  <c r="I20" i="36"/>
  <c r="F56" i="36"/>
  <c r="C91" i="36"/>
  <c r="C58" i="36"/>
  <c r="C23" i="36"/>
  <c r="M41" i="12"/>
  <c r="F89" i="36"/>
  <c r="F21" i="36"/>
  <c r="H47" i="12"/>
  <c r="I79" i="12"/>
  <c r="I80" i="12" s="1"/>
  <c r="I81" i="12" s="1"/>
  <c r="I82" i="12" s="1"/>
  <c r="I83" i="12" s="1"/>
  <c r="I89" i="36" a="1"/>
  <c r="I21" i="36" a="1"/>
  <c r="M4" i="12" a="1"/>
  <c r="I56" i="36" a="1"/>
  <c r="F57" i="36" a="1"/>
  <c r="F90" i="36" a="1"/>
  <c r="F22" i="36" a="1"/>
  <c r="I56" i="36" l="1"/>
  <c r="I21" i="36"/>
  <c r="I89" i="36"/>
  <c r="F57" i="36"/>
  <c r="C24" i="36"/>
  <c r="C59" i="36"/>
  <c r="C92" i="36"/>
  <c r="M4" i="12"/>
  <c r="F90" i="36"/>
  <c r="F22" i="36"/>
  <c r="I90" i="36" a="1"/>
  <c r="I22" i="36" a="1"/>
  <c r="J2" i="22" a="1"/>
  <c r="E2" i="22" a="1"/>
  <c r="M5" i="12" a="1"/>
  <c r="I57" i="36" a="1"/>
  <c r="F58" i="36" a="1"/>
  <c r="F91" i="36" a="1"/>
  <c r="F23" i="36" a="1"/>
  <c r="I57" i="36" l="1"/>
  <c r="I22" i="36"/>
  <c r="I90" i="36"/>
  <c r="F58" i="36"/>
  <c r="C93" i="36"/>
  <c r="C60" i="36"/>
  <c r="C25" i="36"/>
  <c r="M5" i="12"/>
  <c r="F91" i="36"/>
  <c r="F23" i="36"/>
  <c r="J2" i="22"/>
  <c r="E2" i="22"/>
  <c r="A3" i="7"/>
  <c r="H122" i="12"/>
  <c r="H36" i="14"/>
  <c r="H35" i="14"/>
  <c r="H34" i="14"/>
  <c r="G19" i="13"/>
  <c r="G15" i="13"/>
  <c r="G11" i="13"/>
  <c r="H87" i="12"/>
  <c r="H76" i="12"/>
  <c r="H64" i="12"/>
  <c r="I14" i="12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H33" i="14"/>
  <c r="H32" i="14"/>
  <c r="H31" i="14"/>
  <c r="H21" i="14"/>
  <c r="H20" i="14"/>
  <c r="G18" i="13"/>
  <c r="H86" i="12"/>
  <c r="I85" i="12"/>
  <c r="I86" i="12" s="1"/>
  <c r="I87" i="12" s="1"/>
  <c r="H85" i="12"/>
  <c r="H84" i="12"/>
  <c r="A13" i="11"/>
  <c r="A2" i="7"/>
  <c r="H82" i="12"/>
  <c r="H15" i="14"/>
  <c r="H14" i="14"/>
  <c r="H30" i="14"/>
  <c r="H29" i="14"/>
  <c r="H28" i="14"/>
  <c r="H27" i="14"/>
  <c r="H26" i="14"/>
  <c r="H25" i="14"/>
  <c r="H24" i="14"/>
  <c r="H23" i="14"/>
  <c r="H22" i="14"/>
  <c r="H19" i="14"/>
  <c r="H18" i="14"/>
  <c r="H17" i="14"/>
  <c r="H16" i="14"/>
  <c r="H13" i="14"/>
  <c r="H12" i="14"/>
  <c r="H11" i="14"/>
  <c r="H8" i="14"/>
  <c r="H7" i="14"/>
  <c r="H6" i="14"/>
  <c r="H5" i="14"/>
  <c r="H4" i="14"/>
  <c r="H3" i="14"/>
  <c r="H2" i="14"/>
  <c r="G2" i="13"/>
  <c r="G24" i="13"/>
  <c r="G23" i="13"/>
  <c r="G22" i="13"/>
  <c r="G21" i="13"/>
  <c r="G20" i="13"/>
  <c r="G17" i="13"/>
  <c r="G16" i="13"/>
  <c r="G14" i="13"/>
  <c r="G13" i="13"/>
  <c r="G12" i="13"/>
  <c r="G10" i="13"/>
  <c r="G9" i="13"/>
  <c r="G7" i="13"/>
  <c r="G6" i="13"/>
  <c r="G4" i="13"/>
  <c r="G5" i="13"/>
  <c r="G3" i="13"/>
  <c r="H123" i="12"/>
  <c r="H121" i="12"/>
  <c r="I120" i="12"/>
  <c r="I121" i="12" s="1"/>
  <c r="I122" i="12" s="1"/>
  <c r="I123" i="12" s="1"/>
  <c r="H120" i="12"/>
  <c r="H119" i="12"/>
  <c r="H12" i="12"/>
  <c r="H10" i="12"/>
  <c r="H9" i="12"/>
  <c r="H8" i="12"/>
  <c r="H7" i="12"/>
  <c r="H6" i="12"/>
  <c r="H5" i="12"/>
  <c r="H4" i="12"/>
  <c r="I3" i="12"/>
  <c r="I4" i="12" s="1"/>
  <c r="I5" i="12" s="1"/>
  <c r="I6" i="12" s="1"/>
  <c r="I7" i="12" s="1"/>
  <c r="I8" i="12" s="1"/>
  <c r="I9" i="12" s="1"/>
  <c r="I10" i="12" s="1"/>
  <c r="I11" i="12" s="1"/>
  <c r="I12" i="12" s="1"/>
  <c r="H3" i="12"/>
  <c r="H2" i="12"/>
  <c r="H118" i="12"/>
  <c r="H117" i="12"/>
  <c r="H116" i="12"/>
  <c r="I115" i="12"/>
  <c r="I116" i="12" s="1"/>
  <c r="I117" i="12" s="1"/>
  <c r="I118" i="12" s="1"/>
  <c r="H115" i="12"/>
  <c r="H114" i="12"/>
  <c r="H113" i="12"/>
  <c r="H112" i="12"/>
  <c r="H111" i="12"/>
  <c r="I112" i="12"/>
  <c r="I113" i="12" s="1"/>
  <c r="H110" i="12"/>
  <c r="H109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3" i="12"/>
  <c r="H92" i="12"/>
  <c r="H91" i="12"/>
  <c r="H90" i="12"/>
  <c r="I89" i="12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H89" i="12"/>
  <c r="H88" i="12"/>
  <c r="H83" i="12"/>
  <c r="H80" i="12"/>
  <c r="H79" i="12"/>
  <c r="H78" i="12"/>
  <c r="H77" i="12"/>
  <c r="H75" i="12"/>
  <c r="I74" i="12"/>
  <c r="I75" i="12" s="1"/>
  <c r="I76" i="12" s="1"/>
  <c r="H74" i="12"/>
  <c r="H73" i="12"/>
  <c r="H70" i="12"/>
  <c r="H68" i="12"/>
  <c r="H69" i="12"/>
  <c r="H67" i="12"/>
  <c r="H65" i="12"/>
  <c r="H63" i="12"/>
  <c r="I62" i="12"/>
  <c r="I63" i="12" s="1"/>
  <c r="I64" i="12" s="1"/>
  <c r="H62" i="12"/>
  <c r="H61" i="12"/>
  <c r="H60" i="12"/>
  <c r="H59" i="12"/>
  <c r="H58" i="12"/>
  <c r="H57" i="12"/>
  <c r="I56" i="12"/>
  <c r="I57" i="12" s="1"/>
  <c r="I58" i="12" s="1"/>
  <c r="I59" i="12" s="1"/>
  <c r="I60" i="12" s="1"/>
  <c r="H56" i="12"/>
  <c r="H55" i="12"/>
  <c r="H54" i="12"/>
  <c r="H53" i="12"/>
  <c r="H52" i="12"/>
  <c r="H51" i="12"/>
  <c r="H50" i="12"/>
  <c r="I49" i="12"/>
  <c r="I50" i="12" s="1"/>
  <c r="I51" i="12" s="1"/>
  <c r="I52" i="12" s="1"/>
  <c r="I53" i="12" s="1"/>
  <c r="I54" i="12" s="1"/>
  <c r="H49" i="12"/>
  <c r="H48" i="12"/>
  <c r="H46" i="12"/>
  <c r="H45" i="12"/>
  <c r="H44" i="12"/>
  <c r="I43" i="12"/>
  <c r="I44" i="12" s="1"/>
  <c r="I45" i="12" s="1"/>
  <c r="I46" i="12" s="1"/>
  <c r="I47" i="12" s="1"/>
  <c r="H43" i="12"/>
  <c r="H42" i="12"/>
  <c r="H30" i="12"/>
  <c r="I29" i="12"/>
  <c r="I30" i="12" s="1"/>
  <c r="H29" i="12"/>
  <c r="H28" i="12"/>
  <c r="H37" i="12"/>
  <c r="H41" i="12"/>
  <c r="H40" i="12"/>
  <c r="H39" i="12"/>
  <c r="H38" i="12"/>
  <c r="H36" i="12"/>
  <c r="H35" i="12"/>
  <c r="H34" i="12"/>
  <c r="H33" i="12"/>
  <c r="I32" i="12"/>
  <c r="I33" i="12" s="1"/>
  <c r="I34" i="12" s="1"/>
  <c r="I35" i="12" s="1"/>
  <c r="I36" i="12" s="1"/>
  <c r="I37" i="12" s="1"/>
  <c r="I38" i="12" s="1"/>
  <c r="I39" i="12" s="1"/>
  <c r="I40" i="12" s="1"/>
  <c r="I41" i="12" s="1"/>
  <c r="H32" i="12"/>
  <c r="H31" i="12"/>
  <c r="H27" i="12"/>
  <c r="H25" i="12"/>
  <c r="H24" i="12"/>
  <c r="H23" i="12"/>
  <c r="H22" i="12"/>
  <c r="H21" i="12"/>
  <c r="H20" i="12"/>
  <c r="H19" i="12"/>
  <c r="H18" i="12"/>
  <c r="H16" i="12"/>
  <c r="H14" i="12"/>
  <c r="H15" i="12"/>
  <c r="H13" i="12"/>
  <c r="A19" i="11"/>
  <c r="A6" i="11"/>
  <c r="A18" i="11"/>
  <c r="A15" i="11"/>
  <c r="A14" i="11"/>
  <c r="A12" i="11"/>
  <c r="A11" i="11"/>
  <c r="A10" i="11"/>
  <c r="A9" i="11"/>
  <c r="A7" i="11"/>
  <c r="A5" i="11"/>
  <c r="A3" i="11"/>
  <c r="A4" i="11"/>
  <c r="A2" i="11"/>
  <c r="A2" i="9"/>
  <c r="A13" i="6"/>
  <c r="A12" i="6"/>
  <c r="A11" i="6"/>
  <c r="A10" i="6"/>
  <c r="A8" i="6"/>
  <c r="A7" i="6"/>
  <c r="A6" i="6"/>
  <c r="A5" i="6"/>
  <c r="A4" i="6"/>
  <c r="A3" i="6"/>
  <c r="A9" i="6"/>
  <c r="A2" i="6"/>
  <c r="A2" i="3"/>
  <c r="A3" i="3"/>
  <c r="A11" i="1"/>
  <c r="A9" i="1"/>
  <c r="A8" i="1"/>
  <c r="A7" i="1"/>
  <c r="A6" i="1"/>
  <c r="A5" i="1"/>
  <c r="A4" i="1"/>
  <c r="A3" i="1"/>
  <c r="A2" i="1"/>
  <c r="I58" i="36" a="1"/>
  <c r="I91" i="36" a="1"/>
  <c r="I23" i="36" a="1"/>
  <c r="M130" i="12" a="1"/>
  <c r="F59" i="36" a="1"/>
  <c r="F92" i="36" a="1"/>
  <c r="F24" i="36" a="1"/>
  <c r="I23" i="36" l="1"/>
  <c r="I91" i="36"/>
  <c r="I58" i="36"/>
  <c r="F59" i="36"/>
  <c r="C26" i="36"/>
  <c r="C94" i="36"/>
  <c r="C61" i="36"/>
  <c r="M130" i="12"/>
  <c r="F92" i="36"/>
  <c r="F24" i="36"/>
  <c r="I59" i="36" a="1"/>
  <c r="I92" i="36" a="1"/>
  <c r="I24" i="36" a="1"/>
  <c r="F60" i="36" a="1"/>
  <c r="F25" i="36" a="1"/>
  <c r="F93" i="36" a="1"/>
  <c r="I24" i="36" l="1"/>
  <c r="I92" i="36"/>
  <c r="I59" i="36"/>
  <c r="F60" i="36"/>
  <c r="C62" i="36"/>
  <c r="C95" i="36"/>
  <c r="C27" i="36"/>
  <c r="F93" i="36"/>
  <c r="F25" i="36"/>
  <c r="I60" i="36" a="1"/>
  <c r="I93" i="36" a="1"/>
  <c r="I25" i="36" a="1"/>
  <c r="F61" i="36" a="1"/>
  <c r="F94" i="36" a="1"/>
  <c r="F26" i="36" a="1"/>
  <c r="I25" i="36" l="1"/>
  <c r="I93" i="36"/>
  <c r="I60" i="36"/>
  <c r="F61" i="36"/>
  <c r="C28" i="36"/>
  <c r="C96" i="36"/>
  <c r="C63" i="36"/>
  <c r="F94" i="36"/>
  <c r="F26" i="36"/>
  <c r="I61" i="36" a="1"/>
  <c r="I94" i="36" a="1"/>
  <c r="I26" i="36" a="1"/>
  <c r="F62" i="36" a="1"/>
  <c r="F95" i="36" a="1"/>
  <c r="F27" i="36" a="1"/>
  <c r="I26" i="36" l="1"/>
  <c r="I94" i="36"/>
  <c r="I61" i="36"/>
  <c r="F62" i="36"/>
  <c r="C64" i="36"/>
  <c r="C97" i="36"/>
  <c r="C29" i="36"/>
  <c r="F95" i="36"/>
  <c r="F27" i="36"/>
  <c r="I95" i="36" a="1"/>
  <c r="I27" i="36" a="1"/>
  <c r="I62" i="36" a="1"/>
  <c r="F63" i="36" a="1"/>
  <c r="F28" i="36" a="1"/>
  <c r="F96" i="36" a="1"/>
  <c r="I62" i="36" l="1"/>
  <c r="I27" i="36"/>
  <c r="I95" i="36"/>
  <c r="F63" i="36"/>
  <c r="C30" i="36"/>
  <c r="C98" i="36"/>
  <c r="C65" i="36"/>
  <c r="F96" i="36"/>
  <c r="F28" i="36"/>
  <c r="I63" i="36" a="1"/>
  <c r="I96" i="36" a="1"/>
  <c r="I28" i="36" a="1"/>
  <c r="F64" i="36" a="1"/>
  <c r="F97" i="36" a="1"/>
  <c r="F29" i="36" a="1"/>
  <c r="I28" i="36" l="1"/>
  <c r="I96" i="36"/>
  <c r="I63" i="36"/>
  <c r="F64" i="36"/>
  <c r="C66" i="36"/>
  <c r="C99" i="36"/>
  <c r="C31" i="36"/>
  <c r="F97" i="36"/>
  <c r="F29" i="36"/>
  <c r="I97" i="36" a="1"/>
  <c r="I29" i="36" a="1"/>
  <c r="I64" i="36" a="1"/>
  <c r="F65" i="36" a="1"/>
  <c r="F98" i="36" a="1"/>
  <c r="F30" i="36" a="1"/>
  <c r="I64" i="36" l="1"/>
  <c r="I29" i="36"/>
  <c r="I97" i="36"/>
  <c r="F65" i="36"/>
  <c r="C32" i="36"/>
  <c r="C100" i="36"/>
  <c r="C67" i="36"/>
  <c r="F98" i="36"/>
  <c r="F30" i="36"/>
  <c r="I98" i="36" a="1"/>
  <c r="I30" i="36" a="1"/>
  <c r="I65" i="36" a="1"/>
  <c r="F66" i="36" a="1"/>
  <c r="F99" i="36" a="1"/>
  <c r="F31" i="36" a="1"/>
  <c r="I65" i="36" l="1"/>
  <c r="I30" i="36"/>
  <c r="I98" i="36"/>
  <c r="F66" i="36"/>
  <c r="C33" i="36"/>
  <c r="F99" i="36"/>
  <c r="F31" i="36"/>
  <c r="I66" i="36" a="1"/>
  <c r="I99" i="36" a="1"/>
  <c r="I31" i="36" a="1"/>
  <c r="F67" i="36" a="1"/>
  <c r="F100" i="36" a="1"/>
  <c r="F32" i="36" a="1"/>
  <c r="I31" i="36" l="1"/>
  <c r="I99" i="36"/>
  <c r="I66" i="36"/>
  <c r="F100" i="36"/>
  <c r="F67" i="36"/>
  <c r="C34" i="36"/>
  <c r="F32" i="36"/>
  <c r="I100" i="36" a="1"/>
  <c r="I67" i="36" a="1"/>
  <c r="I32" i="36" a="1"/>
  <c r="F33" i="36" a="1"/>
  <c r="I32" i="36" l="1"/>
  <c r="I67" i="36"/>
  <c r="I100" i="36"/>
  <c r="F33" i="36"/>
  <c r="I33" i="36" a="1"/>
  <c r="F34" i="36" a="1"/>
  <c r="I33" i="36" l="1"/>
  <c r="F34" i="36"/>
  <c r="I34" i="36" a="1"/>
  <c r="I34" i="3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<sst xmlns="http://schemas.openxmlformats.org/spreadsheetml/2006/main" count="1980" uniqueCount="822">
  <si>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</si>
  <si>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</si>
  <si>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</si>
  <si>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</si>
  <si>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</si>
  <si>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</si>
  <si>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</si>
  <si>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</si>
  <si>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</si>
  <si>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</si>
  <si>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</si>
  <si>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</si>
  <si>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</si>
  <si>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</si>
  <si>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</si>
  <si>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</si>
  <si>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</si>
  <si>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</si>
  <si>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</si>
  <si>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</si>
  <si>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</si>
  <si>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</si>
  <si>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</si>
  <si>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</si>
  <si>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</si>
  <si>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</si>
  <si>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</si>
  <si>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</si>
  <si>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</si>
  <si>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</si>
  <si>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</si>
  <si>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</si>
  <si>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</si>
  <si>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</si>
  <si>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</si>
  <si>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</si>
  <si>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</si>
  <si>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</si>
  <si>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</si>
  <si>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</si>
  <si>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</si>
  <si>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</si>
  <si>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</si>
  <si>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</si>
  <si>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</si>
  <si>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</si>
  <si>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</si>
  <si>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</si>
  <si>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</si>
  <si>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</si>
  <si>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</si>
  <si>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</si>
  <si>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</si>
  <si>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</si>
  <si>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</si>
  <si>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</si>
  <si>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</si>
  <si>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</si>
  <si>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</si>
  <si>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</si>
  <si>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</si>
  <si>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</si>
  <si>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</si>
  <si>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</si>
  <si>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</si>
  <si>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</si>
  <si>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</si>
  <si>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</si>
  <si>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</si>
  <si>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</si>
  <si>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</si>
  <si>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Mask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</si>
  <si>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</si>
  <si>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</si>
  <si>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</si>
  <si>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</si>
  <si>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</si>
  <si>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</si>
  <si>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</si>
  <si>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</si>
  <si>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</si>
  <si>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</si>
  <si>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</si>
  <si>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</si>
  <si>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</si>
  <si>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</si>
  <si>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</si>
  <si>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</si>
  <si>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</si>
  <si>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</si>
  <si>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</si>
  <si>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</si>
  <si>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</si>
  <si>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</si>
  <si>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</si>
  <si>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</si>
  <si>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</si>
  <si>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</si>
  <si>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</si>
  <si>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</si>
  <si>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</si>
  <si>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</si>
  <si>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</si>
  <si>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</si>
  <si>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</si>
  <si>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</si>
  <si>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</si>
  <si>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</si>
  <si>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</si>
  <si>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</si>
  <si>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</si>
  <si>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</si>
  <si>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</si>
  <si>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</si>
  <si>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</si>
  <si>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</si>
  <si>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</si>
  <si>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Systems</t>
  </si>
  <si>
    <t>Users</t>
  </si>
  <si>
    <t>SystemsUsers</t>
  </si>
  <si>
    <t>Sistemas x Usuários</t>
  </si>
  <si>
    <t>Databases</t>
  </si>
  <si>
    <t>Tables</t>
  </si>
  <si>
    <t>Columns</t>
  </si>
  <si>
    <t>Indexes</t>
  </si>
  <si>
    <t>Chaves de índices</t>
  </si>
  <si>
    <t>Categories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</si>
  <si>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</si>
  <si>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</si>
  <si>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</si>
  <si>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</si>
  <si>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</si>
  <si>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</si>
  <si>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</si>
  <si>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</si>
  <si>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</si>
  <si>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</si>
  <si>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</si>
  <si>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</si>
  <si>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</si>
  <si>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</si>
  <si>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</si>
  <si>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</si>
  <si>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</si>
  <si>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</si>
  <si>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</si>
  <si>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</si>
  <si>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</si>
  <si>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</si>
  <si>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</si>
  <si>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</si>
  <si>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</si>
  <si>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</si>
  <si>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</si>
  <si>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</si>
  <si>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</si>
  <si>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</si>
  <si>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</si>
  <si>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</si>
  <si>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</si>
  <si>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</si>
  <si>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</si>
  <si>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</si>
  <si>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</si>
  <si>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</si>
  <si>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</si>
  <si>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</si>
  <si>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</si>
  <si>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</si>
  <si>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</si>
  <si>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</si>
  <si>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</si>
  <si>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</si>
  <si>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</si>
  <si>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</si>
  <si>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</si>
  <si>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</si>
  <si>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</si>
  <si>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</si>
  <si>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</si>
  <si>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</si>
  <si>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</si>
  <si>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</si>
  <si>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</si>
  <si>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</si>
  <si>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</si>
  <si>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</si>
  <si>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</si>
  <si>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</si>
  <si>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</si>
  <si>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</si>
  <si>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</si>
  <si>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</si>
  <si>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</si>
  <si>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</si>
  <si>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</si>
  <si>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</si>
  <si>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</si>
  <si>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</si>
  <si>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</si>
  <si>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</si>
  <si>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</si>
  <si>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</si>
  <si>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</si>
  <si>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</si>
  <si>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</si>
  <si>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</si>
  <si>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</si>
  <si>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</si>
  <si>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</si>
  <si>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</si>
  <si>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</si>
  <si>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</si>
  <si>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</si>
  <si>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</si>
  <si>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</si>
  <si>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</si>
  <si>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</si>
  <si>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</si>
  <si>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</si>
  <si>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</si>
  <si>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</si>
  <si>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</si>
  <si>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</si>
  <si>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</si>
  <si>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</si>
  <si>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</si>
  <si>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</si>
  <si>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</si>
  <si>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</si>
  <si>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</si>
  <si>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</si>
  <si>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</si>
  <si>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</si>
  <si>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</si>
  <si>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</si>
  <si>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</si>
  <si>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</si>
  <si>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</si>
  <si>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</si>
  <si>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</si>
  <si>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</si>
  <si>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</si>
  <si>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</si>
  <si>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</si>
  <si>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</si>
  <si>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</si>
  <si>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</si>
  <si>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</si>
  <si>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</si>
  <si>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</si>
  <si>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</si>
  <si>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</si>
  <si>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</si>
  <si>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</si>
  <si>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</si>
  <si>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</si>
  <si>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</si>
  <si>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</si>
  <si>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</si>
  <si>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</si>
  <si>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</si>
  <si>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</si>
  <si>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</si>
  <si>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</si>
  <si>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</si>
  <si>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</si>
  <si>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</si>
  <si>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</si>
  <si>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</si>
  <si>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</si>
  <si>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</si>
  <si>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</si>
  <si>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</si>
  <si>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</si>
  <si>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</si>
  <si>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</si>
  <si>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</si>
  <si>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</si>
  <si>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</si>
  <si>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</si>
  <si>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</si>
  <si>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</si>
  <si>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</si>
  <si>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</si>
  <si>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</si>
  <si>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</si>
  <si>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</si>
  <si>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</si>
  <si>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</si>
  <si>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</si>
  <si>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</si>
  <si>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UNQ_Tables_Name</t>
  </si>
  <si>
    <t>ID do banco-de-dados x tabela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</si>
  <si>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</si>
  <si>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</si>
  <si>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</si>
  <si>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</si>
  <si>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</si>
  <si>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</si>
  <si>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</si>
  <si>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</si>
  <si>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</si>
  <si>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</si>
  <si>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</si>
  <si>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</si>
  <si>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</si>
  <si>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</si>
  <si>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</si>
  <si>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</si>
  <si>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</si>
  <si>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</si>
  <si>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</si>
  <si>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</si>
  <si>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</si>
  <si>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</si>
  <si>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</si>
  <si>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</si>
  <si>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</si>
  <si>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</si>
  <si>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</si>
  <si>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</si>
  <si>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</si>
  <si>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</si>
  <si>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</si>
  <si>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</si>
  <si>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</si>
  <si>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</si>
  <si>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</si>
  <si>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</si>
  <si>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</si>
  <si>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</si>
  <si>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</si>
  <si>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</si>
  <si>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</si>
  <si>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</si>
  <si>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</si>
  <si>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</si>
  <si>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</si>
  <si>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</si>
  <si>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</si>
  <si>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</si>
  <si>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</si>
  <si>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</si>
  <si>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</si>
  <si>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</si>
  <si>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</si>
  <si>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</si>
  <si>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</si>
  <si>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</si>
  <si>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</si>
  <si>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</si>
  <si>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</si>
  <si>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</si>
  <si>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</si>
  <si>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</si>
  <si>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</si>
  <si>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</si>
  <si>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</si>
  <si>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</si>
  <si>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</si>
  <si>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</si>
  <si>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</si>
  <si>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</si>
  <si>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</si>
  <si>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</si>
  <si>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</si>
  <si>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</si>
  <si>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</si>
  <si>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</si>
  <si>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</si>
  <si>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</si>
  <si>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</si>
  <si>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</si>
  <si>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</si>
  <si>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Colunas de tabelas</t>
  </si>
  <si>
    <t>Domínios de colunas</t>
  </si>
  <si>
    <t>Transactions</t>
  </si>
  <si>
    <t>IsLegacy</t>
  </si>
  <si>
    <t>Legada?</t>
  </si>
  <si>
    <t>É tabela legada?</t>
  </si>
  <si>
    <t>Operations</t>
  </si>
  <si>
    <t>Operation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</si>
  <si>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</si>
  <si>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</si>
  <si>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</si>
  <si>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</si>
  <si>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</si>
  <si>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</si>
  <si>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</si>
  <si>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</si>
  <si>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</si>
  <si>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</si>
  <si>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</si>
  <si>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</si>
  <si>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</si>
  <si>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</si>
  <si>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</si>
  <si>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</si>
  <si>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</si>
  <si>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</si>
  <si>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</si>
  <si>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</si>
  <si>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</si>
  <si>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IsBidirectional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</si>
  <si>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</si>
  <si>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</si>
  <si>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</si>
  <si>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</si>
  <si>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</si>
  <si>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</si>
  <si>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</si>
  <si>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</si>
  <si>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</si>
  <si>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</si>
  <si>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</si>
  <si>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</si>
  <si>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</si>
  <si>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</si>
  <si>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</si>
  <si>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</si>
  <si>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</si>
  <si>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</si>
  <si>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</si>
  <si>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</si>
  <si>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</si>
  <si>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</si>
  <si>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</si>
  <si>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</si>
  <si>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</si>
  <si>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</si>
  <si>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</si>
  <si>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</si>
  <si>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</si>
  <si>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</si>
  <si>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</si>
  <si>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</si>
  <si>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</si>
  <si>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IsLikeable</t>
  </si>
  <si>
    <t>Aceita operador LIKE?</t>
  </si>
  <si>
    <t>Sessions</t>
  </si>
  <si>
    <t>SessionId</t>
  </si>
  <si>
    <t>Sessão do sistema</t>
  </si>
  <si>
    <t>Sessão</t>
  </si>
  <si>
    <t>UNQ_Unicities_ColumnId1_ColumnId2</t>
  </si>
  <si>
    <t>UNQ_Unicities_ColumnId2_ColumnId1</t>
  </si>
  <si>
    <t>js</t>
  </si>
  <si>
    <t>sql</t>
  </si>
  <si>
    <t>json</t>
  </si>
  <si>
    <t>ConnectionString</t>
  </si>
  <si>
    <t>dev</t>
  </si>
  <si>
    <t>IDX_Sessions_SystemId_UserId_IsLogged</t>
  </si>
  <si>
    <t>IDX_Transactions_SessionId_IsConfirmed</t>
  </si>
  <si>
    <t>CodeSQL</t>
  </si>
  <si>
    <t>CodeJS</t>
  </si>
  <si>
    <t>ID do operador</t>
  </si>
  <si>
    <t>Nome do operador</t>
  </si>
  <si>
    <t>Código SQL do operador</t>
  </si>
  <si>
    <t>Código JS do operador</t>
  </si>
  <si>
    <t>JS</t>
  </si>
  <si>
    <t>Data Source=localhost,1433;Initial Catalog=crudex;Integrated Security=SSPI;Encrypt=yes;TrustServerCertificate=yes;Persist Security Info=False;Connect Timeout=30;</t>
  </si>
  <si>
    <t>SQL Server</t>
  </si>
  <si>
    <t>MySQL</t>
  </si>
  <si>
    <t>MariaDB</t>
  </si>
  <si>
    <t>PostgreSQL</t>
  </si>
  <si>
    <t>Firebird</t>
  </si>
  <si>
    <t>Notes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</si>
  <si>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</si>
  <si>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</si>
  <si>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</si>
  <si>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</si>
  <si>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</si>
  <si>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</si>
  <si>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</si>
  <si>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</si>
  <si>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DECIMAL(19,4)</t>
  </si>
  <si>
    <t>REAL</t>
  </si>
  <si>
    <t>DECIMAL(10,4)</t>
  </si>
  <si>
    <t>VARCHAR(128)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</si>
  <si>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</si>
  <si>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</si>
  <si>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</si>
  <si>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</si>
  <si>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</si>
  <si>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</si>
  <si>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</si>
  <si>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</si>
  <si>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</si>
  <si>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</si>
  <si>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</si>
  <si>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</si>
  <si>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</si>
  <si>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</si>
  <si>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</si>
  <si>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</si>
  <si>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</si>
  <si>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</si>
  <si>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</si>
  <si>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</si>
  <si>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</si>
  <si>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</si>
  <si>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</si>
  <si>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</si>
  <si>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</si>
  <si>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</si>
  <si>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</si>
  <si>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</si>
  <si>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</si>
  <si>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</si>
  <si>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</si>
  <si>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</si>
  <si>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</si>
  <si>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</si>
  <si>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</si>
  <si>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</si>
  <si>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</si>
  <si>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</si>
  <si>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</si>
  <si>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</si>
  <si>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</si>
  <si>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</si>
  <si>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</si>
  <si>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</si>
  <si>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</si>
  <si>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</si>
  <si>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</si>
  <si>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</si>
  <si>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</si>
  <si>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</si>
  <si>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</si>
  <si>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</si>
  <si>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</si>
  <si>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</si>
  <si>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</si>
  <si>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</si>
  <si>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</si>
  <si>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</si>
  <si>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</si>
  <si>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</si>
  <si>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</si>
  <si>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</si>
  <si>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</si>
  <si>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</si>
  <si>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</si>
  <si>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</si>
  <si>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</si>
  <si>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</si>
  <si>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</si>
  <si>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</si>
  <si>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</si>
  <si>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</si>
  <si>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</si>
  <si>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</si>
  <si>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</si>
  <si>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</si>
  <si>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</si>
  <si>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</si>
  <si>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</si>
  <si>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</si>
  <si>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</si>
  <si>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</si>
  <si>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</si>
  <si>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</si>
  <si>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</si>
  <si>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</si>
  <si>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</si>
  <si>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</si>
  <si>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</si>
  <si>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Module</t>
  </si>
  <si>
    <t>Factors</t>
  </si>
  <si>
    <t>DigitGreaterThanNine</t>
  </si>
  <si>
    <t>X</t>
  </si>
  <si>
    <t>CPF 1</t>
  </si>
  <si>
    <t>CPF 2</t>
  </si>
  <si>
    <t>CNPJ 1</t>
  </si>
  <si>
    <t>CNPJ 2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</si>
  <si>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</si>
  <si>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</si>
  <si>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</si>
  <si>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</si>
  <si>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</si>
  <si>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</si>
  <si>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</si>
  <si>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</si>
  <si>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</si>
  <si>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</si>
  <si>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</si>
  <si>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#DigitName</t>
  </si>
  <si>
    <t>RAIZ CNPJ</t>
  </si>
  <si>
    <t>##.###.###</t>
  </si>
  <si>
    <t>Directory</t>
  </si>
  <si>
    <t>ValidRegex</t>
  </si>
  <si>
    <t>Value</t>
  </si>
  <si>
    <t>js;json;sql</t>
  </si>
  <si>
    <t>create;update;delete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</si>
  <si>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</si>
  <si>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</si>
  <si>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</si>
  <si>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</si>
  <si>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</si>
  <si>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</si>
  <si>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</si>
  <si>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</si>
  <si>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</si>
  <si>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</si>
  <si>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</si>
  <si>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</si>
  <si>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</si>
  <si>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</si>
  <si>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SysUsr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</si>
  <si>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</si>
  <si>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</si>
  <si>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</si>
  <si>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</si>
  <si>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</si>
  <si>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</si>
  <si>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</si>
  <si>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</si>
  <si>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</si>
  <si>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</si>
  <si>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</si>
  <si>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</si>
  <si>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</si>
  <si>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</si>
  <si>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</si>
  <si>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</si>
  <si>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</si>
  <si>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</si>
  <si>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</si>
  <si>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</si>
  <si>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8;9;2;3;4;5;6;7;8;9</t>
  </si>
  <si>
    <t xml:space="preserve">9;2;3;4;5;6;7;8;9 </t>
  </si>
  <si>
    <t>CAEPF</t>
  </si>
  <si>
    <t>###.###.###/###-##</t>
  </si>
  <si>
    <t>CAEPF 1</t>
  </si>
  <si>
    <t>CAEPF 2</t>
  </si>
  <si>
    <t>3;1;3;1;3;1;3</t>
  </si>
  <si>
    <t>FONE (BR)</t>
  </si>
  <si>
    <t>CELULAR (BR)</t>
  </si>
  <si>
    <t>PLACA VEICULAR</t>
  </si>
  <si>
    <t>PLACA MERCOSUL</t>
  </si>
  <si>
    <t>TÍTULO DE ELEITOR</t>
  </si>
  <si>
    <t>###-####</t>
  </si>
  <si>
    <t>#######</t>
  </si>
  <si>
    <t>##*###*###</t>
  </si>
  <si>
    <t>###*###*###*##</t>
  </si>
  <si>
    <t>##*###*###*####*##</t>
  </si>
  <si>
    <t>###*###*###*###*##</t>
  </si>
  <si>
    <t>####*####*####*####</t>
  </si>
  <si>
    <t>###*##*###*####*#</t>
  </si>
  <si>
    <t>#####*###</t>
  </si>
  <si>
    <t>*##**####*####</t>
  </si>
  <si>
    <t>*##**#*####*####</t>
  </si>
  <si>
    <t>@@@*####</t>
  </si>
  <si>
    <t>@@@#$##</t>
  </si>
  <si>
    <t>###*#####*##*#</t>
  </si>
  <si>
    <t>####*####*####</t>
  </si>
  <si>
    <t>978-85-333-0227-3</t>
  </si>
  <si>
    <t>123.456.789-01</t>
  </si>
  <si>
    <t>12.345.678/0001-23</t>
  </si>
  <si>
    <t>12.345.678</t>
  </si>
  <si>
    <t>123.456.789/001-23</t>
  </si>
  <si>
    <t>1234 5678 9012 3456</t>
  </si>
  <si>
    <t>12345678901</t>
  </si>
  <si>
    <t>12345678</t>
  </si>
  <si>
    <t># ###### ######</t>
  </si>
  <si>
    <t>#*######*######</t>
  </si>
  <si>
    <t>0 123456 789012</t>
  </si>
  <si>
    <t>0-7475-3269-9</t>
  </si>
  <si>
    <t>#*####*####*#</t>
  </si>
  <si>
    <t>#-####-####-#</t>
  </si>
  <si>
    <t>0317-8471</t>
  </si>
  <si>
    <t>####*###$</t>
  </si>
  <si>
    <t>(11) 4198-5578</t>
  </si>
  <si>
    <t>(11) 9 4198-5578</t>
  </si>
  <si>
    <t>AAA-1234</t>
  </si>
  <si>
    <t>AAA1B23</t>
  </si>
  <si>
    <t>12345-678</t>
  </si>
  <si>
    <t>1234 5678 9012</t>
  </si>
  <si>
    <t>123.4567.89-1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</si>
  <si>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</si>
  <si>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</si>
  <si>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</si>
  <si>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</si>
  <si>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</si>
  <si>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</si>
  <si>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</si>
  <si>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</si>
  <si>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</si>
  <si>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Digits</t>
  </si>
  <si>
    <t>MasksDigits</t>
  </si>
  <si>
    <t>DatabasesEnvironments</t>
  </si>
  <si>
    <t>Conditions</t>
  </si>
  <si>
    <t>Cli</t>
  </si>
  <si>
    <t>Eng</t>
  </si>
  <si>
    <t>EngTyp</t>
  </si>
  <si>
    <t>DmnMsk</t>
  </si>
  <si>
    <t>Dig</t>
  </si>
  <si>
    <t>MskDig</t>
  </si>
  <si>
    <t>Idk</t>
  </si>
  <si>
    <t>Cnd</t>
  </si>
  <si>
    <t>Clientes</t>
  </si>
  <si>
    <t>SGBD's</t>
  </si>
  <si>
    <t>Categorias de tipos</t>
  </si>
  <si>
    <t>SGBD's x Tipos</t>
  </si>
  <si>
    <t>Máscaras de edição</t>
  </si>
  <si>
    <t>Domínios x Máscars de edição</t>
  </si>
  <si>
    <t>Dígitos verificadores</t>
  </si>
  <si>
    <t>Máscaras de edição x Dígitos verificadores</t>
  </si>
  <si>
    <t>Bancos-de-dados</t>
  </si>
  <si>
    <t>Bancos-de-dados x Ambientes</t>
  </si>
  <si>
    <t>Índices</t>
  </si>
  <si>
    <t>Sessões</t>
  </si>
  <si>
    <t>Transações</t>
  </si>
  <si>
    <t>Operações</t>
  </si>
  <si>
    <t>Unicidades</t>
  </si>
  <si>
    <t>Condições</t>
  </si>
  <si>
    <t>int (4 bytes)</t>
  </si>
  <si>
    <t xml:space="preserve">bit </t>
  </si>
  <si>
    <t>char(n)</t>
  </si>
  <si>
    <t>datetime2(s)</t>
  </si>
  <si>
    <t>datetimeoffset(s)</t>
  </si>
  <si>
    <t>decimal(p ,s)</t>
  </si>
  <si>
    <t>float(n)</t>
  </si>
  <si>
    <t>money(p, s)</t>
  </si>
  <si>
    <t>time(s)</t>
  </si>
  <si>
    <t>*Id</t>
  </si>
  <si>
    <t>*EngineId</t>
  </si>
  <si>
    <t>*TypeId</t>
  </si>
  <si>
    <t>*ClientId</t>
  </si>
  <si>
    <t>*DomainId</t>
  </si>
  <si>
    <t>Money</t>
  </si>
  <si>
    <t>#DomainLength</t>
  </si>
  <si>
    <t>#DomainDecimals</t>
  </si>
  <si>
    <t>#TypeId</t>
  </si>
  <si>
    <t>SoftLab</t>
  </si>
  <si>
    <t>*DigitId</t>
  </si>
  <si>
    <t>*MaskId</t>
  </si>
  <si>
    <t>*DatabaseId</t>
  </si>
  <si>
    <t>*TableId</t>
  </si>
  <si>
    <t>*SystemId</t>
  </si>
  <si>
    <t>&lt; (menor);≤ (menor ou igual);= (igual);≥ (maior ou igual);&gt; (maior);∈ (in);⊂ (like);∃ (in) ;≬(between)</t>
  </si>
  <si>
    <t>&lt;;≤;=;≠;≥;&gt;;∈;∉;⊃⊅;;∃;∄</t>
  </si>
  <si>
    <t>EnginesDomains</t>
  </si>
  <si>
    <t>EngDmn</t>
  </si>
  <si>
    <t>Engines x Domains</t>
  </si>
  <si>
    <t>DbEnv</t>
  </si>
  <si>
    <t>Operator</t>
  </si>
  <si>
    <t>*ColumnId</t>
  </si>
  <si>
    <t>&lt;</t>
  </si>
  <si>
    <t>&gt;</t>
  </si>
  <si>
    <t>checked</t>
  </si>
  <si>
    <t>Marca/desmarca campo (ex.: checkbox)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</si>
  <si>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</si>
  <si>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</si>
  <si>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</si>
  <si>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</si>
  <si>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</si>
  <si>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</si>
  <si>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</si>
  <si>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</si>
  <si>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</si>
  <si>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</si>
  <si>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</si>
  <si>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</si>
  <si>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</si>
  <si>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</si>
  <si>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</si>
  <si>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</si>
  <si>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</si>
  <si>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</si>
  <si>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</si>
  <si>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</si>
  <si>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</si>
  <si>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</si>
  <si>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</si>
  <si>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</t>
  </si>
  <si>
    <t>regex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</si>
  <si>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</si>
  <si>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</si>
  <si>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</si>
  <si>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</si>
  <si>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</si>
  <si>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</si>
  <si>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</si>
  <si>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</si>
  <si>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</si>
  <si>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</si>
  <si>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</si>
  <si>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</si>
  <si>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</si>
  <si>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</si>
  <si>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</si>
  <si>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</si>
  <si>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IsAndConnector</t>
  </si>
  <si>
    <t>IsNested</t>
  </si>
  <si>
    <t>Prp</t>
  </si>
  <si>
    <t>Properties</t>
  </si>
  <si>
    <t>#PropertyName</t>
  </si>
  <si>
    <t>*PropertyId</t>
  </si>
  <si>
    <t>Behaviors</t>
  </si>
  <si>
    <t>Bhv</t>
  </si>
  <si>
    <t>Propriedades HTML</t>
  </si>
  <si>
    <t>Periodicity</t>
  </si>
  <si>
    <t>second;minute;hour;day;month;year</t>
  </si>
  <si>
    <t>MenuAction</t>
  </si>
  <si>
    <t>Menu Action</t>
  </si>
  <si>
    <t>grid;exit;login</t>
  </si>
  <si>
    <t>TargetAction</t>
  </si>
  <si>
    <t>SystemsDatabases</t>
  </si>
  <si>
    <t>login</t>
  </si>
  <si>
    <t>grid</t>
  </si>
  <si>
    <t>exit</t>
  </si>
  <si>
    <t>Menu Target Action</t>
  </si>
  <si>
    <t>gerado dinamicamente por behavior</t>
  </si>
  <si>
    <t>*IndexId</t>
  </si>
  <si>
    <t>Comportamentos de formulários</t>
  </si>
  <si>
    <t>ClientId</t>
  </si>
  <si>
    <t>Environment</t>
  </si>
  <si>
    <t>*UserId</t>
  </si>
  <si>
    <t>IncludeCrudex</t>
  </si>
  <si>
    <t>Domains;Masks;Digits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</si>
</sst>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49" fontId="1" fillId="0" borderId="1" xfId="0" applyNumberFormat="1" applyFont="1" applyBorder="1" applyAlignment="1">
      <alignment horizontal="center" vertical="top"/>
    </xf>
    <xf numFmtId="49" fontId="0" fillId="0" borderId="0" xfId="0" quotePrefix="1" applyNumberFormat="1"/>
    <xf numFmtId="49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C11"/>
  <sheetViews>
    <sheetView tabSelected="1" workbookViewId="0">
      <pane ySplit="1" topLeftCell="A2" activePane="bottomLeft" state="frozen"/>
      <selection pane="bottomLeft"/>
    </sheetView>
  </sheetViews>
  <sheetFormatPr defaultColWidth="9.109375" defaultRowHeight="14.4" x14ac:dyDescent="0.3"/>
  <cols>
    <col min="1" max="1" width="3.6640625" bestFit="1" customWidth="1"/>
    <col min="2" max="2" width="12.6640625" bestFit="1" customWidth="1"/>
    <col min="3" max="3" width="11.77734375" bestFit="1" customWidth="1"/>
  </cols>
  <sheetData>
    <row r="1" spans="1:3" s="1" customFormat="1" x14ac:dyDescent="0.3">
      <c r="A1" s="1" t="s">
        <v>726</v>
      </c>
      <c r="B1" s="1" t="s">
        <v>1</v>
      </c>
      <c r="C1" s="1" t="s">
        <v>28</v>
      </c>
    </row>
    <row r="2" spans="1:3" x14ac:dyDescent="0.3">
      <c r="A2">
        <f>ROW(A2)-1</f>
        <v>1</v>
      </c>
      <c r="B2" t="s">
        <v>461</v>
      </c>
      <c r="C2" t="b">
        <v>1</v>
      </c>
    </row>
    <row r="3" spans="1:3" x14ac:dyDescent="0.3">
      <c r="A3">
        <f t="shared" ref="A3:A11" si="0">ROW(A3)-1</f>
        <v>2</v>
      </c>
      <c r="B3" t="s">
        <v>462</v>
      </c>
      <c r="C3" t="b">
        <v>0</v>
      </c>
    </row>
    <row r="4" spans="1:3" x14ac:dyDescent="0.3">
      <c r="A4">
        <f t="shared" si="0"/>
        <v>3</v>
      </c>
      <c r="B4" t="s">
        <v>463</v>
      </c>
      <c r="C4" t="b">
        <v>0</v>
      </c>
    </row>
    <row r="5" spans="1:3" x14ac:dyDescent="0.3">
      <c r="A5">
        <f t="shared" si="0"/>
        <v>4</v>
      </c>
      <c r="B5" t="s">
        <v>464</v>
      </c>
      <c r="C5" t="b">
        <v>0</v>
      </c>
    </row>
    <row r="6" spans="1:3" x14ac:dyDescent="0.3">
      <c r="A6">
        <f t="shared" si="0"/>
        <v>5</v>
      </c>
      <c r="B6" t="s">
        <v>465</v>
      </c>
      <c r="C6" t="b">
        <v>0</v>
      </c>
    </row>
    <row r="7" spans="1:3" x14ac:dyDescent="0.3">
      <c r="A7">
        <f t="shared" si="0"/>
        <v>6</v>
      </c>
      <c r="B7" t="s">
        <v>520</v>
      </c>
      <c r="C7" t="b">
        <v>0</v>
      </c>
    </row>
    <row r="8" spans="1:3" x14ac:dyDescent="0.3">
      <c r="A8">
        <f t="shared" si="0"/>
        <v>7</v>
      </c>
      <c r="B8" t="s">
        <v>521</v>
      </c>
      <c r="C8" t="b">
        <v>0</v>
      </c>
    </row>
    <row r="9" spans="1:3" x14ac:dyDescent="0.3">
      <c r="A9">
        <f t="shared" si="0"/>
        <v>8</v>
      </c>
      <c r="B9" t="s">
        <v>522</v>
      </c>
      <c r="C9" t="b">
        <v>0</v>
      </c>
    </row>
    <row r="10" spans="1:3" x14ac:dyDescent="0.3">
      <c r="A10">
        <f t="shared" si="0"/>
        <v>9</v>
      </c>
      <c r="B10" t="s">
        <v>523</v>
      </c>
      <c r="C10" t="b">
        <v>0</v>
      </c>
    </row>
    <row r="11" spans="1:3" x14ac:dyDescent="0.3">
      <c r="A11">
        <f t="shared" si="0"/>
        <v>10</v>
      </c>
      <c r="B11" t="s">
        <v>524</v>
      </c>
      <c r="C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N12"/>
  <sheetViews>
    <sheetView workbookViewId="0">
      <pane ySplit="1" topLeftCell="A2" activePane="bottomLeft" state="frozen"/>
      <selection pane="bottomLeft" sqref="A1:XFD1048576"/>
    </sheetView>
  </sheetViews>
  <sheetFormatPr defaultColWidth="3.5546875" defaultRowHeight="14.4" x14ac:dyDescent="0.3"/>
  <cols>
    <col min="1" max="1" width="3.6640625" bestFit="1" customWidth="1"/>
    <col min="2" max="2" width="9.109375" bestFit="1" customWidth="1"/>
    <col min="3" max="3" width="12.5546875" bestFit="1" customWidth="1"/>
    <col min="4" max="6" width="11.77734375" bestFit="1" customWidth="1"/>
    <col min="7" max="7" width="12.21875" bestFit="1" customWidth="1"/>
    <col min="8" max="8" width="12.5546875" bestFit="1" customWidth="1"/>
    <col min="9" max="9" width="11.77734375" bestFit="1" customWidth="1"/>
    <col min="10" max="10" width="14.21875" bestFit="1" customWidth="1"/>
    <col min="11" max="12" width="11.77734375" bestFit="1" customWidth="1"/>
    <col min="13" max="13" width="12.5546875" style="6" bestFit="1" customWidth="1"/>
    <col min="14" max="14" width="11.77734375" bestFit="1" customWidth="1"/>
  </cols>
  <sheetData>
    <row r="1" spans="1:14" s="1" customFormat="1" x14ac:dyDescent="0.3">
      <c r="A1" s="1" t="s">
        <v>726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347</v>
      </c>
      <c r="J1" s="1" t="s">
        <v>282</v>
      </c>
      <c r="K1" s="1" t="s">
        <v>330</v>
      </c>
      <c r="L1" s="1" t="s">
        <v>27</v>
      </c>
      <c r="M1" s="1" t="s">
        <v>4</v>
      </c>
      <c r="N1" s="1" t="s">
        <v>438</v>
      </c>
    </row>
    <row r="2" spans="1:14" x14ac:dyDescent="0.3">
      <c r="A2">
        <f>ROW(A2)-1</f>
        <v>1</v>
      </c>
      <c r="B2" t="s">
        <v>10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</row>
    <row r="3" spans="1:14" x14ac:dyDescent="0.3">
      <c r="A3">
        <f t="shared" ref="A3:A12" si="0">ROW(A3)-1</f>
        <v>2</v>
      </c>
      <c r="B3" t="s">
        <v>435</v>
      </c>
      <c r="C3" t="b">
        <v>0</v>
      </c>
      <c r="D3" t="b">
        <v>0</v>
      </c>
      <c r="E3" t="b">
        <v>0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1</v>
      </c>
      <c r="L3" t="b">
        <v>1</v>
      </c>
      <c r="M3" t="b">
        <v>0</v>
      </c>
      <c r="N3" t="b">
        <v>0</v>
      </c>
    </row>
    <row r="4" spans="1:14" x14ac:dyDescent="0.3">
      <c r="A4">
        <f t="shared" si="0"/>
        <v>3</v>
      </c>
      <c r="B4" t="s">
        <v>13</v>
      </c>
      <c r="C4" t="b">
        <v>0</v>
      </c>
      <c r="D4" t="b">
        <v>0</v>
      </c>
      <c r="E4" t="b">
        <v>0</v>
      </c>
      <c r="F4" t="b">
        <v>1</v>
      </c>
      <c r="G4" t="b">
        <v>1</v>
      </c>
      <c r="H4" t="b">
        <v>1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</row>
    <row r="5" spans="1:14" x14ac:dyDescent="0.3">
      <c r="A5">
        <f t="shared" si="0"/>
        <v>4</v>
      </c>
      <c r="B5" t="s">
        <v>14</v>
      </c>
      <c r="C5" t="b">
        <v>0</v>
      </c>
      <c r="D5" t="b">
        <v>0</v>
      </c>
      <c r="E5" t="b">
        <v>0</v>
      </c>
      <c r="F5" t="b">
        <v>1</v>
      </c>
      <c r="G5" t="b">
        <v>1</v>
      </c>
      <c r="H5" t="b">
        <v>1</v>
      </c>
      <c r="I5" t="b">
        <v>0</v>
      </c>
      <c r="J5" t="b">
        <v>0</v>
      </c>
      <c r="K5" t="b">
        <v>1</v>
      </c>
      <c r="L5" t="b">
        <v>1</v>
      </c>
      <c r="M5" t="b">
        <v>0</v>
      </c>
      <c r="N5" t="b">
        <v>0</v>
      </c>
    </row>
    <row r="6" spans="1:14" x14ac:dyDescent="0.3">
      <c r="A6">
        <f t="shared" si="0"/>
        <v>5</v>
      </c>
      <c r="B6" t="s">
        <v>15</v>
      </c>
      <c r="C6" t="b">
        <v>0</v>
      </c>
      <c r="D6" t="b">
        <v>0</v>
      </c>
      <c r="E6" t="b">
        <v>0</v>
      </c>
      <c r="F6" t="b">
        <v>1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0</v>
      </c>
      <c r="N6" t="b">
        <v>0</v>
      </c>
    </row>
    <row r="7" spans="1:14" x14ac:dyDescent="0.3">
      <c r="A7">
        <f t="shared" si="0"/>
        <v>6</v>
      </c>
      <c r="B7" t="s">
        <v>16</v>
      </c>
      <c r="C7" t="b">
        <v>0</v>
      </c>
      <c r="D7" t="b">
        <v>0</v>
      </c>
      <c r="E7" t="b">
        <v>0</v>
      </c>
      <c r="F7" t="b">
        <v>1</v>
      </c>
      <c r="G7" t="b">
        <v>1</v>
      </c>
      <c r="H7" t="b">
        <v>1</v>
      </c>
      <c r="I7" t="b">
        <v>0</v>
      </c>
      <c r="J7" t="b">
        <v>0</v>
      </c>
      <c r="K7" t="b">
        <v>1</v>
      </c>
      <c r="L7" t="b">
        <v>1</v>
      </c>
      <c r="M7" t="b">
        <v>0</v>
      </c>
      <c r="N7" t="b">
        <v>0</v>
      </c>
    </row>
    <row r="8" spans="1:14" x14ac:dyDescent="0.3">
      <c r="A8">
        <f t="shared" si="0"/>
        <v>7</v>
      </c>
      <c r="B8" t="s">
        <v>11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1</v>
      </c>
      <c r="K8" t="b">
        <v>0</v>
      </c>
      <c r="L8" t="b">
        <v>0</v>
      </c>
      <c r="M8" t="b">
        <v>0</v>
      </c>
      <c r="N8" t="b">
        <v>1</v>
      </c>
    </row>
    <row r="9" spans="1:14" x14ac:dyDescent="0.3">
      <c r="A9">
        <f t="shared" si="0"/>
        <v>8</v>
      </c>
      <c r="B9" t="s">
        <v>17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</row>
    <row r="10" spans="1:14" x14ac:dyDescent="0.3">
      <c r="A10">
        <v>9</v>
      </c>
      <c r="B10" t="s">
        <v>18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</row>
    <row r="11" spans="1:14" x14ac:dyDescent="0.3">
      <c r="A11">
        <f t="shared" si="0"/>
        <v>10</v>
      </c>
      <c r="B11" t="s">
        <v>19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</row>
    <row r="12" spans="1:14" x14ac:dyDescent="0.3">
      <c r="A12">
        <f t="shared" si="0"/>
        <v>11</v>
      </c>
      <c r="B12" t="s">
        <v>777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39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14" defaultRowHeight="14.4" x14ac:dyDescent="0.3"/>
  <cols>
    <col min="1" max="1" width="3.6640625" bestFit="1" customWidth="1"/>
    <col min="2" max="2" width="10.21875" bestFit="1" customWidth="1"/>
    <col min="3" max="3" width="14.6640625" bestFit="1" customWidth="1"/>
    <col min="4" max="5" width="15.21875" bestFit="1" customWidth="1"/>
    <col min="6" max="7" width="26.77734375" style="2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</cols>
  <sheetData>
    <row r="1" spans="1:12" s="1" customFormat="1" x14ac:dyDescent="0.3">
      <c r="A1" s="1" t="s">
        <v>726</v>
      </c>
      <c r="B1" s="1" t="s">
        <v>20</v>
      </c>
      <c r="C1" s="1" t="s">
        <v>301</v>
      </c>
      <c r="D1" s="1" t="s">
        <v>1</v>
      </c>
      <c r="E1" s="1" t="s">
        <v>73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28</v>
      </c>
    </row>
    <row r="2" spans="1:12" x14ac:dyDescent="0.3">
      <c r="A2">
        <f>ROW(A2)-1</f>
        <v>1</v>
      </c>
      <c r="B2">
        <v>2</v>
      </c>
      <c r="C2" t="str" cm="1">
        <f t="array" ref="C2">GetValue("Cat",B2,"Name")</f>
        <v>number</v>
      </c>
      <c r="D2" t="s">
        <v>29</v>
      </c>
      <c r="E2" t="s">
        <v>29</v>
      </c>
      <c r="F2" s="5">
        <v>-9007199254740990</v>
      </c>
      <c r="G2" s="5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</row>
    <row r="3" spans="1:12" x14ac:dyDescent="0.3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18</v>
      </c>
      <c r="E3" t="s">
        <v>18</v>
      </c>
      <c r="F3" s="2" t="s">
        <v>30</v>
      </c>
      <c r="G3" s="2" t="s">
        <v>30</v>
      </c>
      <c r="H3" t="b">
        <v>0</v>
      </c>
      <c r="I3" t="b">
        <v>0</v>
      </c>
      <c r="J3" t="b">
        <v>0</v>
      </c>
      <c r="K3" t="b">
        <v>0</v>
      </c>
      <c r="L3" t="b">
        <v>1</v>
      </c>
    </row>
    <row r="4" spans="1:12" x14ac:dyDescent="0.3">
      <c r="A4">
        <f t="shared" si="0"/>
        <v>3</v>
      </c>
      <c r="B4">
        <v>5</v>
      </c>
      <c r="C4" t="str" cm="1">
        <f t="array" ref="C4">GetValue("Cat",B4,"Name")</f>
        <v>boolean</v>
      </c>
      <c r="D4" t="s">
        <v>718</v>
      </c>
      <c r="E4" t="s">
        <v>718</v>
      </c>
      <c r="F4" s="2" t="s">
        <v>30</v>
      </c>
      <c r="G4" s="2" t="s">
        <v>30</v>
      </c>
      <c r="H4" t="b">
        <v>0</v>
      </c>
      <c r="I4" t="b">
        <v>0</v>
      </c>
      <c r="J4" t="b">
        <v>0</v>
      </c>
      <c r="K4" t="b">
        <v>0</v>
      </c>
      <c r="L4" t="b">
        <v>1</v>
      </c>
    </row>
    <row r="5" spans="1:12" x14ac:dyDescent="0.3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719</v>
      </c>
      <c r="E5" t="s">
        <v>719</v>
      </c>
      <c r="F5" s="2" t="s">
        <v>30</v>
      </c>
      <c r="G5" s="2" t="s">
        <v>30</v>
      </c>
      <c r="H5" t="b">
        <v>1</v>
      </c>
      <c r="I5" t="b">
        <v>0</v>
      </c>
      <c r="J5" t="b">
        <v>0</v>
      </c>
      <c r="K5" t="b">
        <v>0</v>
      </c>
      <c r="L5" t="b">
        <v>1</v>
      </c>
    </row>
    <row r="6" spans="1:12" x14ac:dyDescent="0.3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13</v>
      </c>
      <c r="E6" t="s">
        <v>13</v>
      </c>
      <c r="F6" s="4" t="s">
        <v>425</v>
      </c>
      <c r="G6" s="4" t="s">
        <v>426</v>
      </c>
      <c r="H6" t="b">
        <v>0</v>
      </c>
      <c r="I6" t="b">
        <v>0</v>
      </c>
      <c r="J6" t="b">
        <v>0</v>
      </c>
      <c r="K6" t="b">
        <v>0</v>
      </c>
      <c r="L6" t="b">
        <v>1</v>
      </c>
    </row>
    <row r="7" spans="1:12" x14ac:dyDescent="0.3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14</v>
      </c>
      <c r="E7" t="s">
        <v>14</v>
      </c>
      <c r="F7" s="4" t="s">
        <v>427</v>
      </c>
      <c r="G7" s="4" t="s">
        <v>428</v>
      </c>
      <c r="H7" t="b">
        <v>0</v>
      </c>
      <c r="I7" t="b">
        <v>0</v>
      </c>
      <c r="J7" t="b">
        <v>0</v>
      </c>
      <c r="K7" t="b">
        <v>0</v>
      </c>
      <c r="L7" t="b">
        <v>1</v>
      </c>
    </row>
    <row r="8" spans="1:12" x14ac:dyDescent="0.3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720</v>
      </c>
      <c r="E8" t="s">
        <v>720</v>
      </c>
      <c r="F8" s="4" t="s">
        <v>429</v>
      </c>
      <c r="G8" s="4" t="s">
        <v>430</v>
      </c>
      <c r="H8" t="b">
        <v>0</v>
      </c>
      <c r="I8" t="b">
        <v>0</v>
      </c>
      <c r="J8" t="b">
        <v>0</v>
      </c>
      <c r="K8" t="b">
        <v>0</v>
      </c>
      <c r="L8" t="b">
        <v>1</v>
      </c>
    </row>
    <row r="9" spans="1:12" x14ac:dyDescent="0.3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721</v>
      </c>
      <c r="E9" t="s">
        <v>721</v>
      </c>
      <c r="F9" s="4" t="s">
        <v>429</v>
      </c>
      <c r="G9" s="4" t="s">
        <v>430</v>
      </c>
      <c r="H9" t="b">
        <v>0</v>
      </c>
      <c r="I9" t="b">
        <v>0</v>
      </c>
      <c r="J9" t="b">
        <v>0</v>
      </c>
      <c r="K9" t="b">
        <v>0</v>
      </c>
      <c r="L9" t="b">
        <v>1</v>
      </c>
    </row>
    <row r="10" spans="1:12" x14ac:dyDescent="0.3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722</v>
      </c>
      <c r="E10" t="s">
        <v>722</v>
      </c>
      <c r="F10" s="5">
        <v>-9007199254740990</v>
      </c>
      <c r="G10" s="5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1</v>
      </c>
    </row>
    <row r="11" spans="1:12" x14ac:dyDescent="0.3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723</v>
      </c>
      <c r="E11" t="s">
        <v>723</v>
      </c>
      <c r="F11" s="5">
        <v>-9007199254740990</v>
      </c>
      <c r="G11" s="5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</row>
    <row r="12" spans="1:12" x14ac:dyDescent="0.3">
      <c r="A12">
        <f t="shared" si="0"/>
        <v>11</v>
      </c>
      <c r="B12">
        <v>7</v>
      </c>
      <c r="C12" t="str" cm="1">
        <f t="array" ref="C12">GetValue("Cat",B12,"Name")</f>
        <v>text</v>
      </c>
      <c r="D12" t="s">
        <v>37</v>
      </c>
      <c r="E12" t="s">
        <v>37</v>
      </c>
      <c r="F12" s="2" t="s">
        <v>30</v>
      </c>
      <c r="G12" s="2" t="s">
        <v>30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</row>
    <row r="13" spans="1:12" x14ac:dyDescent="0.3">
      <c r="A13">
        <f t="shared" si="0"/>
        <v>12</v>
      </c>
      <c r="B13">
        <v>7</v>
      </c>
      <c r="C13" t="str" cm="1">
        <f t="array" ref="C13">GetValue("Cat",B13,"Name")</f>
        <v>text</v>
      </c>
      <c r="D13" t="s">
        <v>38</v>
      </c>
      <c r="E13" t="s">
        <v>38</v>
      </c>
      <c r="F13" s="2" t="s">
        <v>30</v>
      </c>
      <c r="G13" s="2" t="s">
        <v>30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39</v>
      </c>
      <c r="E14" t="s">
        <v>39</v>
      </c>
      <c r="F14" s="2" t="s">
        <v>30</v>
      </c>
      <c r="G14" s="2" t="s">
        <v>30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</row>
    <row r="15" spans="1:12" x14ac:dyDescent="0.3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17</v>
      </c>
      <c r="E15" t="s">
        <v>17</v>
      </c>
      <c r="F15" s="2" t="s">
        <v>30</v>
      </c>
      <c r="G15" s="2" t="s">
        <v>30</v>
      </c>
      <c r="H15" t="b">
        <v>0</v>
      </c>
      <c r="I15" t="b">
        <v>0</v>
      </c>
      <c r="J15" t="b">
        <v>0</v>
      </c>
      <c r="K15" t="b">
        <v>0</v>
      </c>
      <c r="L15" t="b">
        <v>1</v>
      </c>
    </row>
    <row r="16" spans="1:12" x14ac:dyDescent="0.3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717</v>
      </c>
      <c r="E16" t="s">
        <v>717</v>
      </c>
      <c r="F16" s="2">
        <v>-2147483648</v>
      </c>
      <c r="G16" s="2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</row>
    <row r="17" spans="1:12" x14ac:dyDescent="0.3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724</v>
      </c>
      <c r="E17" t="s">
        <v>724</v>
      </c>
      <c r="F17" s="5">
        <v>-922337203685477</v>
      </c>
      <c r="G17" s="5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681</v>
      </c>
      <c r="E18" t="s">
        <v>681</v>
      </c>
      <c r="F18" s="2" t="s">
        <v>30</v>
      </c>
      <c r="G18" s="2" t="s">
        <v>30</v>
      </c>
      <c r="H18" t="b">
        <v>1</v>
      </c>
      <c r="I18" t="b">
        <v>0</v>
      </c>
      <c r="J18" t="b">
        <v>0</v>
      </c>
      <c r="K18" t="b">
        <v>0</v>
      </c>
      <c r="L18" t="b">
        <v>1</v>
      </c>
    </row>
    <row r="19" spans="1:12" x14ac:dyDescent="0.3">
      <c r="A19">
        <f t="shared" si="0"/>
        <v>18</v>
      </c>
      <c r="B19">
        <v>7</v>
      </c>
      <c r="C19" t="str" cm="1">
        <f t="array" ref="C19">GetValue("Cat",B19,"Name")</f>
        <v>text</v>
      </c>
      <c r="D19" t="s">
        <v>43</v>
      </c>
      <c r="E19" t="s">
        <v>43</v>
      </c>
      <c r="F19" s="2" t="s">
        <v>30</v>
      </c>
      <c r="G19" s="2" t="s">
        <v>30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 x14ac:dyDescent="0.3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680</v>
      </c>
      <c r="E20" t="s">
        <v>680</v>
      </c>
      <c r="F20" s="5">
        <v>-9007199254740990</v>
      </c>
      <c r="G20" s="5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1</v>
      </c>
    </row>
    <row r="21" spans="1:12" x14ac:dyDescent="0.3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684</v>
      </c>
      <c r="E21" t="s">
        <v>684</v>
      </c>
      <c r="F21" s="2" t="s">
        <v>30</v>
      </c>
      <c r="G21" s="2" t="s">
        <v>30</v>
      </c>
      <c r="H21" t="b">
        <v>1</v>
      </c>
      <c r="I21" t="b">
        <v>0</v>
      </c>
      <c r="J21" t="b">
        <v>0</v>
      </c>
      <c r="K21" t="b">
        <v>0</v>
      </c>
      <c r="L21" t="b">
        <v>1</v>
      </c>
    </row>
    <row r="22" spans="1:12" x14ac:dyDescent="0.3">
      <c r="A22">
        <f t="shared" si="0"/>
        <v>21</v>
      </c>
      <c r="B22">
        <v>7</v>
      </c>
      <c r="C22" t="str" cm="1">
        <f t="array" ref="C22">GetValue("Cat",B22,"Name")</f>
        <v>text</v>
      </c>
      <c r="D22" t="s">
        <v>361</v>
      </c>
      <c r="E22" t="s">
        <v>361</v>
      </c>
      <c r="F22" s="2" t="s">
        <v>30</v>
      </c>
      <c r="G22" s="2" t="s">
        <v>30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</row>
    <row r="23" spans="1:12" x14ac:dyDescent="0.3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45</v>
      </c>
      <c r="E23" t="s">
        <v>45</v>
      </c>
      <c r="F23" s="5">
        <v>-9007199254740990</v>
      </c>
      <c r="G23" s="5">
        <v>9007199254740990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 x14ac:dyDescent="0.3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46</v>
      </c>
      <c r="E24" t="s">
        <v>46</v>
      </c>
      <c r="F24" s="4" t="s">
        <v>431</v>
      </c>
      <c r="G24" s="4" t="s">
        <v>432</v>
      </c>
      <c r="H24" t="b">
        <v>0</v>
      </c>
      <c r="I24" t="b">
        <v>0</v>
      </c>
      <c r="J24" t="b">
        <v>0</v>
      </c>
      <c r="K24" t="b">
        <v>0</v>
      </c>
      <c r="L24" t="b">
        <v>1</v>
      </c>
    </row>
    <row r="25" spans="1:12" x14ac:dyDescent="0.3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47</v>
      </c>
      <c r="E25" t="s">
        <v>47</v>
      </c>
      <c r="F25" s="2">
        <v>-32768</v>
      </c>
      <c r="G25" s="2">
        <v>32767</v>
      </c>
      <c r="H25" t="b">
        <v>0</v>
      </c>
      <c r="I25" t="b">
        <v>0</v>
      </c>
      <c r="J25" t="b">
        <v>1</v>
      </c>
      <c r="K25" t="b">
        <v>1</v>
      </c>
      <c r="L25" t="b">
        <v>1</v>
      </c>
    </row>
    <row r="26" spans="1:12" x14ac:dyDescent="0.3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48</v>
      </c>
      <c r="E26" t="s">
        <v>48</v>
      </c>
      <c r="F26" s="2">
        <v>214748</v>
      </c>
      <c r="G26" s="2">
        <v>214748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</row>
    <row r="27" spans="1:12" x14ac:dyDescent="0.3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49</v>
      </c>
      <c r="E27" t="s">
        <v>49</v>
      </c>
      <c r="F27" s="2" t="s">
        <v>30</v>
      </c>
      <c r="G27" s="2" t="s">
        <v>30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50</v>
      </c>
      <c r="E28" t="s">
        <v>50</v>
      </c>
      <c r="F28" s="2" t="s">
        <v>30</v>
      </c>
      <c r="G28" s="2" t="s">
        <v>30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</row>
    <row r="29" spans="1:12" x14ac:dyDescent="0.3">
      <c r="A29">
        <f>ROW(A29)-1</f>
        <v>28</v>
      </c>
      <c r="B29">
        <v>7</v>
      </c>
      <c r="C29" t="str" cm="1">
        <f t="array" ref="C29">GetValue("Cat",B29,"Name")</f>
        <v>text</v>
      </c>
      <c r="D29" t="s">
        <v>11</v>
      </c>
      <c r="E29" t="s">
        <v>11</v>
      </c>
      <c r="F29" s="2" t="s">
        <v>30</v>
      </c>
      <c r="G29" s="2" t="s">
        <v>30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</row>
    <row r="30" spans="1:12" x14ac:dyDescent="0.3">
      <c r="A30">
        <f t="shared" ref="A30:A39" si="1">ROW(A30)-1</f>
        <v>29</v>
      </c>
      <c r="B30">
        <v>6</v>
      </c>
      <c r="C30" t="str" cm="1">
        <f t="array" ref="C30">GetValue("Cat",B30,"Name")</f>
        <v>time</v>
      </c>
      <c r="D30" t="s">
        <v>725</v>
      </c>
      <c r="E30" t="s">
        <v>725</v>
      </c>
      <c r="F30" s="4" t="s">
        <v>433</v>
      </c>
      <c r="G30" s="4" t="s">
        <v>434</v>
      </c>
      <c r="H30" t="b">
        <v>0</v>
      </c>
      <c r="I30" t="b">
        <v>0</v>
      </c>
      <c r="J30" t="b">
        <v>0</v>
      </c>
      <c r="K30" t="b">
        <v>0</v>
      </c>
      <c r="L30" t="b">
        <v>1</v>
      </c>
    </row>
    <row r="31" spans="1:12" x14ac:dyDescent="0.3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51</v>
      </c>
      <c r="E31" t="s">
        <v>51</v>
      </c>
      <c r="F31" s="4" t="s">
        <v>30</v>
      </c>
      <c r="G31" s="4"/>
      <c r="H31" t="b">
        <v>0</v>
      </c>
      <c r="I31" t="b">
        <v>0</v>
      </c>
      <c r="J31" t="b">
        <v>0</v>
      </c>
      <c r="K31" t="b">
        <v>0</v>
      </c>
      <c r="L31" t="b">
        <v>1</v>
      </c>
    </row>
    <row r="32" spans="1:12" x14ac:dyDescent="0.3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52</v>
      </c>
      <c r="E32" t="s">
        <v>52</v>
      </c>
      <c r="F32" s="2">
        <v>0</v>
      </c>
      <c r="G32" s="2">
        <v>255</v>
      </c>
      <c r="H32" t="b">
        <v>0</v>
      </c>
      <c r="I32" t="b">
        <v>0</v>
      </c>
      <c r="J32" t="b">
        <v>1</v>
      </c>
      <c r="K32" t="b">
        <v>1</v>
      </c>
      <c r="L32" t="b">
        <v>1</v>
      </c>
    </row>
    <row r="33" spans="1:12" x14ac:dyDescent="0.3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53</v>
      </c>
      <c r="E33" t="s">
        <v>53</v>
      </c>
      <c r="F33" s="2" t="s">
        <v>30</v>
      </c>
      <c r="G33" s="2" t="s">
        <v>30</v>
      </c>
      <c r="H33" t="b">
        <v>0</v>
      </c>
      <c r="I33" t="b">
        <v>0</v>
      </c>
      <c r="J33" t="b">
        <v>1</v>
      </c>
      <c r="K33" t="b">
        <v>0</v>
      </c>
      <c r="L33" t="b">
        <v>1</v>
      </c>
    </row>
    <row r="34" spans="1:12" x14ac:dyDescent="0.3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683</v>
      </c>
      <c r="E34" t="s">
        <v>683</v>
      </c>
      <c r="F34" s="2" t="s">
        <v>30</v>
      </c>
      <c r="G34" s="2" t="s">
        <v>30</v>
      </c>
      <c r="H34" t="b">
        <v>1</v>
      </c>
      <c r="I34" t="b">
        <v>0</v>
      </c>
      <c r="J34" t="b">
        <v>0</v>
      </c>
      <c r="K34" t="b">
        <v>0</v>
      </c>
      <c r="L34" t="b">
        <v>1</v>
      </c>
    </row>
    <row r="35" spans="1:12" x14ac:dyDescent="0.3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362</v>
      </c>
      <c r="E35" t="s">
        <v>362</v>
      </c>
      <c r="F35" s="2" t="s">
        <v>30</v>
      </c>
      <c r="G35" s="2" t="s">
        <v>30</v>
      </c>
      <c r="H35" t="b">
        <v>0</v>
      </c>
      <c r="I35" t="b">
        <v>0</v>
      </c>
      <c r="J35" t="b">
        <v>0</v>
      </c>
      <c r="K35" t="b">
        <v>0</v>
      </c>
      <c r="L35" t="b">
        <v>1</v>
      </c>
    </row>
    <row r="36" spans="1:12" x14ac:dyDescent="0.3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682</v>
      </c>
      <c r="E36" t="s">
        <v>682</v>
      </c>
      <c r="F36" s="2" t="s">
        <v>30</v>
      </c>
      <c r="G36" s="2" t="s">
        <v>30</v>
      </c>
      <c r="H36" t="b">
        <v>1</v>
      </c>
      <c r="I36" t="b">
        <v>0</v>
      </c>
      <c r="J36" t="b">
        <v>0</v>
      </c>
      <c r="K36" t="b">
        <v>0</v>
      </c>
      <c r="L36" t="b">
        <v>1</v>
      </c>
    </row>
    <row r="37" spans="1:12" x14ac:dyDescent="0.3">
      <c r="A37">
        <f t="shared" si="1"/>
        <v>36</v>
      </c>
      <c r="B37">
        <v>7</v>
      </c>
      <c r="C37" t="str" cm="1">
        <f t="array" ref="C37">GetValue("Cat",B37,"Name")</f>
        <v>text</v>
      </c>
      <c r="D37" t="s">
        <v>360</v>
      </c>
      <c r="E37" t="s">
        <v>360</v>
      </c>
      <c r="F37" s="2" t="s">
        <v>30</v>
      </c>
      <c r="G37" s="2" t="s">
        <v>30</v>
      </c>
      <c r="H37" t="b">
        <v>0</v>
      </c>
      <c r="I37" t="b">
        <v>0</v>
      </c>
      <c r="J37" t="b">
        <v>0</v>
      </c>
      <c r="K37" t="b">
        <v>0</v>
      </c>
      <c r="L37" t="b">
        <v>1</v>
      </c>
    </row>
    <row r="38" spans="1:12" x14ac:dyDescent="0.3">
      <c r="A38">
        <f t="shared" si="1"/>
        <v>37</v>
      </c>
      <c r="B38">
        <v>7</v>
      </c>
      <c r="C38" t="str" cm="1">
        <f t="array" ref="C38">GetValue("Cat",B38,"Name")</f>
        <v>text</v>
      </c>
      <c r="D38" t="s">
        <v>56</v>
      </c>
      <c r="E38" t="s">
        <v>56</v>
      </c>
      <c r="F38" s="2" t="s">
        <v>30</v>
      </c>
      <c r="G38" s="2" t="s">
        <v>30</v>
      </c>
      <c r="H38" t="b">
        <v>0</v>
      </c>
      <c r="I38" t="b">
        <v>0</v>
      </c>
      <c r="J38" t="b">
        <v>0</v>
      </c>
      <c r="K38" t="b">
        <v>0</v>
      </c>
      <c r="L38" t="b">
        <v>1</v>
      </c>
    </row>
    <row r="39" spans="1:12" x14ac:dyDescent="0.3">
      <c r="A39">
        <f t="shared" si="1"/>
        <v>38</v>
      </c>
      <c r="B39">
        <v>7</v>
      </c>
      <c r="C39" t="str" cm="1">
        <f t="array" ref="C39">GetValue("Cat",B39,"Name")</f>
        <v>text</v>
      </c>
      <c r="D39" t="s">
        <v>448</v>
      </c>
      <c r="E39" t="s">
        <v>448</v>
      </c>
      <c r="F39" s="2" t="s">
        <v>30</v>
      </c>
      <c r="G39" s="2" t="s">
        <v>30</v>
      </c>
      <c r="H39" t="b">
        <v>0</v>
      </c>
      <c r="I39" t="b">
        <v>0</v>
      </c>
      <c r="J39" t="b">
        <v>0</v>
      </c>
      <c r="K39" t="b">
        <v>0</v>
      </c>
      <c r="L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E381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9.44140625" defaultRowHeight="14.4" x14ac:dyDescent="0.3"/>
  <cols>
    <col min="1" max="1" width="9.33203125" bestFit="1" customWidth="1"/>
    <col min="2" max="2" width="12.6640625" bestFit="1" customWidth="1"/>
    <col min="3" max="3" width="7.77734375" bestFit="1" customWidth="1"/>
    <col min="4" max="4" width="15.21875" bestFit="1" customWidth="1"/>
    <col min="5" max="5" width="41.33203125" bestFit="1" customWidth="1"/>
  </cols>
  <sheetData>
    <row r="1" spans="1:5" x14ac:dyDescent="0.3">
      <c r="A1" s="7" t="s">
        <v>727</v>
      </c>
      <c r="B1" s="7" t="s">
        <v>505</v>
      </c>
      <c r="C1" s="7" t="s">
        <v>728</v>
      </c>
      <c r="D1" s="7" t="s">
        <v>302</v>
      </c>
      <c r="E1" s="7" t="s">
        <v>1</v>
      </c>
    </row>
    <row r="2" spans="1:5" x14ac:dyDescent="0.3">
      <c r="A2">
        <v>1</v>
      </c>
      <c r="B2" t="str" cm="1">
        <f t="array" ref="B2">GetValue("Eng",A2,"Name")</f>
        <v>SQL Server</v>
      </c>
      <c r="C2">
        <v>1</v>
      </c>
      <c r="D2" t="str" cm="1">
        <f t="array" ref="D2">GetValue("Typ",C2,"Name")</f>
        <v>bigint</v>
      </c>
      <c r="E2" t="s">
        <v>29</v>
      </c>
    </row>
    <row r="3" spans="1:5" x14ac:dyDescent="0.3">
      <c r="A3">
        <v>1</v>
      </c>
      <c r="B3" t="str" cm="1">
        <f t="array" ref="B3">GetValue("Eng",A3,"Name")</f>
        <v>SQL Server</v>
      </c>
      <c r="C3">
        <v>2</v>
      </c>
      <c r="D3" t="str" cm="1">
        <f t="array" ref="D3">GetValue("Typ",C3,"Name")</f>
        <v>binary</v>
      </c>
      <c r="E3" t="s">
        <v>18</v>
      </c>
    </row>
    <row r="4" spans="1:5" x14ac:dyDescent="0.3">
      <c r="A4">
        <v>1</v>
      </c>
      <c r="B4" t="str" cm="1">
        <f t="array" ref="B4">GetValue("Eng",A4,"Name")</f>
        <v>SQL Server</v>
      </c>
      <c r="C4">
        <v>3</v>
      </c>
      <c r="D4" t="str" cm="1">
        <f t="array" ref="D4">GetValue("Typ",C4,"Name")</f>
        <v xml:space="preserve">bit </v>
      </c>
      <c r="E4" t="s">
        <v>31</v>
      </c>
    </row>
    <row r="5" spans="1:5" x14ac:dyDescent="0.3">
      <c r="A5">
        <v>1</v>
      </c>
      <c r="B5" t="str" cm="1">
        <f t="array" ref="B5">GetValue("Eng",A5,"Name")</f>
        <v>SQL Server</v>
      </c>
      <c r="C5">
        <v>4</v>
      </c>
      <c r="D5" t="str" cm="1">
        <f t="array" ref="D5">GetValue("Typ",C5,"Name")</f>
        <v>char(n)</v>
      </c>
      <c r="E5" t="s">
        <v>32</v>
      </c>
    </row>
    <row r="6" spans="1:5" x14ac:dyDescent="0.3">
      <c r="A6">
        <v>1</v>
      </c>
      <c r="B6" t="str" cm="1">
        <f t="array" ref="B6">GetValue("Eng",A6,"Name")</f>
        <v>SQL Server</v>
      </c>
      <c r="C6">
        <v>5</v>
      </c>
      <c r="D6" t="str" cm="1">
        <f t="array" ref="D6">GetValue("Typ",C6,"Name")</f>
        <v>date</v>
      </c>
      <c r="E6" t="s">
        <v>13</v>
      </c>
    </row>
    <row r="7" spans="1:5" x14ac:dyDescent="0.3">
      <c r="A7">
        <v>1</v>
      </c>
      <c r="B7" t="str" cm="1">
        <f t="array" ref="B7">GetValue("Eng",A7,"Name")</f>
        <v>SQL Server</v>
      </c>
      <c r="C7">
        <v>6</v>
      </c>
      <c r="D7" t="str" cm="1">
        <f t="array" ref="D7">GetValue("Typ",C7,"Name")</f>
        <v>datetime</v>
      </c>
      <c r="E7" t="s">
        <v>14</v>
      </c>
    </row>
    <row r="8" spans="1:5" x14ac:dyDescent="0.3">
      <c r="A8">
        <v>1</v>
      </c>
      <c r="B8" t="str" cm="1">
        <f t="array" ref="B8">GetValue("Eng",A8,"Name")</f>
        <v>SQL Server</v>
      </c>
      <c r="C8">
        <v>7</v>
      </c>
      <c r="D8" t="str" cm="1">
        <f t="array" ref="D8">GetValue("Typ",C8,"Name")</f>
        <v>datetime2(s)</v>
      </c>
      <c r="E8" t="s">
        <v>33</v>
      </c>
    </row>
    <row r="9" spans="1:5" x14ac:dyDescent="0.3">
      <c r="A9">
        <v>1</v>
      </c>
      <c r="B9" t="str" cm="1">
        <f t="array" ref="B9">GetValue("Eng",A9,"Name")</f>
        <v>SQL Server</v>
      </c>
      <c r="C9">
        <v>8</v>
      </c>
      <c r="D9" t="str" cm="1">
        <f t="array" ref="D9">GetValue("Typ",C9,"Name")</f>
        <v>datetimeoffset(s)</v>
      </c>
      <c r="E9" t="s">
        <v>34</v>
      </c>
    </row>
    <row r="10" spans="1:5" x14ac:dyDescent="0.3">
      <c r="A10">
        <v>1</v>
      </c>
      <c r="B10" t="str" cm="1">
        <f t="array" ref="B10">GetValue("Eng",A10,"Name")</f>
        <v>SQL Server</v>
      </c>
      <c r="C10">
        <v>9</v>
      </c>
      <c r="D10" t="str" cm="1">
        <f t="array" ref="D10">GetValue("Typ",C10,"Name")</f>
        <v>decimal(p ,s)</v>
      </c>
      <c r="E10" t="s">
        <v>35</v>
      </c>
    </row>
    <row r="11" spans="1:5" x14ac:dyDescent="0.3">
      <c r="A11">
        <v>1</v>
      </c>
      <c r="B11" t="str" cm="1">
        <f t="array" ref="B11">GetValue("Eng",A11,"Name")</f>
        <v>SQL Server</v>
      </c>
      <c r="C11">
        <v>10</v>
      </c>
      <c r="D11" t="str" cm="1">
        <f t="array" ref="D11">GetValue("Typ",C11,"Name")</f>
        <v>float(n)</v>
      </c>
      <c r="E11" t="s">
        <v>36</v>
      </c>
    </row>
    <row r="12" spans="1:5" x14ac:dyDescent="0.3">
      <c r="A12">
        <v>1</v>
      </c>
      <c r="B12" t="str" cm="1">
        <f t="array" ref="B12">GetValue("Eng",A12,"Name")</f>
        <v>SQL Server</v>
      </c>
      <c r="C12">
        <v>11</v>
      </c>
      <c r="D12" t="str" cm="1">
        <f t="array" ref="D12">GetValue("Typ",C12,"Name")</f>
        <v>geography</v>
      </c>
      <c r="E12" t="s">
        <v>37</v>
      </c>
    </row>
    <row r="13" spans="1:5" x14ac:dyDescent="0.3">
      <c r="A13">
        <v>1</v>
      </c>
      <c r="B13" t="str" cm="1">
        <f t="array" ref="B13">GetValue("Eng",A13,"Name")</f>
        <v>SQL Server</v>
      </c>
      <c r="C13">
        <v>12</v>
      </c>
      <c r="D13" t="str" cm="1">
        <f t="array" ref="D13">GetValue("Typ",C13,"Name")</f>
        <v>geometry</v>
      </c>
      <c r="E13" t="s">
        <v>38</v>
      </c>
    </row>
    <row r="14" spans="1:5" x14ac:dyDescent="0.3">
      <c r="A14">
        <v>1</v>
      </c>
      <c r="B14" t="str" cm="1">
        <f t="array" ref="B14">GetValue("Eng",A14,"Name")</f>
        <v>SQL Server</v>
      </c>
      <c r="C14">
        <v>13</v>
      </c>
      <c r="D14" t="str" cm="1">
        <f t="array" ref="D14">GetValue("Typ",C14,"Name")</f>
        <v>hierarchyid</v>
      </c>
      <c r="E14" t="s">
        <v>39</v>
      </c>
    </row>
    <row r="15" spans="1:5" x14ac:dyDescent="0.3">
      <c r="A15">
        <v>1</v>
      </c>
      <c r="B15" t="str" cm="1">
        <f t="array" ref="B15">GetValue("Eng",A15,"Name")</f>
        <v>SQL Server</v>
      </c>
      <c r="C15">
        <v>14</v>
      </c>
      <c r="D15" t="str" cm="1">
        <f t="array" ref="D15">GetValue("Typ",C15,"Name")</f>
        <v>image</v>
      </c>
      <c r="E15" t="s">
        <v>17</v>
      </c>
    </row>
    <row r="16" spans="1:5" x14ac:dyDescent="0.3">
      <c r="A16">
        <v>1</v>
      </c>
      <c r="B16" t="str" cm="1">
        <f t="array" ref="B16">GetValue("Eng",A16,"Name")</f>
        <v>SQL Server</v>
      </c>
      <c r="C16">
        <v>15</v>
      </c>
      <c r="D16" t="str" cm="1">
        <f t="array" ref="D16">GetValue("Typ",C16,"Name")</f>
        <v>int (4 bytes)</v>
      </c>
      <c r="E16" t="s">
        <v>40</v>
      </c>
    </row>
    <row r="17" spans="1:5" x14ac:dyDescent="0.3">
      <c r="A17">
        <v>1</v>
      </c>
      <c r="B17" t="str" cm="1">
        <f t="array" ref="B17">GetValue("Eng",A17,"Name")</f>
        <v>SQL Server</v>
      </c>
      <c r="C17">
        <v>16</v>
      </c>
      <c r="D17" t="str" cm="1">
        <f t="array" ref="D17">GetValue("Typ",C17,"Name")</f>
        <v>money(p, s)</v>
      </c>
      <c r="E17" t="s">
        <v>41</v>
      </c>
    </row>
    <row r="18" spans="1:5" x14ac:dyDescent="0.3">
      <c r="A18">
        <v>1</v>
      </c>
      <c r="B18" t="str" cm="1">
        <f t="array" ref="B18">GetValue("Eng",A18,"Name")</f>
        <v>SQL Server</v>
      </c>
      <c r="C18">
        <v>17</v>
      </c>
      <c r="D18" t="str" cm="1">
        <f t="array" ref="D18">GetValue("Typ",C18,"Name")</f>
        <v>nchar(n)</v>
      </c>
      <c r="E18" t="s">
        <v>42</v>
      </c>
    </row>
    <row r="19" spans="1:5" x14ac:dyDescent="0.3">
      <c r="A19">
        <v>1</v>
      </c>
      <c r="B19" t="str" cm="1">
        <f t="array" ref="B19">GetValue("Eng",A19,"Name")</f>
        <v>SQL Server</v>
      </c>
      <c r="C19">
        <v>18</v>
      </c>
      <c r="D19" t="str" cm="1">
        <f t="array" ref="D19">GetValue("Typ",C19,"Name")</f>
        <v>ntext</v>
      </c>
      <c r="E19" t="s">
        <v>43</v>
      </c>
    </row>
    <row r="20" spans="1:5" x14ac:dyDescent="0.3">
      <c r="A20">
        <v>1</v>
      </c>
      <c r="B20" t="str" cm="1">
        <f t="array" ref="B20">GetValue("Eng",A20,"Name")</f>
        <v>SQL Server</v>
      </c>
      <c r="C20">
        <v>19</v>
      </c>
      <c r="D20" t="str" cm="1">
        <f t="array" ref="D20">GetValue("Typ",C20,"Name")</f>
        <v>numeric(p,s)</v>
      </c>
      <c r="E20" t="s">
        <v>12</v>
      </c>
    </row>
    <row r="21" spans="1:5" x14ac:dyDescent="0.3">
      <c r="A21">
        <v>1</v>
      </c>
      <c r="B21" t="str" cm="1">
        <f t="array" ref="B21">GetValue("Eng",A21,"Name")</f>
        <v>SQL Server</v>
      </c>
      <c r="C21">
        <v>20</v>
      </c>
      <c r="D21" t="str" cm="1">
        <f t="array" ref="D21">GetValue("Typ",C21,"Name")</f>
        <v>nvarchar(n)</v>
      </c>
      <c r="E21" t="s">
        <v>44</v>
      </c>
    </row>
    <row r="22" spans="1:5" x14ac:dyDescent="0.3">
      <c r="A22">
        <v>1</v>
      </c>
      <c r="B22" t="str" cm="1">
        <f t="array" ref="B22">GetValue("Eng",A22,"Name")</f>
        <v>SQL Server</v>
      </c>
      <c r="C22">
        <v>21</v>
      </c>
      <c r="D22" t="str" cm="1">
        <f t="array" ref="D22">GetValue("Typ",C22,"Name")</f>
        <v>nvarchar(max)</v>
      </c>
      <c r="E22" t="s">
        <v>361</v>
      </c>
    </row>
    <row r="23" spans="1:5" x14ac:dyDescent="0.3">
      <c r="A23">
        <v>1</v>
      </c>
      <c r="B23" t="str" cm="1">
        <f t="array" ref="B23">GetValue("Eng",A23,"Name")</f>
        <v>SQL Server</v>
      </c>
      <c r="C23">
        <v>22</v>
      </c>
      <c r="D23" t="str" cm="1">
        <f t="array" ref="D23">GetValue("Typ",C23,"Name")</f>
        <v>real</v>
      </c>
      <c r="E23" t="s">
        <v>45</v>
      </c>
    </row>
    <row r="24" spans="1:5" x14ac:dyDescent="0.3">
      <c r="A24">
        <v>1</v>
      </c>
      <c r="B24" t="str" cm="1">
        <f t="array" ref="B24">GetValue("Eng",A24,"Name")</f>
        <v>SQL Server</v>
      </c>
      <c r="C24">
        <v>23</v>
      </c>
      <c r="D24" t="str" cm="1">
        <f t="array" ref="D24">GetValue("Typ",C24,"Name")</f>
        <v>smalldatetime</v>
      </c>
      <c r="E24" t="s">
        <v>46</v>
      </c>
    </row>
    <row r="25" spans="1:5" x14ac:dyDescent="0.3">
      <c r="A25">
        <v>1</v>
      </c>
      <c r="B25" t="str" cm="1">
        <f t="array" ref="B25">GetValue("Eng",A25,"Name")</f>
        <v>SQL Server</v>
      </c>
      <c r="C25">
        <v>24</v>
      </c>
      <c r="D25" t="str" cm="1">
        <f t="array" ref="D25">GetValue("Typ",C25,"Name")</f>
        <v>smallint</v>
      </c>
      <c r="E25" t="s">
        <v>47</v>
      </c>
    </row>
    <row r="26" spans="1:5" x14ac:dyDescent="0.3">
      <c r="A26">
        <v>1</v>
      </c>
      <c r="B26" t="str" cm="1">
        <f t="array" ref="B26">GetValue("Eng",A26,"Name")</f>
        <v>SQL Server</v>
      </c>
      <c r="C26">
        <v>25</v>
      </c>
      <c r="D26" t="str" cm="1">
        <f t="array" ref="D26">GetValue("Typ",C26,"Name")</f>
        <v>smallmoney</v>
      </c>
      <c r="E26" t="s">
        <v>48</v>
      </c>
    </row>
    <row r="27" spans="1:5" x14ac:dyDescent="0.3">
      <c r="A27">
        <v>1</v>
      </c>
      <c r="B27" t="str" cm="1">
        <f t="array" ref="B27">GetValue("Eng",A27,"Name")</f>
        <v>SQL Server</v>
      </c>
      <c r="C27">
        <v>26</v>
      </c>
      <c r="D27" t="str" cm="1">
        <f t="array" ref="D27">GetValue("Typ",C27,"Name")</f>
        <v>sql_variant</v>
      </c>
      <c r="E27" t="s">
        <v>49</v>
      </c>
    </row>
    <row r="28" spans="1:5" x14ac:dyDescent="0.3">
      <c r="A28">
        <v>1</v>
      </c>
      <c r="B28" t="str" cm="1">
        <f t="array" ref="B28">GetValue("Eng",A28,"Name")</f>
        <v>SQL Server</v>
      </c>
      <c r="C28">
        <v>27</v>
      </c>
      <c r="D28" t="str" cm="1">
        <f t="array" ref="D28">GetValue("Typ",C28,"Name")</f>
        <v>sysname</v>
      </c>
      <c r="E28" t="s">
        <v>50</v>
      </c>
    </row>
    <row r="29" spans="1:5" x14ac:dyDescent="0.3">
      <c r="A29">
        <v>1</v>
      </c>
      <c r="B29" t="str" cm="1">
        <f t="array" ref="B29">GetValue("Eng",A29,"Name")</f>
        <v>SQL Server</v>
      </c>
      <c r="C29">
        <v>28</v>
      </c>
      <c r="D29" t="str" cm="1">
        <f t="array" ref="D29">GetValue("Typ",C29,"Name")</f>
        <v>text</v>
      </c>
      <c r="E29" t="s">
        <v>11</v>
      </c>
    </row>
    <row r="30" spans="1:5" x14ac:dyDescent="0.3">
      <c r="A30">
        <v>1</v>
      </c>
      <c r="B30" t="str" cm="1">
        <f t="array" ref="B30">GetValue("Eng",A30,"Name")</f>
        <v>SQL Server</v>
      </c>
      <c r="C30">
        <v>29</v>
      </c>
      <c r="D30" t="str" cm="1">
        <f t="array" ref="D30">GetValue("Typ",C30,"Name")</f>
        <v>time(s)</v>
      </c>
      <c r="E30" t="s">
        <v>16</v>
      </c>
    </row>
    <row r="31" spans="1:5" x14ac:dyDescent="0.3">
      <c r="A31">
        <v>1</v>
      </c>
      <c r="B31" t="str" cm="1">
        <f t="array" ref="B31">GetValue("Eng",A31,"Name")</f>
        <v>SQL Server</v>
      </c>
      <c r="C31">
        <v>30</v>
      </c>
      <c r="D31" t="str" cm="1">
        <f t="array" ref="D31">GetValue("Typ",C31,"Name")</f>
        <v>timestamp</v>
      </c>
      <c r="E31" t="s">
        <v>51</v>
      </c>
    </row>
    <row r="32" spans="1:5" x14ac:dyDescent="0.3">
      <c r="A32">
        <v>1</v>
      </c>
      <c r="B32" t="str" cm="1">
        <f t="array" ref="B32">GetValue("Eng",A32,"Name")</f>
        <v>SQL Server</v>
      </c>
      <c r="C32">
        <v>31</v>
      </c>
      <c r="D32" t="str" cm="1">
        <f t="array" ref="D32">GetValue("Typ",C32,"Name")</f>
        <v>tinyint</v>
      </c>
      <c r="E32" t="s">
        <v>52</v>
      </c>
    </row>
    <row r="33" spans="1:5" x14ac:dyDescent="0.3">
      <c r="A33">
        <v>1</v>
      </c>
      <c r="B33" t="str" cm="1">
        <f t="array" ref="B33">GetValue("Eng",A33,"Name")</f>
        <v>SQL Server</v>
      </c>
      <c r="C33">
        <v>32</v>
      </c>
      <c r="D33" t="str" cm="1">
        <f t="array" ref="D33">GetValue("Typ",C33,"Name")</f>
        <v>uniqueidentifier</v>
      </c>
      <c r="E33" t="s">
        <v>53</v>
      </c>
    </row>
    <row r="34" spans="1:5" x14ac:dyDescent="0.3">
      <c r="A34">
        <v>1</v>
      </c>
      <c r="B34" t="str" cm="1">
        <f t="array" ref="B34">GetValue("Eng",A34,"Name")</f>
        <v>SQL Server</v>
      </c>
      <c r="C34">
        <v>33</v>
      </c>
      <c r="D34" t="str" cm="1">
        <f t="array" ref="D34">GetValue("Typ",C34,"Name")</f>
        <v>varbinary(n)</v>
      </c>
      <c r="E34" t="s">
        <v>54</v>
      </c>
    </row>
    <row r="35" spans="1:5" x14ac:dyDescent="0.3">
      <c r="A35">
        <v>1</v>
      </c>
      <c r="B35" t="str" cm="1">
        <f t="array" ref="B35">GetValue("Eng",A35,"Name")</f>
        <v>SQL Server</v>
      </c>
      <c r="C35">
        <v>34</v>
      </c>
      <c r="D35" t="str" cm="1">
        <f t="array" ref="D35">GetValue("Typ",C35,"Name")</f>
        <v>varbinary(max)</v>
      </c>
      <c r="E35" t="s">
        <v>362</v>
      </c>
    </row>
    <row r="36" spans="1:5" x14ac:dyDescent="0.3">
      <c r="A36">
        <v>1</v>
      </c>
      <c r="B36" t="str" cm="1">
        <f t="array" ref="B36">GetValue("Eng",A36,"Name")</f>
        <v>SQL Server</v>
      </c>
      <c r="C36">
        <v>35</v>
      </c>
      <c r="D36" t="str" cm="1">
        <f t="array" ref="D36">GetValue("Typ",C36,"Name")</f>
        <v>varchar(n)</v>
      </c>
      <c r="E36" t="s">
        <v>55</v>
      </c>
    </row>
    <row r="37" spans="1:5" x14ac:dyDescent="0.3">
      <c r="A37">
        <v>1</v>
      </c>
      <c r="B37" t="str" cm="1">
        <f t="array" ref="B37">GetValue("Eng",A37,"Name")</f>
        <v>SQL Server</v>
      </c>
      <c r="C37">
        <v>36</v>
      </c>
      <c r="D37" t="str" cm="1">
        <f t="array" ref="D37">GetValue("Typ",C37,"Name")</f>
        <v>varchar(max)</v>
      </c>
      <c r="E37" t="s">
        <v>360</v>
      </c>
    </row>
    <row r="38" spans="1:5" x14ac:dyDescent="0.3">
      <c r="A38">
        <v>1</v>
      </c>
      <c r="B38" t="str" cm="1">
        <f t="array" ref="B38">GetValue("Eng",A38,"Name")</f>
        <v>SQL Server</v>
      </c>
      <c r="C38">
        <v>37</v>
      </c>
      <c r="D38" t="str" cm="1">
        <f t="array" ref="D38">GetValue("Typ",C38,"Name")</f>
        <v>xml</v>
      </c>
      <c r="E38" t="s">
        <v>56</v>
      </c>
    </row>
    <row r="39" spans="1:5" x14ac:dyDescent="0.3">
      <c r="A39">
        <v>1</v>
      </c>
      <c r="B39" t="str" cm="1">
        <f t="array" ref="B39">GetValue("Eng",A39,"Name")</f>
        <v>SQL Server</v>
      </c>
      <c r="C39">
        <v>38</v>
      </c>
      <c r="D39" t="str" cm="1">
        <f t="array" ref="D39">GetValue("Typ",C39,"Name")</f>
        <v>json</v>
      </c>
      <c r="E39" t="s">
        <v>361</v>
      </c>
    </row>
    <row r="40" spans="1:5" x14ac:dyDescent="0.3">
      <c r="A40">
        <v>2</v>
      </c>
      <c r="B40" t="str" cm="1">
        <f t="array" ref="B40">GetValue("Eng",A40,"Name")</f>
        <v>MySQL</v>
      </c>
      <c r="C40">
        <v>1</v>
      </c>
      <c r="D40" t="str" cm="1">
        <f t="array" ref="D40">GetValue("Typ",C40,"Name")</f>
        <v>bigint</v>
      </c>
      <c r="E40" t="s">
        <v>467</v>
      </c>
    </row>
    <row r="41" spans="1:5" x14ac:dyDescent="0.3">
      <c r="A41">
        <v>2</v>
      </c>
      <c r="B41" t="str" cm="1">
        <f t="array" ref="B41">GetValue("Eng",A41,"Name")</f>
        <v>MySQL</v>
      </c>
      <c r="C41">
        <v>2</v>
      </c>
      <c r="D41" t="str" cm="1">
        <f t="array" ref="D41">GetValue("Typ",C41,"Name")</f>
        <v>binary</v>
      </c>
      <c r="E41" t="s">
        <v>490</v>
      </c>
    </row>
    <row r="42" spans="1:5" x14ac:dyDescent="0.3">
      <c r="A42">
        <v>2</v>
      </c>
      <c r="B42" t="str" cm="1">
        <f t="array" ref="B42">GetValue("Eng",A42,"Name")</f>
        <v>MySQL</v>
      </c>
      <c r="C42">
        <v>3</v>
      </c>
      <c r="D42" t="str" cm="1">
        <f t="array" ref="D42">GetValue("Typ",C42,"Name")</f>
        <v xml:space="preserve">bit </v>
      </c>
      <c r="E42" t="s">
        <v>485</v>
      </c>
    </row>
    <row r="43" spans="1:5" x14ac:dyDescent="0.3">
      <c r="A43">
        <v>2</v>
      </c>
      <c r="B43" t="str" cm="1">
        <f t="array" ref="B43">GetValue("Eng",A43,"Name")</f>
        <v>MySQL</v>
      </c>
      <c r="C43">
        <v>4</v>
      </c>
      <c r="D43" t="str" cm="1">
        <f t="array" ref="D43">GetValue("Typ",C43,"Name")</f>
        <v>char(n)</v>
      </c>
      <c r="E43" t="s">
        <v>469</v>
      </c>
    </row>
    <row r="44" spans="1:5" x14ac:dyDescent="0.3">
      <c r="A44">
        <v>2</v>
      </c>
      <c r="B44" t="str" cm="1">
        <f t="array" ref="B44">GetValue("Eng",A44,"Name")</f>
        <v>MySQL</v>
      </c>
      <c r="C44">
        <v>5</v>
      </c>
      <c r="D44" t="str" cm="1">
        <f t="array" ref="D44">GetValue("Typ",C44,"Name")</f>
        <v>date</v>
      </c>
      <c r="E44" t="s">
        <v>470</v>
      </c>
    </row>
    <row r="45" spans="1:5" x14ac:dyDescent="0.3">
      <c r="A45">
        <v>2</v>
      </c>
      <c r="B45" t="str" cm="1">
        <f t="array" ref="B45">GetValue("Eng",A45,"Name")</f>
        <v>MySQL</v>
      </c>
      <c r="C45">
        <v>6</v>
      </c>
      <c r="D45" t="str" cm="1">
        <f t="array" ref="D45">GetValue("Typ",C45,"Name")</f>
        <v>datetime</v>
      </c>
      <c r="E45" t="s">
        <v>491</v>
      </c>
    </row>
    <row r="46" spans="1:5" x14ac:dyDescent="0.3">
      <c r="A46">
        <v>2</v>
      </c>
      <c r="B46" t="str" cm="1">
        <f t="array" ref="B46">GetValue("Eng",A46,"Name")</f>
        <v>MySQL</v>
      </c>
      <c r="C46">
        <v>7</v>
      </c>
      <c r="D46" t="str" cm="1">
        <f t="array" ref="D46">GetValue("Typ",C46,"Name")</f>
        <v>datetime2(s)</v>
      </c>
      <c r="E46" t="s">
        <v>492</v>
      </c>
    </row>
    <row r="47" spans="1:5" x14ac:dyDescent="0.3">
      <c r="A47">
        <v>2</v>
      </c>
      <c r="B47" t="str" cm="1">
        <f t="array" ref="B47">GetValue("Eng",A47,"Name")</f>
        <v>MySQL</v>
      </c>
      <c r="C47">
        <v>8</v>
      </c>
      <c r="D47" t="str" cm="1">
        <f t="array" ref="D47">GetValue("Typ",C47,"Name")</f>
        <v>datetimeoffset(s)</v>
      </c>
      <c r="E47" t="s">
        <v>471</v>
      </c>
    </row>
    <row r="48" spans="1:5" x14ac:dyDescent="0.3">
      <c r="A48">
        <v>2</v>
      </c>
      <c r="B48" t="str" cm="1">
        <f t="array" ref="B48">GetValue("Eng",A48,"Name")</f>
        <v>MySQL</v>
      </c>
      <c r="C48">
        <v>9</v>
      </c>
      <c r="D48" t="str" cm="1">
        <f t="array" ref="D48">GetValue("Typ",C48,"Name")</f>
        <v>decimal(p ,s)</v>
      </c>
      <c r="E48" t="s">
        <v>518</v>
      </c>
    </row>
    <row r="49" spans="1:5" x14ac:dyDescent="0.3">
      <c r="A49">
        <v>2</v>
      </c>
      <c r="B49" t="str" cm="1">
        <f t="array" ref="B49">GetValue("Eng",A49,"Name")</f>
        <v>MySQL</v>
      </c>
      <c r="C49">
        <v>10</v>
      </c>
      <c r="D49" t="str" cm="1">
        <f t="array" ref="D49">GetValue("Typ",C49,"Name")</f>
        <v>float(n)</v>
      </c>
      <c r="E49" t="s">
        <v>473</v>
      </c>
    </row>
    <row r="50" spans="1:5" x14ac:dyDescent="0.3">
      <c r="A50">
        <v>2</v>
      </c>
      <c r="B50" t="str" cm="1">
        <f t="array" ref="B50">GetValue("Eng",A50,"Name")</f>
        <v>MySQL</v>
      </c>
      <c r="C50">
        <v>11</v>
      </c>
      <c r="D50" t="str" cm="1">
        <f t="array" ref="D50">GetValue("Typ",C50,"Name")</f>
        <v>geography</v>
      </c>
      <c r="E50" t="s">
        <v>493</v>
      </c>
    </row>
    <row r="51" spans="1:5" x14ac:dyDescent="0.3">
      <c r="A51">
        <v>2</v>
      </c>
      <c r="B51" t="str" cm="1">
        <f t="array" ref="B51">GetValue("Eng",A51,"Name")</f>
        <v>MySQL</v>
      </c>
      <c r="C51">
        <v>12</v>
      </c>
      <c r="D51" t="str" cm="1">
        <f t="array" ref="D51">GetValue("Typ",C51,"Name")</f>
        <v>geometry</v>
      </c>
      <c r="E51" t="s">
        <v>493</v>
      </c>
    </row>
    <row r="52" spans="1:5" x14ac:dyDescent="0.3">
      <c r="A52">
        <v>2</v>
      </c>
      <c r="B52" t="str" cm="1">
        <f t="array" ref="B52">GetValue("Eng",A52,"Name")</f>
        <v>MySQL</v>
      </c>
      <c r="C52">
        <v>13</v>
      </c>
      <c r="D52" t="str" cm="1">
        <f t="array" ref="D52">GetValue("Typ",C52,"Name")</f>
        <v>hierarchyid</v>
      </c>
    </row>
    <row r="53" spans="1:5" x14ac:dyDescent="0.3">
      <c r="A53">
        <v>2</v>
      </c>
      <c r="B53" t="str" cm="1">
        <f t="array" ref="B53">GetValue("Eng",A53,"Name")</f>
        <v>MySQL</v>
      </c>
      <c r="C53">
        <v>14</v>
      </c>
      <c r="D53" t="str" cm="1">
        <f t="array" ref="D53">GetValue("Typ",C53,"Name")</f>
        <v>image</v>
      </c>
      <c r="E53" t="s">
        <v>494</v>
      </c>
    </row>
    <row r="54" spans="1:5" x14ac:dyDescent="0.3">
      <c r="A54">
        <v>2</v>
      </c>
      <c r="B54" t="str" cm="1">
        <f t="array" ref="B54">GetValue("Eng",A54,"Name")</f>
        <v>MySQL</v>
      </c>
      <c r="C54">
        <v>15</v>
      </c>
      <c r="D54" t="str" cm="1">
        <f t="array" ref="D54">GetValue("Typ",C54,"Name")</f>
        <v>int (4 bytes)</v>
      </c>
      <c r="E54" t="s">
        <v>495</v>
      </c>
    </row>
    <row r="55" spans="1:5" x14ac:dyDescent="0.3">
      <c r="A55">
        <v>2</v>
      </c>
      <c r="B55" t="str" cm="1">
        <f t="array" ref="B55">GetValue("Eng",A55,"Name")</f>
        <v>MySQL</v>
      </c>
      <c r="C55">
        <v>16</v>
      </c>
      <c r="D55" t="str" cm="1">
        <f t="array" ref="D55">GetValue("Typ",C55,"Name")</f>
        <v>money(p, s)</v>
      </c>
      <c r="E55" t="s">
        <v>475</v>
      </c>
    </row>
    <row r="56" spans="1:5" x14ac:dyDescent="0.3">
      <c r="A56">
        <v>2</v>
      </c>
      <c r="B56" t="str" cm="1">
        <f t="array" ref="B56">GetValue("Eng",A56,"Name")</f>
        <v>MySQL</v>
      </c>
      <c r="C56">
        <v>17</v>
      </c>
      <c r="D56" t="str" cm="1">
        <f t="array" ref="D56">GetValue("Typ",C56,"Name")</f>
        <v>nchar(n)</v>
      </c>
      <c r="E56" t="s">
        <v>469</v>
      </c>
    </row>
    <row r="57" spans="1:5" x14ac:dyDescent="0.3">
      <c r="A57">
        <v>2</v>
      </c>
      <c r="B57" t="str" cm="1">
        <f t="array" ref="B57">GetValue("Eng",A57,"Name")</f>
        <v>MySQL</v>
      </c>
      <c r="C57">
        <v>18</v>
      </c>
      <c r="D57" t="str" cm="1">
        <f t="array" ref="D57">GetValue("Typ",C57,"Name")</f>
        <v>ntext</v>
      </c>
      <c r="E57" t="s">
        <v>496</v>
      </c>
    </row>
    <row r="58" spans="1:5" x14ac:dyDescent="0.3">
      <c r="A58">
        <v>2</v>
      </c>
      <c r="B58" t="str" cm="1">
        <f t="array" ref="B58">GetValue("Eng",A58,"Name")</f>
        <v>MySQL</v>
      </c>
      <c r="C58">
        <v>19</v>
      </c>
      <c r="D58" t="str" cm="1">
        <f t="array" ref="D58">GetValue("Typ",C58,"Name")</f>
        <v>numeric(p,s)</v>
      </c>
      <c r="E58" t="s">
        <v>519</v>
      </c>
    </row>
    <row r="59" spans="1:5" x14ac:dyDescent="0.3">
      <c r="A59">
        <v>2</v>
      </c>
      <c r="B59" t="str" cm="1">
        <f t="array" ref="B59">GetValue("Eng",A59,"Name")</f>
        <v>MySQL</v>
      </c>
      <c r="C59">
        <v>20</v>
      </c>
      <c r="D59" t="str" cm="1">
        <f t="array" ref="D59">GetValue("Typ",C59,"Name")</f>
        <v>nvarchar(n)</v>
      </c>
      <c r="E59" t="s">
        <v>480</v>
      </c>
    </row>
    <row r="60" spans="1:5" x14ac:dyDescent="0.3">
      <c r="A60">
        <v>2</v>
      </c>
      <c r="B60" t="str" cm="1">
        <f t="array" ref="B60">GetValue("Eng",A60,"Name")</f>
        <v>MySQL</v>
      </c>
      <c r="C60">
        <v>21</v>
      </c>
      <c r="D60" t="str" cm="1">
        <f t="array" ref="D60">GetValue("Typ",C60,"Name")</f>
        <v>nvarchar(max)</v>
      </c>
      <c r="E60" t="s">
        <v>496</v>
      </c>
    </row>
    <row r="61" spans="1:5" x14ac:dyDescent="0.3">
      <c r="A61">
        <v>2</v>
      </c>
      <c r="B61" t="str" cm="1">
        <f t="array" ref="B61">GetValue("Eng",A61,"Name")</f>
        <v>MySQL</v>
      </c>
      <c r="C61">
        <v>22</v>
      </c>
      <c r="D61" t="str" cm="1">
        <f t="array" ref="D61">GetValue("Typ",C61,"Name")</f>
        <v>real</v>
      </c>
      <c r="E61" t="s">
        <v>484</v>
      </c>
    </row>
    <row r="62" spans="1:5" x14ac:dyDescent="0.3">
      <c r="A62">
        <v>2</v>
      </c>
      <c r="B62" t="str" cm="1">
        <f t="array" ref="B62">GetValue("Eng",A62,"Name")</f>
        <v>MySQL</v>
      </c>
      <c r="C62">
        <v>23</v>
      </c>
      <c r="D62" t="str" cm="1">
        <f t="array" ref="D62">GetValue("Typ",C62,"Name")</f>
        <v>smalldatetime</v>
      </c>
      <c r="E62" t="s">
        <v>491</v>
      </c>
    </row>
    <row r="63" spans="1:5" x14ac:dyDescent="0.3">
      <c r="A63">
        <v>2</v>
      </c>
      <c r="B63" t="str" cm="1">
        <f t="array" ref="B63">GetValue("Eng",A63,"Name")</f>
        <v>MySQL</v>
      </c>
      <c r="C63">
        <v>24</v>
      </c>
      <c r="D63" t="str" cm="1">
        <f t="array" ref="D63">GetValue("Typ",C63,"Name")</f>
        <v>smallint</v>
      </c>
      <c r="E63" t="s">
        <v>468</v>
      </c>
    </row>
    <row r="64" spans="1:5" x14ac:dyDescent="0.3">
      <c r="A64">
        <v>2</v>
      </c>
      <c r="B64" t="str" cm="1">
        <f t="array" ref="B64">GetValue("Eng",A64,"Name")</f>
        <v>MySQL</v>
      </c>
      <c r="C64">
        <v>25</v>
      </c>
      <c r="D64" t="str" cm="1">
        <f t="array" ref="D64">GetValue("Typ",C64,"Name")</f>
        <v>smallmoney</v>
      </c>
      <c r="E64" t="s">
        <v>477</v>
      </c>
    </row>
    <row r="65" spans="1:5" x14ac:dyDescent="0.3">
      <c r="A65">
        <v>2</v>
      </c>
      <c r="B65" t="str" cm="1">
        <f t="array" ref="B65">GetValue("Eng",A65,"Name")</f>
        <v>MySQL</v>
      </c>
      <c r="C65">
        <v>26</v>
      </c>
      <c r="D65" t="str" cm="1">
        <f t="array" ref="D65">GetValue("Typ",C65,"Name")</f>
        <v>sql_variant</v>
      </c>
      <c r="E65" t="s">
        <v>487</v>
      </c>
    </row>
    <row r="66" spans="1:5" x14ac:dyDescent="0.3">
      <c r="A66">
        <v>2</v>
      </c>
      <c r="B66" t="str" cm="1">
        <f t="array" ref="B66">GetValue("Eng",A66,"Name")</f>
        <v>MySQL</v>
      </c>
      <c r="C66">
        <v>27</v>
      </c>
      <c r="D66" t="str" cm="1">
        <f t="array" ref="D66">GetValue("Typ",C66,"Name")</f>
        <v>sysname</v>
      </c>
      <c r="E66" t="s">
        <v>478</v>
      </c>
    </row>
    <row r="67" spans="1:5" x14ac:dyDescent="0.3">
      <c r="A67">
        <v>2</v>
      </c>
      <c r="B67" t="str" cm="1">
        <f t="array" ref="B67">GetValue("Eng",A67,"Name")</f>
        <v>MySQL</v>
      </c>
      <c r="C67">
        <v>28</v>
      </c>
      <c r="D67" t="str" cm="1">
        <f t="array" ref="D67">GetValue("Typ",C67,"Name")</f>
        <v>text</v>
      </c>
      <c r="E67" t="s">
        <v>496</v>
      </c>
    </row>
    <row r="68" spans="1:5" x14ac:dyDescent="0.3">
      <c r="A68">
        <v>2</v>
      </c>
      <c r="B68" t="str" cm="1">
        <f t="array" ref="B68">GetValue("Eng",A68,"Name")</f>
        <v>MySQL</v>
      </c>
      <c r="C68">
        <v>29</v>
      </c>
      <c r="D68" t="str" cm="1">
        <f t="array" ref="D68">GetValue("Typ",C68,"Name")</f>
        <v>time(s)</v>
      </c>
      <c r="E68" t="s">
        <v>479</v>
      </c>
    </row>
    <row r="69" spans="1:5" x14ac:dyDescent="0.3">
      <c r="A69">
        <v>2</v>
      </c>
      <c r="B69" t="str" cm="1">
        <f t="array" ref="B69">GetValue("Eng",A69,"Name")</f>
        <v>MySQL</v>
      </c>
      <c r="C69">
        <v>30</v>
      </c>
      <c r="D69" t="str" cm="1">
        <f t="array" ref="D69">GetValue("Typ",C69,"Name")</f>
        <v>timestamp</v>
      </c>
      <c r="E69" t="s">
        <v>471</v>
      </c>
    </row>
    <row r="70" spans="1:5" x14ac:dyDescent="0.3">
      <c r="A70">
        <v>2</v>
      </c>
      <c r="B70" t="str" cm="1">
        <f t="array" ref="B70">GetValue("Eng",A70,"Name")</f>
        <v>MySQL</v>
      </c>
      <c r="C70">
        <v>31</v>
      </c>
      <c r="D70" t="str" cm="1">
        <f t="array" ref="D70">GetValue("Typ",C70,"Name")</f>
        <v>tinyint</v>
      </c>
      <c r="E70" t="s">
        <v>497</v>
      </c>
    </row>
    <row r="71" spans="1:5" x14ac:dyDescent="0.3">
      <c r="A71">
        <v>2</v>
      </c>
      <c r="B71" t="str" cm="1">
        <f t="array" ref="B71">GetValue("Eng",A71,"Name")</f>
        <v>MySQL</v>
      </c>
      <c r="C71">
        <v>32</v>
      </c>
      <c r="D71" t="str" cm="1">
        <f t="array" ref="D71">GetValue("Typ",C71,"Name")</f>
        <v>uniqueidentifier</v>
      </c>
      <c r="E71" t="s">
        <v>489</v>
      </c>
    </row>
    <row r="72" spans="1:5" x14ac:dyDescent="0.3">
      <c r="A72">
        <v>2</v>
      </c>
      <c r="B72" t="str" cm="1">
        <f t="array" ref="B72">GetValue("Eng",A72,"Name")</f>
        <v>MySQL</v>
      </c>
      <c r="C72">
        <v>33</v>
      </c>
      <c r="D72" t="str" cm="1">
        <f t="array" ref="D72">GetValue("Typ",C72,"Name")</f>
        <v>varbinary(n)</v>
      </c>
      <c r="E72" t="s">
        <v>498</v>
      </c>
    </row>
    <row r="73" spans="1:5" x14ac:dyDescent="0.3">
      <c r="A73">
        <v>2</v>
      </c>
      <c r="B73" t="str" cm="1">
        <f t="array" ref="B73">GetValue("Eng",A73,"Name")</f>
        <v>MySQL</v>
      </c>
      <c r="C73">
        <v>34</v>
      </c>
      <c r="D73" t="str" cm="1">
        <f t="array" ref="D73">GetValue("Typ",C73,"Name")</f>
        <v>varbinary(max)</v>
      </c>
      <c r="E73" t="s">
        <v>494</v>
      </c>
    </row>
    <row r="74" spans="1:5" x14ac:dyDescent="0.3">
      <c r="A74">
        <v>2</v>
      </c>
      <c r="B74" t="str" cm="1">
        <f t="array" ref="B74">GetValue("Eng",A74,"Name")</f>
        <v>MySQL</v>
      </c>
      <c r="C74">
        <v>35</v>
      </c>
      <c r="D74" t="str" cm="1">
        <f t="array" ref="D74">GetValue("Typ",C74,"Name")</f>
        <v>varchar(n)</v>
      </c>
      <c r="E74" t="s">
        <v>480</v>
      </c>
    </row>
    <row r="75" spans="1:5" x14ac:dyDescent="0.3">
      <c r="A75">
        <v>2</v>
      </c>
      <c r="B75" t="str" cm="1">
        <f t="array" ref="B75">GetValue("Eng",A75,"Name")</f>
        <v>MySQL</v>
      </c>
      <c r="C75">
        <v>36</v>
      </c>
      <c r="D75" t="str" cm="1">
        <f t="array" ref="D75">GetValue("Typ",C75,"Name")</f>
        <v>varchar(max)</v>
      </c>
      <c r="E75" t="s">
        <v>496</v>
      </c>
    </row>
    <row r="76" spans="1:5" x14ac:dyDescent="0.3">
      <c r="A76">
        <v>2</v>
      </c>
      <c r="B76" t="str" cm="1">
        <f t="array" ref="B76">GetValue("Eng",A76,"Name")</f>
        <v>MySQL</v>
      </c>
      <c r="C76">
        <v>37</v>
      </c>
      <c r="D76" t="str" cm="1">
        <f t="array" ref="D76">GetValue("Typ",C76,"Name")</f>
        <v>xml</v>
      </c>
      <c r="E76" t="s">
        <v>496</v>
      </c>
    </row>
    <row r="77" spans="1:5" x14ac:dyDescent="0.3">
      <c r="A77">
        <v>2</v>
      </c>
      <c r="B77" t="str" cm="1">
        <f t="array" ref="B77">GetValue("Eng",A77,"Name")</f>
        <v>MySQL</v>
      </c>
      <c r="C77">
        <v>38</v>
      </c>
      <c r="D77" t="str" cm="1">
        <f t="array" ref="D77">GetValue("Typ",C77,"Name")</f>
        <v>json</v>
      </c>
      <c r="E77" t="s">
        <v>72</v>
      </c>
    </row>
    <row r="78" spans="1:5" x14ac:dyDescent="0.3">
      <c r="A78">
        <v>3</v>
      </c>
      <c r="B78" t="str" cm="1">
        <f t="array" ref="B78">GetValue("Eng",A78,"Name")</f>
        <v>MariaDB</v>
      </c>
      <c r="C78">
        <v>1</v>
      </c>
      <c r="D78" t="str" cm="1">
        <f t="array" ref="D78">GetValue("Typ",C78,"Name")</f>
        <v>bigint</v>
      </c>
      <c r="E78" t="s">
        <v>467</v>
      </c>
    </row>
    <row r="79" spans="1:5" x14ac:dyDescent="0.3">
      <c r="A79">
        <v>3</v>
      </c>
      <c r="B79" t="str" cm="1">
        <f t="array" ref="B79">GetValue("Eng",A79,"Name")</f>
        <v>MariaDB</v>
      </c>
      <c r="C79">
        <v>2</v>
      </c>
      <c r="D79" t="str" cm="1">
        <f t="array" ref="D79">GetValue("Typ",C79,"Name")</f>
        <v>binary</v>
      </c>
      <c r="E79" t="s">
        <v>490</v>
      </c>
    </row>
    <row r="80" spans="1:5" x14ac:dyDescent="0.3">
      <c r="A80">
        <v>3</v>
      </c>
      <c r="B80" t="str" cm="1">
        <f t="array" ref="B80">GetValue("Eng",A80,"Name")</f>
        <v>MariaDB</v>
      </c>
      <c r="C80">
        <v>3</v>
      </c>
      <c r="D80" t="str" cm="1">
        <f t="array" ref="D80">GetValue("Typ",C80,"Name")</f>
        <v xml:space="preserve">bit </v>
      </c>
      <c r="E80" t="s">
        <v>485</v>
      </c>
    </row>
    <row r="81" spans="1:5" x14ac:dyDescent="0.3">
      <c r="A81">
        <v>3</v>
      </c>
      <c r="B81" t="str" cm="1">
        <f t="array" ref="B81">GetValue("Eng",A81,"Name")</f>
        <v>MariaDB</v>
      </c>
      <c r="C81">
        <v>4</v>
      </c>
      <c r="D81" t="str" cm="1">
        <f t="array" ref="D81">GetValue("Typ",C81,"Name")</f>
        <v>char(n)</v>
      </c>
      <c r="E81" t="s">
        <v>469</v>
      </c>
    </row>
    <row r="82" spans="1:5" x14ac:dyDescent="0.3">
      <c r="A82">
        <v>3</v>
      </c>
      <c r="B82" t="str" cm="1">
        <f t="array" ref="B82">GetValue("Eng",A82,"Name")</f>
        <v>MariaDB</v>
      </c>
      <c r="C82">
        <v>5</v>
      </c>
      <c r="D82" t="str" cm="1">
        <f t="array" ref="D82">GetValue("Typ",C82,"Name")</f>
        <v>date</v>
      </c>
      <c r="E82" t="s">
        <v>470</v>
      </c>
    </row>
    <row r="83" spans="1:5" x14ac:dyDescent="0.3">
      <c r="A83">
        <v>3</v>
      </c>
      <c r="B83" t="str" cm="1">
        <f t="array" ref="B83">GetValue("Eng",A83,"Name")</f>
        <v>MariaDB</v>
      </c>
      <c r="C83">
        <v>6</v>
      </c>
      <c r="D83" t="str" cm="1">
        <f t="array" ref="D83">GetValue("Typ",C83,"Name")</f>
        <v>datetime</v>
      </c>
      <c r="E83" t="s">
        <v>491</v>
      </c>
    </row>
    <row r="84" spans="1:5" x14ac:dyDescent="0.3">
      <c r="A84">
        <v>3</v>
      </c>
      <c r="B84" t="str" cm="1">
        <f t="array" ref="B84">GetValue("Eng",A84,"Name")</f>
        <v>MariaDB</v>
      </c>
      <c r="C84">
        <v>7</v>
      </c>
      <c r="D84" t="str" cm="1">
        <f t="array" ref="D84">GetValue("Typ",C84,"Name")</f>
        <v>datetime2(s)</v>
      </c>
      <c r="E84" t="s">
        <v>492</v>
      </c>
    </row>
    <row r="85" spans="1:5" x14ac:dyDescent="0.3">
      <c r="A85">
        <v>3</v>
      </c>
      <c r="B85" t="str" cm="1">
        <f t="array" ref="B85">GetValue("Eng",A85,"Name")</f>
        <v>MariaDB</v>
      </c>
      <c r="C85">
        <v>8</v>
      </c>
      <c r="D85" t="str" cm="1">
        <f t="array" ref="D85">GetValue("Typ",C85,"Name")</f>
        <v>datetimeoffset(s)</v>
      </c>
      <c r="E85" t="s">
        <v>471</v>
      </c>
    </row>
    <row r="86" spans="1:5" x14ac:dyDescent="0.3">
      <c r="A86">
        <v>3</v>
      </c>
      <c r="B86" t="str" cm="1">
        <f t="array" ref="B86">GetValue("Eng",A86,"Name")</f>
        <v>MariaDB</v>
      </c>
      <c r="C86">
        <v>9</v>
      </c>
      <c r="D86" t="str" cm="1">
        <f t="array" ref="D86">GetValue("Typ",C86,"Name")</f>
        <v>decimal(p ,s)</v>
      </c>
      <c r="E86" t="s">
        <v>518</v>
      </c>
    </row>
    <row r="87" spans="1:5" x14ac:dyDescent="0.3">
      <c r="A87">
        <v>3</v>
      </c>
      <c r="B87" t="str" cm="1">
        <f t="array" ref="B87">GetValue("Eng",A87,"Name")</f>
        <v>MariaDB</v>
      </c>
      <c r="C87">
        <v>10</v>
      </c>
      <c r="D87" t="str" cm="1">
        <f t="array" ref="D87">GetValue("Typ",C87,"Name")</f>
        <v>float(n)</v>
      </c>
      <c r="E87" t="s">
        <v>473</v>
      </c>
    </row>
    <row r="88" spans="1:5" x14ac:dyDescent="0.3">
      <c r="A88">
        <v>3</v>
      </c>
      <c r="B88" t="str" cm="1">
        <f t="array" ref="B88">GetValue("Eng",A88,"Name")</f>
        <v>MariaDB</v>
      </c>
      <c r="C88">
        <v>11</v>
      </c>
      <c r="D88" t="str" cm="1">
        <f t="array" ref="D88">GetValue("Typ",C88,"Name")</f>
        <v>geography</v>
      </c>
      <c r="E88" t="s">
        <v>493</v>
      </c>
    </row>
    <row r="89" spans="1:5" x14ac:dyDescent="0.3">
      <c r="A89">
        <v>3</v>
      </c>
      <c r="B89" t="str" cm="1">
        <f t="array" ref="B89">GetValue("Eng",A89,"Name")</f>
        <v>MariaDB</v>
      </c>
      <c r="C89">
        <v>12</v>
      </c>
      <c r="D89" t="str" cm="1">
        <f t="array" ref="D89">GetValue("Typ",C89,"Name")</f>
        <v>geometry</v>
      </c>
      <c r="E89" t="s">
        <v>493</v>
      </c>
    </row>
    <row r="90" spans="1:5" x14ac:dyDescent="0.3">
      <c r="A90">
        <v>3</v>
      </c>
      <c r="B90" t="str" cm="1">
        <f t="array" ref="B90">GetValue("Eng",A90,"Name")</f>
        <v>MariaDB</v>
      </c>
      <c r="C90">
        <v>13</v>
      </c>
      <c r="D90" t="str" cm="1">
        <f t="array" ref="D90">GetValue("Typ",C90,"Name")</f>
        <v>hierarchyid</v>
      </c>
    </row>
    <row r="91" spans="1:5" x14ac:dyDescent="0.3">
      <c r="A91">
        <v>3</v>
      </c>
      <c r="B91" t="str" cm="1">
        <f t="array" ref="B91">GetValue("Eng",A91,"Name")</f>
        <v>MariaDB</v>
      </c>
      <c r="C91">
        <v>14</v>
      </c>
      <c r="D91" t="str" cm="1">
        <f t="array" ref="D91">GetValue("Typ",C91,"Name")</f>
        <v>image</v>
      </c>
      <c r="E91" t="s">
        <v>494</v>
      </c>
    </row>
    <row r="92" spans="1:5" x14ac:dyDescent="0.3">
      <c r="A92">
        <v>3</v>
      </c>
      <c r="B92" t="str" cm="1">
        <f t="array" ref="B92">GetValue("Eng",A92,"Name")</f>
        <v>MariaDB</v>
      </c>
      <c r="C92">
        <v>15</v>
      </c>
      <c r="D92" t="str" cm="1">
        <f t="array" ref="D92">GetValue("Typ",C92,"Name")</f>
        <v>int (4 bytes)</v>
      </c>
      <c r="E92" t="s">
        <v>495</v>
      </c>
    </row>
    <row r="93" spans="1:5" x14ac:dyDescent="0.3">
      <c r="A93">
        <v>3</v>
      </c>
      <c r="B93" t="str" cm="1">
        <f t="array" ref="B93">GetValue("Eng",A93,"Name")</f>
        <v>MariaDB</v>
      </c>
      <c r="C93">
        <v>16</v>
      </c>
      <c r="D93" t="str" cm="1">
        <f t="array" ref="D93">GetValue("Typ",C93,"Name")</f>
        <v>money(p, s)</v>
      </c>
      <c r="E93" t="s">
        <v>475</v>
      </c>
    </row>
    <row r="94" spans="1:5" x14ac:dyDescent="0.3">
      <c r="A94">
        <v>3</v>
      </c>
      <c r="B94" t="str" cm="1">
        <f t="array" ref="B94">GetValue("Eng",A94,"Name")</f>
        <v>MariaDB</v>
      </c>
      <c r="C94">
        <v>17</v>
      </c>
      <c r="D94" t="str" cm="1">
        <f t="array" ref="D94">GetValue("Typ",C94,"Name")</f>
        <v>nchar(n)</v>
      </c>
      <c r="E94" t="s">
        <v>469</v>
      </c>
    </row>
    <row r="95" spans="1:5" x14ac:dyDescent="0.3">
      <c r="A95">
        <v>3</v>
      </c>
      <c r="B95" t="str" cm="1">
        <f t="array" ref="B95">GetValue("Eng",A95,"Name")</f>
        <v>MariaDB</v>
      </c>
      <c r="C95">
        <v>18</v>
      </c>
      <c r="D95" t="str" cm="1">
        <f t="array" ref="D95">GetValue("Typ",C95,"Name")</f>
        <v>ntext</v>
      </c>
      <c r="E95" t="s">
        <v>496</v>
      </c>
    </row>
    <row r="96" spans="1:5" x14ac:dyDescent="0.3">
      <c r="A96">
        <v>3</v>
      </c>
      <c r="B96" t="str" cm="1">
        <f t="array" ref="B96">GetValue("Eng",A96,"Name")</f>
        <v>MariaDB</v>
      </c>
      <c r="C96">
        <v>19</v>
      </c>
      <c r="D96" t="str" cm="1">
        <f t="array" ref="D96">GetValue("Typ",C96,"Name")</f>
        <v>numeric(p,s)</v>
      </c>
      <c r="E96" t="s">
        <v>519</v>
      </c>
    </row>
    <row r="97" spans="1:5" x14ac:dyDescent="0.3">
      <c r="A97">
        <v>3</v>
      </c>
      <c r="B97" t="str" cm="1">
        <f t="array" ref="B97">GetValue("Eng",A97,"Name")</f>
        <v>MariaDB</v>
      </c>
      <c r="C97">
        <v>20</v>
      </c>
      <c r="D97" t="str" cm="1">
        <f t="array" ref="D97">GetValue("Typ",C97,"Name")</f>
        <v>nvarchar(n)</v>
      </c>
      <c r="E97" t="s">
        <v>480</v>
      </c>
    </row>
    <row r="98" spans="1:5" x14ac:dyDescent="0.3">
      <c r="A98">
        <v>3</v>
      </c>
      <c r="B98" t="str" cm="1">
        <f t="array" ref="B98">GetValue("Eng",A98,"Name")</f>
        <v>MariaDB</v>
      </c>
      <c r="C98">
        <v>21</v>
      </c>
      <c r="D98" t="str" cm="1">
        <f t="array" ref="D98">GetValue("Typ",C98,"Name")</f>
        <v>nvarchar(max)</v>
      </c>
      <c r="E98" t="s">
        <v>496</v>
      </c>
    </row>
    <row r="99" spans="1:5" x14ac:dyDescent="0.3">
      <c r="A99">
        <v>3</v>
      </c>
      <c r="B99" t="str" cm="1">
        <f t="array" ref="B99">GetValue("Eng",A99,"Name")</f>
        <v>MariaDB</v>
      </c>
      <c r="C99">
        <v>22</v>
      </c>
      <c r="D99" t="str" cm="1">
        <f t="array" ref="D99">GetValue("Typ",C99,"Name")</f>
        <v>real</v>
      </c>
      <c r="E99" t="s">
        <v>484</v>
      </c>
    </row>
    <row r="100" spans="1:5" x14ac:dyDescent="0.3">
      <c r="A100">
        <v>3</v>
      </c>
      <c r="B100" t="str" cm="1">
        <f t="array" ref="B100">GetValue("Eng",A100,"Name")</f>
        <v>MariaDB</v>
      </c>
      <c r="C100">
        <v>23</v>
      </c>
      <c r="D100" t="str" cm="1">
        <f t="array" ref="D100">GetValue("Typ",C100,"Name")</f>
        <v>smalldatetime</v>
      </c>
      <c r="E100" t="s">
        <v>491</v>
      </c>
    </row>
    <row r="101" spans="1:5" x14ac:dyDescent="0.3">
      <c r="A101">
        <v>3</v>
      </c>
      <c r="B101" t="str" cm="1">
        <f t="array" ref="B101">GetValue("Eng",A101,"Name")</f>
        <v>MariaDB</v>
      </c>
      <c r="C101">
        <v>24</v>
      </c>
      <c r="D101" t="str" cm="1">
        <f t="array" ref="D101">GetValue("Typ",C101,"Name")</f>
        <v>smallint</v>
      </c>
      <c r="E101" t="s">
        <v>468</v>
      </c>
    </row>
    <row r="102" spans="1:5" x14ac:dyDescent="0.3">
      <c r="A102">
        <v>3</v>
      </c>
      <c r="B102" t="str" cm="1">
        <f t="array" ref="B102">GetValue("Eng",A102,"Name")</f>
        <v>MariaDB</v>
      </c>
      <c r="C102">
        <v>25</v>
      </c>
      <c r="D102" t="str" cm="1">
        <f t="array" ref="D102">GetValue("Typ",C102,"Name")</f>
        <v>smallmoney</v>
      </c>
      <c r="E102" t="s">
        <v>477</v>
      </c>
    </row>
    <row r="103" spans="1:5" x14ac:dyDescent="0.3">
      <c r="A103">
        <v>3</v>
      </c>
      <c r="B103" t="str" cm="1">
        <f t="array" ref="B103">GetValue("Eng",A103,"Name")</f>
        <v>MariaDB</v>
      </c>
      <c r="C103">
        <v>26</v>
      </c>
      <c r="D103" t="str" cm="1">
        <f t="array" ref="D103">GetValue("Typ",C103,"Name")</f>
        <v>sql_variant</v>
      </c>
      <c r="E103" t="s">
        <v>487</v>
      </c>
    </row>
    <row r="104" spans="1:5" x14ac:dyDescent="0.3">
      <c r="A104">
        <v>3</v>
      </c>
      <c r="B104" t="str" cm="1">
        <f t="array" ref="B104">GetValue("Eng",A104,"Name")</f>
        <v>MariaDB</v>
      </c>
      <c r="C104">
        <v>27</v>
      </c>
      <c r="D104" t="str" cm="1">
        <f t="array" ref="D104">GetValue("Typ",C104,"Name")</f>
        <v>sysname</v>
      </c>
      <c r="E104" t="s">
        <v>478</v>
      </c>
    </row>
    <row r="105" spans="1:5" x14ac:dyDescent="0.3">
      <c r="A105">
        <v>3</v>
      </c>
      <c r="B105" t="str" cm="1">
        <f t="array" ref="B105">GetValue("Eng",A105,"Name")</f>
        <v>MariaDB</v>
      </c>
      <c r="C105">
        <v>28</v>
      </c>
      <c r="D105" t="str" cm="1">
        <f t="array" ref="D105">GetValue("Typ",C105,"Name")</f>
        <v>text</v>
      </c>
      <c r="E105" t="s">
        <v>496</v>
      </c>
    </row>
    <row r="106" spans="1:5" x14ac:dyDescent="0.3">
      <c r="A106">
        <v>3</v>
      </c>
      <c r="B106" t="str" cm="1">
        <f t="array" ref="B106">GetValue("Eng",A106,"Name")</f>
        <v>MariaDB</v>
      </c>
      <c r="C106">
        <v>29</v>
      </c>
      <c r="D106" t="str" cm="1">
        <f t="array" ref="D106">GetValue("Typ",C106,"Name")</f>
        <v>time(s)</v>
      </c>
      <c r="E106" t="s">
        <v>479</v>
      </c>
    </row>
    <row r="107" spans="1:5" x14ac:dyDescent="0.3">
      <c r="A107">
        <v>3</v>
      </c>
      <c r="B107" t="str" cm="1">
        <f t="array" ref="B107">GetValue("Eng",A107,"Name")</f>
        <v>MariaDB</v>
      </c>
      <c r="C107">
        <v>30</v>
      </c>
      <c r="D107" t="str" cm="1">
        <f t="array" ref="D107">GetValue("Typ",C107,"Name")</f>
        <v>timestamp</v>
      </c>
      <c r="E107" t="s">
        <v>471</v>
      </c>
    </row>
    <row r="108" spans="1:5" x14ac:dyDescent="0.3">
      <c r="A108">
        <v>3</v>
      </c>
      <c r="B108" t="str" cm="1">
        <f t="array" ref="B108">GetValue("Eng",A108,"Name")</f>
        <v>MariaDB</v>
      </c>
      <c r="C108">
        <v>31</v>
      </c>
      <c r="D108" t="str" cm="1">
        <f t="array" ref="D108">GetValue("Typ",C108,"Name")</f>
        <v>tinyint</v>
      </c>
      <c r="E108" t="s">
        <v>497</v>
      </c>
    </row>
    <row r="109" spans="1:5" x14ac:dyDescent="0.3">
      <c r="A109">
        <v>3</v>
      </c>
      <c r="B109" t="str" cm="1">
        <f t="array" ref="B109">GetValue("Eng",A109,"Name")</f>
        <v>MariaDB</v>
      </c>
      <c r="C109">
        <v>32</v>
      </c>
      <c r="D109" t="str" cm="1">
        <f t="array" ref="D109">GetValue("Typ",C109,"Name")</f>
        <v>uniqueidentifier</v>
      </c>
      <c r="E109" t="s">
        <v>489</v>
      </c>
    </row>
    <row r="110" spans="1:5" x14ac:dyDescent="0.3">
      <c r="A110">
        <v>3</v>
      </c>
      <c r="B110" t="str" cm="1">
        <f t="array" ref="B110">GetValue("Eng",A110,"Name")</f>
        <v>MariaDB</v>
      </c>
      <c r="C110">
        <v>33</v>
      </c>
      <c r="D110" t="str" cm="1">
        <f t="array" ref="D110">GetValue("Typ",C110,"Name")</f>
        <v>varbinary(n)</v>
      </c>
      <c r="E110" t="s">
        <v>498</v>
      </c>
    </row>
    <row r="111" spans="1:5" x14ac:dyDescent="0.3">
      <c r="A111">
        <v>3</v>
      </c>
      <c r="B111" t="str" cm="1">
        <f t="array" ref="B111">GetValue("Eng",A111,"Name")</f>
        <v>MariaDB</v>
      </c>
      <c r="C111">
        <v>34</v>
      </c>
      <c r="D111" t="str" cm="1">
        <f t="array" ref="D111">GetValue("Typ",C111,"Name")</f>
        <v>varbinary(max)</v>
      </c>
      <c r="E111" t="s">
        <v>494</v>
      </c>
    </row>
    <row r="112" spans="1:5" x14ac:dyDescent="0.3">
      <c r="A112">
        <v>3</v>
      </c>
      <c r="B112" t="str" cm="1">
        <f t="array" ref="B112">GetValue("Eng",A112,"Name")</f>
        <v>MariaDB</v>
      </c>
      <c r="C112">
        <v>35</v>
      </c>
      <c r="D112" t="str" cm="1">
        <f t="array" ref="D112">GetValue("Typ",C112,"Name")</f>
        <v>varchar(n)</v>
      </c>
      <c r="E112" t="s">
        <v>480</v>
      </c>
    </row>
    <row r="113" spans="1:5" x14ac:dyDescent="0.3">
      <c r="A113">
        <v>3</v>
      </c>
      <c r="B113" t="str" cm="1">
        <f t="array" ref="B113">GetValue("Eng",A113,"Name")</f>
        <v>MariaDB</v>
      </c>
      <c r="C113">
        <v>36</v>
      </c>
      <c r="D113" t="str" cm="1">
        <f t="array" ref="D113">GetValue("Typ",C113,"Name")</f>
        <v>varchar(max)</v>
      </c>
      <c r="E113" t="s">
        <v>496</v>
      </c>
    </row>
    <row r="114" spans="1:5" x14ac:dyDescent="0.3">
      <c r="A114">
        <v>3</v>
      </c>
      <c r="B114" t="str" cm="1">
        <f t="array" ref="B114">GetValue("Eng",A114,"Name")</f>
        <v>MariaDB</v>
      </c>
      <c r="C114">
        <v>37</v>
      </c>
      <c r="D114" t="str" cm="1">
        <f t="array" ref="D114">GetValue("Typ",C114,"Name")</f>
        <v>xml</v>
      </c>
      <c r="E114" t="s">
        <v>496</v>
      </c>
    </row>
    <row r="115" spans="1:5" x14ac:dyDescent="0.3">
      <c r="A115">
        <v>3</v>
      </c>
      <c r="B115" t="str" cm="1">
        <f t="array" ref="B115">GetValue("Eng",A115,"Name")</f>
        <v>MariaDB</v>
      </c>
      <c r="C115">
        <v>38</v>
      </c>
      <c r="D115" t="str" cm="1">
        <f t="array" ref="D115">GetValue("Typ",C115,"Name")</f>
        <v>json</v>
      </c>
      <c r="E115" t="s">
        <v>72</v>
      </c>
    </row>
    <row r="116" spans="1:5" x14ac:dyDescent="0.3">
      <c r="A116">
        <v>4</v>
      </c>
      <c r="B116" t="str" cm="1">
        <f t="array" ref="B116">GetValue("Eng",A116,"Name")</f>
        <v>PostgreSQL</v>
      </c>
      <c r="C116">
        <v>1</v>
      </c>
      <c r="D116" t="str" cm="1">
        <f t="array" ref="D116">GetValue("Typ",C116,"Name")</f>
        <v>bigint</v>
      </c>
      <c r="E116" t="s">
        <v>467</v>
      </c>
    </row>
    <row r="117" spans="1:5" x14ac:dyDescent="0.3">
      <c r="A117">
        <v>4</v>
      </c>
      <c r="B117" t="str" cm="1">
        <f t="array" ref="B117">GetValue("Eng",A117,"Name")</f>
        <v>PostgreSQL</v>
      </c>
      <c r="C117">
        <v>2</v>
      </c>
      <c r="D117" t="str" cm="1">
        <f t="array" ref="D117">GetValue("Typ",C117,"Name")</f>
        <v>binary</v>
      </c>
      <c r="E117" t="s">
        <v>499</v>
      </c>
    </row>
    <row r="118" spans="1:5" x14ac:dyDescent="0.3">
      <c r="A118">
        <v>4</v>
      </c>
      <c r="B118" t="str" cm="1">
        <f t="array" ref="B118">GetValue("Eng",A118,"Name")</f>
        <v>PostgreSQL</v>
      </c>
      <c r="C118">
        <v>3</v>
      </c>
      <c r="D118" t="str" cm="1">
        <f t="array" ref="D118">GetValue("Typ",C118,"Name")</f>
        <v xml:space="preserve">bit </v>
      </c>
      <c r="E118" t="s">
        <v>485</v>
      </c>
    </row>
    <row r="119" spans="1:5" x14ac:dyDescent="0.3">
      <c r="A119">
        <v>4</v>
      </c>
      <c r="B119" t="str" cm="1">
        <f t="array" ref="B119">GetValue("Eng",A119,"Name")</f>
        <v>PostgreSQL</v>
      </c>
      <c r="C119">
        <v>4</v>
      </c>
      <c r="D119" t="str" cm="1">
        <f t="array" ref="D119">GetValue("Typ",C119,"Name")</f>
        <v>char(n)</v>
      </c>
      <c r="E119" t="s">
        <v>469</v>
      </c>
    </row>
    <row r="120" spans="1:5" x14ac:dyDescent="0.3">
      <c r="A120">
        <v>4</v>
      </c>
      <c r="B120" t="str" cm="1">
        <f t="array" ref="B120">GetValue("Eng",A120,"Name")</f>
        <v>PostgreSQL</v>
      </c>
      <c r="C120">
        <v>5</v>
      </c>
      <c r="D120" t="str" cm="1">
        <f t="array" ref="D120">GetValue("Typ",C120,"Name")</f>
        <v>date</v>
      </c>
      <c r="E120" t="s">
        <v>470</v>
      </c>
    </row>
    <row r="121" spans="1:5" x14ac:dyDescent="0.3">
      <c r="A121">
        <v>4</v>
      </c>
      <c r="B121" t="str" cm="1">
        <f t="array" ref="B121">GetValue("Eng",A121,"Name")</f>
        <v>PostgreSQL</v>
      </c>
      <c r="C121">
        <v>6</v>
      </c>
      <c r="D121" t="str" cm="1">
        <f t="array" ref="D121">GetValue("Typ",C121,"Name")</f>
        <v>datetime</v>
      </c>
      <c r="E121" t="s">
        <v>471</v>
      </c>
    </row>
    <row r="122" spans="1:5" x14ac:dyDescent="0.3">
      <c r="A122">
        <v>4</v>
      </c>
      <c r="B122" t="str" cm="1">
        <f t="array" ref="B122">GetValue("Eng",A122,"Name")</f>
        <v>PostgreSQL</v>
      </c>
      <c r="C122">
        <v>7</v>
      </c>
      <c r="D122" t="str" cm="1">
        <f t="array" ref="D122">GetValue("Typ",C122,"Name")</f>
        <v>datetime2(s)</v>
      </c>
      <c r="E122" t="s">
        <v>500</v>
      </c>
    </row>
    <row r="123" spans="1:5" x14ac:dyDescent="0.3">
      <c r="A123">
        <v>4</v>
      </c>
      <c r="B123" t="str" cm="1">
        <f t="array" ref="B123">GetValue("Eng",A123,"Name")</f>
        <v>PostgreSQL</v>
      </c>
      <c r="C123">
        <v>8</v>
      </c>
      <c r="D123" t="str" cm="1">
        <f t="array" ref="D123">GetValue("Typ",C123,"Name")</f>
        <v>datetimeoffset(s)</v>
      </c>
      <c r="E123" t="s">
        <v>472</v>
      </c>
    </row>
    <row r="124" spans="1:5" x14ac:dyDescent="0.3">
      <c r="A124">
        <v>4</v>
      </c>
      <c r="B124" t="str" cm="1">
        <f t="array" ref="B124">GetValue("Eng",A124,"Name")</f>
        <v>PostgreSQL</v>
      </c>
      <c r="C124">
        <v>9</v>
      </c>
      <c r="D124" t="str" cm="1">
        <f t="array" ref="D124">GetValue("Typ",C124,"Name")</f>
        <v>decimal(p ,s)</v>
      </c>
      <c r="E124" t="s">
        <v>519</v>
      </c>
    </row>
    <row r="125" spans="1:5" x14ac:dyDescent="0.3">
      <c r="A125">
        <v>4</v>
      </c>
      <c r="B125" t="str" cm="1">
        <f t="array" ref="B125">GetValue("Eng",A125,"Name")</f>
        <v>PostgreSQL</v>
      </c>
      <c r="C125">
        <v>10</v>
      </c>
      <c r="D125" t="str" cm="1">
        <f t="array" ref="D125">GetValue("Typ",C125,"Name")</f>
        <v>float(n)</v>
      </c>
      <c r="E125" t="s">
        <v>482</v>
      </c>
    </row>
    <row r="126" spans="1:5" x14ac:dyDescent="0.3">
      <c r="A126">
        <v>4</v>
      </c>
      <c r="B126" t="str" cm="1">
        <f t="array" ref="B126">GetValue("Eng",A126,"Name")</f>
        <v>PostgreSQL</v>
      </c>
      <c r="C126">
        <v>11</v>
      </c>
      <c r="D126" t="str" cm="1">
        <f t="array" ref="D126">GetValue("Typ",C126,"Name")</f>
        <v>geography</v>
      </c>
      <c r="E126" t="s">
        <v>501</v>
      </c>
    </row>
    <row r="127" spans="1:5" x14ac:dyDescent="0.3">
      <c r="A127">
        <v>4</v>
      </c>
      <c r="B127" t="str" cm="1">
        <f t="array" ref="B127">GetValue("Eng",A127,"Name")</f>
        <v>PostgreSQL</v>
      </c>
      <c r="C127">
        <v>12</v>
      </c>
      <c r="D127" t="str" cm="1">
        <f t="array" ref="D127">GetValue("Typ",C127,"Name")</f>
        <v>geometry</v>
      </c>
      <c r="E127" t="s">
        <v>493</v>
      </c>
    </row>
    <row r="128" spans="1:5" x14ac:dyDescent="0.3">
      <c r="A128">
        <v>4</v>
      </c>
      <c r="B128" t="str" cm="1">
        <f t="array" ref="B128">GetValue("Eng",A128,"Name")</f>
        <v>PostgreSQL</v>
      </c>
      <c r="C128">
        <v>13</v>
      </c>
      <c r="D128" t="str" cm="1">
        <f t="array" ref="D128">GetValue("Typ",C128,"Name")</f>
        <v>hierarchyid</v>
      </c>
    </row>
    <row r="129" spans="1:5" x14ac:dyDescent="0.3">
      <c r="A129">
        <v>4</v>
      </c>
      <c r="B129" t="str" cm="1">
        <f t="array" ref="B129">GetValue("Eng",A129,"Name")</f>
        <v>PostgreSQL</v>
      </c>
      <c r="C129">
        <v>14</v>
      </c>
      <c r="D129" t="str" cm="1">
        <f t="array" ref="D129">GetValue("Typ",C129,"Name")</f>
        <v>image</v>
      </c>
      <c r="E129" t="s">
        <v>499</v>
      </c>
    </row>
    <row r="130" spans="1:5" x14ac:dyDescent="0.3">
      <c r="A130">
        <v>4</v>
      </c>
      <c r="B130" t="str" cm="1">
        <f t="array" ref="B130">GetValue("Eng",A130,"Name")</f>
        <v>PostgreSQL</v>
      </c>
      <c r="C130">
        <v>15</v>
      </c>
      <c r="D130" t="str" cm="1">
        <f t="array" ref="D130">GetValue("Typ",C130,"Name")</f>
        <v>int (4 bytes)</v>
      </c>
      <c r="E130" t="s">
        <v>474</v>
      </c>
    </row>
    <row r="131" spans="1:5" x14ac:dyDescent="0.3">
      <c r="A131">
        <v>4</v>
      </c>
      <c r="B131" t="str" cm="1">
        <f t="array" ref="B131">GetValue("Eng",A131,"Name")</f>
        <v>PostgreSQL</v>
      </c>
      <c r="C131">
        <v>16</v>
      </c>
      <c r="D131" t="str" cm="1">
        <f t="array" ref="D131">GetValue("Typ",C131,"Name")</f>
        <v>money(p, s)</v>
      </c>
      <c r="E131" t="s">
        <v>502</v>
      </c>
    </row>
    <row r="132" spans="1:5" x14ac:dyDescent="0.3">
      <c r="A132">
        <v>4</v>
      </c>
      <c r="B132" t="str" cm="1">
        <f t="array" ref="B132">GetValue("Eng",A132,"Name")</f>
        <v>PostgreSQL</v>
      </c>
      <c r="C132">
        <v>17</v>
      </c>
      <c r="D132" t="str" cm="1">
        <f t="array" ref="D132">GetValue("Typ",C132,"Name")</f>
        <v>nchar(n)</v>
      </c>
      <c r="E132" t="s">
        <v>469</v>
      </c>
    </row>
    <row r="133" spans="1:5" x14ac:dyDescent="0.3">
      <c r="A133">
        <v>4</v>
      </c>
      <c r="B133" t="str" cm="1">
        <f t="array" ref="B133">GetValue("Eng",A133,"Name")</f>
        <v>PostgreSQL</v>
      </c>
      <c r="C133">
        <v>18</v>
      </c>
      <c r="D133" t="str" cm="1">
        <f t="array" ref="D133">GetValue("Typ",C133,"Name")</f>
        <v>ntext</v>
      </c>
      <c r="E133" t="s">
        <v>487</v>
      </c>
    </row>
    <row r="134" spans="1:5" x14ac:dyDescent="0.3">
      <c r="A134">
        <v>4</v>
      </c>
      <c r="B134" t="str" cm="1">
        <f t="array" ref="B134">GetValue("Eng",A134,"Name")</f>
        <v>PostgreSQL</v>
      </c>
      <c r="C134">
        <v>19</v>
      </c>
      <c r="D134" t="str" cm="1">
        <f t="array" ref="D134">GetValue("Typ",C134,"Name")</f>
        <v>numeric(p,s)</v>
      </c>
      <c r="E134" t="s">
        <v>519</v>
      </c>
    </row>
    <row r="135" spans="1:5" x14ac:dyDescent="0.3">
      <c r="A135">
        <v>4</v>
      </c>
      <c r="B135" t="str" cm="1">
        <f t="array" ref="B135">GetValue("Eng",A135,"Name")</f>
        <v>PostgreSQL</v>
      </c>
      <c r="C135">
        <v>20</v>
      </c>
      <c r="D135" t="str" cm="1">
        <f t="array" ref="D135">GetValue("Typ",C135,"Name")</f>
        <v>nvarchar(n)</v>
      </c>
      <c r="E135" t="s">
        <v>480</v>
      </c>
    </row>
    <row r="136" spans="1:5" x14ac:dyDescent="0.3">
      <c r="A136">
        <v>4</v>
      </c>
      <c r="B136" t="str" cm="1">
        <f t="array" ref="B136">GetValue("Eng",A136,"Name")</f>
        <v>PostgreSQL</v>
      </c>
      <c r="C136">
        <v>21</v>
      </c>
      <c r="D136" t="str" cm="1">
        <f t="array" ref="D136">GetValue("Typ",C136,"Name")</f>
        <v>nvarchar(max)</v>
      </c>
      <c r="E136" t="s">
        <v>487</v>
      </c>
    </row>
    <row r="137" spans="1:5" x14ac:dyDescent="0.3">
      <c r="A137">
        <v>4</v>
      </c>
      <c r="B137" t="str" cm="1">
        <f t="array" ref="B137">GetValue("Eng",A137,"Name")</f>
        <v>PostgreSQL</v>
      </c>
      <c r="C137">
        <v>22</v>
      </c>
      <c r="D137" t="str" cm="1">
        <f t="array" ref="D137">GetValue("Typ",C137,"Name")</f>
        <v>real</v>
      </c>
      <c r="E137" t="s">
        <v>476</v>
      </c>
    </row>
    <row r="138" spans="1:5" x14ac:dyDescent="0.3">
      <c r="A138">
        <v>4</v>
      </c>
      <c r="B138" t="str" cm="1">
        <f t="array" ref="B138">GetValue("Eng",A138,"Name")</f>
        <v>PostgreSQL</v>
      </c>
      <c r="C138">
        <v>23</v>
      </c>
      <c r="D138" t="str" cm="1">
        <f t="array" ref="D138">GetValue("Typ",C138,"Name")</f>
        <v>smalldatetime</v>
      </c>
      <c r="E138" t="s">
        <v>525</v>
      </c>
    </row>
    <row r="139" spans="1:5" x14ac:dyDescent="0.3">
      <c r="A139">
        <v>4</v>
      </c>
      <c r="B139" t="str" cm="1">
        <f t="array" ref="B139">GetValue("Eng",A139,"Name")</f>
        <v>PostgreSQL</v>
      </c>
      <c r="C139">
        <v>24</v>
      </c>
      <c r="D139" t="str" cm="1">
        <f t="array" ref="D139">GetValue("Typ",C139,"Name")</f>
        <v>smallint</v>
      </c>
      <c r="E139" t="s">
        <v>468</v>
      </c>
    </row>
    <row r="140" spans="1:5" x14ac:dyDescent="0.3">
      <c r="A140">
        <v>4</v>
      </c>
      <c r="B140" t="str" cm="1">
        <f t="array" ref="B140">GetValue("Eng",A140,"Name")</f>
        <v>PostgreSQL</v>
      </c>
      <c r="C140">
        <v>25</v>
      </c>
      <c r="D140" t="str" cm="1">
        <f t="array" ref="D140">GetValue("Typ",C140,"Name")</f>
        <v>smallmoney</v>
      </c>
      <c r="E140" t="s">
        <v>503</v>
      </c>
    </row>
    <row r="141" spans="1:5" x14ac:dyDescent="0.3">
      <c r="A141">
        <v>4</v>
      </c>
      <c r="B141" t="str" cm="1">
        <f t="array" ref="B141">GetValue("Eng",A141,"Name")</f>
        <v>PostgreSQL</v>
      </c>
      <c r="C141">
        <v>26</v>
      </c>
      <c r="D141" t="str" cm="1">
        <f t="array" ref="D141">GetValue("Typ",C141,"Name")</f>
        <v>sql_variant</v>
      </c>
      <c r="E141" t="s">
        <v>526</v>
      </c>
    </row>
    <row r="142" spans="1:5" x14ac:dyDescent="0.3">
      <c r="A142">
        <v>4</v>
      </c>
      <c r="B142" t="str" cm="1">
        <f t="array" ref="B142">GetValue("Eng",A142,"Name")</f>
        <v>PostgreSQL</v>
      </c>
      <c r="C142">
        <v>27</v>
      </c>
      <c r="D142" t="str" cm="1">
        <f t="array" ref="D142">GetValue("Typ",C142,"Name")</f>
        <v>sysname</v>
      </c>
      <c r="E142" t="s">
        <v>478</v>
      </c>
    </row>
    <row r="143" spans="1:5" x14ac:dyDescent="0.3">
      <c r="A143">
        <v>4</v>
      </c>
      <c r="B143" t="str" cm="1">
        <f t="array" ref="B143">GetValue("Eng",A143,"Name")</f>
        <v>PostgreSQL</v>
      </c>
      <c r="C143">
        <v>28</v>
      </c>
      <c r="D143" t="str" cm="1">
        <f t="array" ref="D143">GetValue("Typ",C143,"Name")</f>
        <v>text</v>
      </c>
      <c r="E143" t="s">
        <v>487</v>
      </c>
    </row>
    <row r="144" spans="1:5" x14ac:dyDescent="0.3">
      <c r="A144">
        <v>4</v>
      </c>
      <c r="B144" t="str" cm="1">
        <f t="array" ref="B144">GetValue("Eng",A144,"Name")</f>
        <v>PostgreSQL</v>
      </c>
      <c r="C144">
        <v>29</v>
      </c>
      <c r="D144" t="str" cm="1">
        <f t="array" ref="D144">GetValue("Typ",C144,"Name")</f>
        <v>time(s)</v>
      </c>
      <c r="E144" t="s">
        <v>479</v>
      </c>
    </row>
    <row r="145" spans="1:5" x14ac:dyDescent="0.3">
      <c r="A145">
        <v>4</v>
      </c>
      <c r="B145" t="str" cm="1">
        <f t="array" ref="B145">GetValue("Eng",A145,"Name")</f>
        <v>PostgreSQL</v>
      </c>
      <c r="C145">
        <v>30</v>
      </c>
      <c r="D145" t="str" cm="1">
        <f t="array" ref="D145">GetValue("Typ",C145,"Name")</f>
        <v>timestamp</v>
      </c>
      <c r="E145" t="s">
        <v>471</v>
      </c>
    </row>
    <row r="146" spans="1:5" x14ac:dyDescent="0.3">
      <c r="A146">
        <v>4</v>
      </c>
      <c r="B146" t="str" cm="1">
        <f t="array" ref="B146">GetValue("Eng",A146,"Name")</f>
        <v>PostgreSQL</v>
      </c>
      <c r="C146">
        <v>31</v>
      </c>
      <c r="D146" t="str" cm="1">
        <f t="array" ref="D146">GetValue("Typ",C146,"Name")</f>
        <v>tinyint</v>
      </c>
      <c r="E146" t="s">
        <v>468</v>
      </c>
    </row>
    <row r="147" spans="1:5" x14ac:dyDescent="0.3">
      <c r="A147">
        <v>4</v>
      </c>
      <c r="B147" t="str" cm="1">
        <f t="array" ref="B147">GetValue("Eng",A147,"Name")</f>
        <v>PostgreSQL</v>
      </c>
      <c r="C147">
        <v>32</v>
      </c>
      <c r="D147" t="str" cm="1">
        <f t="array" ref="D147">GetValue("Typ",C147,"Name")</f>
        <v>uniqueidentifier</v>
      </c>
      <c r="E147" t="s">
        <v>504</v>
      </c>
    </row>
    <row r="148" spans="1:5" x14ac:dyDescent="0.3">
      <c r="A148">
        <v>4</v>
      </c>
      <c r="B148" t="str" cm="1">
        <f t="array" ref="B148">GetValue("Eng",A148,"Name")</f>
        <v>PostgreSQL</v>
      </c>
      <c r="C148">
        <v>33</v>
      </c>
      <c r="D148" t="str" cm="1">
        <f t="array" ref="D148">GetValue("Typ",C148,"Name")</f>
        <v>varbinary(n)</v>
      </c>
      <c r="E148" t="s">
        <v>499</v>
      </c>
    </row>
    <row r="149" spans="1:5" x14ac:dyDescent="0.3">
      <c r="A149">
        <v>4</v>
      </c>
      <c r="B149" t="str" cm="1">
        <f t="array" ref="B149">GetValue("Eng",A149,"Name")</f>
        <v>PostgreSQL</v>
      </c>
      <c r="C149">
        <v>34</v>
      </c>
      <c r="D149" t="str" cm="1">
        <f t="array" ref="D149">GetValue("Typ",C149,"Name")</f>
        <v>varbinary(max)</v>
      </c>
      <c r="E149" t="s">
        <v>499</v>
      </c>
    </row>
    <row r="150" spans="1:5" x14ac:dyDescent="0.3">
      <c r="A150">
        <v>4</v>
      </c>
      <c r="B150" t="str" cm="1">
        <f t="array" ref="B150">GetValue("Eng",A150,"Name")</f>
        <v>PostgreSQL</v>
      </c>
      <c r="C150">
        <v>35</v>
      </c>
      <c r="D150" t="str" cm="1">
        <f t="array" ref="D150">GetValue("Typ",C150,"Name")</f>
        <v>varchar(n)</v>
      </c>
      <c r="E150" t="s">
        <v>480</v>
      </c>
    </row>
    <row r="151" spans="1:5" x14ac:dyDescent="0.3">
      <c r="A151">
        <v>4</v>
      </c>
      <c r="B151" t="str" cm="1">
        <f t="array" ref="B151">GetValue("Eng",A151,"Name")</f>
        <v>PostgreSQL</v>
      </c>
      <c r="C151">
        <v>36</v>
      </c>
      <c r="D151" t="str" cm="1">
        <f t="array" ref="D151">GetValue("Typ",C151,"Name")</f>
        <v>varchar(max)</v>
      </c>
      <c r="E151" t="s">
        <v>487</v>
      </c>
    </row>
    <row r="152" spans="1:5" x14ac:dyDescent="0.3">
      <c r="A152">
        <v>4</v>
      </c>
      <c r="B152" t="str" cm="1">
        <f t="array" ref="B152">GetValue("Eng",A152,"Name")</f>
        <v>PostgreSQL</v>
      </c>
      <c r="C152">
        <v>37</v>
      </c>
      <c r="D152" t="str" cm="1">
        <f t="array" ref="D152">GetValue("Typ",C152,"Name")</f>
        <v>xml</v>
      </c>
      <c r="E152" t="s">
        <v>481</v>
      </c>
    </row>
    <row r="153" spans="1:5" x14ac:dyDescent="0.3">
      <c r="A153">
        <v>4</v>
      </c>
      <c r="B153" t="str" cm="1">
        <f t="array" ref="B153">GetValue("Eng",A153,"Name")</f>
        <v>PostgreSQL</v>
      </c>
      <c r="C153">
        <v>38</v>
      </c>
      <c r="D153" t="str" cm="1">
        <f t="array" ref="D153">GetValue("Typ",C153,"Name")</f>
        <v>json</v>
      </c>
      <c r="E153" t="s">
        <v>526</v>
      </c>
    </row>
    <row r="154" spans="1:5" x14ac:dyDescent="0.3">
      <c r="A154">
        <v>5</v>
      </c>
      <c r="B154" t="str" cm="1">
        <f t="array" ref="B154">GetValue("Eng",A154,"Name")</f>
        <v>Firebird</v>
      </c>
      <c r="C154">
        <v>1</v>
      </c>
      <c r="D154" t="str" cm="1">
        <f t="array" ref="D154">GetValue("Typ",C154,"Name")</f>
        <v>bigint</v>
      </c>
      <c r="E154" t="s">
        <v>467</v>
      </c>
    </row>
    <row r="155" spans="1:5" x14ac:dyDescent="0.3">
      <c r="A155">
        <v>5</v>
      </c>
      <c r="B155" t="str" cm="1">
        <f t="array" ref="B155">GetValue("Eng",A155,"Name")</f>
        <v>Firebird</v>
      </c>
      <c r="C155">
        <v>2</v>
      </c>
      <c r="D155" t="str" cm="1">
        <f t="array" ref="D155">GetValue("Typ",C155,"Name")</f>
        <v>binary</v>
      </c>
      <c r="E155" t="s">
        <v>490</v>
      </c>
    </row>
    <row r="156" spans="1:5" x14ac:dyDescent="0.3">
      <c r="A156">
        <v>5</v>
      </c>
      <c r="B156" t="str" cm="1">
        <f t="array" ref="B156">GetValue("Eng",A156,"Name")</f>
        <v>Firebird</v>
      </c>
      <c r="C156">
        <v>3</v>
      </c>
      <c r="D156" t="str" cm="1">
        <f t="array" ref="D156">GetValue("Typ",C156,"Name")</f>
        <v xml:space="preserve">bit </v>
      </c>
      <c r="E156" t="s">
        <v>468</v>
      </c>
    </row>
    <row r="157" spans="1:5" x14ac:dyDescent="0.3">
      <c r="A157">
        <v>5</v>
      </c>
      <c r="B157" t="str" cm="1">
        <f t="array" ref="B157">GetValue("Eng",A157,"Name")</f>
        <v>Firebird</v>
      </c>
      <c r="C157">
        <v>4</v>
      </c>
      <c r="D157" t="str" cm="1">
        <f t="array" ref="D157">GetValue("Typ",C157,"Name")</f>
        <v>char(n)</v>
      </c>
      <c r="E157" t="s">
        <v>469</v>
      </c>
    </row>
    <row r="158" spans="1:5" x14ac:dyDescent="0.3">
      <c r="A158">
        <v>5</v>
      </c>
      <c r="B158" t="str" cm="1">
        <f t="array" ref="B158">GetValue("Eng",A158,"Name")</f>
        <v>Firebird</v>
      </c>
      <c r="C158">
        <v>5</v>
      </c>
      <c r="D158" t="str" cm="1">
        <f t="array" ref="D158">GetValue("Typ",C158,"Name")</f>
        <v>date</v>
      </c>
      <c r="E158" t="s">
        <v>470</v>
      </c>
    </row>
    <row r="159" spans="1:5" x14ac:dyDescent="0.3">
      <c r="A159">
        <v>5</v>
      </c>
      <c r="B159" t="str" cm="1">
        <f t="array" ref="B159">GetValue("Eng",A159,"Name")</f>
        <v>Firebird</v>
      </c>
      <c r="C159">
        <v>6</v>
      </c>
      <c r="D159" t="str" cm="1">
        <f t="array" ref="D159">GetValue("Typ",C159,"Name")</f>
        <v>datetime</v>
      </c>
      <c r="E159" t="s">
        <v>471</v>
      </c>
    </row>
    <row r="160" spans="1:5" x14ac:dyDescent="0.3">
      <c r="A160">
        <v>5</v>
      </c>
      <c r="B160" t="str" cm="1">
        <f t="array" ref="B160">GetValue("Eng",A160,"Name")</f>
        <v>Firebird</v>
      </c>
      <c r="C160">
        <v>7</v>
      </c>
      <c r="D160" t="str" cm="1">
        <f t="array" ref="D160">GetValue("Typ",C160,"Name")</f>
        <v>datetime2(s)</v>
      </c>
      <c r="E160" t="s">
        <v>471</v>
      </c>
    </row>
    <row r="161" spans="1:5" x14ac:dyDescent="0.3">
      <c r="A161">
        <v>5</v>
      </c>
      <c r="B161" t="str" cm="1">
        <f t="array" ref="B161">GetValue("Eng",A161,"Name")</f>
        <v>Firebird</v>
      </c>
      <c r="C161">
        <v>8</v>
      </c>
      <c r="D161" t="str" cm="1">
        <f t="array" ref="D161">GetValue("Typ",C161,"Name")</f>
        <v>datetimeoffset(s)</v>
      </c>
      <c r="E161" t="s">
        <v>472</v>
      </c>
    </row>
    <row r="162" spans="1:5" x14ac:dyDescent="0.3">
      <c r="A162">
        <v>5</v>
      </c>
      <c r="B162" t="str" cm="1">
        <f t="array" ref="B162">GetValue("Eng",A162,"Name")</f>
        <v>Firebird</v>
      </c>
      <c r="C162">
        <v>9</v>
      </c>
      <c r="D162" t="str" cm="1">
        <f t="array" ref="D162">GetValue("Typ",C162,"Name")</f>
        <v>decimal(p ,s)</v>
      </c>
      <c r="E162" t="s">
        <v>518</v>
      </c>
    </row>
    <row r="163" spans="1:5" x14ac:dyDescent="0.3">
      <c r="A163">
        <v>5</v>
      </c>
      <c r="B163" t="str" cm="1">
        <f t="array" ref="B163">GetValue("Eng",A163,"Name")</f>
        <v>Firebird</v>
      </c>
      <c r="C163">
        <v>10</v>
      </c>
      <c r="D163" t="str" cm="1">
        <f t="array" ref="D163">GetValue("Typ",C163,"Name")</f>
        <v>float(n)</v>
      </c>
      <c r="E163" t="s">
        <v>482</v>
      </c>
    </row>
    <row r="164" spans="1:5" x14ac:dyDescent="0.3">
      <c r="A164">
        <v>5</v>
      </c>
      <c r="B164" t="str" cm="1">
        <f t="array" ref="B164">GetValue("Eng",A164,"Name")</f>
        <v>Firebird</v>
      </c>
      <c r="C164">
        <v>11</v>
      </c>
      <c r="D164" t="str" cm="1">
        <f t="array" ref="D164">GetValue("Typ",C164,"Name")</f>
        <v>geography</v>
      </c>
    </row>
    <row r="165" spans="1:5" x14ac:dyDescent="0.3">
      <c r="A165">
        <v>5</v>
      </c>
      <c r="B165" t="str" cm="1">
        <f t="array" ref="B165">GetValue("Eng",A165,"Name")</f>
        <v>Firebird</v>
      </c>
      <c r="C165">
        <v>12</v>
      </c>
      <c r="D165" t="str" cm="1">
        <f t="array" ref="D165">GetValue("Typ",C165,"Name")</f>
        <v>geometry</v>
      </c>
    </row>
    <row r="166" spans="1:5" x14ac:dyDescent="0.3">
      <c r="A166">
        <v>5</v>
      </c>
      <c r="B166" t="str" cm="1">
        <f t="array" ref="B166">GetValue("Eng",A166,"Name")</f>
        <v>Firebird</v>
      </c>
      <c r="C166">
        <v>13</v>
      </c>
      <c r="D166" t="str" cm="1">
        <f t="array" ref="D166">GetValue("Typ",C166,"Name")</f>
        <v>hierarchyid</v>
      </c>
    </row>
    <row r="167" spans="1:5" x14ac:dyDescent="0.3">
      <c r="A167">
        <v>5</v>
      </c>
      <c r="B167" t="str" cm="1">
        <f t="array" ref="B167">GetValue("Eng",A167,"Name")</f>
        <v>Firebird</v>
      </c>
      <c r="C167">
        <v>14</v>
      </c>
      <c r="D167" t="str" cm="1">
        <f t="array" ref="D167">GetValue("Typ",C167,"Name")</f>
        <v>image</v>
      </c>
      <c r="E167" t="s">
        <v>483</v>
      </c>
    </row>
    <row r="168" spans="1:5" x14ac:dyDescent="0.3">
      <c r="A168">
        <v>5</v>
      </c>
      <c r="B168" t="str" cm="1">
        <f t="array" ref="B168">GetValue("Eng",A168,"Name")</f>
        <v>Firebird</v>
      </c>
      <c r="C168">
        <v>15</v>
      </c>
      <c r="D168" t="str" cm="1">
        <f t="array" ref="D168">GetValue("Typ",C168,"Name")</f>
        <v>int (4 bytes)</v>
      </c>
      <c r="E168" t="s">
        <v>474</v>
      </c>
    </row>
    <row r="169" spans="1:5" x14ac:dyDescent="0.3">
      <c r="A169">
        <v>5</v>
      </c>
      <c r="B169" t="str" cm="1">
        <f t="array" ref="B169">GetValue("Eng",A169,"Name")</f>
        <v>Firebird</v>
      </c>
      <c r="C169">
        <v>16</v>
      </c>
      <c r="D169" t="str" cm="1">
        <f t="array" ref="D169">GetValue("Typ",C169,"Name")</f>
        <v>money(p, s)</v>
      </c>
      <c r="E169" t="s">
        <v>475</v>
      </c>
    </row>
    <row r="170" spans="1:5" x14ac:dyDescent="0.3">
      <c r="A170">
        <v>5</v>
      </c>
      <c r="B170" t="str" cm="1">
        <f t="array" ref="B170">GetValue("Eng",A170,"Name")</f>
        <v>Firebird</v>
      </c>
      <c r="C170">
        <v>17</v>
      </c>
      <c r="D170" t="str" cm="1">
        <f t="array" ref="D170">GetValue("Typ",C170,"Name")</f>
        <v>nchar(n)</v>
      </c>
      <c r="E170" t="s">
        <v>469</v>
      </c>
    </row>
    <row r="171" spans="1:5" x14ac:dyDescent="0.3">
      <c r="A171">
        <v>5</v>
      </c>
      <c r="B171" t="str" cm="1">
        <f t="array" ref="B171">GetValue("Eng",A171,"Name")</f>
        <v>Firebird</v>
      </c>
      <c r="C171">
        <v>18</v>
      </c>
      <c r="D171" t="str" cm="1">
        <f t="array" ref="D171">GetValue("Typ",C171,"Name")</f>
        <v>ntext</v>
      </c>
      <c r="E171" t="s">
        <v>527</v>
      </c>
    </row>
    <row r="172" spans="1:5" x14ac:dyDescent="0.3">
      <c r="A172">
        <v>5</v>
      </c>
      <c r="B172" t="str" cm="1">
        <f t="array" ref="B172">GetValue("Eng",A172,"Name")</f>
        <v>Firebird</v>
      </c>
      <c r="C172">
        <v>19</v>
      </c>
      <c r="D172" t="str" cm="1">
        <f t="array" ref="D172">GetValue("Typ",C172,"Name")</f>
        <v>numeric(p,s)</v>
      </c>
      <c r="E172" t="s">
        <v>519</v>
      </c>
    </row>
    <row r="173" spans="1:5" x14ac:dyDescent="0.3">
      <c r="A173">
        <v>5</v>
      </c>
      <c r="B173" t="str" cm="1">
        <f t="array" ref="B173">GetValue("Eng",A173,"Name")</f>
        <v>Firebird</v>
      </c>
      <c r="C173">
        <v>20</v>
      </c>
      <c r="D173" t="str" cm="1">
        <f t="array" ref="D173">GetValue("Typ",C173,"Name")</f>
        <v>nvarchar(n)</v>
      </c>
      <c r="E173" t="s">
        <v>480</v>
      </c>
    </row>
    <row r="174" spans="1:5" x14ac:dyDescent="0.3">
      <c r="A174">
        <v>5</v>
      </c>
      <c r="B174" t="str" cm="1">
        <f t="array" ref="B174">GetValue("Eng",A174,"Name")</f>
        <v>Firebird</v>
      </c>
      <c r="C174">
        <v>21</v>
      </c>
      <c r="D174" t="str" cm="1">
        <f t="array" ref="D174">GetValue("Typ",C174,"Name")</f>
        <v>nvarchar(max)</v>
      </c>
      <c r="E174" t="s">
        <v>527</v>
      </c>
    </row>
    <row r="175" spans="1:5" x14ac:dyDescent="0.3">
      <c r="A175">
        <v>5</v>
      </c>
      <c r="B175" t="str" cm="1">
        <f t="array" ref="B175">GetValue("Eng",A175,"Name")</f>
        <v>Firebird</v>
      </c>
      <c r="C175">
        <v>22</v>
      </c>
      <c r="D175" t="str" cm="1">
        <f t="array" ref="D175">GetValue("Typ",C175,"Name")</f>
        <v>real</v>
      </c>
      <c r="E175" t="s">
        <v>484</v>
      </c>
    </row>
    <row r="176" spans="1:5" x14ac:dyDescent="0.3">
      <c r="A176">
        <v>5</v>
      </c>
      <c r="B176" t="str" cm="1">
        <f t="array" ref="B176">GetValue("Eng",A176,"Name")</f>
        <v>Firebird</v>
      </c>
      <c r="C176">
        <v>23</v>
      </c>
      <c r="D176" t="str" cm="1">
        <f t="array" ref="D176">GetValue("Typ",C176,"Name")</f>
        <v>smalldatetime</v>
      </c>
      <c r="E176" t="s">
        <v>471</v>
      </c>
    </row>
    <row r="177" spans="1:5" x14ac:dyDescent="0.3">
      <c r="A177">
        <v>5</v>
      </c>
      <c r="B177" t="str" cm="1">
        <f t="array" ref="B177">GetValue("Eng",A177,"Name")</f>
        <v>Firebird</v>
      </c>
      <c r="C177">
        <v>24</v>
      </c>
      <c r="D177" t="str" cm="1">
        <f t="array" ref="D177">GetValue("Typ",C177,"Name")</f>
        <v>smallint</v>
      </c>
      <c r="E177" t="s">
        <v>468</v>
      </c>
    </row>
    <row r="178" spans="1:5" x14ac:dyDescent="0.3">
      <c r="A178">
        <v>5</v>
      </c>
      <c r="B178" t="str" cm="1">
        <f t="array" ref="B178">GetValue("Eng",A178,"Name")</f>
        <v>Firebird</v>
      </c>
      <c r="C178">
        <v>25</v>
      </c>
      <c r="D178" t="str" cm="1">
        <f t="array" ref="D178">GetValue("Typ",C178,"Name")</f>
        <v>smallmoney</v>
      </c>
      <c r="E178" t="s">
        <v>477</v>
      </c>
    </row>
    <row r="179" spans="1:5" x14ac:dyDescent="0.3">
      <c r="A179">
        <v>5</v>
      </c>
      <c r="B179" t="str" cm="1">
        <f t="array" ref="B179">GetValue("Eng",A179,"Name")</f>
        <v>Firebird</v>
      </c>
      <c r="C179">
        <v>26</v>
      </c>
      <c r="D179" t="str" cm="1">
        <f t="array" ref="D179">GetValue("Typ",C179,"Name")</f>
        <v>sql_variant</v>
      </c>
      <c r="E179" t="s">
        <v>527</v>
      </c>
    </row>
    <row r="180" spans="1:5" x14ac:dyDescent="0.3">
      <c r="A180">
        <v>5</v>
      </c>
      <c r="B180" t="str" cm="1">
        <f t="array" ref="B180">GetValue("Eng",A180,"Name")</f>
        <v>Firebird</v>
      </c>
      <c r="C180">
        <v>27</v>
      </c>
      <c r="D180" t="str" cm="1">
        <f t="array" ref="D180">GetValue("Typ",C180,"Name")</f>
        <v>sysname</v>
      </c>
      <c r="E180" t="s">
        <v>478</v>
      </c>
    </row>
    <row r="181" spans="1:5" x14ac:dyDescent="0.3">
      <c r="A181">
        <v>5</v>
      </c>
      <c r="B181" t="str" cm="1">
        <f t="array" ref="B181">GetValue("Eng",A181,"Name")</f>
        <v>Firebird</v>
      </c>
      <c r="C181">
        <v>28</v>
      </c>
      <c r="D181" t="str" cm="1">
        <f t="array" ref="D181">GetValue("Typ",C181,"Name")</f>
        <v>text</v>
      </c>
      <c r="E181" t="s">
        <v>527</v>
      </c>
    </row>
    <row r="182" spans="1:5" x14ac:dyDescent="0.3">
      <c r="A182">
        <v>5</v>
      </c>
      <c r="B182" t="str" cm="1">
        <f t="array" ref="B182">GetValue("Eng",A182,"Name")</f>
        <v>Firebird</v>
      </c>
      <c r="C182">
        <v>29</v>
      </c>
      <c r="D182" t="str" cm="1">
        <f t="array" ref="D182">GetValue("Typ",C182,"Name")</f>
        <v>time(s)</v>
      </c>
      <c r="E182" t="s">
        <v>479</v>
      </c>
    </row>
    <row r="183" spans="1:5" x14ac:dyDescent="0.3">
      <c r="A183">
        <v>5</v>
      </c>
      <c r="B183" t="str" cm="1">
        <f t="array" ref="B183">GetValue("Eng",A183,"Name")</f>
        <v>Firebird</v>
      </c>
      <c r="C183">
        <v>30</v>
      </c>
      <c r="D183" t="str" cm="1">
        <f t="array" ref="D183">GetValue("Typ",C183,"Name")</f>
        <v>timestamp</v>
      </c>
      <c r="E183" t="s">
        <v>471</v>
      </c>
    </row>
    <row r="184" spans="1:5" x14ac:dyDescent="0.3">
      <c r="A184">
        <v>5</v>
      </c>
      <c r="B184" t="str" cm="1">
        <f t="array" ref="B184">GetValue("Eng",A184,"Name")</f>
        <v>Firebird</v>
      </c>
      <c r="C184">
        <v>31</v>
      </c>
      <c r="D184" t="str" cm="1">
        <f t="array" ref="D184">GetValue("Typ",C184,"Name")</f>
        <v>tinyint</v>
      </c>
      <c r="E184" t="s">
        <v>468</v>
      </c>
    </row>
    <row r="185" spans="1:5" x14ac:dyDescent="0.3">
      <c r="A185">
        <v>5</v>
      </c>
      <c r="B185" t="str" cm="1">
        <f t="array" ref="B185">GetValue("Eng",A185,"Name")</f>
        <v>Firebird</v>
      </c>
      <c r="C185">
        <v>32</v>
      </c>
      <c r="D185" t="str" cm="1">
        <f t="array" ref="D185">GetValue("Typ",C185,"Name")</f>
        <v>uniqueidentifier</v>
      </c>
      <c r="E185" t="s">
        <v>528</v>
      </c>
    </row>
    <row r="186" spans="1:5" x14ac:dyDescent="0.3">
      <c r="A186">
        <v>5</v>
      </c>
      <c r="B186" t="str" cm="1">
        <f t="array" ref="B186">GetValue("Eng",A186,"Name")</f>
        <v>Firebird</v>
      </c>
      <c r="C186">
        <v>33</v>
      </c>
      <c r="D186" t="str" cm="1">
        <f t="array" ref="D186">GetValue("Typ",C186,"Name")</f>
        <v>varbinary(n)</v>
      </c>
      <c r="E186" t="s">
        <v>483</v>
      </c>
    </row>
    <row r="187" spans="1:5" x14ac:dyDescent="0.3">
      <c r="A187">
        <v>5</v>
      </c>
      <c r="B187" t="str" cm="1">
        <f t="array" ref="B187">GetValue("Eng",A187,"Name")</f>
        <v>Firebird</v>
      </c>
      <c r="C187">
        <v>34</v>
      </c>
      <c r="D187" t="str" cm="1">
        <f t="array" ref="D187">GetValue("Typ",C187,"Name")</f>
        <v>varbinary(max)</v>
      </c>
      <c r="E187" t="s">
        <v>529</v>
      </c>
    </row>
    <row r="188" spans="1:5" x14ac:dyDescent="0.3">
      <c r="A188">
        <v>5</v>
      </c>
      <c r="B188" t="str" cm="1">
        <f t="array" ref="B188">GetValue("Eng",A188,"Name")</f>
        <v>Firebird</v>
      </c>
      <c r="C188">
        <v>35</v>
      </c>
      <c r="D188" t="str" cm="1">
        <f t="array" ref="D188">GetValue("Typ",C188,"Name")</f>
        <v>varchar(n)</v>
      </c>
      <c r="E188" t="s">
        <v>480</v>
      </c>
    </row>
    <row r="189" spans="1:5" x14ac:dyDescent="0.3">
      <c r="A189">
        <v>5</v>
      </c>
      <c r="B189" t="str" cm="1">
        <f t="array" ref="B189">GetValue("Eng",A189,"Name")</f>
        <v>Firebird</v>
      </c>
      <c r="C189">
        <v>36</v>
      </c>
      <c r="D189" t="str" cm="1">
        <f t="array" ref="D189">GetValue("Typ",C189,"Name")</f>
        <v>varchar(max)</v>
      </c>
      <c r="E189" t="s">
        <v>527</v>
      </c>
    </row>
    <row r="190" spans="1:5" x14ac:dyDescent="0.3">
      <c r="A190">
        <v>5</v>
      </c>
      <c r="B190" t="str" cm="1">
        <f t="array" ref="B190">GetValue("Eng",A190,"Name")</f>
        <v>Firebird</v>
      </c>
      <c r="C190">
        <v>37</v>
      </c>
      <c r="D190" t="str" cm="1">
        <f t="array" ref="D190">GetValue("Typ",C190,"Name")</f>
        <v>xml</v>
      </c>
      <c r="E190" t="s">
        <v>527</v>
      </c>
    </row>
    <row r="191" spans="1:5" x14ac:dyDescent="0.3">
      <c r="A191">
        <v>5</v>
      </c>
      <c r="B191" t="str" cm="1">
        <f t="array" ref="B191">GetValue("Eng",A191,"Name")</f>
        <v>Firebird</v>
      </c>
      <c r="C191">
        <v>38</v>
      </c>
      <c r="D191" t="str" cm="1">
        <f t="array" ref="D191">GetValue("Typ",C191,"Name")</f>
        <v>json</v>
      </c>
      <c r="E191" t="s">
        <v>527</v>
      </c>
    </row>
    <row r="192" spans="1:5" x14ac:dyDescent="0.3">
      <c r="A192">
        <v>6</v>
      </c>
      <c r="B192" t="str" cm="1">
        <f t="array" ref="B192">GetValue("Eng",A192,"Name")</f>
        <v>Interbase</v>
      </c>
      <c r="C192">
        <v>1</v>
      </c>
      <c r="D192" t="str" cm="1">
        <f t="array" ref="D192">GetValue("Typ",C192,"Name")</f>
        <v>bigint</v>
      </c>
      <c r="E192" t="s">
        <v>467</v>
      </c>
    </row>
    <row r="193" spans="1:5" x14ac:dyDescent="0.3">
      <c r="A193">
        <v>6</v>
      </c>
      <c r="B193" t="str" cm="1">
        <f t="array" ref="B193">GetValue("Eng",A193,"Name")</f>
        <v>Interbase</v>
      </c>
      <c r="C193">
        <v>2</v>
      </c>
      <c r="D193" t="str" cm="1">
        <f t="array" ref="D193">GetValue("Typ",C193,"Name")</f>
        <v>binary</v>
      </c>
      <c r="E193" t="s">
        <v>490</v>
      </c>
    </row>
    <row r="194" spans="1:5" x14ac:dyDescent="0.3">
      <c r="A194">
        <v>6</v>
      </c>
      <c r="B194" t="str" cm="1">
        <f t="array" ref="B194">GetValue("Eng",A194,"Name")</f>
        <v>Interbase</v>
      </c>
      <c r="C194">
        <v>3</v>
      </c>
      <c r="D194" t="str" cm="1">
        <f t="array" ref="D194">GetValue("Typ",C194,"Name")</f>
        <v xml:space="preserve">bit </v>
      </c>
      <c r="E194" t="s">
        <v>468</v>
      </c>
    </row>
    <row r="195" spans="1:5" x14ac:dyDescent="0.3">
      <c r="A195">
        <v>6</v>
      </c>
      <c r="B195" t="str" cm="1">
        <f t="array" ref="B195">GetValue("Eng",A195,"Name")</f>
        <v>Interbase</v>
      </c>
      <c r="C195">
        <v>4</v>
      </c>
      <c r="D195" t="str" cm="1">
        <f t="array" ref="D195">GetValue("Typ",C195,"Name")</f>
        <v>char(n)</v>
      </c>
      <c r="E195" t="s">
        <v>469</v>
      </c>
    </row>
    <row r="196" spans="1:5" x14ac:dyDescent="0.3">
      <c r="A196">
        <v>6</v>
      </c>
      <c r="B196" t="str" cm="1">
        <f t="array" ref="B196">GetValue("Eng",A196,"Name")</f>
        <v>Interbase</v>
      </c>
      <c r="C196">
        <v>5</v>
      </c>
      <c r="D196" t="str" cm="1">
        <f t="array" ref="D196">GetValue("Typ",C196,"Name")</f>
        <v>date</v>
      </c>
      <c r="E196" t="s">
        <v>470</v>
      </c>
    </row>
    <row r="197" spans="1:5" x14ac:dyDescent="0.3">
      <c r="A197">
        <v>6</v>
      </c>
      <c r="B197" t="str" cm="1">
        <f t="array" ref="B197">GetValue("Eng",A197,"Name")</f>
        <v>Interbase</v>
      </c>
      <c r="C197">
        <v>6</v>
      </c>
      <c r="D197" t="str" cm="1">
        <f t="array" ref="D197">GetValue("Typ",C197,"Name")</f>
        <v>datetime</v>
      </c>
      <c r="E197" t="s">
        <v>471</v>
      </c>
    </row>
    <row r="198" spans="1:5" x14ac:dyDescent="0.3">
      <c r="A198">
        <v>6</v>
      </c>
      <c r="B198" t="str" cm="1">
        <f t="array" ref="B198">GetValue("Eng",A198,"Name")</f>
        <v>Interbase</v>
      </c>
      <c r="C198">
        <v>7</v>
      </c>
      <c r="D198" t="str" cm="1">
        <f t="array" ref="D198">GetValue("Typ",C198,"Name")</f>
        <v>datetime2(s)</v>
      </c>
      <c r="E198" t="s">
        <v>471</v>
      </c>
    </row>
    <row r="199" spans="1:5" x14ac:dyDescent="0.3">
      <c r="A199">
        <v>6</v>
      </c>
      <c r="B199" t="str" cm="1">
        <f t="array" ref="B199">GetValue("Eng",A199,"Name")</f>
        <v>Interbase</v>
      </c>
      <c r="C199">
        <v>8</v>
      </c>
      <c r="D199" t="str" cm="1">
        <f t="array" ref="D199">GetValue("Typ",C199,"Name")</f>
        <v>datetimeoffset(s)</v>
      </c>
      <c r="E199" t="s">
        <v>472</v>
      </c>
    </row>
    <row r="200" spans="1:5" x14ac:dyDescent="0.3">
      <c r="A200">
        <v>6</v>
      </c>
      <c r="B200" t="str" cm="1">
        <f t="array" ref="B200">GetValue("Eng",A200,"Name")</f>
        <v>Interbase</v>
      </c>
      <c r="C200">
        <v>9</v>
      </c>
      <c r="D200" t="str" cm="1">
        <f t="array" ref="D200">GetValue("Typ",C200,"Name")</f>
        <v>decimal(p ,s)</v>
      </c>
      <c r="E200" t="s">
        <v>518</v>
      </c>
    </row>
    <row r="201" spans="1:5" x14ac:dyDescent="0.3">
      <c r="A201">
        <v>6</v>
      </c>
      <c r="B201" t="str" cm="1">
        <f t="array" ref="B201">GetValue("Eng",A201,"Name")</f>
        <v>Interbase</v>
      </c>
      <c r="C201">
        <v>10</v>
      </c>
      <c r="D201" t="str" cm="1">
        <f t="array" ref="D201">GetValue("Typ",C201,"Name")</f>
        <v>float(n)</v>
      </c>
      <c r="E201" t="s">
        <v>482</v>
      </c>
    </row>
    <row r="202" spans="1:5" x14ac:dyDescent="0.3">
      <c r="A202">
        <v>6</v>
      </c>
      <c r="B202" t="str" cm="1">
        <f t="array" ref="B202">GetValue("Eng",A202,"Name")</f>
        <v>Interbase</v>
      </c>
      <c r="C202">
        <v>11</v>
      </c>
      <c r="D202" t="str" cm="1">
        <f t="array" ref="D202">GetValue("Typ",C202,"Name")</f>
        <v>geography</v>
      </c>
    </row>
    <row r="203" spans="1:5" x14ac:dyDescent="0.3">
      <c r="A203">
        <v>6</v>
      </c>
      <c r="B203" t="str" cm="1">
        <f t="array" ref="B203">GetValue("Eng",A203,"Name")</f>
        <v>Interbase</v>
      </c>
      <c r="C203">
        <v>12</v>
      </c>
      <c r="D203" t="str" cm="1">
        <f t="array" ref="D203">GetValue("Typ",C203,"Name")</f>
        <v>geometry</v>
      </c>
    </row>
    <row r="204" spans="1:5" x14ac:dyDescent="0.3">
      <c r="A204">
        <v>6</v>
      </c>
      <c r="B204" t="str" cm="1">
        <f t="array" ref="B204">GetValue("Eng",A204,"Name")</f>
        <v>Interbase</v>
      </c>
      <c r="C204">
        <v>13</v>
      </c>
      <c r="D204" t="str" cm="1">
        <f t="array" ref="D204">GetValue("Typ",C204,"Name")</f>
        <v>hierarchyid</v>
      </c>
    </row>
    <row r="205" spans="1:5" x14ac:dyDescent="0.3">
      <c r="A205">
        <v>6</v>
      </c>
      <c r="B205" t="str" cm="1">
        <f t="array" ref="B205">GetValue("Eng",A205,"Name")</f>
        <v>Interbase</v>
      </c>
      <c r="C205">
        <v>14</v>
      </c>
      <c r="D205" t="str" cm="1">
        <f t="array" ref="D205">GetValue("Typ",C205,"Name")</f>
        <v>image</v>
      </c>
      <c r="E205" t="s">
        <v>483</v>
      </c>
    </row>
    <row r="206" spans="1:5" x14ac:dyDescent="0.3">
      <c r="A206">
        <v>6</v>
      </c>
      <c r="B206" t="str" cm="1">
        <f t="array" ref="B206">GetValue("Eng",A206,"Name")</f>
        <v>Interbase</v>
      </c>
      <c r="C206">
        <v>15</v>
      </c>
      <c r="D206" t="str" cm="1">
        <f t="array" ref="D206">GetValue("Typ",C206,"Name")</f>
        <v>int (4 bytes)</v>
      </c>
      <c r="E206" t="s">
        <v>474</v>
      </c>
    </row>
    <row r="207" spans="1:5" x14ac:dyDescent="0.3">
      <c r="A207">
        <v>6</v>
      </c>
      <c r="B207" t="str" cm="1">
        <f t="array" ref="B207">GetValue("Eng",A207,"Name")</f>
        <v>Interbase</v>
      </c>
      <c r="C207">
        <v>16</v>
      </c>
      <c r="D207" t="str" cm="1">
        <f t="array" ref="D207">GetValue("Typ",C207,"Name")</f>
        <v>money(p, s)</v>
      </c>
      <c r="E207" t="s">
        <v>475</v>
      </c>
    </row>
    <row r="208" spans="1:5" x14ac:dyDescent="0.3">
      <c r="A208">
        <v>6</v>
      </c>
      <c r="B208" t="str" cm="1">
        <f t="array" ref="B208">GetValue("Eng",A208,"Name")</f>
        <v>Interbase</v>
      </c>
      <c r="C208">
        <v>17</v>
      </c>
      <c r="D208" t="str" cm="1">
        <f t="array" ref="D208">GetValue("Typ",C208,"Name")</f>
        <v>nchar(n)</v>
      </c>
      <c r="E208" t="s">
        <v>469</v>
      </c>
    </row>
    <row r="209" spans="1:5" x14ac:dyDescent="0.3">
      <c r="A209">
        <v>6</v>
      </c>
      <c r="B209" t="str" cm="1">
        <f t="array" ref="B209">GetValue("Eng",A209,"Name")</f>
        <v>Interbase</v>
      </c>
      <c r="C209">
        <v>18</v>
      </c>
      <c r="D209" t="str" cm="1">
        <f t="array" ref="D209">GetValue("Typ",C209,"Name")</f>
        <v>ntext</v>
      </c>
      <c r="E209" t="s">
        <v>527</v>
      </c>
    </row>
    <row r="210" spans="1:5" x14ac:dyDescent="0.3">
      <c r="A210">
        <v>6</v>
      </c>
      <c r="B210" t="str" cm="1">
        <f t="array" ref="B210">GetValue("Eng",A210,"Name")</f>
        <v>Interbase</v>
      </c>
      <c r="C210">
        <v>19</v>
      </c>
      <c r="D210" t="str" cm="1">
        <f t="array" ref="D210">GetValue("Typ",C210,"Name")</f>
        <v>numeric(p,s)</v>
      </c>
      <c r="E210" t="s">
        <v>519</v>
      </c>
    </row>
    <row r="211" spans="1:5" x14ac:dyDescent="0.3">
      <c r="A211">
        <v>6</v>
      </c>
      <c r="B211" t="str" cm="1">
        <f t="array" ref="B211">GetValue("Eng",A211,"Name")</f>
        <v>Interbase</v>
      </c>
      <c r="C211">
        <v>20</v>
      </c>
      <c r="D211" t="str" cm="1">
        <f t="array" ref="D211">GetValue("Typ",C211,"Name")</f>
        <v>nvarchar(n)</v>
      </c>
      <c r="E211" t="s">
        <v>480</v>
      </c>
    </row>
    <row r="212" spans="1:5" x14ac:dyDescent="0.3">
      <c r="A212">
        <v>6</v>
      </c>
      <c r="B212" t="str" cm="1">
        <f t="array" ref="B212">GetValue("Eng",A212,"Name")</f>
        <v>Interbase</v>
      </c>
      <c r="C212">
        <v>21</v>
      </c>
      <c r="D212" t="str" cm="1">
        <f t="array" ref="D212">GetValue("Typ",C212,"Name")</f>
        <v>nvarchar(max)</v>
      </c>
      <c r="E212" t="s">
        <v>527</v>
      </c>
    </row>
    <row r="213" spans="1:5" x14ac:dyDescent="0.3">
      <c r="A213">
        <v>6</v>
      </c>
      <c r="B213" t="str" cm="1">
        <f t="array" ref="B213">GetValue("Eng",A213,"Name")</f>
        <v>Interbase</v>
      </c>
      <c r="C213">
        <v>22</v>
      </c>
      <c r="D213" t="str" cm="1">
        <f t="array" ref="D213">GetValue("Typ",C213,"Name")</f>
        <v>real</v>
      </c>
      <c r="E213" t="s">
        <v>484</v>
      </c>
    </row>
    <row r="214" spans="1:5" x14ac:dyDescent="0.3">
      <c r="A214">
        <v>6</v>
      </c>
      <c r="B214" t="str" cm="1">
        <f t="array" ref="B214">GetValue("Eng",A214,"Name")</f>
        <v>Interbase</v>
      </c>
      <c r="C214">
        <v>23</v>
      </c>
      <c r="D214" t="str" cm="1">
        <f t="array" ref="D214">GetValue("Typ",C214,"Name")</f>
        <v>smalldatetime</v>
      </c>
      <c r="E214" t="s">
        <v>471</v>
      </c>
    </row>
    <row r="215" spans="1:5" x14ac:dyDescent="0.3">
      <c r="A215">
        <v>6</v>
      </c>
      <c r="B215" t="str" cm="1">
        <f t="array" ref="B215">GetValue("Eng",A215,"Name")</f>
        <v>Interbase</v>
      </c>
      <c r="C215">
        <v>24</v>
      </c>
      <c r="D215" t="str" cm="1">
        <f t="array" ref="D215">GetValue("Typ",C215,"Name")</f>
        <v>smallint</v>
      </c>
      <c r="E215" t="s">
        <v>468</v>
      </c>
    </row>
    <row r="216" spans="1:5" x14ac:dyDescent="0.3">
      <c r="A216">
        <v>6</v>
      </c>
      <c r="B216" t="str" cm="1">
        <f t="array" ref="B216">GetValue("Eng",A216,"Name")</f>
        <v>Interbase</v>
      </c>
      <c r="C216">
        <v>25</v>
      </c>
      <c r="D216" t="str" cm="1">
        <f t="array" ref="D216">GetValue("Typ",C216,"Name")</f>
        <v>smallmoney</v>
      </c>
      <c r="E216" t="s">
        <v>477</v>
      </c>
    </row>
    <row r="217" spans="1:5" x14ac:dyDescent="0.3">
      <c r="A217">
        <v>6</v>
      </c>
      <c r="B217" t="str" cm="1">
        <f t="array" ref="B217">GetValue("Eng",A217,"Name")</f>
        <v>Interbase</v>
      </c>
      <c r="C217">
        <v>26</v>
      </c>
      <c r="D217" t="str" cm="1">
        <f t="array" ref="D217">GetValue("Typ",C217,"Name")</f>
        <v>sql_variant</v>
      </c>
      <c r="E217" t="s">
        <v>527</v>
      </c>
    </row>
    <row r="218" spans="1:5" x14ac:dyDescent="0.3">
      <c r="A218">
        <v>6</v>
      </c>
      <c r="B218" t="str" cm="1">
        <f t="array" ref="B218">GetValue("Eng",A218,"Name")</f>
        <v>Interbase</v>
      </c>
      <c r="C218">
        <v>27</v>
      </c>
      <c r="D218" t="str" cm="1">
        <f t="array" ref="D218">GetValue("Typ",C218,"Name")</f>
        <v>sysname</v>
      </c>
      <c r="E218" t="s">
        <v>478</v>
      </c>
    </row>
    <row r="219" spans="1:5" x14ac:dyDescent="0.3">
      <c r="A219">
        <v>6</v>
      </c>
      <c r="B219" t="str" cm="1">
        <f t="array" ref="B219">GetValue("Eng",A219,"Name")</f>
        <v>Interbase</v>
      </c>
      <c r="C219">
        <v>28</v>
      </c>
      <c r="D219" t="str" cm="1">
        <f t="array" ref="D219">GetValue("Typ",C219,"Name")</f>
        <v>text</v>
      </c>
      <c r="E219" t="s">
        <v>527</v>
      </c>
    </row>
    <row r="220" spans="1:5" x14ac:dyDescent="0.3">
      <c r="A220">
        <v>6</v>
      </c>
      <c r="B220" t="str" cm="1">
        <f t="array" ref="B220">GetValue("Eng",A220,"Name")</f>
        <v>Interbase</v>
      </c>
      <c r="C220">
        <v>29</v>
      </c>
      <c r="D220" t="str" cm="1">
        <f t="array" ref="D220">GetValue("Typ",C220,"Name")</f>
        <v>time(s)</v>
      </c>
      <c r="E220" t="s">
        <v>479</v>
      </c>
    </row>
    <row r="221" spans="1:5" x14ac:dyDescent="0.3">
      <c r="A221">
        <v>6</v>
      </c>
      <c r="B221" t="str" cm="1">
        <f t="array" ref="B221">GetValue("Eng",A221,"Name")</f>
        <v>Interbase</v>
      </c>
      <c r="C221">
        <v>30</v>
      </c>
      <c r="D221" t="str" cm="1">
        <f t="array" ref="D221">GetValue("Typ",C221,"Name")</f>
        <v>timestamp</v>
      </c>
      <c r="E221" t="s">
        <v>471</v>
      </c>
    </row>
    <row r="222" spans="1:5" x14ac:dyDescent="0.3">
      <c r="A222">
        <v>6</v>
      </c>
      <c r="B222" t="str" cm="1">
        <f t="array" ref="B222">GetValue("Eng",A222,"Name")</f>
        <v>Interbase</v>
      </c>
      <c r="C222">
        <v>31</v>
      </c>
      <c r="D222" t="str" cm="1">
        <f t="array" ref="D222">GetValue("Typ",C222,"Name")</f>
        <v>tinyint</v>
      </c>
      <c r="E222" t="s">
        <v>468</v>
      </c>
    </row>
    <row r="223" spans="1:5" x14ac:dyDescent="0.3">
      <c r="A223">
        <v>6</v>
      </c>
      <c r="B223" t="str" cm="1">
        <f t="array" ref="B223">GetValue("Eng",A223,"Name")</f>
        <v>Interbase</v>
      </c>
      <c r="C223">
        <v>32</v>
      </c>
      <c r="D223" t="str" cm="1">
        <f t="array" ref="D223">GetValue("Typ",C223,"Name")</f>
        <v>uniqueidentifier</v>
      </c>
      <c r="E223" t="s">
        <v>528</v>
      </c>
    </row>
    <row r="224" spans="1:5" x14ac:dyDescent="0.3">
      <c r="A224">
        <v>6</v>
      </c>
      <c r="B224" t="str" cm="1">
        <f t="array" ref="B224">GetValue("Eng",A224,"Name")</f>
        <v>Interbase</v>
      </c>
      <c r="C224">
        <v>33</v>
      </c>
      <c r="D224" t="str" cm="1">
        <f t="array" ref="D224">GetValue("Typ",C224,"Name")</f>
        <v>varbinary(n)</v>
      </c>
      <c r="E224" t="s">
        <v>483</v>
      </c>
    </row>
    <row r="225" spans="1:5" x14ac:dyDescent="0.3">
      <c r="A225">
        <v>6</v>
      </c>
      <c r="B225" t="str" cm="1">
        <f t="array" ref="B225">GetValue("Eng",A225,"Name")</f>
        <v>Interbase</v>
      </c>
      <c r="C225">
        <v>34</v>
      </c>
      <c r="D225" t="str" cm="1">
        <f t="array" ref="D225">GetValue("Typ",C225,"Name")</f>
        <v>varbinary(max)</v>
      </c>
      <c r="E225" t="s">
        <v>529</v>
      </c>
    </row>
    <row r="226" spans="1:5" x14ac:dyDescent="0.3">
      <c r="A226">
        <v>6</v>
      </c>
      <c r="B226" t="str" cm="1">
        <f t="array" ref="B226">GetValue("Eng",A226,"Name")</f>
        <v>Interbase</v>
      </c>
      <c r="C226">
        <v>35</v>
      </c>
      <c r="D226" t="str" cm="1">
        <f t="array" ref="D226">GetValue("Typ",C226,"Name")</f>
        <v>varchar(n)</v>
      </c>
      <c r="E226" t="s">
        <v>480</v>
      </c>
    </row>
    <row r="227" spans="1:5" x14ac:dyDescent="0.3">
      <c r="A227">
        <v>6</v>
      </c>
      <c r="B227" t="str" cm="1">
        <f t="array" ref="B227">GetValue("Eng",A227,"Name")</f>
        <v>Interbase</v>
      </c>
      <c r="C227">
        <v>36</v>
      </c>
      <c r="D227" t="str" cm="1">
        <f t="array" ref="D227">GetValue("Typ",C227,"Name")</f>
        <v>varchar(max)</v>
      </c>
      <c r="E227" t="s">
        <v>527</v>
      </c>
    </row>
    <row r="228" spans="1:5" x14ac:dyDescent="0.3">
      <c r="A228">
        <v>6</v>
      </c>
      <c r="B228" t="str" cm="1">
        <f t="array" ref="B228">GetValue("Eng",A228,"Name")</f>
        <v>Interbase</v>
      </c>
      <c r="C228">
        <v>37</v>
      </c>
      <c r="D228" t="str" cm="1">
        <f t="array" ref="D228">GetValue("Typ",C228,"Name")</f>
        <v>xml</v>
      </c>
      <c r="E228" t="s">
        <v>527</v>
      </c>
    </row>
    <row r="229" spans="1:5" x14ac:dyDescent="0.3">
      <c r="A229">
        <v>6</v>
      </c>
      <c r="B229" t="str" cm="1">
        <f t="array" ref="B229">GetValue("Eng",A229,"Name")</f>
        <v>Interbase</v>
      </c>
      <c r="C229">
        <v>38</v>
      </c>
      <c r="D229" t="str" cm="1">
        <f t="array" ref="D229">GetValue("Typ",C229,"Name")</f>
        <v>json</v>
      </c>
      <c r="E229" t="s">
        <v>527</v>
      </c>
    </row>
    <row r="230" spans="1:5" x14ac:dyDescent="0.3">
      <c r="A230">
        <v>7</v>
      </c>
      <c r="B230" t="str" cm="1">
        <f t="array" ref="B230">GetValue("Eng",A230,"Name")</f>
        <v>SQL Anywhere</v>
      </c>
      <c r="C230">
        <v>1</v>
      </c>
      <c r="D230" t="str" cm="1">
        <f t="array" ref="D230">GetValue("Typ",C230,"Name")</f>
        <v>bigint</v>
      </c>
      <c r="E230" t="s">
        <v>467</v>
      </c>
    </row>
    <row r="231" spans="1:5" x14ac:dyDescent="0.3">
      <c r="A231">
        <v>7</v>
      </c>
      <c r="B231" t="str" cm="1">
        <f t="array" ref="B231">GetValue("Eng",A231,"Name")</f>
        <v>SQL Anywhere</v>
      </c>
      <c r="C231">
        <v>2</v>
      </c>
      <c r="D231" t="str" cm="1">
        <f t="array" ref="D231">GetValue("Typ",C231,"Name")</f>
        <v>binary</v>
      </c>
      <c r="E231" t="s">
        <v>490</v>
      </c>
    </row>
    <row r="232" spans="1:5" x14ac:dyDescent="0.3">
      <c r="A232">
        <v>7</v>
      </c>
      <c r="B232" t="str" cm="1">
        <f t="array" ref="B232">GetValue("Eng",A232,"Name")</f>
        <v>SQL Anywhere</v>
      </c>
      <c r="C232">
        <v>3</v>
      </c>
      <c r="D232" t="str" cm="1">
        <f t="array" ref="D232">GetValue("Typ",C232,"Name")</f>
        <v xml:space="preserve">bit </v>
      </c>
      <c r="E232" t="s">
        <v>468</v>
      </c>
    </row>
    <row r="233" spans="1:5" x14ac:dyDescent="0.3">
      <c r="A233">
        <v>7</v>
      </c>
      <c r="B233" t="str" cm="1">
        <f t="array" ref="B233">GetValue("Eng",A233,"Name")</f>
        <v>SQL Anywhere</v>
      </c>
      <c r="C233">
        <v>4</v>
      </c>
      <c r="D233" t="str" cm="1">
        <f t="array" ref="D233">GetValue("Typ",C233,"Name")</f>
        <v>char(n)</v>
      </c>
      <c r="E233" t="s">
        <v>469</v>
      </c>
    </row>
    <row r="234" spans="1:5" x14ac:dyDescent="0.3">
      <c r="A234">
        <v>7</v>
      </c>
      <c r="B234" t="str" cm="1">
        <f t="array" ref="B234">GetValue("Eng",A234,"Name")</f>
        <v>SQL Anywhere</v>
      </c>
      <c r="C234">
        <v>5</v>
      </c>
      <c r="D234" t="str" cm="1">
        <f t="array" ref="D234">GetValue("Typ",C234,"Name")</f>
        <v>date</v>
      </c>
      <c r="E234" t="s">
        <v>470</v>
      </c>
    </row>
    <row r="235" spans="1:5" x14ac:dyDescent="0.3">
      <c r="A235">
        <v>7</v>
      </c>
      <c r="B235" t="str" cm="1">
        <f t="array" ref="B235">GetValue("Eng",A235,"Name")</f>
        <v>SQL Anywhere</v>
      </c>
      <c r="C235">
        <v>6</v>
      </c>
      <c r="D235" t="str" cm="1">
        <f t="array" ref="D235">GetValue("Typ",C235,"Name")</f>
        <v>datetime</v>
      </c>
      <c r="E235" t="s">
        <v>471</v>
      </c>
    </row>
    <row r="236" spans="1:5" x14ac:dyDescent="0.3">
      <c r="A236">
        <v>7</v>
      </c>
      <c r="B236" t="str" cm="1">
        <f t="array" ref="B236">GetValue("Eng",A236,"Name")</f>
        <v>SQL Anywhere</v>
      </c>
      <c r="C236">
        <v>7</v>
      </c>
      <c r="D236" t="str" cm="1">
        <f t="array" ref="D236">GetValue("Typ",C236,"Name")</f>
        <v>datetime2(s)</v>
      </c>
      <c r="E236" t="s">
        <v>471</v>
      </c>
    </row>
    <row r="237" spans="1:5" x14ac:dyDescent="0.3">
      <c r="A237">
        <v>7</v>
      </c>
      <c r="B237" t="str" cm="1">
        <f t="array" ref="B237">GetValue("Eng",A237,"Name")</f>
        <v>SQL Anywhere</v>
      </c>
      <c r="C237">
        <v>8</v>
      </c>
      <c r="D237" t="str" cm="1">
        <f t="array" ref="D237">GetValue("Typ",C237,"Name")</f>
        <v>datetimeoffset(s)</v>
      </c>
      <c r="E237" t="s">
        <v>472</v>
      </c>
    </row>
    <row r="238" spans="1:5" x14ac:dyDescent="0.3">
      <c r="A238">
        <v>7</v>
      </c>
      <c r="B238" t="str" cm="1">
        <f t="array" ref="B238">GetValue("Eng",A238,"Name")</f>
        <v>SQL Anywhere</v>
      </c>
      <c r="C238">
        <v>9</v>
      </c>
      <c r="D238" t="str" cm="1">
        <f t="array" ref="D238">GetValue("Typ",C238,"Name")</f>
        <v>decimal(p ,s)</v>
      </c>
      <c r="E238" t="s">
        <v>518</v>
      </c>
    </row>
    <row r="239" spans="1:5" x14ac:dyDescent="0.3">
      <c r="A239">
        <v>7</v>
      </c>
      <c r="B239" t="str" cm="1">
        <f t="array" ref="B239">GetValue("Eng",A239,"Name")</f>
        <v>SQL Anywhere</v>
      </c>
      <c r="C239">
        <v>10</v>
      </c>
      <c r="D239" t="str" cm="1">
        <f t="array" ref="D239">GetValue("Typ",C239,"Name")</f>
        <v>float(n)</v>
      </c>
      <c r="E239" t="s">
        <v>482</v>
      </c>
    </row>
    <row r="240" spans="1:5" x14ac:dyDescent="0.3">
      <c r="A240">
        <v>7</v>
      </c>
      <c r="B240" t="str" cm="1">
        <f t="array" ref="B240">GetValue("Eng",A240,"Name")</f>
        <v>SQL Anywhere</v>
      </c>
      <c r="C240">
        <v>11</v>
      </c>
      <c r="D240" t="str" cm="1">
        <f t="array" ref="D240">GetValue("Typ",C240,"Name")</f>
        <v>geography</v>
      </c>
    </row>
    <row r="241" spans="1:5" x14ac:dyDescent="0.3">
      <c r="A241">
        <v>7</v>
      </c>
      <c r="B241" t="str" cm="1">
        <f t="array" ref="B241">GetValue("Eng",A241,"Name")</f>
        <v>SQL Anywhere</v>
      </c>
      <c r="C241">
        <v>12</v>
      </c>
      <c r="D241" t="str" cm="1">
        <f t="array" ref="D241">GetValue("Typ",C241,"Name")</f>
        <v>geometry</v>
      </c>
    </row>
    <row r="242" spans="1:5" x14ac:dyDescent="0.3">
      <c r="A242">
        <v>7</v>
      </c>
      <c r="B242" t="str" cm="1">
        <f t="array" ref="B242">GetValue("Eng",A242,"Name")</f>
        <v>SQL Anywhere</v>
      </c>
      <c r="C242">
        <v>13</v>
      </c>
      <c r="D242" t="str" cm="1">
        <f t="array" ref="D242">GetValue("Typ",C242,"Name")</f>
        <v>hierarchyid</v>
      </c>
    </row>
    <row r="243" spans="1:5" x14ac:dyDescent="0.3">
      <c r="A243">
        <v>7</v>
      </c>
      <c r="B243" t="str" cm="1">
        <f t="array" ref="B243">GetValue("Eng",A243,"Name")</f>
        <v>SQL Anywhere</v>
      </c>
      <c r="C243">
        <v>14</v>
      </c>
      <c r="D243" t="str" cm="1">
        <f t="array" ref="D243">GetValue("Typ",C243,"Name")</f>
        <v>image</v>
      </c>
      <c r="E243" t="s">
        <v>532</v>
      </c>
    </row>
    <row r="244" spans="1:5" x14ac:dyDescent="0.3">
      <c r="A244">
        <v>7</v>
      </c>
      <c r="B244" t="str" cm="1">
        <f t="array" ref="B244">GetValue("Eng",A244,"Name")</f>
        <v>SQL Anywhere</v>
      </c>
      <c r="C244">
        <v>15</v>
      </c>
      <c r="D244" t="str" cm="1">
        <f t="array" ref="D244">GetValue("Typ",C244,"Name")</f>
        <v>int (4 bytes)</v>
      </c>
      <c r="E244" t="s">
        <v>474</v>
      </c>
    </row>
    <row r="245" spans="1:5" x14ac:dyDescent="0.3">
      <c r="A245">
        <v>7</v>
      </c>
      <c r="B245" t="str" cm="1">
        <f t="array" ref="B245">GetValue("Eng",A245,"Name")</f>
        <v>SQL Anywhere</v>
      </c>
      <c r="C245">
        <v>16</v>
      </c>
      <c r="D245" t="str" cm="1">
        <f t="array" ref="D245">GetValue("Typ",C245,"Name")</f>
        <v>money(p, s)</v>
      </c>
      <c r="E245" t="s">
        <v>475</v>
      </c>
    </row>
    <row r="246" spans="1:5" x14ac:dyDescent="0.3">
      <c r="A246">
        <v>7</v>
      </c>
      <c r="B246" t="str" cm="1">
        <f t="array" ref="B246">GetValue("Eng",A246,"Name")</f>
        <v>SQL Anywhere</v>
      </c>
      <c r="C246">
        <v>17</v>
      </c>
      <c r="D246" t="str" cm="1">
        <f t="array" ref="D246">GetValue("Typ",C246,"Name")</f>
        <v>nchar(n)</v>
      </c>
      <c r="E246" t="s">
        <v>469</v>
      </c>
    </row>
    <row r="247" spans="1:5" x14ac:dyDescent="0.3">
      <c r="A247">
        <v>7</v>
      </c>
      <c r="B247" t="str" cm="1">
        <f t="array" ref="B247">GetValue("Eng",A247,"Name")</f>
        <v>SQL Anywhere</v>
      </c>
      <c r="C247">
        <v>18</v>
      </c>
      <c r="D247" t="str" cm="1">
        <f t="array" ref="D247">GetValue("Typ",C247,"Name")</f>
        <v>ntext</v>
      </c>
      <c r="E247" t="s">
        <v>531</v>
      </c>
    </row>
    <row r="248" spans="1:5" x14ac:dyDescent="0.3">
      <c r="A248">
        <v>7</v>
      </c>
      <c r="B248" t="str" cm="1">
        <f t="array" ref="B248">GetValue("Eng",A248,"Name")</f>
        <v>SQL Anywhere</v>
      </c>
      <c r="C248">
        <v>19</v>
      </c>
      <c r="D248" t="str" cm="1">
        <f t="array" ref="D248">GetValue("Typ",C248,"Name")</f>
        <v>numeric(p,s)</v>
      </c>
      <c r="E248" t="s">
        <v>519</v>
      </c>
    </row>
    <row r="249" spans="1:5" x14ac:dyDescent="0.3">
      <c r="A249">
        <v>7</v>
      </c>
      <c r="B249" t="str" cm="1">
        <f t="array" ref="B249">GetValue("Eng",A249,"Name")</f>
        <v>SQL Anywhere</v>
      </c>
      <c r="C249">
        <v>20</v>
      </c>
      <c r="D249" t="str" cm="1">
        <f t="array" ref="D249">GetValue("Typ",C249,"Name")</f>
        <v>nvarchar(n)</v>
      </c>
      <c r="E249" t="s">
        <v>480</v>
      </c>
    </row>
    <row r="250" spans="1:5" x14ac:dyDescent="0.3">
      <c r="A250">
        <v>7</v>
      </c>
      <c r="B250" t="str" cm="1">
        <f t="array" ref="B250">GetValue("Eng",A250,"Name")</f>
        <v>SQL Anywhere</v>
      </c>
      <c r="C250">
        <v>21</v>
      </c>
      <c r="D250" t="str" cm="1">
        <f t="array" ref="D250">GetValue("Typ",C250,"Name")</f>
        <v>nvarchar(max)</v>
      </c>
      <c r="E250" t="s">
        <v>531</v>
      </c>
    </row>
    <row r="251" spans="1:5" x14ac:dyDescent="0.3">
      <c r="A251">
        <v>7</v>
      </c>
      <c r="B251" t="str" cm="1">
        <f t="array" ref="B251">GetValue("Eng",A251,"Name")</f>
        <v>SQL Anywhere</v>
      </c>
      <c r="C251">
        <v>22</v>
      </c>
      <c r="D251" t="str" cm="1">
        <f t="array" ref="D251">GetValue("Typ",C251,"Name")</f>
        <v>real</v>
      </c>
      <c r="E251" t="s">
        <v>484</v>
      </c>
    </row>
    <row r="252" spans="1:5" x14ac:dyDescent="0.3">
      <c r="A252">
        <v>7</v>
      </c>
      <c r="B252" t="str" cm="1">
        <f t="array" ref="B252">GetValue("Eng",A252,"Name")</f>
        <v>SQL Anywhere</v>
      </c>
      <c r="C252">
        <v>23</v>
      </c>
      <c r="D252" t="str" cm="1">
        <f t="array" ref="D252">GetValue("Typ",C252,"Name")</f>
        <v>smalldatetime</v>
      </c>
      <c r="E252" t="s">
        <v>471</v>
      </c>
    </row>
    <row r="253" spans="1:5" x14ac:dyDescent="0.3">
      <c r="A253">
        <v>7</v>
      </c>
      <c r="B253" t="str" cm="1">
        <f t="array" ref="B253">GetValue("Eng",A253,"Name")</f>
        <v>SQL Anywhere</v>
      </c>
      <c r="C253">
        <v>24</v>
      </c>
      <c r="D253" t="str" cm="1">
        <f t="array" ref="D253">GetValue("Typ",C253,"Name")</f>
        <v>smallint</v>
      </c>
      <c r="E253" t="s">
        <v>468</v>
      </c>
    </row>
    <row r="254" spans="1:5" x14ac:dyDescent="0.3">
      <c r="A254">
        <v>7</v>
      </c>
      <c r="B254" t="str" cm="1">
        <f t="array" ref="B254">GetValue("Eng",A254,"Name")</f>
        <v>SQL Anywhere</v>
      </c>
      <c r="C254">
        <v>25</v>
      </c>
      <c r="D254" t="str" cm="1">
        <f t="array" ref="D254">GetValue("Typ",C254,"Name")</f>
        <v>smallmoney</v>
      </c>
      <c r="E254" t="s">
        <v>477</v>
      </c>
    </row>
    <row r="255" spans="1:5" x14ac:dyDescent="0.3">
      <c r="A255">
        <v>7</v>
      </c>
      <c r="B255" t="str" cm="1">
        <f t="array" ref="B255">GetValue("Eng",A255,"Name")</f>
        <v>SQL Anywhere</v>
      </c>
      <c r="C255">
        <v>26</v>
      </c>
      <c r="D255" t="str" cm="1">
        <f t="array" ref="D255">GetValue("Typ",C255,"Name")</f>
        <v>sql_variant</v>
      </c>
      <c r="E255" t="s">
        <v>531</v>
      </c>
    </row>
    <row r="256" spans="1:5" x14ac:dyDescent="0.3">
      <c r="A256">
        <v>7</v>
      </c>
      <c r="B256" t="str" cm="1">
        <f t="array" ref="B256">GetValue("Eng",A256,"Name")</f>
        <v>SQL Anywhere</v>
      </c>
      <c r="C256">
        <v>27</v>
      </c>
      <c r="D256" t="str" cm="1">
        <f t="array" ref="D256">GetValue("Typ",C256,"Name")</f>
        <v>sysname</v>
      </c>
      <c r="E256" t="s">
        <v>478</v>
      </c>
    </row>
    <row r="257" spans="1:5" x14ac:dyDescent="0.3">
      <c r="A257">
        <v>7</v>
      </c>
      <c r="B257" t="str" cm="1">
        <f t="array" ref="B257">GetValue("Eng",A257,"Name")</f>
        <v>SQL Anywhere</v>
      </c>
      <c r="C257">
        <v>28</v>
      </c>
      <c r="D257" t="str" cm="1">
        <f t="array" ref="D257">GetValue("Typ",C257,"Name")</f>
        <v>text</v>
      </c>
      <c r="E257" t="s">
        <v>531</v>
      </c>
    </row>
    <row r="258" spans="1:5" x14ac:dyDescent="0.3">
      <c r="A258">
        <v>7</v>
      </c>
      <c r="B258" t="str" cm="1">
        <f t="array" ref="B258">GetValue("Eng",A258,"Name")</f>
        <v>SQL Anywhere</v>
      </c>
      <c r="C258">
        <v>29</v>
      </c>
      <c r="D258" t="str" cm="1">
        <f t="array" ref="D258">GetValue("Typ",C258,"Name")</f>
        <v>time(s)</v>
      </c>
      <c r="E258" t="s">
        <v>479</v>
      </c>
    </row>
    <row r="259" spans="1:5" x14ac:dyDescent="0.3">
      <c r="A259">
        <v>7</v>
      </c>
      <c r="B259" t="str" cm="1">
        <f t="array" ref="B259">GetValue("Eng",A259,"Name")</f>
        <v>SQL Anywhere</v>
      </c>
      <c r="C259">
        <v>30</v>
      </c>
      <c r="D259" t="str" cm="1">
        <f t="array" ref="D259">GetValue("Typ",C259,"Name")</f>
        <v>timestamp</v>
      </c>
      <c r="E259" t="s">
        <v>471</v>
      </c>
    </row>
    <row r="260" spans="1:5" x14ac:dyDescent="0.3">
      <c r="A260">
        <v>7</v>
      </c>
      <c r="B260" t="str" cm="1">
        <f t="array" ref="B260">GetValue("Eng",A260,"Name")</f>
        <v>SQL Anywhere</v>
      </c>
      <c r="C260">
        <v>31</v>
      </c>
      <c r="D260" t="str" cm="1">
        <f t="array" ref="D260">GetValue("Typ",C260,"Name")</f>
        <v>tinyint</v>
      </c>
      <c r="E260" t="s">
        <v>468</v>
      </c>
    </row>
    <row r="261" spans="1:5" x14ac:dyDescent="0.3">
      <c r="A261">
        <v>7</v>
      </c>
      <c r="B261" t="str" cm="1">
        <f t="array" ref="B261">GetValue("Eng",A261,"Name")</f>
        <v>SQL Anywhere</v>
      </c>
      <c r="C261">
        <v>32</v>
      </c>
      <c r="D261" t="str" cm="1">
        <f t="array" ref="D261">GetValue("Typ",C261,"Name")</f>
        <v>uniqueidentifier</v>
      </c>
      <c r="E261" t="s">
        <v>528</v>
      </c>
    </row>
    <row r="262" spans="1:5" x14ac:dyDescent="0.3">
      <c r="A262">
        <v>7</v>
      </c>
      <c r="B262" t="str" cm="1">
        <f t="array" ref="B262">GetValue("Eng",A262,"Name")</f>
        <v>SQL Anywhere</v>
      </c>
      <c r="C262">
        <v>33</v>
      </c>
      <c r="D262" t="str" cm="1">
        <f t="array" ref="D262">GetValue("Typ",C262,"Name")</f>
        <v>varbinary(n)</v>
      </c>
      <c r="E262" t="s">
        <v>532</v>
      </c>
    </row>
    <row r="263" spans="1:5" x14ac:dyDescent="0.3">
      <c r="A263">
        <v>7</v>
      </c>
      <c r="B263" t="str" cm="1">
        <f t="array" ref="B263">GetValue("Eng",A263,"Name")</f>
        <v>SQL Anywhere</v>
      </c>
      <c r="C263">
        <v>34</v>
      </c>
      <c r="D263" t="str" cm="1">
        <f t="array" ref="D263">GetValue("Typ",C263,"Name")</f>
        <v>varbinary(max)</v>
      </c>
      <c r="E263" t="s">
        <v>529</v>
      </c>
    </row>
    <row r="264" spans="1:5" x14ac:dyDescent="0.3">
      <c r="A264">
        <v>7</v>
      </c>
      <c r="B264" t="str" cm="1">
        <f t="array" ref="B264">GetValue("Eng",A264,"Name")</f>
        <v>SQL Anywhere</v>
      </c>
      <c r="C264">
        <v>35</v>
      </c>
      <c r="D264" t="str" cm="1">
        <f t="array" ref="D264">GetValue("Typ",C264,"Name")</f>
        <v>varchar(n)</v>
      </c>
      <c r="E264" t="s">
        <v>480</v>
      </c>
    </row>
    <row r="265" spans="1:5" x14ac:dyDescent="0.3">
      <c r="A265">
        <v>7</v>
      </c>
      <c r="B265" t="str" cm="1">
        <f t="array" ref="B265">GetValue("Eng",A265,"Name")</f>
        <v>SQL Anywhere</v>
      </c>
      <c r="C265">
        <v>36</v>
      </c>
      <c r="D265" t="str" cm="1">
        <f t="array" ref="D265">GetValue("Typ",C265,"Name")</f>
        <v>varchar(max)</v>
      </c>
      <c r="E265" t="s">
        <v>531</v>
      </c>
    </row>
    <row r="266" spans="1:5" x14ac:dyDescent="0.3">
      <c r="A266">
        <v>7</v>
      </c>
      <c r="B266" t="str" cm="1">
        <f t="array" ref="B266">GetValue("Eng",A266,"Name")</f>
        <v>SQL Anywhere</v>
      </c>
      <c r="C266">
        <v>37</v>
      </c>
      <c r="D266" t="str" cm="1">
        <f t="array" ref="D266">GetValue("Typ",C266,"Name")</f>
        <v>xml</v>
      </c>
      <c r="E266" t="s">
        <v>531</v>
      </c>
    </row>
    <row r="267" spans="1:5" x14ac:dyDescent="0.3">
      <c r="A267">
        <v>7</v>
      </c>
      <c r="B267" t="str" cm="1">
        <f t="array" ref="B267">GetValue("Eng",A267,"Name")</f>
        <v>SQL Anywhere</v>
      </c>
      <c r="C267">
        <v>38</v>
      </c>
      <c r="D267" t="str" cm="1">
        <f t="array" ref="D267">GetValue("Typ",C267,"Name")</f>
        <v>json</v>
      </c>
      <c r="E267" t="s">
        <v>531</v>
      </c>
    </row>
    <row r="268" spans="1:5" x14ac:dyDescent="0.3">
      <c r="A268">
        <v>8</v>
      </c>
      <c r="B268" t="str" cm="1">
        <f t="array" ref="B268">GetValue("Eng",A268,"Name")</f>
        <v>Informix</v>
      </c>
      <c r="C268">
        <v>1</v>
      </c>
      <c r="D268" t="str" cm="1">
        <f t="array" ref="D268">GetValue("Typ",C268,"Name")</f>
        <v>bigint</v>
      </c>
      <c r="E268" t="s">
        <v>533</v>
      </c>
    </row>
    <row r="269" spans="1:5" x14ac:dyDescent="0.3">
      <c r="A269">
        <v>8</v>
      </c>
      <c r="B269" t="str" cm="1">
        <f t="array" ref="B269">GetValue("Eng",A269,"Name")</f>
        <v>Informix</v>
      </c>
      <c r="C269">
        <v>2</v>
      </c>
      <c r="D269" t="str" cm="1">
        <f t="array" ref="D269">GetValue("Typ",C269,"Name")</f>
        <v>binary</v>
      </c>
      <c r="E269" t="s">
        <v>534</v>
      </c>
    </row>
    <row r="270" spans="1:5" x14ac:dyDescent="0.3">
      <c r="A270">
        <v>8</v>
      </c>
      <c r="B270" t="str" cm="1">
        <f t="array" ref="B270">GetValue("Eng",A270,"Name")</f>
        <v>Informix</v>
      </c>
      <c r="C270">
        <v>3</v>
      </c>
      <c r="D270" t="str" cm="1">
        <f t="array" ref="D270">GetValue("Typ",C270,"Name")</f>
        <v xml:space="preserve">bit </v>
      </c>
      <c r="E270" t="s">
        <v>485</v>
      </c>
    </row>
    <row r="271" spans="1:5" x14ac:dyDescent="0.3">
      <c r="A271">
        <v>8</v>
      </c>
      <c r="B271" t="str" cm="1">
        <f t="array" ref="B271">GetValue("Eng",A271,"Name")</f>
        <v>Informix</v>
      </c>
      <c r="C271">
        <v>4</v>
      </c>
      <c r="D271" t="str" cm="1">
        <f t="array" ref="D271">GetValue("Typ",C271,"Name")</f>
        <v>char(n)</v>
      </c>
      <c r="E271" t="s">
        <v>469</v>
      </c>
    </row>
    <row r="272" spans="1:5" x14ac:dyDescent="0.3">
      <c r="A272">
        <v>8</v>
      </c>
      <c r="B272" t="str" cm="1">
        <f t="array" ref="B272">GetValue("Eng",A272,"Name")</f>
        <v>Informix</v>
      </c>
      <c r="C272">
        <v>5</v>
      </c>
      <c r="D272" t="str" cm="1">
        <f t="array" ref="D272">GetValue("Typ",C272,"Name")</f>
        <v>date</v>
      </c>
      <c r="E272" t="s">
        <v>470</v>
      </c>
    </row>
    <row r="273" spans="1:5" x14ac:dyDescent="0.3">
      <c r="A273">
        <v>8</v>
      </c>
      <c r="B273" t="str" cm="1">
        <f t="array" ref="B273">GetValue("Eng",A273,"Name")</f>
        <v>Informix</v>
      </c>
      <c r="C273">
        <v>6</v>
      </c>
      <c r="D273" t="str" cm="1">
        <f t="array" ref="D273">GetValue("Typ",C273,"Name")</f>
        <v>datetime</v>
      </c>
      <c r="E273" t="s">
        <v>535</v>
      </c>
    </row>
    <row r="274" spans="1:5" x14ac:dyDescent="0.3">
      <c r="A274">
        <v>8</v>
      </c>
      <c r="B274" t="str" cm="1">
        <f t="array" ref="B274">GetValue("Eng",A274,"Name")</f>
        <v>Informix</v>
      </c>
      <c r="C274">
        <v>7</v>
      </c>
      <c r="D274" t="str" cm="1">
        <f t="array" ref="D274">GetValue("Typ",C274,"Name")</f>
        <v>datetime2(s)</v>
      </c>
      <c r="E274" t="s">
        <v>536</v>
      </c>
    </row>
    <row r="275" spans="1:5" x14ac:dyDescent="0.3">
      <c r="A275">
        <v>8</v>
      </c>
      <c r="B275" t="str" cm="1">
        <f t="array" ref="B275">GetValue("Eng",A275,"Name")</f>
        <v>Informix</v>
      </c>
      <c r="C275">
        <v>8</v>
      </c>
      <c r="D275" t="str" cm="1">
        <f t="array" ref="D275">GetValue("Typ",C275,"Name")</f>
        <v>datetimeoffset(s)</v>
      </c>
      <c r="E275" t="s">
        <v>537</v>
      </c>
    </row>
    <row r="276" spans="1:5" x14ac:dyDescent="0.3">
      <c r="A276">
        <v>8</v>
      </c>
      <c r="B276" t="str" cm="1">
        <f t="array" ref="B276">GetValue("Eng",A276,"Name")</f>
        <v>Informix</v>
      </c>
      <c r="C276">
        <v>9</v>
      </c>
      <c r="D276" t="str" cm="1">
        <f t="array" ref="D276">GetValue("Typ",C276,"Name")</f>
        <v>decimal(p ,s)</v>
      </c>
      <c r="E276" t="s">
        <v>518</v>
      </c>
    </row>
    <row r="277" spans="1:5" x14ac:dyDescent="0.3">
      <c r="A277">
        <v>8</v>
      </c>
      <c r="B277" t="str" cm="1">
        <f t="array" ref="B277">GetValue("Eng",A277,"Name")</f>
        <v>Informix</v>
      </c>
      <c r="C277">
        <v>10</v>
      </c>
      <c r="D277" t="str" cm="1">
        <f t="array" ref="D277">GetValue("Typ",C277,"Name")</f>
        <v>float(n)</v>
      </c>
      <c r="E277" t="s">
        <v>484</v>
      </c>
    </row>
    <row r="278" spans="1:5" x14ac:dyDescent="0.3">
      <c r="A278">
        <v>8</v>
      </c>
      <c r="B278" t="str" cm="1">
        <f t="array" ref="B278">GetValue("Eng",A278,"Name")</f>
        <v>Informix</v>
      </c>
      <c r="C278">
        <v>11</v>
      </c>
      <c r="D278" t="str" cm="1">
        <f t="array" ref="D278">GetValue("Typ",C278,"Name")</f>
        <v>geography</v>
      </c>
    </row>
    <row r="279" spans="1:5" x14ac:dyDescent="0.3">
      <c r="A279">
        <v>8</v>
      </c>
      <c r="B279" t="str" cm="1">
        <f t="array" ref="B279">GetValue("Eng",A279,"Name")</f>
        <v>Informix</v>
      </c>
      <c r="C279">
        <v>12</v>
      </c>
      <c r="D279" t="str" cm="1">
        <f t="array" ref="D279">GetValue("Typ",C279,"Name")</f>
        <v>geometry</v>
      </c>
    </row>
    <row r="280" spans="1:5" x14ac:dyDescent="0.3">
      <c r="A280">
        <v>8</v>
      </c>
      <c r="B280" t="str" cm="1">
        <f t="array" ref="B280">GetValue("Eng",A280,"Name")</f>
        <v>Informix</v>
      </c>
      <c r="C280">
        <v>13</v>
      </c>
      <c r="D280" t="str" cm="1">
        <f t="array" ref="D280">GetValue("Typ",C280,"Name")</f>
        <v>hierarchyid</v>
      </c>
    </row>
    <row r="281" spans="1:5" x14ac:dyDescent="0.3">
      <c r="A281">
        <v>8</v>
      </c>
      <c r="B281" t="str" cm="1">
        <f t="array" ref="B281">GetValue("Eng",A281,"Name")</f>
        <v>Informix</v>
      </c>
      <c r="C281">
        <v>14</v>
      </c>
      <c r="D281" t="str" cm="1">
        <f t="array" ref="D281">GetValue("Typ",C281,"Name")</f>
        <v>image</v>
      </c>
      <c r="E281" t="s">
        <v>534</v>
      </c>
    </row>
    <row r="282" spans="1:5" x14ac:dyDescent="0.3">
      <c r="A282">
        <v>8</v>
      </c>
      <c r="B282" t="str" cm="1">
        <f t="array" ref="B282">GetValue("Eng",A282,"Name")</f>
        <v>Informix</v>
      </c>
      <c r="C282">
        <v>15</v>
      </c>
      <c r="D282" t="str" cm="1">
        <f t="array" ref="D282">GetValue("Typ",C282,"Name")</f>
        <v>int (4 bytes)</v>
      </c>
      <c r="E282" t="s">
        <v>474</v>
      </c>
    </row>
    <row r="283" spans="1:5" x14ac:dyDescent="0.3">
      <c r="A283">
        <v>8</v>
      </c>
      <c r="B283" t="str" cm="1">
        <f t="array" ref="B283">GetValue("Eng",A283,"Name")</f>
        <v>Informix</v>
      </c>
      <c r="C283">
        <v>16</v>
      </c>
      <c r="D283" t="str" cm="1">
        <f t="array" ref="D283">GetValue("Typ",C283,"Name")</f>
        <v>money(p, s)</v>
      </c>
      <c r="E283" t="s">
        <v>475</v>
      </c>
    </row>
    <row r="284" spans="1:5" x14ac:dyDescent="0.3">
      <c r="A284">
        <v>8</v>
      </c>
      <c r="B284" t="str" cm="1">
        <f t="array" ref="B284">GetValue("Eng",A284,"Name")</f>
        <v>Informix</v>
      </c>
      <c r="C284">
        <v>17</v>
      </c>
      <c r="D284" t="str" cm="1">
        <f t="array" ref="D284">GetValue("Typ",C284,"Name")</f>
        <v>nchar(n)</v>
      </c>
      <c r="E284" t="s">
        <v>486</v>
      </c>
    </row>
    <row r="285" spans="1:5" x14ac:dyDescent="0.3">
      <c r="A285">
        <v>8</v>
      </c>
      <c r="B285" t="str" cm="1">
        <f t="array" ref="B285">GetValue("Eng",A285,"Name")</f>
        <v>Informix</v>
      </c>
      <c r="C285">
        <v>18</v>
      </c>
      <c r="D285" t="str" cm="1">
        <f t="array" ref="D285">GetValue("Typ",C285,"Name")</f>
        <v>ntext</v>
      </c>
      <c r="E285" t="s">
        <v>487</v>
      </c>
    </row>
    <row r="286" spans="1:5" x14ac:dyDescent="0.3">
      <c r="A286">
        <v>8</v>
      </c>
      <c r="B286" t="str" cm="1">
        <f t="array" ref="B286">GetValue("Eng",A286,"Name")</f>
        <v>Informix</v>
      </c>
      <c r="C286">
        <v>19</v>
      </c>
      <c r="D286" t="str" cm="1">
        <f t="array" ref="D286">GetValue("Typ",C286,"Name")</f>
        <v>numeric(p,s)</v>
      </c>
      <c r="E286" t="s">
        <v>518</v>
      </c>
    </row>
    <row r="287" spans="1:5" x14ac:dyDescent="0.3">
      <c r="A287">
        <v>8</v>
      </c>
      <c r="B287" t="str" cm="1">
        <f t="array" ref="B287">GetValue("Eng",A287,"Name")</f>
        <v>Informix</v>
      </c>
      <c r="C287">
        <v>20</v>
      </c>
      <c r="D287" t="str" cm="1">
        <f t="array" ref="D287">GetValue("Typ",C287,"Name")</f>
        <v>nvarchar(n)</v>
      </c>
      <c r="E287" t="s">
        <v>488</v>
      </c>
    </row>
    <row r="288" spans="1:5" x14ac:dyDescent="0.3">
      <c r="A288">
        <v>8</v>
      </c>
      <c r="B288" t="str" cm="1">
        <f t="array" ref="B288">GetValue("Eng",A288,"Name")</f>
        <v>Informix</v>
      </c>
      <c r="C288">
        <v>21</v>
      </c>
      <c r="D288" t="str" cm="1">
        <f t="array" ref="D288">GetValue("Typ",C288,"Name")</f>
        <v>nvarchar(max)</v>
      </c>
      <c r="E288" t="s">
        <v>487</v>
      </c>
    </row>
    <row r="289" spans="1:5" x14ac:dyDescent="0.3">
      <c r="A289">
        <v>8</v>
      </c>
      <c r="B289" t="str" cm="1">
        <f t="array" ref="B289">GetValue("Eng",A289,"Name")</f>
        <v>Informix</v>
      </c>
      <c r="C289">
        <v>22</v>
      </c>
      <c r="D289" t="str" cm="1">
        <f t="array" ref="D289">GetValue("Typ",C289,"Name")</f>
        <v>real</v>
      </c>
      <c r="E289" t="s">
        <v>484</v>
      </c>
    </row>
    <row r="290" spans="1:5" x14ac:dyDescent="0.3">
      <c r="A290">
        <v>8</v>
      </c>
      <c r="B290" t="str" cm="1">
        <f t="array" ref="B290">GetValue("Eng",A290,"Name")</f>
        <v>Informix</v>
      </c>
      <c r="C290">
        <v>23</v>
      </c>
      <c r="D290" t="str" cm="1">
        <f t="array" ref="D290">GetValue("Typ",C290,"Name")</f>
        <v>smalldatetime</v>
      </c>
      <c r="E290" t="s">
        <v>535</v>
      </c>
    </row>
    <row r="291" spans="1:5" x14ac:dyDescent="0.3">
      <c r="A291">
        <v>8</v>
      </c>
      <c r="B291" t="str" cm="1">
        <f t="array" ref="B291">GetValue("Eng",A291,"Name")</f>
        <v>Informix</v>
      </c>
      <c r="C291">
        <v>24</v>
      </c>
      <c r="D291" t="str" cm="1">
        <f t="array" ref="D291">GetValue("Typ",C291,"Name")</f>
        <v>smallint</v>
      </c>
      <c r="E291" t="s">
        <v>468</v>
      </c>
    </row>
    <row r="292" spans="1:5" x14ac:dyDescent="0.3">
      <c r="A292">
        <v>8</v>
      </c>
      <c r="B292" t="str" cm="1">
        <f t="array" ref="B292">GetValue("Eng",A292,"Name")</f>
        <v>Informix</v>
      </c>
      <c r="C292">
        <v>25</v>
      </c>
      <c r="D292" t="str" cm="1">
        <f t="array" ref="D292">GetValue("Typ",C292,"Name")</f>
        <v>smallmoney</v>
      </c>
      <c r="E292" t="s">
        <v>477</v>
      </c>
    </row>
    <row r="293" spans="1:5" x14ac:dyDescent="0.3">
      <c r="A293">
        <v>8</v>
      </c>
      <c r="B293" t="str" cm="1">
        <f t="array" ref="B293">GetValue("Eng",A293,"Name")</f>
        <v>Informix</v>
      </c>
      <c r="C293">
        <v>26</v>
      </c>
      <c r="D293" t="str" cm="1">
        <f t="array" ref="D293">GetValue("Typ",C293,"Name")</f>
        <v>sql_variant</v>
      </c>
      <c r="E293" t="s">
        <v>538</v>
      </c>
    </row>
    <row r="294" spans="1:5" x14ac:dyDescent="0.3">
      <c r="A294">
        <v>8</v>
      </c>
      <c r="B294" t="str" cm="1">
        <f t="array" ref="B294">GetValue("Eng",A294,"Name")</f>
        <v>Informix</v>
      </c>
      <c r="C294">
        <v>27</v>
      </c>
      <c r="D294" t="str" cm="1">
        <f t="array" ref="D294">GetValue("Typ",C294,"Name")</f>
        <v>sysname</v>
      </c>
      <c r="E294" t="s">
        <v>539</v>
      </c>
    </row>
    <row r="295" spans="1:5" x14ac:dyDescent="0.3">
      <c r="A295">
        <v>8</v>
      </c>
      <c r="B295" t="str" cm="1">
        <f t="array" ref="B295">GetValue("Eng",A295,"Name")</f>
        <v>Informix</v>
      </c>
      <c r="C295">
        <v>28</v>
      </c>
      <c r="D295" t="str" cm="1">
        <f t="array" ref="D295">GetValue("Typ",C295,"Name")</f>
        <v>text</v>
      </c>
      <c r="E295" t="s">
        <v>487</v>
      </c>
    </row>
    <row r="296" spans="1:5" x14ac:dyDescent="0.3">
      <c r="A296">
        <v>8</v>
      </c>
      <c r="B296" t="str" cm="1">
        <f t="array" ref="B296">GetValue("Eng",A296,"Name")</f>
        <v>Informix</v>
      </c>
      <c r="C296">
        <v>29</v>
      </c>
      <c r="D296" t="str" cm="1">
        <f t="array" ref="D296">GetValue("Typ",C296,"Name")</f>
        <v>time(s)</v>
      </c>
      <c r="E296" t="s">
        <v>540</v>
      </c>
    </row>
    <row r="297" spans="1:5" x14ac:dyDescent="0.3">
      <c r="A297">
        <v>8</v>
      </c>
      <c r="B297" t="str" cm="1">
        <f t="array" ref="B297">GetValue("Eng",A297,"Name")</f>
        <v>Informix</v>
      </c>
      <c r="C297">
        <v>30</v>
      </c>
      <c r="D297" t="str" cm="1">
        <f t="array" ref="D297">GetValue("Typ",C297,"Name")</f>
        <v>timestamp</v>
      </c>
      <c r="E297" t="s">
        <v>541</v>
      </c>
    </row>
    <row r="298" spans="1:5" x14ac:dyDescent="0.3">
      <c r="A298">
        <v>8</v>
      </c>
      <c r="B298" t="str" cm="1">
        <f t="array" ref="B298">GetValue("Eng",A298,"Name")</f>
        <v>Informix</v>
      </c>
      <c r="C298">
        <v>31</v>
      </c>
      <c r="D298" t="str" cm="1">
        <f t="array" ref="D298">GetValue("Typ",C298,"Name")</f>
        <v>tinyint</v>
      </c>
      <c r="E298" t="s">
        <v>468</v>
      </c>
    </row>
    <row r="299" spans="1:5" x14ac:dyDescent="0.3">
      <c r="A299">
        <v>8</v>
      </c>
      <c r="B299" t="str" cm="1">
        <f t="array" ref="B299">GetValue("Eng",A299,"Name")</f>
        <v>Informix</v>
      </c>
      <c r="C299">
        <v>32</v>
      </c>
      <c r="D299" t="str" cm="1">
        <f t="array" ref="D299">GetValue("Typ",C299,"Name")</f>
        <v>uniqueidentifier</v>
      </c>
      <c r="E299" t="s">
        <v>489</v>
      </c>
    </row>
    <row r="300" spans="1:5" x14ac:dyDescent="0.3">
      <c r="A300">
        <v>8</v>
      </c>
      <c r="B300" t="str" cm="1">
        <f t="array" ref="B300">GetValue("Eng",A300,"Name")</f>
        <v>Informix</v>
      </c>
      <c r="C300">
        <v>33</v>
      </c>
      <c r="D300" t="str" cm="1">
        <f t="array" ref="D300">GetValue("Typ",C300,"Name")</f>
        <v>varbinary(n)</v>
      </c>
      <c r="E300" t="s">
        <v>534</v>
      </c>
    </row>
    <row r="301" spans="1:5" x14ac:dyDescent="0.3">
      <c r="A301">
        <v>8</v>
      </c>
      <c r="B301" t="str" cm="1">
        <f t="array" ref="B301">GetValue("Eng",A301,"Name")</f>
        <v>Informix</v>
      </c>
      <c r="C301">
        <v>34</v>
      </c>
      <c r="D301" t="str" cm="1">
        <f t="array" ref="D301">GetValue("Typ",C301,"Name")</f>
        <v>varbinary(max)</v>
      </c>
      <c r="E301" t="s">
        <v>534</v>
      </c>
    </row>
    <row r="302" spans="1:5" x14ac:dyDescent="0.3">
      <c r="A302">
        <v>8</v>
      </c>
      <c r="B302" t="str" cm="1">
        <f t="array" ref="B302">GetValue("Eng",A302,"Name")</f>
        <v>Informix</v>
      </c>
      <c r="C302">
        <v>35</v>
      </c>
      <c r="D302" t="str" cm="1">
        <f t="array" ref="D302">GetValue("Typ",C302,"Name")</f>
        <v>varchar(n)</v>
      </c>
      <c r="E302" t="s">
        <v>480</v>
      </c>
    </row>
    <row r="303" spans="1:5" x14ac:dyDescent="0.3">
      <c r="A303">
        <v>8</v>
      </c>
      <c r="B303" t="str" cm="1">
        <f t="array" ref="B303">GetValue("Eng",A303,"Name")</f>
        <v>Informix</v>
      </c>
      <c r="C303">
        <v>36</v>
      </c>
      <c r="D303" t="str" cm="1">
        <f t="array" ref="D303">GetValue("Typ",C303,"Name")</f>
        <v>varchar(max)</v>
      </c>
      <c r="E303" t="s">
        <v>487</v>
      </c>
    </row>
    <row r="304" spans="1:5" x14ac:dyDescent="0.3">
      <c r="A304">
        <v>8</v>
      </c>
      <c r="B304" t="str" cm="1">
        <f t="array" ref="B304">GetValue("Eng",A304,"Name")</f>
        <v>Informix</v>
      </c>
      <c r="C304">
        <v>37</v>
      </c>
      <c r="D304" t="str" cm="1">
        <f t="array" ref="D304">GetValue("Typ",C304,"Name")</f>
        <v>xml</v>
      </c>
      <c r="E304" t="s">
        <v>542</v>
      </c>
    </row>
    <row r="305" spans="1:5" x14ac:dyDescent="0.3">
      <c r="A305">
        <v>8</v>
      </c>
      <c r="B305" t="str" cm="1">
        <f t="array" ref="B305">GetValue("Eng",A305,"Name")</f>
        <v>Informix</v>
      </c>
      <c r="C305">
        <v>38</v>
      </c>
      <c r="D305" t="str" cm="1">
        <f t="array" ref="D305">GetValue("Typ",C305,"Name")</f>
        <v>json</v>
      </c>
      <c r="E305" t="s">
        <v>72</v>
      </c>
    </row>
    <row r="306" spans="1:5" x14ac:dyDescent="0.3">
      <c r="A306">
        <v>9</v>
      </c>
      <c r="B306" t="str" cm="1">
        <f t="array" ref="B306">GetValue("Eng",A306,"Name")</f>
        <v>Oracle</v>
      </c>
      <c r="C306">
        <v>1</v>
      </c>
      <c r="D306" t="str" cm="1">
        <f t="array" ref="D306">GetValue("Typ",C306,"Name")</f>
        <v>bigint</v>
      </c>
      <c r="E306" t="s">
        <v>543</v>
      </c>
    </row>
    <row r="307" spans="1:5" x14ac:dyDescent="0.3">
      <c r="A307">
        <v>9</v>
      </c>
      <c r="B307" t="str" cm="1">
        <f t="array" ref="B307">GetValue("Eng",A307,"Name")</f>
        <v>Oracle</v>
      </c>
      <c r="C307">
        <v>2</v>
      </c>
      <c r="D307" t="str" cm="1">
        <f t="array" ref="D307">GetValue("Typ",C307,"Name")</f>
        <v>binary</v>
      </c>
      <c r="E307" t="s">
        <v>544</v>
      </c>
    </row>
    <row r="308" spans="1:5" x14ac:dyDescent="0.3">
      <c r="A308">
        <v>9</v>
      </c>
      <c r="B308" t="str" cm="1">
        <f t="array" ref="B308">GetValue("Eng",A308,"Name")</f>
        <v>Oracle</v>
      </c>
      <c r="C308">
        <v>3</v>
      </c>
      <c r="D308" t="str" cm="1">
        <f t="array" ref="D308">GetValue("Typ",C308,"Name")</f>
        <v xml:space="preserve">bit </v>
      </c>
      <c r="E308" t="s">
        <v>545</v>
      </c>
    </row>
    <row r="309" spans="1:5" x14ac:dyDescent="0.3">
      <c r="A309">
        <v>9</v>
      </c>
      <c r="B309" t="str" cm="1">
        <f t="array" ref="B309">GetValue("Eng",A309,"Name")</f>
        <v>Oracle</v>
      </c>
      <c r="C309">
        <v>4</v>
      </c>
      <c r="D309" t="str" cm="1">
        <f t="array" ref="D309">GetValue("Typ",C309,"Name")</f>
        <v>char(n)</v>
      </c>
      <c r="E309" t="s">
        <v>469</v>
      </c>
    </row>
    <row r="310" spans="1:5" x14ac:dyDescent="0.3">
      <c r="A310">
        <v>9</v>
      </c>
      <c r="B310" t="str" cm="1">
        <f t="array" ref="B310">GetValue("Eng",A310,"Name")</f>
        <v>Oracle</v>
      </c>
      <c r="C310">
        <v>5</v>
      </c>
      <c r="D310" t="str" cm="1">
        <f t="array" ref="D310">GetValue("Typ",C310,"Name")</f>
        <v>date</v>
      </c>
      <c r="E310" t="s">
        <v>470</v>
      </c>
    </row>
    <row r="311" spans="1:5" x14ac:dyDescent="0.3">
      <c r="A311">
        <v>9</v>
      </c>
      <c r="B311" t="str" cm="1">
        <f t="array" ref="B311">GetValue("Eng",A311,"Name")</f>
        <v>Oracle</v>
      </c>
      <c r="C311">
        <v>6</v>
      </c>
      <c r="D311" t="str" cm="1">
        <f t="array" ref="D311">GetValue("Typ",C311,"Name")</f>
        <v>datetime</v>
      </c>
      <c r="E311" t="s">
        <v>470</v>
      </c>
    </row>
    <row r="312" spans="1:5" x14ac:dyDescent="0.3">
      <c r="A312">
        <v>9</v>
      </c>
      <c r="B312" t="str" cm="1">
        <f t="array" ref="B312">GetValue("Eng",A312,"Name")</f>
        <v>Oracle</v>
      </c>
      <c r="C312">
        <v>7</v>
      </c>
      <c r="D312" t="str" cm="1">
        <f t="array" ref="D312">GetValue("Typ",C312,"Name")</f>
        <v>datetime2(s)</v>
      </c>
      <c r="E312" t="s">
        <v>500</v>
      </c>
    </row>
    <row r="313" spans="1:5" x14ac:dyDescent="0.3">
      <c r="A313">
        <v>9</v>
      </c>
      <c r="B313" t="str" cm="1">
        <f t="array" ref="B313">GetValue("Eng",A313,"Name")</f>
        <v>Oracle</v>
      </c>
      <c r="C313">
        <v>8</v>
      </c>
      <c r="D313" t="str" cm="1">
        <f t="array" ref="D313">GetValue("Typ",C313,"Name")</f>
        <v>datetimeoffset(s)</v>
      </c>
      <c r="E313" t="s">
        <v>472</v>
      </c>
    </row>
    <row r="314" spans="1:5" x14ac:dyDescent="0.3">
      <c r="A314">
        <v>9</v>
      </c>
      <c r="B314" t="str" cm="1">
        <f t="array" ref="B314">GetValue("Eng",A314,"Name")</f>
        <v>Oracle</v>
      </c>
      <c r="C314">
        <v>9</v>
      </c>
      <c r="D314" t="str" cm="1">
        <f t="array" ref="D314">GetValue("Typ",C314,"Name")</f>
        <v>decimal(p ,s)</v>
      </c>
      <c r="E314" t="s">
        <v>546</v>
      </c>
    </row>
    <row r="315" spans="1:5" x14ac:dyDescent="0.3">
      <c r="A315">
        <v>9</v>
      </c>
      <c r="B315" t="str" cm="1">
        <f t="array" ref="B315">GetValue("Eng",A315,"Name")</f>
        <v>Oracle</v>
      </c>
      <c r="C315">
        <v>10</v>
      </c>
      <c r="D315" t="str" cm="1">
        <f t="array" ref="D315">GetValue("Typ",C315,"Name")</f>
        <v>float(n)</v>
      </c>
      <c r="E315" t="s">
        <v>547</v>
      </c>
    </row>
    <row r="316" spans="1:5" x14ac:dyDescent="0.3">
      <c r="A316">
        <v>9</v>
      </c>
      <c r="B316" t="str" cm="1">
        <f t="array" ref="B316">GetValue("Eng",A316,"Name")</f>
        <v>Oracle</v>
      </c>
      <c r="C316">
        <v>11</v>
      </c>
      <c r="D316" t="str" cm="1">
        <f t="array" ref="D316">GetValue("Typ",C316,"Name")</f>
        <v>geography</v>
      </c>
      <c r="E316" t="s">
        <v>548</v>
      </c>
    </row>
    <row r="317" spans="1:5" x14ac:dyDescent="0.3">
      <c r="A317">
        <v>9</v>
      </c>
      <c r="B317" t="str" cm="1">
        <f t="array" ref="B317">GetValue("Eng",A317,"Name")</f>
        <v>Oracle</v>
      </c>
      <c r="C317">
        <v>12</v>
      </c>
      <c r="D317" t="str" cm="1">
        <f t="array" ref="D317">GetValue("Typ",C317,"Name")</f>
        <v>geometry</v>
      </c>
      <c r="E317" t="s">
        <v>548</v>
      </c>
    </row>
    <row r="318" spans="1:5" x14ac:dyDescent="0.3">
      <c r="A318">
        <v>9</v>
      </c>
      <c r="B318" t="str" cm="1">
        <f t="array" ref="B318">GetValue("Eng",A318,"Name")</f>
        <v>Oracle</v>
      </c>
      <c r="C318">
        <v>13</v>
      </c>
      <c r="D318" t="str" cm="1">
        <f t="array" ref="D318">GetValue("Typ",C318,"Name")</f>
        <v>hierarchyid</v>
      </c>
    </row>
    <row r="319" spans="1:5" x14ac:dyDescent="0.3">
      <c r="A319">
        <v>9</v>
      </c>
      <c r="B319" t="str" cm="1">
        <f t="array" ref="B319">GetValue("Eng",A319,"Name")</f>
        <v>Oracle</v>
      </c>
      <c r="C319">
        <v>14</v>
      </c>
      <c r="D319" t="str" cm="1">
        <f t="array" ref="D319">GetValue("Typ",C319,"Name")</f>
        <v>image</v>
      </c>
      <c r="E319" t="s">
        <v>529</v>
      </c>
    </row>
    <row r="320" spans="1:5" x14ac:dyDescent="0.3">
      <c r="A320">
        <v>9</v>
      </c>
      <c r="B320" t="str" cm="1">
        <f t="array" ref="B320">GetValue("Eng",A320,"Name")</f>
        <v>Oracle</v>
      </c>
      <c r="C320">
        <v>15</v>
      </c>
      <c r="D320" t="str" cm="1">
        <f t="array" ref="D320">GetValue("Typ",C320,"Name")</f>
        <v>int (4 bytes)</v>
      </c>
      <c r="E320" t="s">
        <v>549</v>
      </c>
    </row>
    <row r="321" spans="1:5" x14ac:dyDescent="0.3">
      <c r="A321">
        <v>9</v>
      </c>
      <c r="B321" t="str" cm="1">
        <f t="array" ref="B321">GetValue("Eng",A321,"Name")</f>
        <v>Oracle</v>
      </c>
      <c r="C321">
        <v>16</v>
      </c>
      <c r="D321" t="str" cm="1">
        <f t="array" ref="D321">GetValue("Typ",C321,"Name")</f>
        <v>money(p, s)</v>
      </c>
      <c r="E321" t="s">
        <v>550</v>
      </c>
    </row>
    <row r="322" spans="1:5" x14ac:dyDescent="0.3">
      <c r="A322">
        <v>9</v>
      </c>
      <c r="B322" t="str" cm="1">
        <f t="array" ref="B322">GetValue("Eng",A322,"Name")</f>
        <v>Oracle</v>
      </c>
      <c r="C322">
        <v>17</v>
      </c>
      <c r="D322" t="str" cm="1">
        <f t="array" ref="D322">GetValue("Typ",C322,"Name")</f>
        <v>nchar(n)</v>
      </c>
      <c r="E322" t="s">
        <v>486</v>
      </c>
    </row>
    <row r="323" spans="1:5" x14ac:dyDescent="0.3">
      <c r="A323">
        <v>9</v>
      </c>
      <c r="B323" t="str" cm="1">
        <f t="array" ref="B323">GetValue("Eng",A323,"Name")</f>
        <v>Oracle</v>
      </c>
      <c r="C323">
        <v>18</v>
      </c>
      <c r="D323" t="str" cm="1">
        <f t="array" ref="D323">GetValue("Typ",C323,"Name")</f>
        <v>ntext</v>
      </c>
      <c r="E323" t="s">
        <v>542</v>
      </c>
    </row>
    <row r="324" spans="1:5" x14ac:dyDescent="0.3">
      <c r="A324">
        <v>9</v>
      </c>
      <c r="B324" t="str" cm="1">
        <f t="array" ref="B324">GetValue("Eng",A324,"Name")</f>
        <v>Oracle</v>
      </c>
      <c r="C324">
        <v>19</v>
      </c>
      <c r="D324" t="str" cm="1">
        <f t="array" ref="D324">GetValue("Typ",C324,"Name")</f>
        <v>numeric(p,s)</v>
      </c>
      <c r="E324" t="s">
        <v>546</v>
      </c>
    </row>
    <row r="325" spans="1:5" x14ac:dyDescent="0.3">
      <c r="A325">
        <v>9</v>
      </c>
      <c r="B325" t="str" cm="1">
        <f t="array" ref="B325">GetValue("Eng",A325,"Name")</f>
        <v>Oracle</v>
      </c>
      <c r="C325">
        <v>20</v>
      </c>
      <c r="D325" t="str" cm="1">
        <f t="array" ref="D325">GetValue("Typ",C325,"Name")</f>
        <v>nvarchar(n)</v>
      </c>
      <c r="E325" t="s">
        <v>551</v>
      </c>
    </row>
    <row r="326" spans="1:5" x14ac:dyDescent="0.3">
      <c r="A326">
        <v>9</v>
      </c>
      <c r="B326" t="str" cm="1">
        <f t="array" ref="B326">GetValue("Eng",A326,"Name")</f>
        <v>Oracle</v>
      </c>
      <c r="C326">
        <v>21</v>
      </c>
      <c r="D326" t="str" cm="1">
        <f t="array" ref="D326">GetValue("Typ",C326,"Name")</f>
        <v>nvarchar(max)</v>
      </c>
      <c r="E326" t="s">
        <v>542</v>
      </c>
    </row>
    <row r="327" spans="1:5" x14ac:dyDescent="0.3">
      <c r="A327">
        <v>9</v>
      </c>
      <c r="B327" t="str" cm="1">
        <f t="array" ref="B327">GetValue("Eng",A327,"Name")</f>
        <v>Oracle</v>
      </c>
      <c r="C327">
        <v>22</v>
      </c>
      <c r="D327" t="str" cm="1">
        <f t="array" ref="D327">GetValue("Typ",C327,"Name")</f>
        <v>real</v>
      </c>
      <c r="E327" t="s">
        <v>552</v>
      </c>
    </row>
    <row r="328" spans="1:5" x14ac:dyDescent="0.3">
      <c r="A328">
        <v>9</v>
      </c>
      <c r="B328" t="str" cm="1">
        <f t="array" ref="B328">GetValue("Eng",A328,"Name")</f>
        <v>Oracle</v>
      </c>
      <c r="C328">
        <v>23</v>
      </c>
      <c r="D328" t="str" cm="1">
        <f t="array" ref="D328">GetValue("Typ",C328,"Name")</f>
        <v>smalldatetime</v>
      </c>
      <c r="E328" t="s">
        <v>470</v>
      </c>
    </row>
    <row r="329" spans="1:5" x14ac:dyDescent="0.3">
      <c r="A329">
        <v>9</v>
      </c>
      <c r="B329" t="str" cm="1">
        <f t="array" ref="B329">GetValue("Eng",A329,"Name")</f>
        <v>Oracle</v>
      </c>
      <c r="C329">
        <v>24</v>
      </c>
      <c r="D329" t="str" cm="1">
        <f t="array" ref="D329">GetValue("Typ",C329,"Name")</f>
        <v>smallint</v>
      </c>
      <c r="E329" t="s">
        <v>553</v>
      </c>
    </row>
    <row r="330" spans="1:5" x14ac:dyDescent="0.3">
      <c r="A330">
        <v>9</v>
      </c>
      <c r="B330" t="str" cm="1">
        <f t="array" ref="B330">GetValue("Eng",A330,"Name")</f>
        <v>Oracle</v>
      </c>
      <c r="C330">
        <v>25</v>
      </c>
      <c r="D330" t="str" cm="1">
        <f t="array" ref="D330">GetValue("Typ",C330,"Name")</f>
        <v>smallmoney</v>
      </c>
      <c r="E330" t="s">
        <v>554</v>
      </c>
    </row>
    <row r="331" spans="1:5" x14ac:dyDescent="0.3">
      <c r="A331">
        <v>9</v>
      </c>
      <c r="B331" t="str" cm="1">
        <f t="array" ref="B331">GetValue("Eng",A331,"Name")</f>
        <v>Oracle</v>
      </c>
      <c r="C331">
        <v>26</v>
      </c>
      <c r="D331" t="str" cm="1">
        <f t="array" ref="D331">GetValue("Typ",C331,"Name")</f>
        <v>sql_variant</v>
      </c>
      <c r="E331" t="s">
        <v>555</v>
      </c>
    </row>
    <row r="332" spans="1:5" x14ac:dyDescent="0.3">
      <c r="A332">
        <v>9</v>
      </c>
      <c r="B332" t="str" cm="1">
        <f t="array" ref="B332">GetValue("Eng",A332,"Name")</f>
        <v>Oracle</v>
      </c>
      <c r="C332">
        <v>27</v>
      </c>
      <c r="D332" t="str" cm="1">
        <f t="array" ref="D332">GetValue("Typ",C332,"Name")</f>
        <v>sysname</v>
      </c>
      <c r="E332" t="s">
        <v>556</v>
      </c>
    </row>
    <row r="333" spans="1:5" x14ac:dyDescent="0.3">
      <c r="A333">
        <v>9</v>
      </c>
      <c r="B333" t="str" cm="1">
        <f t="array" ref="B333">GetValue("Eng",A333,"Name")</f>
        <v>Oracle</v>
      </c>
      <c r="C333">
        <v>28</v>
      </c>
      <c r="D333" t="str" cm="1">
        <f t="array" ref="D333">GetValue("Typ",C333,"Name")</f>
        <v>text</v>
      </c>
      <c r="E333" t="s">
        <v>542</v>
      </c>
    </row>
    <row r="334" spans="1:5" x14ac:dyDescent="0.3">
      <c r="A334">
        <v>9</v>
      </c>
      <c r="B334" t="str" cm="1">
        <f t="array" ref="B334">GetValue("Eng",A334,"Name")</f>
        <v>Oracle</v>
      </c>
      <c r="C334">
        <v>29</v>
      </c>
      <c r="D334" t="str" cm="1">
        <f t="array" ref="D334">GetValue("Typ",C334,"Name")</f>
        <v>time(s)</v>
      </c>
      <c r="E334" t="s">
        <v>470</v>
      </c>
    </row>
    <row r="335" spans="1:5" x14ac:dyDescent="0.3">
      <c r="A335">
        <v>9</v>
      </c>
      <c r="B335" t="str" cm="1">
        <f t="array" ref="B335">GetValue("Eng",A335,"Name")</f>
        <v>Oracle</v>
      </c>
      <c r="C335">
        <v>30</v>
      </c>
      <c r="D335" t="str" cm="1">
        <f t="array" ref="D335">GetValue("Typ",C335,"Name")</f>
        <v>timestamp</v>
      </c>
      <c r="E335" t="s">
        <v>471</v>
      </c>
    </row>
    <row r="336" spans="1:5" x14ac:dyDescent="0.3">
      <c r="A336">
        <v>9</v>
      </c>
      <c r="B336" t="str" cm="1">
        <f t="array" ref="B336">GetValue("Eng",A336,"Name")</f>
        <v>Oracle</v>
      </c>
      <c r="C336">
        <v>31</v>
      </c>
      <c r="D336" t="str" cm="1">
        <f t="array" ref="D336">GetValue("Typ",C336,"Name")</f>
        <v>tinyint</v>
      </c>
      <c r="E336" t="s">
        <v>557</v>
      </c>
    </row>
    <row r="337" spans="1:5" x14ac:dyDescent="0.3">
      <c r="A337">
        <v>9</v>
      </c>
      <c r="B337" t="str" cm="1">
        <f t="array" ref="B337">GetValue("Eng",A337,"Name")</f>
        <v>Oracle</v>
      </c>
      <c r="C337">
        <v>32</v>
      </c>
      <c r="D337" t="str" cm="1">
        <f t="array" ref="D337">GetValue("Typ",C337,"Name")</f>
        <v>uniqueidentifier</v>
      </c>
      <c r="E337" t="s">
        <v>558</v>
      </c>
    </row>
    <row r="338" spans="1:5" x14ac:dyDescent="0.3">
      <c r="A338">
        <v>9</v>
      </c>
      <c r="B338" t="str" cm="1">
        <f t="array" ref="B338">GetValue("Eng",A338,"Name")</f>
        <v>Oracle</v>
      </c>
      <c r="C338">
        <v>33</v>
      </c>
      <c r="D338" t="str" cm="1">
        <f t="array" ref="D338">GetValue("Typ",C338,"Name")</f>
        <v>varbinary(n)</v>
      </c>
      <c r="E338" t="s">
        <v>529</v>
      </c>
    </row>
    <row r="339" spans="1:5" x14ac:dyDescent="0.3">
      <c r="A339">
        <v>9</v>
      </c>
      <c r="B339" t="str" cm="1">
        <f t="array" ref="B339">GetValue("Eng",A339,"Name")</f>
        <v>Oracle</v>
      </c>
      <c r="C339">
        <v>34</v>
      </c>
      <c r="D339" t="str" cm="1">
        <f t="array" ref="D339">GetValue("Typ",C339,"Name")</f>
        <v>varbinary(max)</v>
      </c>
      <c r="E339" t="s">
        <v>529</v>
      </c>
    </row>
    <row r="340" spans="1:5" x14ac:dyDescent="0.3">
      <c r="A340">
        <v>9</v>
      </c>
      <c r="B340" t="str" cm="1">
        <f t="array" ref="B340">GetValue("Eng",A340,"Name")</f>
        <v>Oracle</v>
      </c>
      <c r="C340">
        <v>35</v>
      </c>
      <c r="D340" t="str" cm="1">
        <f t="array" ref="D340">GetValue("Typ",C340,"Name")</f>
        <v>varchar(n)</v>
      </c>
      <c r="E340" t="s">
        <v>559</v>
      </c>
    </row>
    <row r="341" spans="1:5" x14ac:dyDescent="0.3">
      <c r="A341">
        <v>9</v>
      </c>
      <c r="B341" t="str" cm="1">
        <f t="array" ref="B341">GetValue("Eng",A341,"Name")</f>
        <v>Oracle</v>
      </c>
      <c r="C341">
        <v>36</v>
      </c>
      <c r="D341" t="str" cm="1">
        <f t="array" ref="D341">GetValue("Typ",C341,"Name")</f>
        <v>varchar(max)</v>
      </c>
      <c r="E341" t="s">
        <v>542</v>
      </c>
    </row>
    <row r="342" spans="1:5" x14ac:dyDescent="0.3">
      <c r="A342">
        <v>9</v>
      </c>
      <c r="B342" t="str" cm="1">
        <f t="array" ref="B342">GetValue("Eng",A342,"Name")</f>
        <v>Oracle</v>
      </c>
      <c r="C342">
        <v>37</v>
      </c>
      <c r="D342" t="str" cm="1">
        <f t="array" ref="D342">GetValue("Typ",C342,"Name")</f>
        <v>xml</v>
      </c>
      <c r="E342" t="s">
        <v>560</v>
      </c>
    </row>
    <row r="343" spans="1:5" x14ac:dyDescent="0.3">
      <c r="A343">
        <v>9</v>
      </c>
      <c r="B343" t="str" cm="1">
        <f t="array" ref="B343">GetValue("Eng",A343,"Name")</f>
        <v>Oracle</v>
      </c>
      <c r="C343">
        <v>38</v>
      </c>
      <c r="D343" t="str" cm="1">
        <f t="array" ref="D343">GetValue("Typ",C343,"Name")</f>
        <v>json</v>
      </c>
      <c r="E343" t="s">
        <v>72</v>
      </c>
    </row>
    <row r="344" spans="1:5" ht="13.8" customHeight="1" x14ac:dyDescent="0.3">
      <c r="A344">
        <v>10</v>
      </c>
      <c r="B344" t="str" cm="1">
        <f t="array" ref="B344">GetValue("Eng",A344,"Name")</f>
        <v>DB2</v>
      </c>
      <c r="C344">
        <v>1</v>
      </c>
      <c r="D344" t="str" cm="1">
        <f t="array" ref="D344">GetValue("Typ",C344,"Name")</f>
        <v>bigint</v>
      </c>
      <c r="E344" t="s">
        <v>467</v>
      </c>
    </row>
    <row r="345" spans="1:5" x14ac:dyDescent="0.3">
      <c r="A345">
        <v>10</v>
      </c>
      <c r="B345" t="str" cm="1">
        <f t="array" ref="B345">GetValue("Eng",A345,"Name")</f>
        <v>DB2</v>
      </c>
      <c r="C345">
        <v>2</v>
      </c>
      <c r="D345" t="str" cm="1">
        <f t="array" ref="D345">GetValue("Typ",C345,"Name")</f>
        <v>binary</v>
      </c>
      <c r="E345" t="s">
        <v>529</v>
      </c>
    </row>
    <row r="346" spans="1:5" x14ac:dyDescent="0.3">
      <c r="A346">
        <v>10</v>
      </c>
      <c r="B346" t="str" cm="1">
        <f t="array" ref="B346">GetValue("Eng",A346,"Name")</f>
        <v>DB2</v>
      </c>
      <c r="C346">
        <v>3</v>
      </c>
      <c r="D346" t="str" cm="1">
        <f t="array" ref="D346">GetValue("Typ",C346,"Name")</f>
        <v xml:space="preserve">bit </v>
      </c>
      <c r="E346" t="s">
        <v>468</v>
      </c>
    </row>
    <row r="347" spans="1:5" x14ac:dyDescent="0.3">
      <c r="A347">
        <v>10</v>
      </c>
      <c r="B347" t="str" cm="1">
        <f t="array" ref="B347">GetValue("Eng",A347,"Name")</f>
        <v>DB2</v>
      </c>
      <c r="C347">
        <v>4</v>
      </c>
      <c r="D347" t="str" cm="1">
        <f t="array" ref="D347">GetValue("Typ",C347,"Name")</f>
        <v>char(n)</v>
      </c>
      <c r="E347" t="s">
        <v>469</v>
      </c>
    </row>
    <row r="348" spans="1:5" x14ac:dyDescent="0.3">
      <c r="A348">
        <v>10</v>
      </c>
      <c r="B348" t="str" cm="1">
        <f t="array" ref="B348">GetValue("Eng",A348,"Name")</f>
        <v>DB2</v>
      </c>
      <c r="C348">
        <v>5</v>
      </c>
      <c r="D348" t="str" cm="1">
        <f t="array" ref="D348">GetValue("Typ",C348,"Name")</f>
        <v>date</v>
      </c>
      <c r="E348" t="s">
        <v>470</v>
      </c>
    </row>
    <row r="349" spans="1:5" x14ac:dyDescent="0.3">
      <c r="A349">
        <v>10</v>
      </c>
      <c r="B349" t="str" cm="1">
        <f t="array" ref="B349">GetValue("Eng",A349,"Name")</f>
        <v>DB2</v>
      </c>
      <c r="C349">
        <v>6</v>
      </c>
      <c r="D349" t="str" cm="1">
        <f t="array" ref="D349">GetValue("Typ",C349,"Name")</f>
        <v>datetime</v>
      </c>
      <c r="E349" t="s">
        <v>471</v>
      </c>
    </row>
    <row r="350" spans="1:5" x14ac:dyDescent="0.3">
      <c r="A350">
        <v>10</v>
      </c>
      <c r="B350" t="str" cm="1">
        <f t="array" ref="B350">GetValue("Eng",A350,"Name")</f>
        <v>DB2</v>
      </c>
      <c r="C350">
        <v>7</v>
      </c>
      <c r="D350" t="str" cm="1">
        <f t="array" ref="D350">GetValue("Typ",C350,"Name")</f>
        <v>datetime2(s)</v>
      </c>
      <c r="E350" t="s">
        <v>500</v>
      </c>
    </row>
    <row r="351" spans="1:5" x14ac:dyDescent="0.3">
      <c r="A351">
        <v>10</v>
      </c>
      <c r="B351" t="str" cm="1">
        <f t="array" ref="B351">GetValue("Eng",A351,"Name")</f>
        <v>DB2</v>
      </c>
      <c r="C351">
        <v>8</v>
      </c>
      <c r="D351" t="str" cm="1">
        <f t="array" ref="D351">GetValue("Typ",C351,"Name")</f>
        <v>datetimeoffset(s)</v>
      </c>
      <c r="E351" t="s">
        <v>472</v>
      </c>
    </row>
    <row r="352" spans="1:5" x14ac:dyDescent="0.3">
      <c r="A352">
        <v>10</v>
      </c>
      <c r="B352" t="str" cm="1">
        <f t="array" ref="B352">GetValue("Eng",A352,"Name")</f>
        <v>DB2</v>
      </c>
      <c r="C352">
        <v>9</v>
      </c>
      <c r="D352" t="str" cm="1">
        <f t="array" ref="D352">GetValue("Typ",C352,"Name")</f>
        <v>decimal(p ,s)</v>
      </c>
      <c r="E352" t="s">
        <v>518</v>
      </c>
    </row>
    <row r="353" spans="1:5" x14ac:dyDescent="0.3">
      <c r="A353">
        <v>10</v>
      </c>
      <c r="B353" t="str" cm="1">
        <f t="array" ref="B353">GetValue("Eng",A353,"Name")</f>
        <v>DB2</v>
      </c>
      <c r="C353">
        <v>10</v>
      </c>
      <c r="D353" t="str" cm="1">
        <f t="array" ref="D353">GetValue("Typ",C353,"Name")</f>
        <v>float(n)</v>
      </c>
      <c r="E353" t="s">
        <v>473</v>
      </c>
    </row>
    <row r="354" spans="1:5" x14ac:dyDescent="0.3">
      <c r="A354">
        <v>10</v>
      </c>
      <c r="B354" t="str" cm="1">
        <f t="array" ref="B354">GetValue("Eng",A354,"Name")</f>
        <v>DB2</v>
      </c>
      <c r="C354">
        <v>11</v>
      </c>
      <c r="D354" t="str" cm="1">
        <f t="array" ref="D354">GetValue("Typ",C354,"Name")</f>
        <v>geography</v>
      </c>
    </row>
    <row r="355" spans="1:5" x14ac:dyDescent="0.3">
      <c r="A355">
        <v>10</v>
      </c>
      <c r="B355" t="str" cm="1">
        <f t="array" ref="B355">GetValue("Eng",A355,"Name")</f>
        <v>DB2</v>
      </c>
      <c r="C355">
        <v>12</v>
      </c>
      <c r="D355" t="str" cm="1">
        <f t="array" ref="D355">GetValue("Typ",C355,"Name")</f>
        <v>geometry</v>
      </c>
      <c r="E355" t="s">
        <v>530</v>
      </c>
    </row>
    <row r="356" spans="1:5" x14ac:dyDescent="0.3">
      <c r="A356">
        <v>10</v>
      </c>
      <c r="B356" t="str" cm="1">
        <f t="array" ref="B356">GetValue("Eng",A356,"Name")</f>
        <v>DB2</v>
      </c>
      <c r="C356">
        <v>13</v>
      </c>
      <c r="D356" t="str" cm="1">
        <f t="array" ref="D356">GetValue("Typ",C356,"Name")</f>
        <v>hierarchyid</v>
      </c>
    </row>
    <row r="357" spans="1:5" x14ac:dyDescent="0.3">
      <c r="A357">
        <v>10</v>
      </c>
      <c r="B357" t="str" cm="1">
        <f t="array" ref="B357">GetValue("Eng",A357,"Name")</f>
        <v>DB2</v>
      </c>
      <c r="C357">
        <v>14</v>
      </c>
      <c r="D357" t="str" cm="1">
        <f t="array" ref="D357">GetValue("Typ",C357,"Name")</f>
        <v>image</v>
      </c>
      <c r="E357" t="s">
        <v>529</v>
      </c>
    </row>
    <row r="358" spans="1:5" x14ac:dyDescent="0.3">
      <c r="A358">
        <v>10</v>
      </c>
      <c r="B358" t="str" cm="1">
        <f t="array" ref="B358">GetValue("Eng",A358,"Name")</f>
        <v>DB2</v>
      </c>
      <c r="C358">
        <v>15</v>
      </c>
      <c r="D358" t="str" cm="1">
        <f t="array" ref="D358">GetValue("Typ",C358,"Name")</f>
        <v>int (4 bytes)</v>
      </c>
      <c r="E358" t="s">
        <v>474</v>
      </c>
    </row>
    <row r="359" spans="1:5" x14ac:dyDescent="0.3">
      <c r="A359">
        <v>10</v>
      </c>
      <c r="B359" t="str" cm="1">
        <f t="array" ref="B359">GetValue("Eng",A359,"Name")</f>
        <v>DB2</v>
      </c>
      <c r="C359">
        <v>16</v>
      </c>
      <c r="D359" t="str" cm="1">
        <f t="array" ref="D359">GetValue("Typ",C359,"Name")</f>
        <v>money(p, s)</v>
      </c>
      <c r="E359" t="s">
        <v>475</v>
      </c>
    </row>
    <row r="360" spans="1:5" x14ac:dyDescent="0.3">
      <c r="A360">
        <v>10</v>
      </c>
      <c r="B360" t="str" cm="1">
        <f t="array" ref="B360">GetValue("Eng",A360,"Name")</f>
        <v>DB2</v>
      </c>
      <c r="C360">
        <v>17</v>
      </c>
      <c r="D360" t="str" cm="1">
        <f t="array" ref="D360">GetValue("Typ",C360,"Name")</f>
        <v>nchar(n)</v>
      </c>
      <c r="E360" t="s">
        <v>561</v>
      </c>
    </row>
    <row r="361" spans="1:5" x14ac:dyDescent="0.3">
      <c r="A361">
        <v>10</v>
      </c>
      <c r="B361" t="str" cm="1">
        <f t="array" ref="B361">GetValue("Eng",A361,"Name")</f>
        <v>DB2</v>
      </c>
      <c r="C361">
        <v>18</v>
      </c>
      <c r="D361" t="str" cm="1">
        <f t="array" ref="D361">GetValue("Typ",C361,"Name")</f>
        <v>ntext</v>
      </c>
      <c r="E361" t="s">
        <v>542</v>
      </c>
    </row>
    <row r="362" spans="1:5" x14ac:dyDescent="0.3">
      <c r="A362">
        <v>10</v>
      </c>
      <c r="B362" t="str" cm="1">
        <f t="array" ref="B362">GetValue("Eng",A362,"Name")</f>
        <v>DB2</v>
      </c>
      <c r="C362">
        <v>19</v>
      </c>
      <c r="D362" t="str" cm="1">
        <f t="array" ref="D362">GetValue("Typ",C362,"Name")</f>
        <v>numeric(p,s)</v>
      </c>
      <c r="E362" t="s">
        <v>519</v>
      </c>
    </row>
    <row r="363" spans="1:5" x14ac:dyDescent="0.3">
      <c r="A363">
        <v>10</v>
      </c>
      <c r="B363" t="str" cm="1">
        <f t="array" ref="B363">GetValue("Eng",A363,"Name")</f>
        <v>DB2</v>
      </c>
      <c r="C363">
        <v>20</v>
      </c>
      <c r="D363" t="str" cm="1">
        <f t="array" ref="D363">GetValue("Typ",C363,"Name")</f>
        <v>nvarchar(n)</v>
      </c>
      <c r="E363" t="s">
        <v>562</v>
      </c>
    </row>
    <row r="364" spans="1:5" x14ac:dyDescent="0.3">
      <c r="A364">
        <v>10</v>
      </c>
      <c r="B364" t="str" cm="1">
        <f t="array" ref="B364">GetValue("Eng",A364,"Name")</f>
        <v>DB2</v>
      </c>
      <c r="C364">
        <v>21</v>
      </c>
      <c r="D364" t="str" cm="1">
        <f t="array" ref="D364">GetValue("Typ",C364,"Name")</f>
        <v>nvarchar(max)</v>
      </c>
      <c r="E364" t="s">
        <v>542</v>
      </c>
    </row>
    <row r="365" spans="1:5" x14ac:dyDescent="0.3">
      <c r="A365">
        <v>10</v>
      </c>
      <c r="B365" t="str" cm="1">
        <f t="array" ref="B365">GetValue("Eng",A365,"Name")</f>
        <v>DB2</v>
      </c>
      <c r="C365">
        <v>22</v>
      </c>
      <c r="D365" t="str" cm="1">
        <f t="array" ref="D365">GetValue("Typ",C365,"Name")</f>
        <v>real</v>
      </c>
      <c r="E365" t="s">
        <v>476</v>
      </c>
    </row>
    <row r="366" spans="1:5" x14ac:dyDescent="0.3">
      <c r="A366">
        <v>10</v>
      </c>
      <c r="B366" t="str" cm="1">
        <f t="array" ref="B366">GetValue("Eng",A366,"Name")</f>
        <v>DB2</v>
      </c>
      <c r="C366">
        <v>23</v>
      </c>
      <c r="D366" t="str" cm="1">
        <f t="array" ref="D366">GetValue("Typ",C366,"Name")</f>
        <v>smalldatetime</v>
      </c>
      <c r="E366" t="s">
        <v>471</v>
      </c>
    </row>
    <row r="367" spans="1:5" x14ac:dyDescent="0.3">
      <c r="A367">
        <v>10</v>
      </c>
      <c r="B367" t="str" cm="1">
        <f t="array" ref="B367">GetValue("Eng",A367,"Name")</f>
        <v>DB2</v>
      </c>
      <c r="C367">
        <v>24</v>
      </c>
      <c r="D367" t="str" cm="1">
        <f t="array" ref="D367">GetValue("Typ",C367,"Name")</f>
        <v>smallint</v>
      </c>
      <c r="E367" t="s">
        <v>468</v>
      </c>
    </row>
    <row r="368" spans="1:5" x14ac:dyDescent="0.3">
      <c r="A368">
        <v>10</v>
      </c>
      <c r="B368" t="str" cm="1">
        <f t="array" ref="B368">GetValue("Eng",A368,"Name")</f>
        <v>DB2</v>
      </c>
      <c r="C368">
        <v>25</v>
      </c>
      <c r="D368" t="str" cm="1">
        <f t="array" ref="D368">GetValue("Typ",C368,"Name")</f>
        <v>smallmoney</v>
      </c>
      <c r="E368" t="s">
        <v>477</v>
      </c>
    </row>
    <row r="369" spans="1:5" x14ac:dyDescent="0.3">
      <c r="A369">
        <v>10</v>
      </c>
      <c r="B369" t="str" cm="1">
        <f t="array" ref="B369">GetValue("Eng",A369,"Name")</f>
        <v>DB2</v>
      </c>
      <c r="C369">
        <v>26</v>
      </c>
      <c r="D369" t="str" cm="1">
        <f t="array" ref="D369">GetValue("Typ",C369,"Name")</f>
        <v>sql_variant</v>
      </c>
      <c r="E369" t="s">
        <v>481</v>
      </c>
    </row>
    <row r="370" spans="1:5" x14ac:dyDescent="0.3">
      <c r="A370">
        <v>10</v>
      </c>
      <c r="B370" t="str" cm="1">
        <f t="array" ref="B370">GetValue("Eng",A370,"Name")</f>
        <v>DB2</v>
      </c>
      <c r="C370">
        <v>27</v>
      </c>
      <c r="D370" t="str" cm="1">
        <f t="array" ref="D370">GetValue("Typ",C370,"Name")</f>
        <v>sysname</v>
      </c>
      <c r="E370" t="s">
        <v>478</v>
      </c>
    </row>
    <row r="371" spans="1:5" x14ac:dyDescent="0.3">
      <c r="A371">
        <v>10</v>
      </c>
      <c r="B371" t="str" cm="1">
        <f t="array" ref="B371">GetValue("Eng",A371,"Name")</f>
        <v>DB2</v>
      </c>
      <c r="C371">
        <v>28</v>
      </c>
      <c r="D371" t="str" cm="1">
        <f t="array" ref="D371">GetValue("Typ",C371,"Name")</f>
        <v>text</v>
      </c>
      <c r="E371" t="s">
        <v>542</v>
      </c>
    </row>
    <row r="372" spans="1:5" x14ac:dyDescent="0.3">
      <c r="A372">
        <v>10</v>
      </c>
      <c r="B372" t="str" cm="1">
        <f t="array" ref="B372">GetValue("Eng",A372,"Name")</f>
        <v>DB2</v>
      </c>
      <c r="C372">
        <v>29</v>
      </c>
      <c r="D372" t="str" cm="1">
        <f t="array" ref="D372">GetValue("Typ",C372,"Name")</f>
        <v>time(s)</v>
      </c>
      <c r="E372" t="s">
        <v>479</v>
      </c>
    </row>
    <row r="373" spans="1:5" x14ac:dyDescent="0.3">
      <c r="A373">
        <v>10</v>
      </c>
      <c r="B373" t="str" cm="1">
        <f t="array" ref="B373">GetValue("Eng",A373,"Name")</f>
        <v>DB2</v>
      </c>
      <c r="C373">
        <v>30</v>
      </c>
      <c r="D373" t="str" cm="1">
        <f t="array" ref="D373">GetValue("Typ",C373,"Name")</f>
        <v>timestamp</v>
      </c>
      <c r="E373" t="s">
        <v>471</v>
      </c>
    </row>
    <row r="374" spans="1:5" x14ac:dyDescent="0.3">
      <c r="A374">
        <v>10</v>
      </c>
      <c r="B374" t="str" cm="1">
        <f t="array" ref="B374">GetValue("Eng",A374,"Name")</f>
        <v>DB2</v>
      </c>
      <c r="C374">
        <v>31</v>
      </c>
      <c r="D374" t="str" cm="1">
        <f t="array" ref="D374">GetValue("Typ",C374,"Name")</f>
        <v>tinyint</v>
      </c>
      <c r="E374" t="s">
        <v>468</v>
      </c>
    </row>
    <row r="375" spans="1:5" x14ac:dyDescent="0.3">
      <c r="A375">
        <v>10</v>
      </c>
      <c r="B375" t="str" cm="1">
        <f t="array" ref="B375">GetValue("Eng",A375,"Name")</f>
        <v>DB2</v>
      </c>
      <c r="C375">
        <v>32</v>
      </c>
      <c r="D375" t="str" cm="1">
        <f t="array" ref="D375">GetValue("Typ",C375,"Name")</f>
        <v>uniqueidentifier</v>
      </c>
      <c r="E375" t="s">
        <v>489</v>
      </c>
    </row>
    <row r="376" spans="1:5" x14ac:dyDescent="0.3">
      <c r="A376">
        <v>10</v>
      </c>
      <c r="B376" t="str" cm="1">
        <f t="array" ref="B376">GetValue("Eng",A376,"Name")</f>
        <v>DB2</v>
      </c>
      <c r="C376">
        <v>33</v>
      </c>
      <c r="D376" t="str" cm="1">
        <f t="array" ref="D376">GetValue("Typ",C376,"Name")</f>
        <v>varbinary(n)</v>
      </c>
      <c r="E376" t="s">
        <v>529</v>
      </c>
    </row>
    <row r="377" spans="1:5" x14ac:dyDescent="0.3">
      <c r="A377">
        <v>10</v>
      </c>
      <c r="B377" t="str" cm="1">
        <f t="array" ref="B377">GetValue("Eng",A377,"Name")</f>
        <v>DB2</v>
      </c>
      <c r="C377">
        <v>34</v>
      </c>
      <c r="D377" t="str" cm="1">
        <f t="array" ref="D377">GetValue("Typ",C377,"Name")</f>
        <v>varbinary(max)</v>
      </c>
      <c r="E377" t="s">
        <v>529</v>
      </c>
    </row>
    <row r="378" spans="1:5" x14ac:dyDescent="0.3">
      <c r="A378">
        <v>10</v>
      </c>
      <c r="B378" t="str" cm="1">
        <f t="array" ref="B378">GetValue("Eng",A378,"Name")</f>
        <v>DB2</v>
      </c>
      <c r="C378">
        <v>35</v>
      </c>
      <c r="D378" t="str" cm="1">
        <f t="array" ref="D378">GetValue("Typ",C378,"Name")</f>
        <v>varchar(n)</v>
      </c>
      <c r="E378" t="s">
        <v>480</v>
      </c>
    </row>
    <row r="379" spans="1:5" x14ac:dyDescent="0.3">
      <c r="A379">
        <v>10</v>
      </c>
      <c r="B379" t="str" cm="1">
        <f t="array" ref="B379">GetValue("Eng",A379,"Name")</f>
        <v>DB2</v>
      </c>
      <c r="C379">
        <v>36</v>
      </c>
      <c r="D379" t="str" cm="1">
        <f t="array" ref="D379">GetValue("Typ",C379,"Name")</f>
        <v>varchar(max)</v>
      </c>
      <c r="E379" t="s">
        <v>542</v>
      </c>
    </row>
    <row r="380" spans="1:5" x14ac:dyDescent="0.3">
      <c r="A380">
        <v>10</v>
      </c>
      <c r="B380" t="str" cm="1">
        <f t="array" ref="B380">GetValue("Eng",A380,"Name")</f>
        <v>DB2</v>
      </c>
      <c r="C380">
        <v>37</v>
      </c>
      <c r="D380" t="str" cm="1">
        <f t="array" ref="D380">GetValue("Typ",C380,"Name")</f>
        <v>xml</v>
      </c>
      <c r="E380" t="s">
        <v>481</v>
      </c>
    </row>
    <row r="381" spans="1:5" x14ac:dyDescent="0.3">
      <c r="A381">
        <v>10</v>
      </c>
      <c r="B381" t="str" cm="1">
        <f t="array" ref="B381">GetValue("Eng",A381,"Name")</f>
        <v>DB2</v>
      </c>
      <c r="C381">
        <v>38</v>
      </c>
      <c r="D381" t="str" cm="1">
        <f t="array" ref="D381">GetValue("Typ",C381,"Name")</f>
        <v>json</v>
      </c>
      <c r="E381" t="s">
        <v>72</v>
      </c>
    </row>
  </sheetData>
  <sortState xmlns:xlrd2="http://schemas.microsoft.com/office/spreadsheetml/2017/richdata2" ref="A2:E190">
    <sortCondition ref="C2:C19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E6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.6640625" bestFit="1" customWidth="1"/>
    <col min="2" max="2" width="8.5546875" bestFit="1" customWidth="1"/>
    <col min="3" max="3" width="19" bestFit="1" customWidth="1"/>
    <col min="4" max="4" width="255.77734375" bestFit="1" customWidth="1"/>
    <col min="5" max="5" width="11.77734375" bestFit="1" customWidth="1"/>
  </cols>
  <sheetData>
    <row r="1" spans="1:5" s="1" customFormat="1" x14ac:dyDescent="0.3">
      <c r="A1" s="1" t="s">
        <v>726</v>
      </c>
      <c r="B1" s="1" t="s">
        <v>1</v>
      </c>
      <c r="C1" s="1" t="s">
        <v>820</v>
      </c>
      <c r="D1" s="1" t="s">
        <v>506</v>
      </c>
      <c r="E1" s="1" t="s">
        <v>28</v>
      </c>
    </row>
    <row r="2" spans="1:5" x14ac:dyDescent="0.3">
      <c r="A2">
        <f>ROW(A2)-1</f>
        <v>1</v>
      </c>
      <c r="B2" t="s">
        <v>735</v>
      </c>
      <c r="C2" t="s">
        <v>821</v>
      </c>
      <c r="D2" t="s">
        <v>507</v>
      </c>
      <c r="E2" t="b">
        <v>1</v>
      </c>
    </row>
    <row r="3" spans="1:5" x14ac:dyDescent="0.3">
      <c r="A3">
        <f>ROW(A3)-1</f>
        <v>2</v>
      </c>
      <c r="B3" t="s">
        <v>508</v>
      </c>
      <c r="D3" t="s">
        <v>509</v>
      </c>
      <c r="E3" t="b">
        <v>1</v>
      </c>
    </row>
    <row r="4" spans="1:5" x14ac:dyDescent="0.3">
      <c r="A4">
        <f>ROW(A4)-1</f>
        <v>3</v>
      </c>
      <c r="B4" t="s">
        <v>510</v>
      </c>
      <c r="D4" t="s">
        <v>511</v>
      </c>
      <c r="E4" t="b">
        <v>1</v>
      </c>
    </row>
    <row r="5" spans="1:5" x14ac:dyDescent="0.3">
      <c r="A5">
        <f>ROW(A5)-1</f>
        <v>4</v>
      </c>
      <c r="B5" t="s">
        <v>512</v>
      </c>
      <c r="D5" t="s">
        <v>513</v>
      </c>
      <c r="E5" t="b">
        <v>1</v>
      </c>
    </row>
    <row r="6" spans="1:5" x14ac:dyDescent="0.3">
      <c r="A6">
        <f>ROW(A6)-1</f>
        <v>5</v>
      </c>
      <c r="B6" t="s">
        <v>514</v>
      </c>
      <c r="D6" t="s">
        <v>515</v>
      </c>
      <c r="E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4"/>
  <sheetViews>
    <sheetView zoomScaleNormal="100" workbookViewId="0">
      <pane ySplit="1" topLeftCell="A14" activePane="bottomLeft" state="frozen"/>
      <selection pane="bottomLeft" activeCell="J34" sqref="J34"/>
    </sheetView>
  </sheetViews>
  <sheetFormatPr defaultColWidth="3.109375" defaultRowHeight="14.4" x14ac:dyDescent="0.3"/>
  <cols>
    <col min="1" max="1" width="3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12.6640625" bestFit="1" customWidth="1"/>
    <col min="6" max="6" width="14.6640625" bestFit="1" customWidth="1"/>
    <col min="7" max="7" width="17.21875" bestFit="1" customWidth="1"/>
    <col min="8" max="8" width="6.77734375" bestFit="1" customWidth="1"/>
    <col min="9" max="9" width="8.44140625" bestFit="1" customWidth="1"/>
    <col min="10" max="10" width="31.33203125" bestFit="1" customWidth="1"/>
    <col min="11" max="11" width="7.109375" bestFit="1" customWidth="1"/>
    <col min="12" max="12" width="9.21875" bestFit="1" customWidth="1"/>
    <col min="13" max="13" width="9.5546875" bestFit="1" customWidth="1"/>
    <col min="14" max="14" width="11.109375" bestFit="1" customWidth="1"/>
    <col min="15" max="15" width="81.5546875" bestFit="1" customWidth="1"/>
  </cols>
  <sheetData>
    <row r="1" spans="1:14" s="1" customFormat="1" x14ac:dyDescent="0.3">
      <c r="A1" s="1" t="s">
        <v>726</v>
      </c>
      <c r="B1" s="1" t="s">
        <v>817</v>
      </c>
      <c r="C1" s="1" t="s">
        <v>618</v>
      </c>
      <c r="D1" s="1" t="s">
        <v>57</v>
      </c>
      <c r="E1" s="1" t="s">
        <v>302</v>
      </c>
      <c r="F1" s="1" t="s">
        <v>301</v>
      </c>
      <c r="G1" s="1" t="s">
        <v>1</v>
      </c>
      <c r="H1" s="1" t="s">
        <v>59</v>
      </c>
      <c r="I1" s="1" t="s">
        <v>60</v>
      </c>
      <c r="J1" s="1" t="s">
        <v>289</v>
      </c>
      <c r="K1" s="1" t="s">
        <v>61</v>
      </c>
      <c r="L1" s="1" t="s">
        <v>21</v>
      </c>
      <c r="M1" s="1" t="s">
        <v>22</v>
      </c>
      <c r="N1" s="1" t="s">
        <v>283</v>
      </c>
    </row>
    <row r="2" spans="1:14" x14ac:dyDescent="0.3">
      <c r="A2">
        <f>ROW(B2)-1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</v>
      </c>
      <c r="F2" t="str" cm="1">
        <f t="array" ref="F2">GetValue("Typ",D2,"#CategoryName")</f>
        <v>number</v>
      </c>
      <c r="G2" t="s">
        <v>62</v>
      </c>
      <c r="L2" s="3"/>
      <c r="M2" s="3"/>
    </row>
    <row r="3" spans="1:14" x14ac:dyDescent="0.3">
      <c r="A3">
        <f>A2+1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63</v>
      </c>
    </row>
    <row r="4" spans="1:14" x14ac:dyDescent="0.3">
      <c r="A4">
        <f t="shared" ref="A4:A32" si="0">A3+1</f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64</v>
      </c>
      <c r="L4">
        <v>-65536</v>
      </c>
      <c r="M4">
        <v>65535</v>
      </c>
    </row>
    <row r="5" spans="1:14" x14ac:dyDescent="0.3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</v>
      </c>
      <c r="F5" t="str" cm="1">
        <f t="array" ref="F5">GetValue("Typ",D5,"#CategoryName")</f>
        <v>number</v>
      </c>
      <c r="G5" t="s">
        <v>65</v>
      </c>
    </row>
    <row r="6" spans="1:14" x14ac:dyDescent="0.3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</v>
      </c>
      <c r="F6" t="str" cm="1">
        <f t="array" ref="F6">GetValue("Typ",D6,"#CategoryName")</f>
        <v>number</v>
      </c>
      <c r="G6" t="s">
        <v>66</v>
      </c>
    </row>
    <row r="7" spans="1:14" x14ac:dyDescent="0.3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 xml:space="preserve">bit </v>
      </c>
      <c r="F7" t="str" cm="1">
        <f t="array" ref="F7">GetValue("Typ",D7,"#CategoryName")</f>
        <v>boolean</v>
      </c>
      <c r="G7" t="s">
        <v>67</v>
      </c>
    </row>
    <row r="8" spans="1:14" x14ac:dyDescent="0.3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69</v>
      </c>
    </row>
    <row r="9" spans="1:14" x14ac:dyDescent="0.3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363</v>
      </c>
      <c r="H9">
        <v>15</v>
      </c>
    </row>
    <row r="10" spans="1:14" x14ac:dyDescent="0.3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364</v>
      </c>
      <c r="H10">
        <v>20</v>
      </c>
    </row>
    <row r="11" spans="1:14" x14ac:dyDescent="0.3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365</v>
      </c>
      <c r="H11">
        <v>25</v>
      </c>
    </row>
    <row r="12" spans="1:14" x14ac:dyDescent="0.3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366</v>
      </c>
      <c r="H12">
        <v>50</v>
      </c>
    </row>
    <row r="13" spans="1:14" x14ac:dyDescent="0.3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367</v>
      </c>
      <c r="H13">
        <v>256</v>
      </c>
    </row>
    <row r="14" spans="1:14" x14ac:dyDescent="0.3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20</v>
      </c>
      <c r="E14" t="str" cm="1">
        <f t="array" ref="E14">GetValue("Typ",D14,"Name")</f>
        <v>nvarchar(n)</v>
      </c>
      <c r="F14" t="str" cm="1">
        <f t="array" ref="F14">GetValue("Typ",D14,"#CategoryName")</f>
        <v>string</v>
      </c>
      <c r="G14" t="s">
        <v>70</v>
      </c>
    </row>
    <row r="15" spans="1:14" x14ac:dyDescent="0.3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20</v>
      </c>
      <c r="E15" t="str" cm="1">
        <f t="array" ref="E15">GetValue("Typ",D15,"Name")</f>
        <v>nvarchar(n)</v>
      </c>
      <c r="F15" t="str" cm="1">
        <f t="array" ref="F15">GetValue("Typ",D15,"#CategoryName")</f>
        <v>string</v>
      </c>
      <c r="G15" t="s">
        <v>283</v>
      </c>
      <c r="H15">
        <v>5</v>
      </c>
      <c r="J15" t="s">
        <v>593</v>
      </c>
    </row>
    <row r="16" spans="1:14" x14ac:dyDescent="0.3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20</v>
      </c>
      <c r="E16" t="str" cm="1">
        <f t="array" ref="E16">GetValue("Typ",D16,"Name")</f>
        <v>nvarchar(n)</v>
      </c>
      <c r="F16" t="str" cm="1">
        <f t="array" ref="F16">GetValue("Typ",D16,"#CategoryName")</f>
        <v>string</v>
      </c>
      <c r="G16" t="s">
        <v>382</v>
      </c>
      <c r="H16">
        <v>15</v>
      </c>
      <c r="J16" t="s">
        <v>594</v>
      </c>
    </row>
    <row r="17" spans="1:14" x14ac:dyDescent="0.3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20</v>
      </c>
      <c r="E17" t="str" cm="1">
        <f t="array" ref="E17">GetValue("Typ",D17,"Name")</f>
        <v>nvarchar(n)</v>
      </c>
      <c r="F17" t="str" cm="1">
        <f t="array" ref="F17">GetValue("Typ",D17,"#CategoryName")</f>
        <v>string</v>
      </c>
      <c r="G17" t="s">
        <v>588</v>
      </c>
      <c r="H17">
        <v>8</v>
      </c>
    </row>
    <row r="18" spans="1:14" x14ac:dyDescent="0.3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20</v>
      </c>
      <c r="E18" t="str" cm="1">
        <f t="array" ref="E18">GetValue("Typ",D18,"Name")</f>
        <v>nvarchar(n)</v>
      </c>
      <c r="F18" t="str" cm="1">
        <f t="array" ref="F18">GetValue("Typ",D18,"#CategoryName")</f>
        <v>string</v>
      </c>
      <c r="G18" t="s">
        <v>563</v>
      </c>
      <c r="H18">
        <v>11</v>
      </c>
    </row>
    <row r="19" spans="1:14" x14ac:dyDescent="0.3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20</v>
      </c>
      <c r="E19" t="str" cm="1">
        <f t="array" ref="E19">GetValue("Typ",D19,"Name")</f>
        <v>nvarchar(n)</v>
      </c>
      <c r="F19" t="str" cm="1">
        <f t="array" ref="F19">GetValue("Typ",D19,"#CategoryName")</f>
        <v>string</v>
      </c>
      <c r="G19" t="s">
        <v>564</v>
      </c>
      <c r="H19">
        <v>14</v>
      </c>
    </row>
    <row r="20" spans="1:14" x14ac:dyDescent="0.3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20</v>
      </c>
      <c r="E20" t="str" cm="1">
        <f t="array" ref="E20">GetValue("Typ",D20,"Name")</f>
        <v>nvarchar(n)</v>
      </c>
      <c r="F20" t="str" cm="1">
        <f t="array" ref="F20">GetValue("Typ",D20,"#CategoryName")</f>
        <v>string</v>
      </c>
      <c r="G20" t="s">
        <v>565</v>
      </c>
      <c r="H20">
        <v>14</v>
      </c>
    </row>
    <row r="21" spans="1:14" x14ac:dyDescent="0.3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20</v>
      </c>
      <c r="E21" t="str" cm="1">
        <f t="array" ref="E21">GetValue("Typ",D21,"Name")</f>
        <v>nvarchar(n)</v>
      </c>
      <c r="F21" t="str" cm="1">
        <f t="array" ref="F21">GetValue("Typ",D21,"#CategoryName")</f>
        <v>string</v>
      </c>
      <c r="G21" t="s">
        <v>632</v>
      </c>
      <c r="H21">
        <v>14</v>
      </c>
    </row>
    <row r="22" spans="1:14" x14ac:dyDescent="0.3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20</v>
      </c>
      <c r="E22" t="str" cm="1">
        <f t="array" ref="E22">GetValue("Typ",D22,"Name")</f>
        <v>nvarchar(n)</v>
      </c>
      <c r="F22" t="str" cm="1">
        <f t="array" ref="F22">GetValue("Typ",D22,"#CategoryName")</f>
        <v>string</v>
      </c>
      <c r="G22" t="s">
        <v>576</v>
      </c>
      <c r="H22">
        <v>16</v>
      </c>
    </row>
    <row r="23" spans="1:14" x14ac:dyDescent="0.3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20</v>
      </c>
      <c r="E23" t="str" cm="1">
        <f t="array" ref="E23">GetValue("Typ",D23,"Name")</f>
        <v>nvarchar(n)</v>
      </c>
      <c r="F23" t="str" cm="1">
        <f t="array" ref="F23">GetValue("Typ",D23,"#CategoryName")</f>
        <v>string</v>
      </c>
      <c r="G23" t="s">
        <v>578</v>
      </c>
      <c r="H23">
        <v>11</v>
      </c>
    </row>
    <row r="24" spans="1:14" x14ac:dyDescent="0.3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20</v>
      </c>
      <c r="E24" t="str" cm="1">
        <f t="array" ref="E24">GetValue("Typ",D24,"Name")</f>
        <v>nvarchar(n)</v>
      </c>
      <c r="F24" t="str" cm="1">
        <f t="array" ref="F24">GetValue("Typ",D24,"#CategoryName")</f>
        <v>string</v>
      </c>
      <c r="G24" t="s">
        <v>580</v>
      </c>
      <c r="H24">
        <v>8</v>
      </c>
    </row>
    <row r="25" spans="1:14" x14ac:dyDescent="0.3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t="str" cm="1">
        <f t="array" ref="F25">GetValue("Typ",D25,"#CategoryName")</f>
        <v>string</v>
      </c>
      <c r="G25" t="s">
        <v>582</v>
      </c>
      <c r="H25">
        <v>13</v>
      </c>
    </row>
    <row r="26" spans="1:14" x14ac:dyDescent="0.3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583</v>
      </c>
      <c r="H26">
        <v>10</v>
      </c>
    </row>
    <row r="27" spans="1:14" x14ac:dyDescent="0.3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584</v>
      </c>
      <c r="H27">
        <v>13</v>
      </c>
    </row>
    <row r="28" spans="1:14" x14ac:dyDescent="0.3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585</v>
      </c>
      <c r="H28">
        <v>8</v>
      </c>
    </row>
    <row r="29" spans="1:14" x14ac:dyDescent="0.3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21</v>
      </c>
      <c r="E29" t="str" cm="1">
        <f t="array" ref="E29">GetValue("Typ",D29,"Name")</f>
        <v>nvarchar(max)</v>
      </c>
      <c r="F29" t="str" cm="1">
        <f t="array" ref="F29">GetValue("Typ",D29,"#CategoryName")</f>
        <v>text</v>
      </c>
      <c r="G29" t="s">
        <v>459</v>
      </c>
      <c r="N29" t="s">
        <v>446</v>
      </c>
    </row>
    <row r="30" spans="1:14" x14ac:dyDescent="0.3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21</v>
      </c>
      <c r="E30" t="str" cm="1">
        <f t="array" ref="E30">GetValue("Typ",D30,"Name")</f>
        <v>nvarchar(max)</v>
      </c>
      <c r="F30" t="str" cm="1">
        <f t="array" ref="F30">GetValue("Typ",D30,"#CategoryName")</f>
        <v>text</v>
      </c>
      <c r="G30" t="s">
        <v>68</v>
      </c>
      <c r="N30" t="s">
        <v>447</v>
      </c>
    </row>
    <row r="31" spans="1:14" x14ac:dyDescent="0.3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21</v>
      </c>
      <c r="E31" t="str" cm="1">
        <f t="array" ref="E31">GetValue("Typ",D31,"Name")</f>
        <v>nvarchar(max)</v>
      </c>
      <c r="F31" t="str" cm="1">
        <f t="array" ref="F31">GetValue("Typ",D31,"#CategoryName")</f>
        <v>text</v>
      </c>
      <c r="G31" t="s">
        <v>368</v>
      </c>
    </row>
    <row r="32" spans="1:14" x14ac:dyDescent="0.3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21</v>
      </c>
      <c r="E32" t="str" cm="1">
        <f t="array" ref="E32">GetValue("Typ",D32,"Name")</f>
        <v>nvarchar(max)</v>
      </c>
      <c r="F32" t="str" cm="1">
        <f t="array" ref="F32">GetValue("Typ",D32,"#CategoryName")</f>
        <v>text</v>
      </c>
      <c r="G32" t="s">
        <v>72</v>
      </c>
      <c r="N32" t="s">
        <v>448</v>
      </c>
    </row>
    <row r="33" spans="1:15" x14ac:dyDescent="0.3">
      <c r="A33">
        <f>A34+1</f>
        <v>33</v>
      </c>
      <c r="B33">
        <v>1</v>
      </c>
      <c r="C33" t="str" cm="1">
        <f t="array" ref="C33">GetValue("Cli",B33,"Name")</f>
        <v>SoftLab</v>
      </c>
      <c r="D33">
        <v>9</v>
      </c>
      <c r="E33" t="str" cm="1">
        <f t="array" ref="E33">GetValue("Typ",D33,"Name")</f>
        <v>decimal(p ,s)</v>
      </c>
      <c r="F33" t="str" cm="1">
        <f t="array" ref="F33">GetValue("Typ",D33,"#CategoryName")</f>
        <v>number</v>
      </c>
      <c r="G33" t="s">
        <v>731</v>
      </c>
      <c r="H33">
        <v>19</v>
      </c>
      <c r="I33">
        <v>2</v>
      </c>
    </row>
    <row r="34" spans="1:15" x14ac:dyDescent="0.3">
      <c r="A34">
        <f>A32+1</f>
        <v>32</v>
      </c>
      <c r="B34">
        <v>1</v>
      </c>
      <c r="C34" t="str" cm="1">
        <f t="array" ref="C34">GetValue("Cli",B34,"Name")</f>
        <v>SoftLab</v>
      </c>
      <c r="D34">
        <v>4</v>
      </c>
      <c r="E34" t="str" cm="1">
        <f t="array" ref="E34">GetValue("Typ",D34,"Name")</f>
        <v>char(n)</v>
      </c>
      <c r="F34" t="str" cm="1">
        <f t="array" ref="F34">GetValue("Typ",D34,"#CategoryName")</f>
        <v>string</v>
      </c>
      <c r="G34" t="s">
        <v>747</v>
      </c>
      <c r="H34">
        <v>1</v>
      </c>
      <c r="J34" t="s">
        <v>742</v>
      </c>
      <c r="O34" t="s">
        <v>741</v>
      </c>
    </row>
    <row r="35" spans="1:15" x14ac:dyDescent="0.3">
      <c r="A35">
        <f>A33+1</f>
        <v>34</v>
      </c>
      <c r="B35">
        <v>1</v>
      </c>
      <c r="C35" t="str" cm="1">
        <f t="array" ref="C35">GetValue("Cli",B35,"Name")</f>
        <v>SoftLab</v>
      </c>
      <c r="D35">
        <v>4</v>
      </c>
      <c r="E35" t="str" cm="1">
        <f t="array" ref="E35">GetValue("Typ",D35,"Name")</f>
        <v>char(n)</v>
      </c>
      <c r="F35" t="str" cm="1">
        <f t="array" ref="F35">GetValue("Typ",D35,"#CategoryName")</f>
        <v>string</v>
      </c>
      <c r="G35" t="s">
        <v>803</v>
      </c>
      <c r="H35">
        <v>10</v>
      </c>
      <c r="J35" s="11" t="s">
        <v>804</v>
      </c>
    </row>
    <row r="36" spans="1:15" x14ac:dyDescent="0.3">
      <c r="A36">
        <f>A34+1</f>
        <v>33</v>
      </c>
      <c r="B36">
        <v>1</v>
      </c>
      <c r="C36" t="str" cm="1">
        <f t="array" ref="C36">GetValue("Cli",B36,"Name")</f>
        <v>SoftLab</v>
      </c>
      <c r="D36">
        <v>4</v>
      </c>
      <c r="E36" t="str" cm="1">
        <f t="array" ref="E36">GetValue("Typ",D36,"Name")</f>
        <v>char(n)</v>
      </c>
      <c r="F36" t="str" cm="1">
        <f t="array" ref="F36">GetValue("Typ",D36,"#CategoryName")</f>
        <v>string</v>
      </c>
      <c r="G36" t="s">
        <v>806</v>
      </c>
      <c r="H36">
        <v>10</v>
      </c>
      <c r="J36" s="11" t="s">
        <v>807</v>
      </c>
    </row>
    <row r="37" spans="1:15" x14ac:dyDescent="0.3">
      <c r="A37">
        <f>A35+1</f>
        <v>35</v>
      </c>
      <c r="B37">
        <v>1</v>
      </c>
      <c r="C37" t="str" cm="1">
        <f t="array" ref="C37">GetValue("Cli",B37,"Name")</f>
        <v>SoftLab</v>
      </c>
      <c r="D37">
        <v>4</v>
      </c>
      <c r="E37" t="str" cm="1">
        <f t="array" ref="E37">GetValue("Typ",D37,"Name")</f>
        <v>char(n)</v>
      </c>
      <c r="F37" t="str" cm="1">
        <f t="array" ref="F37">GetValue("Typ",D37,"#CategoryName")</f>
        <v>string</v>
      </c>
      <c r="G37" t="s">
        <v>813</v>
      </c>
      <c r="H37">
        <v>25</v>
      </c>
      <c r="J37" s="11" t="s">
        <v>814</v>
      </c>
    </row>
    <row r="39" spans="1:15" x14ac:dyDescent="0.3">
      <c r="G39" s="6"/>
    </row>
    <row r="40" spans="1:15" x14ac:dyDescent="0.3">
      <c r="G40" s="6"/>
    </row>
    <row r="41" spans="1:15" x14ac:dyDescent="0.3">
      <c r="G41" s="6"/>
      <c r="J41" s="11"/>
    </row>
    <row r="42" spans="1:15" x14ac:dyDescent="0.3">
      <c r="G42" s="6"/>
      <c r="J42" s="11"/>
    </row>
    <row r="43" spans="1:15" x14ac:dyDescent="0.3">
      <c r="G43" s="6"/>
      <c r="J43" s="11"/>
    </row>
    <row r="44" spans="1:15" x14ac:dyDescent="0.3">
      <c r="G44" s="6"/>
      <c r="J44" s="11"/>
    </row>
    <row r="45" spans="1:15" x14ac:dyDescent="0.3">
      <c r="G45" s="6"/>
      <c r="J45" s="11"/>
    </row>
    <row r="46" spans="1:15" x14ac:dyDescent="0.3">
      <c r="G46" s="6"/>
    </row>
    <row r="47" spans="1:15" x14ac:dyDescent="0.3">
      <c r="G47" s="6"/>
    </row>
    <row r="48" spans="1:15" x14ac:dyDescent="0.3">
      <c r="G48" s="6"/>
    </row>
    <row r="49" spans="7:7" x14ac:dyDescent="0.3">
      <c r="G49" s="6"/>
    </row>
    <row r="50" spans="7:7" x14ac:dyDescent="0.3">
      <c r="G50" s="6"/>
    </row>
    <row r="51" spans="7:7" x14ac:dyDescent="0.3">
      <c r="G51" s="6"/>
    </row>
    <row r="52" spans="7:7" x14ac:dyDescent="0.3">
      <c r="G52" s="6"/>
    </row>
    <row r="53" spans="7:7" x14ac:dyDescent="0.3">
      <c r="G53" s="6"/>
    </row>
    <row r="54" spans="7:7" x14ac:dyDescent="0.3">
      <c r="G54" s="6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6638-DE43-4228-88A6-495172C8E57B}">
  <sheetPr codeName="Planilha19"/>
  <dimension ref="A1:I331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9.5546875" defaultRowHeight="14.4" x14ac:dyDescent="0.3"/>
  <cols>
    <col min="1" max="1" width="9.33203125" bestFit="1" customWidth="1"/>
    <col min="2" max="2" width="12.6640625" bestFit="1" customWidth="1"/>
    <col min="3" max="3" width="10.21875" bestFit="1" customWidth="1"/>
    <col min="4" max="4" width="13.6640625" bestFit="1" customWidth="1"/>
    <col min="5" max="5" width="7.77734375" bestFit="1" customWidth="1"/>
    <col min="6" max="6" width="24.6640625" bestFit="1" customWidth="1"/>
    <col min="7" max="7" width="14.44140625" bestFit="1" customWidth="1"/>
    <col min="8" max="8" width="16.109375" bestFit="1" customWidth="1"/>
    <col min="9" max="9" width="24.6640625" bestFit="1" customWidth="1"/>
  </cols>
  <sheetData>
    <row r="1" spans="1:9" s="1" customFormat="1" x14ac:dyDescent="0.3">
      <c r="A1" s="1" t="s">
        <v>727</v>
      </c>
      <c r="B1" s="1" t="s">
        <v>505</v>
      </c>
      <c r="C1" s="1" t="s">
        <v>730</v>
      </c>
      <c r="D1" s="1" t="s">
        <v>308</v>
      </c>
      <c r="E1" s="1" t="s">
        <v>734</v>
      </c>
      <c r="F1" s="1" t="s">
        <v>302</v>
      </c>
      <c r="G1" s="1" t="s">
        <v>732</v>
      </c>
      <c r="H1" s="1" t="s">
        <v>733</v>
      </c>
      <c r="I1" s="1" t="s">
        <v>324</v>
      </c>
    </row>
    <row r="2" spans="1:9" x14ac:dyDescent="0.3">
      <c r="A2">
        <v>1</v>
      </c>
      <c r="B2" t="str" cm="1">
        <f t="array" ref="B2">GetValue("Eng",A2,"Name")</f>
        <v>SQL Server</v>
      </c>
      <c r="C2">
        <v>1</v>
      </c>
      <c r="D2" t="str" cm="1">
        <f t="array" ref="D2">GetValue("Dmn",C2,"Name")</f>
        <v>BigInteger</v>
      </c>
      <c r="E2" cm="1">
        <f t="array" ref="E2">GetValue("Dmn",C2,"TypeId")</f>
        <v>1</v>
      </c>
      <c r="F2" t="str" cm="1">
        <f t="array" ref="F2">GetValue("EngTyp",A2&amp;";"&amp;E2,"Name")</f>
        <v>bigint</v>
      </c>
      <c r="G2" t="str" cm="1">
        <f t="array" ref="G2">GetValue("Dmn",C2,"Length")</f>
        <v/>
      </c>
      <c r="H2" t="str" cm="1">
        <f t="array" ref="H2">GetValue("Dmn",C2,"Decimals")</f>
        <v/>
      </c>
      <c r="I2" t="str" cm="1">
        <f t="array" ref="I2">GetDataType(F2,G2,H2)</f>
        <v>bigint</v>
      </c>
    </row>
    <row r="3" spans="1:9" x14ac:dyDescent="0.3">
      <c r="A3">
        <v>1</v>
      </c>
      <c r="B3" t="str" cm="1">
        <f t="array" ref="B3">GetValue("Eng",A3,"Name")</f>
        <v>SQL Server</v>
      </c>
      <c r="C3">
        <f>C2+1</f>
        <v>2</v>
      </c>
      <c r="D3" t="str" cm="1">
        <f t="array" ref="D3">GetValue("Dmn",C3,"Name")</f>
        <v>Integer</v>
      </c>
      <c r="E3" cm="1">
        <f t="array" ref="E3">GetValue("Dmn",C3,"TypeId")</f>
        <v>15</v>
      </c>
      <c r="F3" t="str" cm="1">
        <f t="array" ref="F3">GetValue("EngTyp",A3&amp;";"&amp;E3,"Name")</f>
        <v>int</v>
      </c>
      <c r="G3" t="str" cm="1">
        <f t="array" ref="G3">GetValue("Dmn",C3,"Length")</f>
        <v/>
      </c>
      <c r="H3" t="str" cm="1">
        <f t="array" ref="H3">GetValue("Dmn",C3,"Decimals")</f>
        <v/>
      </c>
      <c r="I3" t="str" cm="1">
        <f t="array" ref="I3">GetDataType(F3,G3,H3)</f>
        <v>int</v>
      </c>
    </row>
    <row r="4" spans="1:9" x14ac:dyDescent="0.3">
      <c r="A4">
        <v>1</v>
      </c>
      <c r="B4" t="str" cm="1">
        <f t="array" ref="B4">GetValue("Eng",A4,"Name")</f>
        <v>SQL Server</v>
      </c>
      <c r="C4">
        <f t="shared" ref="C4:C34" si="0">C3+1</f>
        <v>3</v>
      </c>
      <c r="D4" t="str" cm="1">
        <f t="array" ref="D4">GetValue("Dmn",C4,"Name")</f>
        <v>ShortInteger</v>
      </c>
      <c r="E4" cm="1">
        <f t="array" ref="E4">GetValue("Dmn",C4,"TypeId")</f>
        <v>15</v>
      </c>
      <c r="F4" t="str" cm="1">
        <f t="array" ref="F4">GetValue("EngTyp",A4&amp;";"&amp;E4,"Name")</f>
        <v>int</v>
      </c>
      <c r="G4" t="str" cm="1">
        <f t="array" ref="G4">GetValue("Dmn",C4,"Length")</f>
        <v/>
      </c>
      <c r="H4" t="str" cm="1">
        <f t="array" ref="H4">GetValue("Dmn",C4,"Decimals")</f>
        <v/>
      </c>
      <c r="I4" t="str" cm="1">
        <f t="array" ref="I4">GetDataType(F4,G4,H4)</f>
        <v>int</v>
      </c>
    </row>
    <row r="5" spans="1:9" x14ac:dyDescent="0.3">
      <c r="A5">
        <v>1</v>
      </c>
      <c r="B5" t="str" cm="1">
        <f t="array" ref="B5">GetValue("Eng",A5,"Name")</f>
        <v>SQL Server</v>
      </c>
      <c r="C5">
        <f t="shared" si="0"/>
        <v>4</v>
      </c>
      <c r="D5" t="str" cm="1">
        <f t="array" ref="D5">GetValue("Dmn",C5,"Name")</f>
        <v>SmallInteger</v>
      </c>
      <c r="E5" cm="1">
        <f t="array" ref="E5">GetValue("Dmn",C5,"TypeId")</f>
        <v>24</v>
      </c>
      <c r="F5" t="str" cm="1">
        <f t="array" ref="F5">GetValue("EngTyp",A5&amp;";"&amp;E5,"Name")</f>
        <v>smallint</v>
      </c>
      <c r="G5" t="str" cm="1">
        <f t="array" ref="G5">GetValue("Dmn",C5,"Length")</f>
        <v/>
      </c>
      <c r="H5" t="str" cm="1">
        <f t="array" ref="H5">GetValue("Dmn",C5,"Decimals")</f>
        <v/>
      </c>
      <c r="I5" t="str" cm="1">
        <f t="array" ref="I5">GetDataType(F5,G5,H5)</f>
        <v>smallint</v>
      </c>
    </row>
    <row r="6" spans="1:9" x14ac:dyDescent="0.3">
      <c r="A6">
        <v>1</v>
      </c>
      <c r="B6" t="str" cm="1">
        <f t="array" ref="B6">GetValue("Eng",A6,"Name")</f>
        <v>SQL Server</v>
      </c>
      <c r="C6">
        <f t="shared" si="0"/>
        <v>5</v>
      </c>
      <c r="D6" t="str" cm="1">
        <f t="array" ref="D6">GetValue("Dmn",C6,"Name")</f>
        <v>TinyInteger</v>
      </c>
      <c r="E6" cm="1">
        <f t="array" ref="E6">GetValue("Dmn",C6,"TypeId")</f>
        <v>31</v>
      </c>
      <c r="F6" t="str" cm="1">
        <f t="array" ref="F6">GetValue("EngTyp",A6&amp;";"&amp;E6,"Name")</f>
        <v>tinyint</v>
      </c>
      <c r="G6" t="str" cm="1">
        <f t="array" ref="G6">GetValue("Dmn",C6,"Length")</f>
        <v/>
      </c>
      <c r="H6" t="str" cm="1">
        <f t="array" ref="H6">GetValue("Dmn",C6,"Decimals")</f>
        <v/>
      </c>
      <c r="I6" t="str" cm="1">
        <f t="array" ref="I6">GetDataType(F6,G6,H6)</f>
        <v>tinyint</v>
      </c>
    </row>
    <row r="7" spans="1:9" x14ac:dyDescent="0.3">
      <c r="A7">
        <v>1</v>
      </c>
      <c r="B7" t="str" cm="1">
        <f t="array" ref="B7">GetValue("Eng",A7,"Name")</f>
        <v>SQL Server</v>
      </c>
      <c r="C7">
        <f t="shared" si="0"/>
        <v>6</v>
      </c>
      <c r="D7" t="str" cm="1">
        <f t="array" ref="D7">GetValue("Dmn",C7,"Name")</f>
        <v>Boolean</v>
      </c>
      <c r="E7" cm="1">
        <f t="array" ref="E7">GetValue("Dmn",C7,"TypeId")</f>
        <v>3</v>
      </c>
      <c r="F7" t="str" cm="1">
        <f t="array" ref="F7">GetValue("EngTyp",A7&amp;";"&amp;E7,"Name")</f>
        <v>bit</v>
      </c>
      <c r="G7" t="str" cm="1">
        <f t="array" ref="G7">GetValue("Dmn",C7,"Length")</f>
        <v/>
      </c>
      <c r="H7" t="str" cm="1">
        <f t="array" ref="H7">GetValue("Dmn",C7,"Decimals")</f>
        <v/>
      </c>
      <c r="I7" t="str" cm="1">
        <f t="array" ref="I7">GetDataType(F7,G7,H7)</f>
        <v>bit</v>
      </c>
    </row>
    <row r="8" spans="1:9" x14ac:dyDescent="0.3">
      <c r="A8">
        <v>1</v>
      </c>
      <c r="B8" t="str" cm="1">
        <f t="array" ref="B8">GetValue("Eng",A8,"Name")</f>
        <v>SQL Server</v>
      </c>
      <c r="C8">
        <f t="shared" si="0"/>
        <v>7</v>
      </c>
      <c r="D8" t="str" cm="1">
        <f t="array" ref="D8">GetValue("Dmn",C8,"Name")</f>
        <v>DateTime</v>
      </c>
      <c r="E8" cm="1">
        <f t="array" ref="E8">GetValue("Dmn",C8,"TypeId")</f>
        <v>6</v>
      </c>
      <c r="F8" t="str" cm="1">
        <f t="array" ref="F8">GetValue("EngTyp",A8&amp;";"&amp;E8,"Name")</f>
        <v>datetime</v>
      </c>
      <c r="G8" t="str" cm="1">
        <f t="array" ref="G8">GetValue("Dmn",C8,"Length")</f>
        <v/>
      </c>
      <c r="H8" t="str" cm="1">
        <f t="array" ref="H8">GetValue("Dmn",C8,"Decimals")</f>
        <v/>
      </c>
      <c r="I8" t="str" cm="1">
        <f t="array" ref="I8">GetDataType(F8,G8,H8)</f>
        <v>datetime</v>
      </c>
    </row>
    <row r="9" spans="1:9" x14ac:dyDescent="0.3">
      <c r="A9">
        <v>1</v>
      </c>
      <c r="B9" t="str" cm="1">
        <f t="array" ref="B9">GetValue("Eng",A9,"Name")</f>
        <v>SQL Server</v>
      </c>
      <c r="C9">
        <f t="shared" si="0"/>
        <v>8</v>
      </c>
      <c r="D9" t="str" cm="1">
        <f t="array" ref="D9">GetValue("Dmn",C9,"Name")</f>
        <v>Nvarchar(15)</v>
      </c>
      <c r="E9" cm="1">
        <f t="array" ref="E9">GetValue("Dmn",C9,"TypeId")</f>
        <v>20</v>
      </c>
      <c r="F9" t="str" cm="1">
        <f t="array" ref="F9">GetValue("EngTyp",A9&amp;";"&amp;E9,"Name")</f>
        <v>nvarchar</v>
      </c>
      <c r="G9" cm="1">
        <f t="array" ref="G9">GetValue("Dmn",C9,"Length")</f>
        <v>15</v>
      </c>
      <c r="H9" t="str" cm="1">
        <f t="array" ref="H9">GetValue("Dmn",C9,"Decimals")</f>
        <v/>
      </c>
      <c r="I9" t="str" cm="1">
        <f t="array" ref="I9">GetDataType(F9,G9,H9)</f>
        <v>nvarchar(15)</v>
      </c>
    </row>
    <row r="10" spans="1:9" x14ac:dyDescent="0.3">
      <c r="A10">
        <v>1</v>
      </c>
      <c r="B10" t="str" cm="1">
        <f t="array" ref="B10">GetValue("Eng",A10,"Name")</f>
        <v>SQL Server</v>
      </c>
      <c r="C10">
        <f t="shared" si="0"/>
        <v>9</v>
      </c>
      <c r="D10" t="str" cm="1">
        <f t="array" ref="D10">GetValue("Dmn",C10,"Name")</f>
        <v>Nvarchar(20)</v>
      </c>
      <c r="E10" cm="1">
        <f t="array" ref="E10">GetValue("Dmn",C10,"TypeId")</f>
        <v>20</v>
      </c>
      <c r="F10" t="str" cm="1">
        <f t="array" ref="F10">GetValue("EngTyp",A10&amp;";"&amp;E10,"Name")</f>
        <v>nvarchar</v>
      </c>
      <c r="G10" cm="1">
        <f t="array" ref="G10">GetValue("Dmn",C10,"Length")</f>
        <v>20</v>
      </c>
      <c r="H10" t="str" cm="1">
        <f t="array" ref="H10">GetValue("Dmn",C10,"Decimals")</f>
        <v/>
      </c>
      <c r="I10" t="str" cm="1">
        <f t="array" ref="I10">GetDataType(F10,G10,H10)</f>
        <v>nvarchar(20)</v>
      </c>
    </row>
    <row r="11" spans="1:9" x14ac:dyDescent="0.3">
      <c r="A11">
        <v>1</v>
      </c>
      <c r="B11" t="str" cm="1">
        <f t="array" ref="B11">GetValue("Eng",A11,"Name")</f>
        <v>SQL Server</v>
      </c>
      <c r="C11">
        <f t="shared" si="0"/>
        <v>10</v>
      </c>
      <c r="D11" t="str" cm="1">
        <f t="array" ref="D11">GetValue("Dmn",C11,"Name")</f>
        <v>Nvarchar(25)</v>
      </c>
      <c r="E11" cm="1">
        <f t="array" ref="E11">GetValue("Dmn",C11,"TypeId")</f>
        <v>20</v>
      </c>
      <c r="F11" t="str" cm="1">
        <f t="array" ref="F11">GetValue("EngTyp",A11&amp;";"&amp;E11,"Name")</f>
        <v>nvarchar</v>
      </c>
      <c r="G11" cm="1">
        <f t="array" ref="G11">GetValue("Dmn",C11,"Length")</f>
        <v>25</v>
      </c>
      <c r="H11" t="str" cm="1">
        <f t="array" ref="H11">GetValue("Dmn",C11,"Decimals")</f>
        <v/>
      </c>
      <c r="I11" t="str" cm="1">
        <f t="array" ref="I11">GetDataType(F11,G11,H11)</f>
        <v>nvarchar(25)</v>
      </c>
    </row>
    <row r="12" spans="1:9" x14ac:dyDescent="0.3">
      <c r="A12">
        <v>1</v>
      </c>
      <c r="B12" t="str" cm="1">
        <f t="array" ref="B12">GetValue("Eng",A12,"Name")</f>
        <v>SQL Server</v>
      </c>
      <c r="C12">
        <f t="shared" si="0"/>
        <v>11</v>
      </c>
      <c r="D12" t="str" cm="1">
        <f t="array" ref="D12">GetValue("Dmn",C12,"Name")</f>
        <v>Nvarchar(50)</v>
      </c>
      <c r="E12" cm="1">
        <f t="array" ref="E12">GetValue("Dmn",C12,"TypeId")</f>
        <v>20</v>
      </c>
      <c r="F12" t="str" cm="1">
        <f t="array" ref="F12">GetValue("EngTyp",A12&amp;";"&amp;E12,"Name")</f>
        <v>nvarchar</v>
      </c>
      <c r="G12" cm="1">
        <f t="array" ref="G12">GetValue("Dmn",C12,"Length")</f>
        <v>50</v>
      </c>
      <c r="H12" t="str" cm="1">
        <f t="array" ref="H12">GetValue("Dmn",C12,"Decimals")</f>
        <v/>
      </c>
      <c r="I12" t="str" cm="1">
        <f t="array" ref="I12">GetDataType(F12,G12,H12)</f>
        <v>nvarchar(50)</v>
      </c>
    </row>
    <row r="13" spans="1:9" x14ac:dyDescent="0.3">
      <c r="A13">
        <v>1</v>
      </c>
      <c r="B13" t="str" cm="1">
        <f t="array" ref="B13">GetValue("Eng",A13,"Name")</f>
        <v>SQL Server</v>
      </c>
      <c r="C13">
        <f t="shared" si="0"/>
        <v>12</v>
      </c>
      <c r="D13" t="str" cm="1">
        <f t="array" ref="D13">GetValue("Dmn",C13,"Name")</f>
        <v>Nvarchar(256)</v>
      </c>
      <c r="E13" cm="1">
        <f t="array" ref="E13">GetValue("Dmn",C13,"TypeId")</f>
        <v>20</v>
      </c>
      <c r="F13" t="str" cm="1">
        <f t="array" ref="F13">GetValue("EngTyp",A13&amp;";"&amp;E13,"Name")</f>
        <v>nvarchar</v>
      </c>
      <c r="G13" cm="1">
        <f t="array" ref="G13">GetValue("Dmn",C13,"Length")</f>
        <v>256</v>
      </c>
      <c r="H13" t="str" cm="1">
        <f t="array" ref="H13">GetValue("Dmn",C13,"Decimals")</f>
        <v/>
      </c>
      <c r="I13" t="str" cm="1">
        <f t="array" ref="I13">GetDataType(F13,G13,H13)</f>
        <v>nvarchar(256)</v>
      </c>
    </row>
    <row r="14" spans="1:9" x14ac:dyDescent="0.3">
      <c r="A14">
        <v>1</v>
      </c>
      <c r="B14" t="str" cm="1">
        <f t="array" ref="B14">GetValue("Eng",A14,"Name")</f>
        <v>SQL Server</v>
      </c>
      <c r="C14">
        <f t="shared" si="0"/>
        <v>13</v>
      </c>
      <c r="D14" t="str" cm="1">
        <f t="array" ref="D14">GetValue("Dmn",C14,"Name")</f>
        <v>Variant</v>
      </c>
      <c r="E14" cm="1">
        <f t="array" ref="E14">GetValue("Dmn",C14,"TypeId")</f>
        <v>20</v>
      </c>
      <c r="F14" t="str" cm="1">
        <f t="array" ref="F14">GetValue("EngTyp",A14&amp;";"&amp;E14,"Name")</f>
        <v>nvarchar</v>
      </c>
      <c r="G14" t="str" cm="1">
        <f t="array" ref="G14">GetValue("Dmn",C14,"Length")</f>
        <v/>
      </c>
      <c r="H14" t="str" cm="1">
        <f t="array" ref="H14">GetValue("Dmn",C14,"Decimals")</f>
        <v/>
      </c>
      <c r="I14" t="str" cm="1">
        <f t="array" ref="I14">GetDataType(F14,G14,H14)</f>
        <v>nvarchar</v>
      </c>
    </row>
    <row r="15" spans="1:9" x14ac:dyDescent="0.3">
      <c r="A15">
        <v>1</v>
      </c>
      <c r="B15" t="str" cm="1">
        <f t="array" ref="B15">GetValue("Eng",A15,"Name")</f>
        <v>SQL Server</v>
      </c>
      <c r="C15">
        <f t="shared" si="0"/>
        <v>14</v>
      </c>
      <c r="D15" t="str" cm="1">
        <f t="array" ref="D15">GetValue("Dmn",C15,"Name")</f>
        <v>Codification</v>
      </c>
      <c r="E15" cm="1">
        <f t="array" ref="E15">GetValue("Dmn",C15,"TypeId")</f>
        <v>20</v>
      </c>
      <c r="F15" t="str" cm="1">
        <f t="array" ref="F15">GetValue("EngTyp",A15&amp;";"&amp;E15,"Name")</f>
        <v>nvarchar</v>
      </c>
      <c r="G15" cm="1">
        <f t="array" ref="G15">GetValue("Dmn",C15,"Length")</f>
        <v>5</v>
      </c>
      <c r="H15" t="str" cm="1">
        <f t="array" ref="H15">GetValue("Dmn",C15,"Decimals")</f>
        <v/>
      </c>
      <c r="I15" t="str" cm="1">
        <f t="array" ref="I15">GetDataType(F15,G15,H15)</f>
        <v>nvarchar(5)</v>
      </c>
    </row>
    <row r="16" spans="1:9" x14ac:dyDescent="0.3">
      <c r="A16">
        <v>1</v>
      </c>
      <c r="B16" t="str" cm="1">
        <f t="array" ref="B16">GetValue("Eng",A16,"Name")</f>
        <v>SQL Server</v>
      </c>
      <c r="C16">
        <f t="shared" si="0"/>
        <v>15</v>
      </c>
      <c r="D16" t="str" cm="1">
        <f t="array" ref="D16">GetValue("Dmn",C16,"Name")</f>
        <v>Operation</v>
      </c>
      <c r="E16" cm="1">
        <f t="array" ref="E16">GetValue("Dmn",C16,"TypeId")</f>
        <v>20</v>
      </c>
      <c r="F16" t="str" cm="1">
        <f t="array" ref="F16">GetValue("EngTyp",A16&amp;";"&amp;E16,"Name")</f>
        <v>nvarchar</v>
      </c>
      <c r="G16" cm="1">
        <f t="array" ref="G16">GetValue("Dmn",C16,"Length")</f>
        <v>15</v>
      </c>
      <c r="H16" t="str" cm="1">
        <f t="array" ref="H16">GetValue("Dmn",C16,"Decimals")</f>
        <v/>
      </c>
      <c r="I16" t="str" cm="1">
        <f t="array" ref="I16">GetDataType(F16,G16,H16)</f>
        <v>nvarchar(15)</v>
      </c>
    </row>
    <row r="17" spans="1:9" x14ac:dyDescent="0.3">
      <c r="A17">
        <v>1</v>
      </c>
      <c r="B17" t="str" cm="1">
        <f t="array" ref="B17">GetValue("Eng",A17,"Name")</f>
        <v>SQL Server</v>
      </c>
      <c r="C17">
        <f t="shared" si="0"/>
        <v>16</v>
      </c>
      <c r="D17" t="str" cm="1">
        <f t="array" ref="D17">GetValue("Dmn",C17,"Name")</f>
        <v>RAIZ CNPJ</v>
      </c>
      <c r="E17" cm="1">
        <f t="array" ref="E17">GetValue("Dmn",C17,"TypeId")</f>
        <v>20</v>
      </c>
      <c r="F17" t="str" cm="1">
        <f t="array" ref="F17">GetValue("EngTyp",A17&amp;";"&amp;E17,"Name")</f>
        <v>nvarchar</v>
      </c>
      <c r="G17" cm="1">
        <f t="array" ref="G17">GetValue("Dmn",C17,"Length")</f>
        <v>8</v>
      </c>
      <c r="H17" t="str" cm="1">
        <f t="array" ref="H17">GetValue("Dmn",C17,"Decimals")</f>
        <v/>
      </c>
      <c r="I17" t="str" cm="1">
        <f t="array" ref="I17">GetDataType(F17,G17,H17)</f>
        <v>nvarchar(8)</v>
      </c>
    </row>
    <row r="18" spans="1:9" x14ac:dyDescent="0.3">
      <c r="A18">
        <v>1</v>
      </c>
      <c r="B18" t="str" cm="1">
        <f t="array" ref="B18">GetValue("Eng",A18,"Name")</f>
        <v>SQL Server</v>
      </c>
      <c r="C18">
        <f t="shared" si="0"/>
        <v>17</v>
      </c>
      <c r="D18" t="str" cm="1">
        <f t="array" ref="D18">GetValue("Dmn",C18,"Name")</f>
        <v>CPF</v>
      </c>
      <c r="E18" cm="1">
        <f t="array" ref="E18">GetValue("Dmn",C18,"TypeId")</f>
        <v>20</v>
      </c>
      <c r="F18" t="str" cm="1">
        <f t="array" ref="F18">GetValue("EngTyp",A18&amp;";"&amp;E18,"Name")</f>
        <v>nvarchar</v>
      </c>
      <c r="G18" cm="1">
        <f t="array" ref="G18">GetValue("Dmn",C18,"Length")</f>
        <v>11</v>
      </c>
      <c r="H18" t="str" cm="1">
        <f t="array" ref="H18">GetValue("Dmn",C18,"Decimals")</f>
        <v/>
      </c>
      <c r="I18" t="str" cm="1">
        <f t="array" ref="I18">GetDataType(F18,G18,H18)</f>
        <v>nvarchar(11)</v>
      </c>
    </row>
    <row r="19" spans="1:9" x14ac:dyDescent="0.3">
      <c r="A19">
        <v>1</v>
      </c>
      <c r="B19" t="str" cm="1">
        <f t="array" ref="B19">GetValue("Eng",A19,"Name")</f>
        <v>SQL Server</v>
      </c>
      <c r="C19">
        <f t="shared" si="0"/>
        <v>18</v>
      </c>
      <c r="D19" t="str" cm="1">
        <f t="array" ref="D19">GetValue("Dmn",C19,"Name")</f>
        <v>CNPJ</v>
      </c>
      <c r="E19" cm="1">
        <f t="array" ref="E19">GetValue("Dmn",C19,"TypeId")</f>
        <v>20</v>
      </c>
      <c r="F19" t="str" cm="1">
        <f t="array" ref="F19">GetValue("EngTyp",A19&amp;";"&amp;E19,"Name")</f>
        <v>nvarchar</v>
      </c>
      <c r="G19" cm="1">
        <f t="array" ref="G19">GetValue("Dmn",C19,"Length")</f>
        <v>14</v>
      </c>
      <c r="H19" t="str" cm="1">
        <f t="array" ref="H19">GetValue("Dmn",C19,"Decimals")</f>
        <v/>
      </c>
      <c r="I19" t="str" cm="1">
        <f t="array" ref="I19">GetDataType(F19,G19,H19)</f>
        <v>nvarchar(14)</v>
      </c>
    </row>
    <row r="20" spans="1:9" x14ac:dyDescent="0.3">
      <c r="A20">
        <v>1</v>
      </c>
      <c r="B20" t="str" cm="1">
        <f t="array" ref="B20">GetValue("Eng",A20,"Name")</f>
        <v>SQL Server</v>
      </c>
      <c r="C20">
        <f t="shared" si="0"/>
        <v>19</v>
      </c>
      <c r="D20" t="str" cm="1">
        <f t="array" ref="D20">GetValue("Dmn",C20,"Name")</f>
        <v>RAIZ/CPF/CNPJ</v>
      </c>
      <c r="E20" cm="1">
        <f t="array" ref="E20">GetValue("Dmn",C20,"TypeId")</f>
        <v>20</v>
      </c>
      <c r="F20" t="str" cm="1">
        <f t="array" ref="F20">GetValue("EngTyp",A20&amp;";"&amp;E20,"Name")</f>
        <v>nvarchar</v>
      </c>
      <c r="G20" cm="1">
        <f t="array" ref="G20">GetValue("Dmn",C20,"Length")</f>
        <v>14</v>
      </c>
      <c r="H20" t="str" cm="1">
        <f t="array" ref="H20">GetValue("Dmn",C20,"Decimals")</f>
        <v/>
      </c>
      <c r="I20" t="str" cm="1">
        <f t="array" ref="I20">GetDataType(F20,G20,H20)</f>
        <v>nvarchar(14)</v>
      </c>
    </row>
    <row r="21" spans="1:9" x14ac:dyDescent="0.3">
      <c r="A21">
        <v>1</v>
      </c>
      <c r="B21" t="str" cm="1">
        <f t="array" ref="B21">GetValue("Eng",A21,"Name")</f>
        <v>SQL Server</v>
      </c>
      <c r="C21">
        <f t="shared" si="0"/>
        <v>20</v>
      </c>
      <c r="D21" t="str" cm="1">
        <f t="array" ref="D21">GetValue("Dmn",C21,"Name")</f>
        <v>CAEPF</v>
      </c>
      <c r="E21" cm="1">
        <f t="array" ref="E21">GetValue("Dmn",C21,"TypeId")</f>
        <v>20</v>
      </c>
      <c r="F21" t="str" cm="1">
        <f t="array" ref="F21">GetValue("EngTyp",A21&amp;";"&amp;E21,"Name")</f>
        <v>nvarchar</v>
      </c>
      <c r="G21" cm="1">
        <f t="array" ref="G21">GetValue("Dmn",C21,"Length")</f>
        <v>14</v>
      </c>
      <c r="H21" t="str" cm="1">
        <f t="array" ref="H21">GetValue("Dmn",C21,"Decimals")</f>
        <v/>
      </c>
      <c r="I21" t="str" cm="1">
        <f t="array" ref="I21">GetDataType(F21,G21,H21)</f>
        <v>nvarchar(14)</v>
      </c>
    </row>
    <row r="22" spans="1:9" x14ac:dyDescent="0.3">
      <c r="A22">
        <v>1</v>
      </c>
      <c r="B22" t="str" cm="1">
        <f t="array" ref="B22">GetValue("Eng",A22,"Name")</f>
        <v>SQL Server</v>
      </c>
      <c r="C22">
        <f t="shared" si="0"/>
        <v>21</v>
      </c>
      <c r="D22" t="str" cm="1">
        <f t="array" ref="D22">GetValue("Dmn",C22,"Name")</f>
        <v>CREDIT CARD</v>
      </c>
      <c r="E22" cm="1">
        <f t="array" ref="E22">GetValue("Dmn",C22,"TypeId")</f>
        <v>20</v>
      </c>
      <c r="F22" t="str" cm="1">
        <f t="array" ref="F22">GetValue("EngTyp",A22&amp;";"&amp;E22,"Name")</f>
        <v>nvarchar</v>
      </c>
      <c r="G22" cm="1">
        <f t="array" ref="G22">GetValue("Dmn",C22,"Length")</f>
        <v>16</v>
      </c>
      <c r="H22" t="str" cm="1">
        <f t="array" ref="H22">GetValue("Dmn",C22,"Decimals")</f>
        <v/>
      </c>
      <c r="I22" t="str" cm="1">
        <f t="array" ref="I22">GetDataType(F22,G22,H22)</f>
        <v>nvarchar(16)</v>
      </c>
    </row>
    <row r="23" spans="1:9" x14ac:dyDescent="0.3">
      <c r="A23">
        <v>1</v>
      </c>
      <c r="B23" t="str" cm="1">
        <f t="array" ref="B23">GetValue("Eng",A23,"Name")</f>
        <v>SQL Server</v>
      </c>
      <c r="C23">
        <f t="shared" si="0"/>
        <v>22</v>
      </c>
      <c r="D23" t="str" cm="1">
        <f t="array" ref="D23">GetValue("Dmn",C23,"Name")</f>
        <v>RENAVAM</v>
      </c>
      <c r="E23" cm="1">
        <f t="array" ref="E23">GetValue("Dmn",C23,"TypeId")</f>
        <v>20</v>
      </c>
      <c r="F23" t="str" cm="1">
        <f t="array" ref="F23">GetValue("EngTyp",A23&amp;";"&amp;E23,"Name")</f>
        <v>nvarchar</v>
      </c>
      <c r="G23" cm="1">
        <f t="array" ref="G23">GetValue("Dmn",C23,"Length")</f>
        <v>11</v>
      </c>
      <c r="H23" t="str" cm="1">
        <f t="array" ref="H23">GetValue("Dmn",C23,"Decimals")</f>
        <v/>
      </c>
      <c r="I23" t="str" cm="1">
        <f t="array" ref="I23">GetDataType(F23,G23,H23)</f>
        <v>nvarchar(11)</v>
      </c>
    </row>
    <row r="24" spans="1:9" x14ac:dyDescent="0.3">
      <c r="A24">
        <v>1</v>
      </c>
      <c r="B24" t="str" cm="1">
        <f t="array" ref="B24">GetValue("Eng",A24,"Name")</f>
        <v>SQL Server</v>
      </c>
      <c r="C24">
        <f t="shared" si="0"/>
        <v>23</v>
      </c>
      <c r="D24" t="str" cm="1">
        <f t="array" ref="D24">GetValue("Dmn",C24,"Name")</f>
        <v>EAN-8</v>
      </c>
      <c r="E24" cm="1">
        <f t="array" ref="E24">GetValue("Dmn",C24,"TypeId")</f>
        <v>20</v>
      </c>
      <c r="F24" t="str" cm="1">
        <f t="array" ref="F24">GetValue("EngTyp",A24&amp;";"&amp;E24,"Name")</f>
        <v>nvarchar</v>
      </c>
      <c r="G24" cm="1">
        <f t="array" ref="G24">GetValue("Dmn",C24,"Length")</f>
        <v>8</v>
      </c>
      <c r="H24" t="str" cm="1">
        <f t="array" ref="H24">GetValue("Dmn",C24,"Decimals")</f>
        <v/>
      </c>
      <c r="I24" t="str" cm="1">
        <f t="array" ref="I24">GetDataType(F24,G24,H24)</f>
        <v>nvarchar(8)</v>
      </c>
    </row>
    <row r="25" spans="1:9" x14ac:dyDescent="0.3">
      <c r="A25">
        <v>1</v>
      </c>
      <c r="B25" t="str" cm="1">
        <f t="array" ref="B25">GetValue("Eng",A25,"Name")</f>
        <v>SQL Server</v>
      </c>
      <c r="C25">
        <f t="shared" si="0"/>
        <v>24</v>
      </c>
      <c r="D25" t="str" cm="1">
        <f t="array" ref="D25">GetValue("Dmn",C25,"Name")</f>
        <v>EAN-13</v>
      </c>
      <c r="E25" cm="1">
        <f t="array" ref="E25">GetValue("Dmn",C25,"TypeId")</f>
        <v>20</v>
      </c>
      <c r="F25" t="str" cm="1">
        <f t="array" ref="F25">GetValue("EngTyp",A25&amp;";"&amp;E25,"Name")</f>
        <v>nvarchar</v>
      </c>
      <c r="G25" cm="1">
        <f t="array" ref="G25">GetValue("Dmn",C25,"Length")</f>
        <v>13</v>
      </c>
      <c r="H25" t="str" cm="1">
        <f t="array" ref="H25">GetValue("Dmn",C25,"Decimals")</f>
        <v/>
      </c>
      <c r="I25" t="str" cm="1">
        <f t="array" ref="I25">GetDataType(F25,G25,H25)</f>
        <v>nvarchar(13)</v>
      </c>
    </row>
    <row r="26" spans="1:9" x14ac:dyDescent="0.3">
      <c r="A26">
        <v>1</v>
      </c>
      <c r="B26" t="str" cm="1">
        <f t="array" ref="B26">GetValue("Eng",A26,"Name")</f>
        <v>SQL Server</v>
      </c>
      <c r="C26">
        <f t="shared" si="0"/>
        <v>25</v>
      </c>
      <c r="D26" t="str" cm="1">
        <f t="array" ref="D26">GetValue("Dmn",C26,"Name")</f>
        <v>ISBN-10</v>
      </c>
      <c r="E26" cm="1">
        <f t="array" ref="E26">GetValue("Dmn",C26,"TypeId")</f>
        <v>20</v>
      </c>
      <c r="F26" t="str" cm="1">
        <f t="array" ref="F26">GetValue("EngTyp",A26&amp;";"&amp;E26,"Name")</f>
        <v>nvarchar</v>
      </c>
      <c r="G26" cm="1">
        <f t="array" ref="G26">GetValue("Dmn",C26,"Length")</f>
        <v>10</v>
      </c>
      <c r="H26" t="str" cm="1">
        <f t="array" ref="H26">GetValue("Dmn",C26,"Decimals")</f>
        <v/>
      </c>
      <c r="I26" t="str" cm="1">
        <f t="array" ref="I26">GetDataType(F26,G26,H26)</f>
        <v>nvarchar(10)</v>
      </c>
    </row>
    <row r="27" spans="1:9" x14ac:dyDescent="0.3">
      <c r="A27">
        <v>1</v>
      </c>
      <c r="B27" t="str" cm="1">
        <f t="array" ref="B27">GetValue("Eng",A27,"Name")</f>
        <v>SQL Server</v>
      </c>
      <c r="C27">
        <f t="shared" si="0"/>
        <v>26</v>
      </c>
      <c r="D27" t="str" cm="1">
        <f t="array" ref="D27">GetValue("Dmn",C27,"Name")</f>
        <v>ISBN-13</v>
      </c>
      <c r="E27" cm="1">
        <f t="array" ref="E27">GetValue("Dmn",C27,"TypeId")</f>
        <v>20</v>
      </c>
      <c r="F27" t="str" cm="1">
        <f t="array" ref="F27">GetValue("EngTyp",A27&amp;";"&amp;E27,"Name")</f>
        <v>nvarchar</v>
      </c>
      <c r="G27" cm="1">
        <f t="array" ref="G27">GetValue("Dmn",C27,"Length")</f>
        <v>13</v>
      </c>
      <c r="H27" t="str" cm="1">
        <f t="array" ref="H27">GetValue("Dmn",C27,"Decimals")</f>
        <v/>
      </c>
      <c r="I27" t="str" cm="1">
        <f t="array" ref="I27">GetDataType(F27,G27,H27)</f>
        <v>nvarchar(13)</v>
      </c>
    </row>
    <row r="28" spans="1:9" x14ac:dyDescent="0.3">
      <c r="A28">
        <v>1</v>
      </c>
      <c r="B28" t="str" cm="1">
        <f t="array" ref="B28">GetValue("Eng",A28,"Name")</f>
        <v>SQL Server</v>
      </c>
      <c r="C28">
        <f t="shared" si="0"/>
        <v>27</v>
      </c>
      <c r="D28" t="str" cm="1">
        <f t="array" ref="D28">GetValue("Dmn",C28,"Name")</f>
        <v>ISSN</v>
      </c>
      <c r="E28" cm="1">
        <f t="array" ref="E28">GetValue("Dmn",C28,"TypeId")</f>
        <v>20</v>
      </c>
      <c r="F28" t="str" cm="1">
        <f t="array" ref="F28">GetValue("EngTyp",A28&amp;";"&amp;E28,"Name")</f>
        <v>nvarchar</v>
      </c>
      <c r="G28" cm="1">
        <f t="array" ref="G28">GetValue("Dmn",C28,"Length")</f>
        <v>8</v>
      </c>
      <c r="H28" t="str" cm="1">
        <f t="array" ref="H28">GetValue("Dmn",C28,"Decimals")</f>
        <v/>
      </c>
      <c r="I28" t="str" cm="1">
        <f t="array" ref="I28">GetDataType(F28,G28,H28)</f>
        <v>nvarchar(8)</v>
      </c>
    </row>
    <row r="29" spans="1:9" x14ac:dyDescent="0.3">
      <c r="A29">
        <v>1</v>
      </c>
      <c r="B29" t="str" cm="1">
        <f t="array" ref="B29">GetValue("Eng",A29,"Name")</f>
        <v>SQL Server</v>
      </c>
      <c r="C29">
        <f t="shared" si="0"/>
        <v>28</v>
      </c>
      <c r="D29" t="str" cm="1">
        <f t="array" ref="D29">GetValue("Dmn",C29,"Name")</f>
        <v>JS</v>
      </c>
      <c r="E29" cm="1">
        <f t="array" ref="E29">GetValue("Dmn",C29,"TypeId")</f>
        <v>21</v>
      </c>
      <c r="F29" t="str" cm="1">
        <f t="array" ref="F29">GetValue("EngTyp",A29&amp;";"&amp;E29,"Name")</f>
        <v>nvarchar(max)</v>
      </c>
      <c r="G29" t="str" cm="1">
        <f t="array" ref="G29">GetValue("Dmn",C29,"Length")</f>
        <v/>
      </c>
      <c r="H29" t="str" cm="1">
        <f t="array" ref="H29">GetValue("Dmn",C29,"Decimals")</f>
        <v/>
      </c>
      <c r="I29" t="str" cm="1">
        <f t="array" ref="I29">GetDataType(F29,G29,H29)</f>
        <v>nvarchar(max)</v>
      </c>
    </row>
    <row r="30" spans="1:9" x14ac:dyDescent="0.3">
      <c r="A30">
        <v>1</v>
      </c>
      <c r="B30" t="str" cm="1">
        <f t="array" ref="B30">GetValue("Eng",A30,"Name")</f>
        <v>SQL Server</v>
      </c>
      <c r="C30">
        <f t="shared" si="0"/>
        <v>29</v>
      </c>
      <c r="D30" t="str" cm="1">
        <f t="array" ref="D30">GetValue("Dmn",C30,"Name")</f>
        <v>SQL</v>
      </c>
      <c r="E30" cm="1">
        <f t="array" ref="E30">GetValue("Dmn",C30,"TypeId")</f>
        <v>21</v>
      </c>
      <c r="F30" t="str" cm="1">
        <f t="array" ref="F30">GetValue("EngTyp",A30&amp;";"&amp;E30,"Name")</f>
        <v>nvarchar(max)</v>
      </c>
      <c r="G30" t="str" cm="1">
        <f t="array" ref="G30">GetValue("Dmn",C30,"Length")</f>
        <v/>
      </c>
      <c r="H30" t="str" cm="1">
        <f t="array" ref="H30">GetValue("Dmn",C30,"Decimals")</f>
        <v/>
      </c>
      <c r="I30" t="str" cm="1">
        <f t="array" ref="I30">GetDataType(F30,G30,H30)</f>
        <v>nvarchar(max)</v>
      </c>
    </row>
    <row r="31" spans="1:9" x14ac:dyDescent="0.3">
      <c r="A31">
        <v>1</v>
      </c>
      <c r="B31" t="str" cm="1">
        <f t="array" ref="B31">GetValue("Eng",A31,"Name")</f>
        <v>SQL Server</v>
      </c>
      <c r="C31">
        <f t="shared" si="0"/>
        <v>30</v>
      </c>
      <c r="D31" t="str" cm="1">
        <f t="array" ref="D31">GetValue("Dmn",C31,"Name")</f>
        <v>Nvarchar(MAX)</v>
      </c>
      <c r="E31" cm="1">
        <f t="array" ref="E31">GetValue("Dmn",C31,"TypeId")</f>
        <v>21</v>
      </c>
      <c r="F31" t="str" cm="1">
        <f t="array" ref="F31">GetValue("EngTyp",A31&amp;";"&amp;E31,"Name")</f>
        <v>nvarchar(max)</v>
      </c>
      <c r="G31" t="str" cm="1">
        <f t="array" ref="G31">GetValue("Dmn",C31,"Length")</f>
        <v/>
      </c>
      <c r="H31" t="str" cm="1">
        <f t="array" ref="H31">GetValue("Dmn",C31,"Decimals")</f>
        <v/>
      </c>
      <c r="I31" t="str" cm="1">
        <f t="array" ref="I31">GetDataType(F31,G31,H31)</f>
        <v>nvarchar(max)</v>
      </c>
    </row>
    <row r="32" spans="1:9" x14ac:dyDescent="0.3">
      <c r="A32">
        <v>1</v>
      </c>
      <c r="B32" t="str" cm="1">
        <f t="array" ref="B32">GetValue("Eng",A32,"Name")</f>
        <v>SQL Server</v>
      </c>
      <c r="C32">
        <f t="shared" si="0"/>
        <v>31</v>
      </c>
      <c r="D32" t="str" cm="1">
        <f t="array" ref="D32">GetValue("Dmn",C32,"Name")</f>
        <v>JSON</v>
      </c>
      <c r="E32" cm="1">
        <f t="array" ref="E32">GetValue("Dmn",C32,"TypeId")</f>
        <v>21</v>
      </c>
      <c r="F32" t="str" cm="1">
        <f t="array" ref="F32">GetValue("EngTyp",A32&amp;";"&amp;E32,"Name")</f>
        <v>nvarchar(max)</v>
      </c>
      <c r="G32" t="str" cm="1">
        <f t="array" ref="G32">GetValue("Dmn",C32,"Length")</f>
        <v/>
      </c>
      <c r="H32" t="str" cm="1">
        <f t="array" ref="H32">GetValue("Dmn",C32,"Decimals")</f>
        <v/>
      </c>
      <c r="I32" t="str" cm="1">
        <f t="array" ref="I32">GetDataType(F32,G32,H32)</f>
        <v>nvarchar(max)</v>
      </c>
    </row>
    <row r="33" spans="1:9" x14ac:dyDescent="0.3">
      <c r="A33">
        <v>1</v>
      </c>
      <c r="B33" t="str" cm="1">
        <f t="array" ref="B33">GetValue("Eng",A33,"Name")</f>
        <v>SQL Server</v>
      </c>
      <c r="C33">
        <f t="shared" si="0"/>
        <v>32</v>
      </c>
      <c r="D33" t="str" cm="1">
        <f t="array" ref="D33">GetValue("Dmn",C33,"Name")</f>
        <v>Operator</v>
      </c>
      <c r="E33" cm="1">
        <f t="array" ref="E33">GetValue("Dmn",C33,"TypeId")</f>
        <v>4</v>
      </c>
      <c r="F33" t="str" cm="1">
        <f t="array" ref="F33">GetValue("EngTyp",A33&amp;";"&amp;E33,"Name")</f>
        <v>char</v>
      </c>
      <c r="G33" cm="1">
        <f t="array" ref="G33">GetValue("Dmn",C33,"Length")</f>
        <v>1</v>
      </c>
      <c r="H33" t="str" cm="1">
        <f t="array" ref="H33">GetValue("Dmn",C33,"Decimals")</f>
        <v/>
      </c>
      <c r="I33" t="str" cm="1">
        <f t="array" ref="I33">GetDataType(F33,G33,H33)</f>
        <v>char(1)</v>
      </c>
    </row>
    <row r="34" spans="1:9" x14ac:dyDescent="0.3">
      <c r="A34">
        <v>1</v>
      </c>
      <c r="B34" t="str" cm="1">
        <f t="array" ref="B34">GetValue("Eng",A34,"Name")</f>
        <v>SQL Server</v>
      </c>
      <c r="C34">
        <f t="shared" si="0"/>
        <v>33</v>
      </c>
      <c r="D34" t="str" cm="1">
        <f t="array" ref="D34">GetValue("Dmn",C34,"Name")</f>
        <v>Money</v>
      </c>
      <c r="E34" cm="1">
        <f t="array" ref="E34">GetValue("Dmn",C34,"TypeId")</f>
        <v>9</v>
      </c>
      <c r="F34" t="str" cm="1">
        <f t="array" ref="F34">GetValue("EngTyp",A34&amp;";"&amp;E34,"Name")</f>
        <v>decimal</v>
      </c>
      <c r="G34" cm="1">
        <f t="array" ref="G34">GetValue("Dmn",C34,"Length")</f>
        <v>19</v>
      </c>
      <c r="H34" cm="1">
        <f t="array" ref="H34">GetValue("Dmn",C34,"Decimals")</f>
        <v>2</v>
      </c>
      <c r="I34" t="str" cm="1">
        <f t="array" ref="I34">GetDataType(F34,G34,H34)</f>
        <v>decimal(19, 2)</v>
      </c>
    </row>
    <row r="35" spans="1:9" x14ac:dyDescent="0.3">
      <c r="A35">
        <v>2</v>
      </c>
      <c r="B35" t="str" cm="1">
        <f t="array" ref="B35">GetValue("Eng",A35,"Name")</f>
        <v>MySQL</v>
      </c>
      <c r="C35">
        <v>1</v>
      </c>
      <c r="D35" t="str" cm="1">
        <f t="array" ref="D35">GetValue("Dmn",C35,"Name")</f>
        <v>BigInteger</v>
      </c>
      <c r="E35" cm="1">
        <f t="array" ref="E35">GetValue("Dmn",C35,"TypeId")</f>
        <v>1</v>
      </c>
      <c r="F35" t="str" cm="1">
        <f t="array" ref="F35">GetValue("EngTyp",A35&amp;";"&amp;E35,"Name")</f>
        <v>BIGINT</v>
      </c>
      <c r="G35" t="str" cm="1">
        <f t="array" ref="G35">GetValue("Dmn",C35,"Length")</f>
        <v/>
      </c>
      <c r="H35" t="str" cm="1">
        <f t="array" ref="H35">GetValue("Dmn",C35,"Decimals")</f>
        <v/>
      </c>
      <c r="I35" t="str" cm="1">
        <f t="array" ref="I35">GetDataType(F35,G35,H35)</f>
        <v>BIGINT</v>
      </c>
    </row>
    <row r="36" spans="1:9" x14ac:dyDescent="0.3">
      <c r="A36">
        <v>2</v>
      </c>
      <c r="B36" t="str" cm="1">
        <f t="array" ref="B36">GetValue("Eng",A36,"Name")</f>
        <v>MySQL</v>
      </c>
      <c r="C36">
        <f>C35+1</f>
        <v>2</v>
      </c>
      <c r="D36" t="str" cm="1">
        <f t="array" ref="D36">GetValue("Dmn",C36,"Name")</f>
        <v>Integer</v>
      </c>
      <c r="E36" cm="1">
        <f t="array" ref="E36">GetValue("Dmn",C36,"TypeId")</f>
        <v>15</v>
      </c>
      <c r="F36" t="str" cm="1">
        <f t="array" ref="F36">GetValue("EngTyp",A36&amp;";"&amp;E36,"Name")</f>
        <v>INT</v>
      </c>
      <c r="G36" t="str" cm="1">
        <f t="array" ref="G36">GetValue("Dmn",C36,"Length")</f>
        <v/>
      </c>
      <c r="H36" t="str" cm="1">
        <f t="array" ref="H36">GetValue("Dmn",C36,"Decimals")</f>
        <v/>
      </c>
      <c r="I36" t="str" cm="1">
        <f t="array" ref="I36">GetDataType(F36,G36,H36)</f>
        <v>INT</v>
      </c>
    </row>
    <row r="37" spans="1:9" x14ac:dyDescent="0.3">
      <c r="A37">
        <v>2</v>
      </c>
      <c r="B37" t="str" cm="1">
        <f t="array" ref="B37">GetValue("Eng",A37,"Name")</f>
        <v>MySQL</v>
      </c>
      <c r="C37">
        <f t="shared" ref="C37:C67" si="1">C36+1</f>
        <v>3</v>
      </c>
      <c r="D37" t="str" cm="1">
        <f t="array" ref="D37">GetValue("Dmn",C37,"Name")</f>
        <v>ShortInteger</v>
      </c>
      <c r="E37" cm="1">
        <f t="array" ref="E37">GetValue("Dmn",C37,"TypeId")</f>
        <v>15</v>
      </c>
      <c r="F37" t="str" cm="1">
        <f t="array" ref="F37">GetValue("EngTyp",A37&amp;";"&amp;E37,"Name")</f>
        <v>INT</v>
      </c>
      <c r="G37" t="str" cm="1">
        <f t="array" ref="G37">GetValue("Dmn",C37,"Length")</f>
        <v/>
      </c>
      <c r="H37" t="str" cm="1">
        <f t="array" ref="H37">GetValue("Dmn",C37,"Decimals")</f>
        <v/>
      </c>
      <c r="I37" t="str" cm="1">
        <f t="array" ref="I37">GetDataType(F37,G37,H37)</f>
        <v>INT</v>
      </c>
    </row>
    <row r="38" spans="1:9" x14ac:dyDescent="0.3">
      <c r="A38">
        <v>2</v>
      </c>
      <c r="B38" t="str" cm="1">
        <f t="array" ref="B38">GetValue("Eng",A38,"Name")</f>
        <v>MySQL</v>
      </c>
      <c r="C38">
        <f t="shared" si="1"/>
        <v>4</v>
      </c>
      <c r="D38" t="str" cm="1">
        <f t="array" ref="D38">GetValue("Dmn",C38,"Name")</f>
        <v>SmallInteger</v>
      </c>
      <c r="E38" cm="1">
        <f t="array" ref="E38">GetValue("Dmn",C38,"TypeId")</f>
        <v>24</v>
      </c>
      <c r="F38" t="str" cm="1">
        <f t="array" ref="F38">GetValue("EngTyp",A38&amp;";"&amp;E38,"Name")</f>
        <v>SMALLINT</v>
      </c>
      <c r="G38" t="str" cm="1">
        <f t="array" ref="G38">GetValue("Dmn",C38,"Length")</f>
        <v/>
      </c>
      <c r="H38" t="str" cm="1">
        <f t="array" ref="H38">GetValue("Dmn",C38,"Decimals")</f>
        <v/>
      </c>
      <c r="I38" t="str" cm="1">
        <f t="array" ref="I38">GetDataType(F38,G38,H38)</f>
        <v>SMALLINT</v>
      </c>
    </row>
    <row r="39" spans="1:9" x14ac:dyDescent="0.3">
      <c r="A39">
        <v>2</v>
      </c>
      <c r="B39" t="str" cm="1">
        <f t="array" ref="B39">GetValue("Eng",A39,"Name")</f>
        <v>MySQL</v>
      </c>
      <c r="C39">
        <f t="shared" si="1"/>
        <v>5</v>
      </c>
      <c r="D39" t="str" cm="1">
        <f t="array" ref="D39">GetValue("Dmn",C39,"Name")</f>
        <v>TinyInteger</v>
      </c>
      <c r="E39" cm="1">
        <f t="array" ref="E39">GetValue("Dmn",C39,"TypeId")</f>
        <v>31</v>
      </c>
      <c r="F39" t="str" cm="1">
        <f t="array" ref="F39">GetValue("EngTyp",A39&amp;";"&amp;E39,"Name")</f>
        <v>TINYINT</v>
      </c>
      <c r="G39" t="str" cm="1">
        <f t="array" ref="G39">GetValue("Dmn",C39,"Length")</f>
        <v/>
      </c>
      <c r="H39" t="str" cm="1">
        <f t="array" ref="H39">GetValue("Dmn",C39,"Decimals")</f>
        <v/>
      </c>
      <c r="I39" t="str" cm="1">
        <f t="array" ref="I39">GetDataType(F39,G39,H39)</f>
        <v>TINYINT</v>
      </c>
    </row>
    <row r="40" spans="1:9" x14ac:dyDescent="0.3">
      <c r="A40">
        <v>2</v>
      </c>
      <c r="B40" t="str" cm="1">
        <f t="array" ref="B40">GetValue("Eng",A40,"Name")</f>
        <v>MySQL</v>
      </c>
      <c r="C40">
        <f t="shared" si="1"/>
        <v>6</v>
      </c>
      <c r="D40" t="str" cm="1">
        <f t="array" ref="D40">GetValue("Dmn",C40,"Name")</f>
        <v>Boolean</v>
      </c>
      <c r="E40" cm="1">
        <f t="array" ref="E40">GetValue("Dmn",C40,"TypeId")</f>
        <v>3</v>
      </c>
      <c r="F40" t="str" cm="1">
        <f t="array" ref="F40">GetValue("EngTyp",A40&amp;";"&amp;E40,"Name")</f>
        <v>BOOLEAN</v>
      </c>
      <c r="G40" t="str" cm="1">
        <f t="array" ref="G40">GetValue("Dmn",C40,"Length")</f>
        <v/>
      </c>
      <c r="H40" t="str" cm="1">
        <f t="array" ref="H40">GetValue("Dmn",C40,"Decimals")</f>
        <v/>
      </c>
      <c r="I40" t="str" cm="1">
        <f t="array" ref="I40">GetDataType(F40,G40,H40)</f>
        <v>BOOLEAN</v>
      </c>
    </row>
    <row r="41" spans="1:9" x14ac:dyDescent="0.3">
      <c r="A41">
        <v>2</v>
      </c>
      <c r="B41" t="str" cm="1">
        <f t="array" ref="B41">GetValue("Eng",A41,"Name")</f>
        <v>MySQL</v>
      </c>
      <c r="C41">
        <f t="shared" si="1"/>
        <v>7</v>
      </c>
      <c r="D41" t="str" cm="1">
        <f t="array" ref="D41">GetValue("Dmn",C41,"Name")</f>
        <v>DateTime</v>
      </c>
      <c r="E41" cm="1">
        <f t="array" ref="E41">GetValue("Dmn",C41,"TypeId")</f>
        <v>6</v>
      </c>
      <c r="F41" t="str" cm="1">
        <f t="array" ref="F41">GetValue("EngTyp",A41&amp;";"&amp;E41,"Name")</f>
        <v>DATETIME</v>
      </c>
      <c r="G41" t="str" cm="1">
        <f t="array" ref="G41">GetValue("Dmn",C41,"Length")</f>
        <v/>
      </c>
      <c r="H41" t="str" cm="1">
        <f t="array" ref="H41">GetValue("Dmn",C41,"Decimals")</f>
        <v/>
      </c>
      <c r="I41" t="str" cm="1">
        <f t="array" ref="I41">GetDataType(F41,G41,H41)</f>
        <v>DATETIME</v>
      </c>
    </row>
    <row r="42" spans="1:9" x14ac:dyDescent="0.3">
      <c r="A42">
        <v>2</v>
      </c>
      <c r="B42" t="str" cm="1">
        <f t="array" ref="B42">GetValue("Eng",A42,"Name")</f>
        <v>MySQL</v>
      </c>
      <c r="C42">
        <f t="shared" si="1"/>
        <v>8</v>
      </c>
      <c r="D42" t="str" cm="1">
        <f t="array" ref="D42">GetValue("Dmn",C42,"Name")</f>
        <v>Nvarchar(15)</v>
      </c>
      <c r="E42" cm="1">
        <f t="array" ref="E42">GetValue("Dmn",C42,"TypeId")</f>
        <v>20</v>
      </c>
      <c r="F42" t="str" cm="1">
        <f t="array" ref="F42">GetValue("EngTyp",A42&amp;";"&amp;E42,"Name")</f>
        <v>VARCHAR</v>
      </c>
      <c r="G42" cm="1">
        <f t="array" ref="G42">GetValue("Dmn",C42,"Length")</f>
        <v>15</v>
      </c>
      <c r="H42" t="str" cm="1">
        <f t="array" ref="H42">GetValue("Dmn",C42,"Decimals")</f>
        <v/>
      </c>
      <c r="I42" t="str" cm="1">
        <f t="array" ref="I42">GetDataType(F42,G42,H42)</f>
        <v>VARCHAR(15)</v>
      </c>
    </row>
    <row r="43" spans="1:9" x14ac:dyDescent="0.3">
      <c r="A43">
        <v>2</v>
      </c>
      <c r="B43" t="str" cm="1">
        <f t="array" ref="B43">GetValue("Eng",A43,"Name")</f>
        <v>MySQL</v>
      </c>
      <c r="C43">
        <f t="shared" si="1"/>
        <v>9</v>
      </c>
      <c r="D43" t="str" cm="1">
        <f t="array" ref="D43">GetValue("Dmn",C43,"Name")</f>
        <v>Nvarchar(20)</v>
      </c>
      <c r="E43" cm="1">
        <f t="array" ref="E43">GetValue("Dmn",C43,"TypeId")</f>
        <v>20</v>
      </c>
      <c r="F43" t="str" cm="1">
        <f t="array" ref="F43">GetValue("EngTyp",A43&amp;";"&amp;E43,"Name")</f>
        <v>VARCHAR</v>
      </c>
      <c r="G43" cm="1">
        <f t="array" ref="G43">GetValue("Dmn",C43,"Length")</f>
        <v>20</v>
      </c>
      <c r="H43" t="str" cm="1">
        <f t="array" ref="H43">GetValue("Dmn",C43,"Decimals")</f>
        <v/>
      </c>
      <c r="I43" t="str" cm="1">
        <f t="array" ref="I43">GetDataType(F43,G43,H43)</f>
        <v>VARCHAR(20)</v>
      </c>
    </row>
    <row r="44" spans="1:9" x14ac:dyDescent="0.3">
      <c r="A44">
        <v>2</v>
      </c>
      <c r="B44" t="str" cm="1">
        <f t="array" ref="B44">GetValue("Eng",A44,"Name")</f>
        <v>MySQL</v>
      </c>
      <c r="C44">
        <f t="shared" si="1"/>
        <v>10</v>
      </c>
      <c r="D44" t="str" cm="1">
        <f t="array" ref="D44">GetValue("Dmn",C44,"Name")</f>
        <v>Nvarchar(25)</v>
      </c>
      <c r="E44" cm="1">
        <f t="array" ref="E44">GetValue("Dmn",C44,"TypeId")</f>
        <v>20</v>
      </c>
      <c r="F44" t="str" cm="1">
        <f t="array" ref="F44">GetValue("EngTyp",A44&amp;";"&amp;E44,"Name")</f>
        <v>VARCHAR</v>
      </c>
      <c r="G44" cm="1">
        <f t="array" ref="G44">GetValue("Dmn",C44,"Length")</f>
        <v>25</v>
      </c>
      <c r="H44" t="str" cm="1">
        <f t="array" ref="H44">GetValue("Dmn",C44,"Decimals")</f>
        <v/>
      </c>
      <c r="I44" t="str" cm="1">
        <f t="array" ref="I44">GetDataType(F44,G44,H44)</f>
        <v>VARCHAR(25)</v>
      </c>
    </row>
    <row r="45" spans="1:9" x14ac:dyDescent="0.3">
      <c r="A45">
        <v>2</v>
      </c>
      <c r="B45" t="str" cm="1">
        <f t="array" ref="B45">GetValue("Eng",A45,"Name")</f>
        <v>MySQL</v>
      </c>
      <c r="C45">
        <f t="shared" si="1"/>
        <v>11</v>
      </c>
      <c r="D45" t="str" cm="1">
        <f t="array" ref="D45">GetValue("Dmn",C45,"Name")</f>
        <v>Nvarchar(50)</v>
      </c>
      <c r="E45" cm="1">
        <f t="array" ref="E45">GetValue("Dmn",C45,"TypeId")</f>
        <v>20</v>
      </c>
      <c r="F45" t="str" cm="1">
        <f t="array" ref="F45">GetValue("EngTyp",A45&amp;";"&amp;E45,"Name")</f>
        <v>VARCHAR</v>
      </c>
      <c r="G45" cm="1">
        <f t="array" ref="G45">GetValue("Dmn",C45,"Length")</f>
        <v>50</v>
      </c>
      <c r="H45" t="str" cm="1">
        <f t="array" ref="H45">GetValue("Dmn",C45,"Decimals")</f>
        <v/>
      </c>
      <c r="I45" t="str" cm="1">
        <f t="array" ref="I45">GetDataType(F45,G45,H45)</f>
        <v>VARCHAR(50)</v>
      </c>
    </row>
    <row r="46" spans="1:9" x14ac:dyDescent="0.3">
      <c r="A46">
        <v>2</v>
      </c>
      <c r="B46" t="str" cm="1">
        <f t="array" ref="B46">GetValue("Eng",A46,"Name")</f>
        <v>MySQL</v>
      </c>
      <c r="C46">
        <f t="shared" si="1"/>
        <v>12</v>
      </c>
      <c r="D46" t="str" cm="1">
        <f t="array" ref="D46">GetValue("Dmn",C46,"Name")</f>
        <v>Nvarchar(256)</v>
      </c>
      <c r="E46" cm="1">
        <f t="array" ref="E46">GetValue("Dmn",C46,"TypeId")</f>
        <v>20</v>
      </c>
      <c r="F46" t="str" cm="1">
        <f t="array" ref="F46">GetValue("EngTyp",A46&amp;";"&amp;E46,"Name")</f>
        <v>VARCHAR</v>
      </c>
      <c r="G46" cm="1">
        <f t="array" ref="G46">GetValue("Dmn",C46,"Length")</f>
        <v>256</v>
      </c>
      <c r="H46" t="str" cm="1">
        <f t="array" ref="H46">GetValue("Dmn",C46,"Decimals")</f>
        <v/>
      </c>
      <c r="I46" t="str" cm="1">
        <f t="array" ref="I46">GetDataType(F46,G46,H46)</f>
        <v>VARCHAR(256)</v>
      </c>
    </row>
    <row r="47" spans="1:9" x14ac:dyDescent="0.3">
      <c r="A47">
        <v>2</v>
      </c>
      <c r="B47" t="str" cm="1">
        <f t="array" ref="B47">GetValue("Eng",A47,"Name")</f>
        <v>MySQL</v>
      </c>
      <c r="C47">
        <f t="shared" si="1"/>
        <v>13</v>
      </c>
      <c r="D47" t="str" cm="1">
        <f t="array" ref="D47">GetValue("Dmn",C47,"Name")</f>
        <v>Variant</v>
      </c>
      <c r="E47" cm="1">
        <f t="array" ref="E47">GetValue("Dmn",C47,"TypeId")</f>
        <v>20</v>
      </c>
      <c r="F47" t="str" cm="1">
        <f t="array" ref="F47">GetValue("EngTyp",A47&amp;";"&amp;E47,"Name")</f>
        <v>VARCHAR</v>
      </c>
      <c r="G47" t="str" cm="1">
        <f t="array" ref="G47">GetValue("Dmn",C47,"Length")</f>
        <v/>
      </c>
      <c r="H47" t="str" cm="1">
        <f t="array" ref="H47">GetValue("Dmn",C47,"Decimals")</f>
        <v/>
      </c>
      <c r="I47" t="str" cm="1">
        <f t="array" ref="I47">GetDataType(F47,G47,H47)</f>
        <v>VARCHAR</v>
      </c>
    </row>
    <row r="48" spans="1:9" x14ac:dyDescent="0.3">
      <c r="A48">
        <v>2</v>
      </c>
      <c r="B48" t="str" cm="1">
        <f t="array" ref="B48">GetValue("Eng",A48,"Name")</f>
        <v>MySQL</v>
      </c>
      <c r="C48">
        <f t="shared" si="1"/>
        <v>14</v>
      </c>
      <c r="D48" t="str" cm="1">
        <f t="array" ref="D48">GetValue("Dmn",C48,"Name")</f>
        <v>Codification</v>
      </c>
      <c r="E48" cm="1">
        <f t="array" ref="E48">GetValue("Dmn",C48,"TypeId")</f>
        <v>20</v>
      </c>
      <c r="F48" t="str" cm="1">
        <f t="array" ref="F48">GetValue("EngTyp",A48&amp;";"&amp;E48,"Name")</f>
        <v>VARCHAR</v>
      </c>
      <c r="G48" cm="1">
        <f t="array" ref="G48">GetValue("Dmn",C48,"Length")</f>
        <v>5</v>
      </c>
      <c r="H48" t="str" cm="1">
        <f t="array" ref="H48">GetValue("Dmn",C48,"Decimals")</f>
        <v/>
      </c>
      <c r="I48" t="str" cm="1">
        <f t="array" ref="I48">GetDataType(F48,G48,H48)</f>
        <v>VARCHAR(5)</v>
      </c>
    </row>
    <row r="49" spans="1:9" x14ac:dyDescent="0.3">
      <c r="A49">
        <v>2</v>
      </c>
      <c r="B49" t="str" cm="1">
        <f t="array" ref="B49">GetValue("Eng",A49,"Name")</f>
        <v>MySQL</v>
      </c>
      <c r="C49">
        <f t="shared" si="1"/>
        <v>15</v>
      </c>
      <c r="D49" t="str" cm="1">
        <f t="array" ref="D49">GetValue("Dmn",C49,"Name")</f>
        <v>Operation</v>
      </c>
      <c r="E49" cm="1">
        <f t="array" ref="E49">GetValue("Dmn",C49,"TypeId")</f>
        <v>20</v>
      </c>
      <c r="F49" t="str" cm="1">
        <f t="array" ref="F49">GetValue("EngTyp",A49&amp;";"&amp;E49,"Name")</f>
        <v>VARCHAR</v>
      </c>
      <c r="G49" cm="1">
        <f t="array" ref="G49">GetValue("Dmn",C49,"Length")</f>
        <v>15</v>
      </c>
      <c r="H49" t="str" cm="1">
        <f t="array" ref="H49">GetValue("Dmn",C49,"Decimals")</f>
        <v/>
      </c>
      <c r="I49" t="str" cm="1">
        <f t="array" ref="I49">GetDataType(F49,G49,H49)</f>
        <v>VARCHAR(15)</v>
      </c>
    </row>
    <row r="50" spans="1:9" x14ac:dyDescent="0.3">
      <c r="A50">
        <v>2</v>
      </c>
      <c r="B50" t="str" cm="1">
        <f t="array" ref="B50">GetValue("Eng",A50,"Name")</f>
        <v>MySQL</v>
      </c>
      <c r="C50">
        <f t="shared" si="1"/>
        <v>16</v>
      </c>
      <c r="D50" t="str" cm="1">
        <f t="array" ref="D50">GetValue("Dmn",C50,"Name")</f>
        <v>RAIZ CNPJ</v>
      </c>
      <c r="E50" cm="1">
        <f t="array" ref="E50">GetValue("Dmn",C50,"TypeId")</f>
        <v>20</v>
      </c>
      <c r="F50" t="str" cm="1">
        <f t="array" ref="F50">GetValue("EngTyp",A50&amp;";"&amp;E50,"Name")</f>
        <v>VARCHAR</v>
      </c>
      <c r="G50" cm="1">
        <f t="array" ref="G50">GetValue("Dmn",C50,"Length")</f>
        <v>8</v>
      </c>
      <c r="H50" t="str" cm="1">
        <f t="array" ref="H50">GetValue("Dmn",C50,"Decimals")</f>
        <v/>
      </c>
      <c r="I50" t="str" cm="1">
        <f t="array" ref="I50">GetDataType(F50,G50,H50)</f>
        <v>VARCHAR(8)</v>
      </c>
    </row>
    <row r="51" spans="1:9" x14ac:dyDescent="0.3">
      <c r="A51">
        <v>2</v>
      </c>
      <c r="B51" t="str" cm="1">
        <f t="array" ref="B51">GetValue("Eng",A51,"Name")</f>
        <v>MySQL</v>
      </c>
      <c r="C51">
        <f t="shared" si="1"/>
        <v>17</v>
      </c>
      <c r="D51" t="str" cm="1">
        <f t="array" ref="D51">GetValue("Dmn",C51,"Name")</f>
        <v>CPF</v>
      </c>
      <c r="E51" cm="1">
        <f t="array" ref="E51">GetValue("Dmn",C51,"TypeId")</f>
        <v>20</v>
      </c>
      <c r="F51" t="str" cm="1">
        <f t="array" ref="F51">GetValue("EngTyp",A51&amp;";"&amp;E51,"Name")</f>
        <v>VARCHAR</v>
      </c>
      <c r="G51" cm="1">
        <f t="array" ref="G51">GetValue("Dmn",C51,"Length")</f>
        <v>11</v>
      </c>
      <c r="H51" t="str" cm="1">
        <f t="array" ref="H51">GetValue("Dmn",C51,"Decimals")</f>
        <v/>
      </c>
      <c r="I51" t="str" cm="1">
        <f t="array" ref="I51">GetDataType(F51,G51,H51)</f>
        <v>VARCHAR(11)</v>
      </c>
    </row>
    <row r="52" spans="1:9" x14ac:dyDescent="0.3">
      <c r="A52">
        <v>2</v>
      </c>
      <c r="B52" t="str" cm="1">
        <f t="array" ref="B52">GetValue("Eng",A52,"Name")</f>
        <v>MySQL</v>
      </c>
      <c r="C52">
        <f t="shared" si="1"/>
        <v>18</v>
      </c>
      <c r="D52" t="str" cm="1">
        <f t="array" ref="D52">GetValue("Dmn",C52,"Name")</f>
        <v>CNPJ</v>
      </c>
      <c r="E52" cm="1">
        <f t="array" ref="E52">GetValue("Dmn",C52,"TypeId")</f>
        <v>20</v>
      </c>
      <c r="F52" t="str" cm="1">
        <f t="array" ref="F52">GetValue("EngTyp",A52&amp;";"&amp;E52,"Name")</f>
        <v>VARCHAR</v>
      </c>
      <c r="G52" cm="1">
        <f t="array" ref="G52">GetValue("Dmn",C52,"Length")</f>
        <v>14</v>
      </c>
      <c r="H52" t="str" cm="1">
        <f t="array" ref="H52">GetValue("Dmn",C52,"Decimals")</f>
        <v/>
      </c>
      <c r="I52" t="str" cm="1">
        <f t="array" ref="I52">GetDataType(F52,G52,H52)</f>
        <v>VARCHAR(14)</v>
      </c>
    </row>
    <row r="53" spans="1:9" x14ac:dyDescent="0.3">
      <c r="A53">
        <v>2</v>
      </c>
      <c r="B53" t="str" cm="1">
        <f t="array" ref="B53">GetValue("Eng",A53,"Name")</f>
        <v>MySQL</v>
      </c>
      <c r="C53">
        <f t="shared" si="1"/>
        <v>19</v>
      </c>
      <c r="D53" t="str" cm="1">
        <f t="array" ref="D53">GetValue("Dmn",C53,"Name")</f>
        <v>RAIZ/CPF/CNPJ</v>
      </c>
      <c r="E53" cm="1">
        <f t="array" ref="E53">GetValue("Dmn",C53,"TypeId")</f>
        <v>20</v>
      </c>
      <c r="F53" t="str" cm="1">
        <f t="array" ref="F53">GetValue("EngTyp",A53&amp;";"&amp;E53,"Name")</f>
        <v>VARCHAR</v>
      </c>
      <c r="G53" cm="1">
        <f t="array" ref="G53">GetValue("Dmn",C53,"Length")</f>
        <v>14</v>
      </c>
      <c r="H53" t="str" cm="1">
        <f t="array" ref="H53">GetValue("Dmn",C53,"Decimals")</f>
        <v/>
      </c>
      <c r="I53" t="str" cm="1">
        <f t="array" ref="I53">GetDataType(F53,G53,H53)</f>
        <v>VARCHAR(14)</v>
      </c>
    </row>
    <row r="54" spans="1:9" x14ac:dyDescent="0.3">
      <c r="A54">
        <v>2</v>
      </c>
      <c r="B54" t="str" cm="1">
        <f t="array" ref="B54">GetValue("Eng",A54,"Name")</f>
        <v>MySQL</v>
      </c>
      <c r="C54">
        <f t="shared" si="1"/>
        <v>20</v>
      </c>
      <c r="D54" t="str" cm="1">
        <f t="array" ref="D54">GetValue("Dmn",C54,"Name")</f>
        <v>CAEPF</v>
      </c>
      <c r="E54" cm="1">
        <f t="array" ref="E54">GetValue("Dmn",C54,"TypeId")</f>
        <v>20</v>
      </c>
      <c r="F54" t="str" cm="1">
        <f t="array" ref="F54">GetValue("EngTyp",A54&amp;";"&amp;E54,"Name")</f>
        <v>VARCHAR</v>
      </c>
      <c r="G54" cm="1">
        <f t="array" ref="G54">GetValue("Dmn",C54,"Length")</f>
        <v>14</v>
      </c>
      <c r="H54" t="str" cm="1">
        <f t="array" ref="H54">GetValue("Dmn",C54,"Decimals")</f>
        <v/>
      </c>
      <c r="I54" t="str" cm="1">
        <f t="array" ref="I54">GetDataType(F54,G54,H54)</f>
        <v>VARCHAR(14)</v>
      </c>
    </row>
    <row r="55" spans="1:9" x14ac:dyDescent="0.3">
      <c r="A55">
        <v>2</v>
      </c>
      <c r="B55" t="str" cm="1">
        <f t="array" ref="B55">GetValue("Eng",A55,"Name")</f>
        <v>MySQL</v>
      </c>
      <c r="C55">
        <f t="shared" si="1"/>
        <v>21</v>
      </c>
      <c r="D55" t="str" cm="1">
        <f t="array" ref="D55">GetValue("Dmn",C55,"Name")</f>
        <v>CREDIT CARD</v>
      </c>
      <c r="E55" cm="1">
        <f t="array" ref="E55">GetValue("Dmn",C55,"TypeId")</f>
        <v>20</v>
      </c>
      <c r="F55" t="str" cm="1">
        <f t="array" ref="F55">GetValue("EngTyp",A55&amp;";"&amp;E55,"Name")</f>
        <v>VARCHAR</v>
      </c>
      <c r="G55" cm="1">
        <f t="array" ref="G55">GetValue("Dmn",C55,"Length")</f>
        <v>16</v>
      </c>
      <c r="H55" t="str" cm="1">
        <f t="array" ref="H55">GetValue("Dmn",C55,"Decimals")</f>
        <v/>
      </c>
      <c r="I55" t="str" cm="1">
        <f t="array" ref="I55">GetDataType(F55,G55,H55)</f>
        <v>VARCHAR(16)</v>
      </c>
    </row>
    <row r="56" spans="1:9" x14ac:dyDescent="0.3">
      <c r="A56">
        <v>2</v>
      </c>
      <c r="B56" t="str" cm="1">
        <f t="array" ref="B56">GetValue("Eng",A56,"Name")</f>
        <v>MySQL</v>
      </c>
      <c r="C56">
        <f t="shared" si="1"/>
        <v>22</v>
      </c>
      <c r="D56" t="str" cm="1">
        <f t="array" ref="D56">GetValue("Dmn",C56,"Name")</f>
        <v>RENAVAM</v>
      </c>
      <c r="E56" cm="1">
        <f t="array" ref="E56">GetValue("Dmn",C56,"TypeId")</f>
        <v>20</v>
      </c>
      <c r="F56" t="str" cm="1">
        <f t="array" ref="F56">GetValue("EngTyp",A56&amp;";"&amp;E56,"Name")</f>
        <v>VARCHAR</v>
      </c>
      <c r="G56" cm="1">
        <f t="array" ref="G56">GetValue("Dmn",C56,"Length")</f>
        <v>11</v>
      </c>
      <c r="H56" t="str" cm="1">
        <f t="array" ref="H56">GetValue("Dmn",C56,"Decimals")</f>
        <v/>
      </c>
      <c r="I56" t="str" cm="1">
        <f t="array" ref="I56">GetDataType(F56,G56,H56)</f>
        <v>VARCHAR(11)</v>
      </c>
    </row>
    <row r="57" spans="1:9" x14ac:dyDescent="0.3">
      <c r="A57">
        <v>2</v>
      </c>
      <c r="B57" t="str" cm="1">
        <f t="array" ref="B57">GetValue("Eng",A57,"Name")</f>
        <v>MySQL</v>
      </c>
      <c r="C57">
        <f t="shared" si="1"/>
        <v>23</v>
      </c>
      <c r="D57" t="str" cm="1">
        <f t="array" ref="D57">GetValue("Dmn",C57,"Name")</f>
        <v>EAN-8</v>
      </c>
      <c r="E57" cm="1">
        <f t="array" ref="E57">GetValue("Dmn",C57,"TypeId")</f>
        <v>20</v>
      </c>
      <c r="F57" t="str" cm="1">
        <f t="array" ref="F57">GetValue("EngTyp",A57&amp;";"&amp;E57,"Name")</f>
        <v>VARCHAR</v>
      </c>
      <c r="G57" cm="1">
        <f t="array" ref="G57">GetValue("Dmn",C57,"Length")</f>
        <v>8</v>
      </c>
      <c r="H57" t="str" cm="1">
        <f t="array" ref="H57">GetValue("Dmn",C57,"Decimals")</f>
        <v/>
      </c>
      <c r="I57" t="str" cm="1">
        <f t="array" ref="I57">GetDataType(F57,G57,H57)</f>
        <v>VARCHAR(8)</v>
      </c>
    </row>
    <row r="58" spans="1:9" x14ac:dyDescent="0.3">
      <c r="A58">
        <v>2</v>
      </c>
      <c r="B58" t="str" cm="1">
        <f t="array" ref="B58">GetValue("Eng",A58,"Name")</f>
        <v>MySQL</v>
      </c>
      <c r="C58">
        <f t="shared" si="1"/>
        <v>24</v>
      </c>
      <c r="D58" t="str" cm="1">
        <f t="array" ref="D58">GetValue("Dmn",C58,"Name")</f>
        <v>EAN-13</v>
      </c>
      <c r="E58" cm="1">
        <f t="array" ref="E58">GetValue("Dmn",C58,"TypeId")</f>
        <v>20</v>
      </c>
      <c r="F58" t="str" cm="1">
        <f t="array" ref="F58">GetValue("EngTyp",A58&amp;";"&amp;E58,"Name")</f>
        <v>VARCHAR</v>
      </c>
      <c r="G58" cm="1">
        <f t="array" ref="G58">GetValue("Dmn",C58,"Length")</f>
        <v>13</v>
      </c>
      <c r="H58" t="str" cm="1">
        <f t="array" ref="H58">GetValue("Dmn",C58,"Decimals")</f>
        <v/>
      </c>
      <c r="I58" t="str" cm="1">
        <f t="array" ref="I58">GetDataType(F58,G58,H58)</f>
        <v>VARCHAR(13)</v>
      </c>
    </row>
    <row r="59" spans="1:9" x14ac:dyDescent="0.3">
      <c r="A59">
        <v>2</v>
      </c>
      <c r="B59" t="str" cm="1">
        <f t="array" ref="B59">GetValue("Eng",A59,"Name")</f>
        <v>MySQL</v>
      </c>
      <c r="C59">
        <f t="shared" si="1"/>
        <v>25</v>
      </c>
      <c r="D59" t="str" cm="1">
        <f t="array" ref="D59">GetValue("Dmn",C59,"Name")</f>
        <v>ISBN-10</v>
      </c>
      <c r="E59" cm="1">
        <f t="array" ref="E59">GetValue("Dmn",C59,"TypeId")</f>
        <v>20</v>
      </c>
      <c r="F59" t="str" cm="1">
        <f t="array" ref="F59">GetValue("EngTyp",A59&amp;";"&amp;E59,"Name")</f>
        <v>VARCHAR</v>
      </c>
      <c r="G59" cm="1">
        <f t="array" ref="G59">GetValue("Dmn",C59,"Length")</f>
        <v>10</v>
      </c>
      <c r="H59" t="str" cm="1">
        <f t="array" ref="H59">GetValue("Dmn",C59,"Decimals")</f>
        <v/>
      </c>
      <c r="I59" t="str" cm="1">
        <f t="array" ref="I59">GetDataType(F59,G59,H59)</f>
        <v>VARCHAR(10)</v>
      </c>
    </row>
    <row r="60" spans="1:9" x14ac:dyDescent="0.3">
      <c r="A60">
        <v>2</v>
      </c>
      <c r="B60" t="str" cm="1">
        <f t="array" ref="B60">GetValue("Eng",A60,"Name")</f>
        <v>MySQL</v>
      </c>
      <c r="C60">
        <f t="shared" si="1"/>
        <v>26</v>
      </c>
      <c r="D60" t="str" cm="1">
        <f t="array" ref="D60">GetValue("Dmn",C60,"Name")</f>
        <v>ISBN-13</v>
      </c>
      <c r="E60" cm="1">
        <f t="array" ref="E60">GetValue("Dmn",C60,"TypeId")</f>
        <v>20</v>
      </c>
      <c r="F60" t="str" cm="1">
        <f t="array" ref="F60">GetValue("EngTyp",A60&amp;";"&amp;E60,"Name")</f>
        <v>VARCHAR</v>
      </c>
      <c r="G60" cm="1">
        <f t="array" ref="G60">GetValue("Dmn",C60,"Length")</f>
        <v>13</v>
      </c>
      <c r="H60" t="str" cm="1">
        <f t="array" ref="H60">GetValue("Dmn",C60,"Decimals")</f>
        <v/>
      </c>
      <c r="I60" t="str" cm="1">
        <f t="array" ref="I60">GetDataType(F60,G60,H60)</f>
        <v>VARCHAR(13)</v>
      </c>
    </row>
    <row r="61" spans="1:9" x14ac:dyDescent="0.3">
      <c r="A61">
        <v>2</v>
      </c>
      <c r="B61" t="str" cm="1">
        <f t="array" ref="B61">GetValue("Eng",A61,"Name")</f>
        <v>MySQL</v>
      </c>
      <c r="C61">
        <f t="shared" si="1"/>
        <v>27</v>
      </c>
      <c r="D61" t="str" cm="1">
        <f t="array" ref="D61">GetValue("Dmn",C61,"Name")</f>
        <v>ISSN</v>
      </c>
      <c r="E61" cm="1">
        <f t="array" ref="E61">GetValue("Dmn",C61,"TypeId")</f>
        <v>20</v>
      </c>
      <c r="F61" t="str" cm="1">
        <f t="array" ref="F61">GetValue("EngTyp",A61&amp;";"&amp;E61,"Name")</f>
        <v>VARCHAR</v>
      </c>
      <c r="G61" cm="1">
        <f t="array" ref="G61">GetValue("Dmn",C61,"Length")</f>
        <v>8</v>
      </c>
      <c r="H61" t="str" cm="1">
        <f t="array" ref="H61">GetValue("Dmn",C61,"Decimals")</f>
        <v/>
      </c>
      <c r="I61" t="str" cm="1">
        <f t="array" ref="I61">GetDataType(F61,G61,H61)</f>
        <v>VARCHAR(8)</v>
      </c>
    </row>
    <row r="62" spans="1:9" x14ac:dyDescent="0.3">
      <c r="A62">
        <v>2</v>
      </c>
      <c r="B62" t="str" cm="1">
        <f t="array" ref="B62">GetValue("Eng",A62,"Name")</f>
        <v>MySQL</v>
      </c>
      <c r="C62">
        <f t="shared" si="1"/>
        <v>28</v>
      </c>
      <c r="D62" t="str" cm="1">
        <f t="array" ref="D62">GetValue("Dmn",C62,"Name")</f>
        <v>JS</v>
      </c>
      <c r="E62" cm="1">
        <f t="array" ref="E62">GetValue("Dmn",C62,"TypeId")</f>
        <v>21</v>
      </c>
      <c r="F62" t="str" cm="1">
        <f t="array" ref="F62">GetValue("EngTyp",A62&amp;";"&amp;E62,"Name")</f>
        <v>LONGTEXT</v>
      </c>
      <c r="G62" t="str" cm="1">
        <f t="array" ref="G62">GetValue("Dmn",C62,"Length")</f>
        <v/>
      </c>
      <c r="H62" t="str" cm="1">
        <f t="array" ref="H62">GetValue("Dmn",C62,"Decimals")</f>
        <v/>
      </c>
      <c r="I62" t="str" cm="1">
        <f t="array" ref="I62">GetDataType(F62,G62,H62)</f>
        <v>LONGTEXT</v>
      </c>
    </row>
    <row r="63" spans="1:9" x14ac:dyDescent="0.3">
      <c r="A63">
        <v>2</v>
      </c>
      <c r="B63" t="str" cm="1">
        <f t="array" ref="B63">GetValue("Eng",A63,"Name")</f>
        <v>MySQL</v>
      </c>
      <c r="C63">
        <f t="shared" si="1"/>
        <v>29</v>
      </c>
      <c r="D63" t="str" cm="1">
        <f t="array" ref="D63">GetValue("Dmn",C63,"Name")</f>
        <v>SQL</v>
      </c>
      <c r="E63" cm="1">
        <f t="array" ref="E63">GetValue("Dmn",C63,"TypeId")</f>
        <v>21</v>
      </c>
      <c r="F63" t="str" cm="1">
        <f t="array" ref="F63">GetValue("EngTyp",A63&amp;";"&amp;E63,"Name")</f>
        <v>LONGTEXT</v>
      </c>
      <c r="G63" t="str" cm="1">
        <f t="array" ref="G63">GetValue("Dmn",C63,"Length")</f>
        <v/>
      </c>
      <c r="H63" t="str" cm="1">
        <f t="array" ref="H63">GetValue("Dmn",C63,"Decimals")</f>
        <v/>
      </c>
      <c r="I63" t="str" cm="1">
        <f t="array" ref="I63">GetDataType(F63,G63,H63)</f>
        <v>LONGTEXT</v>
      </c>
    </row>
    <row r="64" spans="1:9" x14ac:dyDescent="0.3">
      <c r="A64">
        <v>2</v>
      </c>
      <c r="B64" t="str" cm="1">
        <f t="array" ref="B64">GetValue("Eng",A64,"Name")</f>
        <v>MySQL</v>
      </c>
      <c r="C64">
        <f t="shared" si="1"/>
        <v>30</v>
      </c>
      <c r="D64" t="str" cm="1">
        <f t="array" ref="D64">GetValue("Dmn",C64,"Name")</f>
        <v>Nvarchar(MAX)</v>
      </c>
      <c r="E64" cm="1">
        <f t="array" ref="E64">GetValue("Dmn",C64,"TypeId")</f>
        <v>21</v>
      </c>
      <c r="F64" t="str" cm="1">
        <f t="array" ref="F64">GetValue("EngTyp",A64&amp;";"&amp;E64,"Name")</f>
        <v>LONGTEXT</v>
      </c>
      <c r="G64" t="str" cm="1">
        <f t="array" ref="G64">GetValue("Dmn",C64,"Length")</f>
        <v/>
      </c>
      <c r="H64" t="str" cm="1">
        <f t="array" ref="H64">GetValue("Dmn",C64,"Decimals")</f>
        <v/>
      </c>
      <c r="I64" t="str" cm="1">
        <f t="array" ref="I64">GetDataType(F64,G64,H64)</f>
        <v>LONGTEXT</v>
      </c>
    </row>
    <row r="65" spans="1:9" x14ac:dyDescent="0.3">
      <c r="A65">
        <v>2</v>
      </c>
      <c r="B65" t="str" cm="1">
        <f t="array" ref="B65">GetValue("Eng",A65,"Name")</f>
        <v>MySQL</v>
      </c>
      <c r="C65">
        <f t="shared" si="1"/>
        <v>31</v>
      </c>
      <c r="D65" t="str" cm="1">
        <f t="array" ref="D65">GetValue("Dmn",C65,"Name")</f>
        <v>JSON</v>
      </c>
      <c r="E65" cm="1">
        <f t="array" ref="E65">GetValue("Dmn",C65,"TypeId")</f>
        <v>21</v>
      </c>
      <c r="F65" t="str" cm="1">
        <f t="array" ref="F65">GetValue("EngTyp",A65&amp;";"&amp;E65,"Name")</f>
        <v>LONGTEXT</v>
      </c>
      <c r="G65" t="str" cm="1">
        <f t="array" ref="G65">GetValue("Dmn",C65,"Length")</f>
        <v/>
      </c>
      <c r="H65" t="str" cm="1">
        <f t="array" ref="H65">GetValue("Dmn",C65,"Decimals")</f>
        <v/>
      </c>
      <c r="I65" t="str" cm="1">
        <f t="array" ref="I65">GetDataType(F65,G65,H65)</f>
        <v>LONGTEXT</v>
      </c>
    </row>
    <row r="66" spans="1:9" x14ac:dyDescent="0.3">
      <c r="A66">
        <v>2</v>
      </c>
      <c r="B66" t="str" cm="1">
        <f t="array" ref="B66">GetValue("Eng",A66,"Name")</f>
        <v>MySQL</v>
      </c>
      <c r="C66">
        <f t="shared" si="1"/>
        <v>32</v>
      </c>
      <c r="D66" t="str" cm="1">
        <f t="array" ref="D66">GetValue("Dmn",C66,"Name")</f>
        <v>Operator</v>
      </c>
      <c r="E66" cm="1">
        <f t="array" ref="E66">GetValue("Dmn",C66,"TypeId")</f>
        <v>4</v>
      </c>
      <c r="F66" t="str" cm="1">
        <f t="array" ref="F66">GetValue("EngTyp",A66&amp;";"&amp;E66,"Name")</f>
        <v>CHAR</v>
      </c>
      <c r="G66" cm="1">
        <f t="array" ref="G66">GetValue("Dmn",C66,"Length")</f>
        <v>1</v>
      </c>
      <c r="H66" t="str" cm="1">
        <f t="array" ref="H66">GetValue("Dmn",C66,"Decimals")</f>
        <v/>
      </c>
      <c r="I66" t="str" cm="1">
        <f t="array" ref="I66">GetDataType(F66,G66,H66)</f>
        <v>CHAR(1)</v>
      </c>
    </row>
    <row r="67" spans="1:9" x14ac:dyDescent="0.3">
      <c r="A67">
        <v>2</v>
      </c>
      <c r="B67" t="str" cm="1">
        <f t="array" ref="B67">GetValue("Eng",A67,"Name")</f>
        <v>MySQL</v>
      </c>
      <c r="C67">
        <f t="shared" si="1"/>
        <v>33</v>
      </c>
      <c r="D67" t="str" cm="1">
        <f t="array" ref="D67">GetValue("Dmn",C67,"Name")</f>
        <v>Money</v>
      </c>
      <c r="E67" cm="1">
        <f t="array" ref="E67">GetValue("Dmn",C67,"TypeId")</f>
        <v>9</v>
      </c>
      <c r="F67" t="str" cm="1">
        <f t="array" ref="F67">GetValue("EngTyp",A67&amp;";"&amp;E67,"Name")</f>
        <v>DECIMAL</v>
      </c>
      <c r="G67" cm="1">
        <f t="array" ref="G67">GetValue("Dmn",C67,"Length")</f>
        <v>19</v>
      </c>
      <c r="H67" cm="1">
        <f t="array" ref="H67">GetValue("Dmn",C67,"Decimals")</f>
        <v>2</v>
      </c>
      <c r="I67" t="str" cm="1">
        <f t="array" ref="I67">GetDataType(F67,G67,H67)</f>
        <v>DECIMAL(19, 2)</v>
      </c>
    </row>
    <row r="68" spans="1:9" x14ac:dyDescent="0.3">
      <c r="A68">
        <v>3</v>
      </c>
      <c r="B68" t="str" cm="1">
        <f t="array" ref="B68">GetValue("Eng",A68,"Name")</f>
        <v>MariaDB</v>
      </c>
      <c r="C68">
        <v>1</v>
      </c>
      <c r="D68" t="str" cm="1">
        <f t="array" ref="D68">GetValue("Dmn",C68,"Name")</f>
        <v>BigInteger</v>
      </c>
      <c r="E68" cm="1">
        <f t="array" ref="E68">GetValue("Dmn",C68,"TypeId")</f>
        <v>1</v>
      </c>
      <c r="F68" t="str" cm="1">
        <f t="array" ref="F68">GetValue("EngTyp",A68&amp;";"&amp;E68,"Name")</f>
        <v>BIGINT</v>
      </c>
      <c r="G68" t="str" cm="1">
        <f t="array" ref="G68">GetValue("Dmn",C68,"Length")</f>
        <v/>
      </c>
      <c r="H68" t="str" cm="1">
        <f t="array" ref="H68">GetValue("Dmn",C68,"Decimals")</f>
        <v/>
      </c>
      <c r="I68" t="str" cm="1">
        <f t="array" ref="I68">GetDataType(F68,G68,H68)</f>
        <v>BIGINT</v>
      </c>
    </row>
    <row r="69" spans="1:9" x14ac:dyDescent="0.3">
      <c r="A69">
        <v>3</v>
      </c>
      <c r="B69" t="str" cm="1">
        <f t="array" ref="B69">GetValue("Eng",A69,"Name")</f>
        <v>MariaDB</v>
      </c>
      <c r="C69">
        <f>C68+1</f>
        <v>2</v>
      </c>
      <c r="D69" t="str" cm="1">
        <f t="array" ref="D69">GetValue("Dmn",C69,"Name")</f>
        <v>Integer</v>
      </c>
      <c r="E69" cm="1">
        <f t="array" ref="E69">GetValue("Dmn",C69,"TypeId")</f>
        <v>15</v>
      </c>
      <c r="F69" t="str" cm="1">
        <f t="array" ref="F69">GetValue("EngTyp",A69&amp;";"&amp;E69,"Name")</f>
        <v>INT</v>
      </c>
      <c r="G69" t="str" cm="1">
        <f t="array" ref="G69">GetValue("Dmn",C69,"Length")</f>
        <v/>
      </c>
      <c r="H69" t="str" cm="1">
        <f t="array" ref="H69">GetValue("Dmn",C69,"Decimals")</f>
        <v/>
      </c>
      <c r="I69" t="str" cm="1">
        <f t="array" ref="I69">GetDataType(F69,G69,H69)</f>
        <v>INT</v>
      </c>
    </row>
    <row r="70" spans="1:9" x14ac:dyDescent="0.3">
      <c r="A70">
        <v>3</v>
      </c>
      <c r="B70" t="str" cm="1">
        <f t="array" ref="B70">GetValue("Eng",A70,"Name")</f>
        <v>MariaDB</v>
      </c>
      <c r="C70">
        <f t="shared" ref="C70:C100" si="2">C69+1</f>
        <v>3</v>
      </c>
      <c r="D70" t="str" cm="1">
        <f t="array" ref="D70">GetValue("Dmn",C70,"Name")</f>
        <v>ShortInteger</v>
      </c>
      <c r="E70" cm="1">
        <f t="array" ref="E70">GetValue("Dmn",C70,"TypeId")</f>
        <v>15</v>
      </c>
      <c r="F70" t="str" cm="1">
        <f t="array" ref="F70">GetValue("EngTyp",A70&amp;";"&amp;E70,"Name")</f>
        <v>INT</v>
      </c>
      <c r="G70" t="str" cm="1">
        <f t="array" ref="G70">GetValue("Dmn",C70,"Length")</f>
        <v/>
      </c>
      <c r="H70" t="str" cm="1">
        <f t="array" ref="H70">GetValue("Dmn",C70,"Decimals")</f>
        <v/>
      </c>
      <c r="I70" t="str" cm="1">
        <f t="array" ref="I70">GetDataType(F70,G70,H70)</f>
        <v>INT</v>
      </c>
    </row>
    <row r="71" spans="1:9" x14ac:dyDescent="0.3">
      <c r="A71">
        <v>3</v>
      </c>
      <c r="B71" t="str" cm="1">
        <f t="array" ref="B71">GetValue("Eng",A71,"Name")</f>
        <v>MariaDB</v>
      </c>
      <c r="C71">
        <f t="shared" si="2"/>
        <v>4</v>
      </c>
      <c r="D71" t="str" cm="1">
        <f t="array" ref="D71">GetValue("Dmn",C71,"Name")</f>
        <v>SmallInteger</v>
      </c>
      <c r="E71" cm="1">
        <f t="array" ref="E71">GetValue("Dmn",C71,"TypeId")</f>
        <v>24</v>
      </c>
      <c r="F71" t="str" cm="1">
        <f t="array" ref="F71">GetValue("EngTyp",A71&amp;";"&amp;E71,"Name")</f>
        <v>SMALLINT</v>
      </c>
      <c r="G71" t="str" cm="1">
        <f t="array" ref="G71">GetValue("Dmn",C71,"Length")</f>
        <v/>
      </c>
      <c r="H71" t="str" cm="1">
        <f t="array" ref="H71">GetValue("Dmn",C71,"Decimals")</f>
        <v/>
      </c>
      <c r="I71" t="str" cm="1">
        <f t="array" ref="I71">GetDataType(F71,G71,H71)</f>
        <v>SMALLINT</v>
      </c>
    </row>
    <row r="72" spans="1:9" x14ac:dyDescent="0.3">
      <c r="A72">
        <v>3</v>
      </c>
      <c r="B72" t="str" cm="1">
        <f t="array" ref="B72">GetValue("Eng",A72,"Name")</f>
        <v>MariaDB</v>
      </c>
      <c r="C72">
        <f t="shared" si="2"/>
        <v>5</v>
      </c>
      <c r="D72" t="str" cm="1">
        <f t="array" ref="D72">GetValue("Dmn",C72,"Name")</f>
        <v>TinyInteger</v>
      </c>
      <c r="E72" cm="1">
        <f t="array" ref="E72">GetValue("Dmn",C72,"TypeId")</f>
        <v>31</v>
      </c>
      <c r="F72" t="str" cm="1">
        <f t="array" ref="F72">GetValue("EngTyp",A72&amp;";"&amp;E72,"Name")</f>
        <v>TINYINT</v>
      </c>
      <c r="G72" t="str" cm="1">
        <f t="array" ref="G72">GetValue("Dmn",C72,"Length")</f>
        <v/>
      </c>
      <c r="H72" t="str" cm="1">
        <f t="array" ref="H72">GetValue("Dmn",C72,"Decimals")</f>
        <v/>
      </c>
      <c r="I72" t="str" cm="1">
        <f t="array" ref="I72">GetDataType(F72,G72,H72)</f>
        <v>TINYINT</v>
      </c>
    </row>
    <row r="73" spans="1:9" x14ac:dyDescent="0.3">
      <c r="A73">
        <v>3</v>
      </c>
      <c r="B73" t="str" cm="1">
        <f t="array" ref="B73">GetValue("Eng",A73,"Name")</f>
        <v>MariaDB</v>
      </c>
      <c r="C73">
        <f t="shared" si="2"/>
        <v>6</v>
      </c>
      <c r="D73" t="str" cm="1">
        <f t="array" ref="D73">GetValue("Dmn",C73,"Name")</f>
        <v>Boolean</v>
      </c>
      <c r="E73" cm="1">
        <f t="array" ref="E73">GetValue("Dmn",C73,"TypeId")</f>
        <v>3</v>
      </c>
      <c r="F73" t="str" cm="1">
        <f t="array" ref="F73">GetValue("EngTyp",A73&amp;";"&amp;E73,"Name")</f>
        <v>BOOLEAN</v>
      </c>
      <c r="G73" t="str" cm="1">
        <f t="array" ref="G73">GetValue("Dmn",C73,"Length")</f>
        <v/>
      </c>
      <c r="H73" t="str" cm="1">
        <f t="array" ref="H73">GetValue("Dmn",C73,"Decimals")</f>
        <v/>
      </c>
      <c r="I73" t="str" cm="1">
        <f t="array" ref="I73">GetDataType(F73,G73,H73)</f>
        <v>BOOLEAN</v>
      </c>
    </row>
    <row r="74" spans="1:9" x14ac:dyDescent="0.3">
      <c r="A74">
        <v>3</v>
      </c>
      <c r="B74" t="str" cm="1">
        <f t="array" ref="B74">GetValue("Eng",A74,"Name")</f>
        <v>MariaDB</v>
      </c>
      <c r="C74">
        <f t="shared" si="2"/>
        <v>7</v>
      </c>
      <c r="D74" t="str" cm="1">
        <f t="array" ref="D74">GetValue("Dmn",C74,"Name")</f>
        <v>DateTime</v>
      </c>
      <c r="E74" cm="1">
        <f t="array" ref="E74">GetValue("Dmn",C74,"TypeId")</f>
        <v>6</v>
      </c>
      <c r="F74" t="str" cm="1">
        <f t="array" ref="F74">GetValue("EngTyp",A74&amp;";"&amp;E74,"Name")</f>
        <v>DATETIME</v>
      </c>
      <c r="G74" t="str" cm="1">
        <f t="array" ref="G74">GetValue("Dmn",C74,"Length")</f>
        <v/>
      </c>
      <c r="H74" t="str" cm="1">
        <f t="array" ref="H74">GetValue("Dmn",C74,"Decimals")</f>
        <v/>
      </c>
      <c r="I74" t="str" cm="1">
        <f t="array" ref="I74">GetDataType(F74,G74,H74)</f>
        <v>DATETIME</v>
      </c>
    </row>
    <row r="75" spans="1:9" x14ac:dyDescent="0.3">
      <c r="A75">
        <v>3</v>
      </c>
      <c r="B75" t="str" cm="1">
        <f t="array" ref="B75">GetValue("Eng",A75,"Name")</f>
        <v>MariaDB</v>
      </c>
      <c r="C75">
        <f t="shared" si="2"/>
        <v>8</v>
      </c>
      <c r="D75" t="str" cm="1">
        <f t="array" ref="D75">GetValue("Dmn",C75,"Name")</f>
        <v>Nvarchar(15)</v>
      </c>
      <c r="E75" cm="1">
        <f t="array" ref="E75">GetValue("Dmn",C75,"TypeId")</f>
        <v>20</v>
      </c>
      <c r="F75" t="str" cm="1">
        <f t="array" ref="F75">GetValue("EngTyp",A75&amp;";"&amp;E75,"Name")</f>
        <v>VARCHAR</v>
      </c>
      <c r="G75" cm="1">
        <f t="array" ref="G75">GetValue("Dmn",C75,"Length")</f>
        <v>15</v>
      </c>
      <c r="H75" t="str" cm="1">
        <f t="array" ref="H75">GetValue("Dmn",C75,"Decimals")</f>
        <v/>
      </c>
      <c r="I75" t="str" cm="1">
        <f t="array" ref="I75">GetDataType(F75,G75,H75)</f>
        <v>VARCHAR(15)</v>
      </c>
    </row>
    <row r="76" spans="1:9" x14ac:dyDescent="0.3">
      <c r="A76">
        <v>3</v>
      </c>
      <c r="B76" t="str" cm="1">
        <f t="array" ref="B76">GetValue("Eng",A76,"Name")</f>
        <v>MariaDB</v>
      </c>
      <c r="C76">
        <f t="shared" si="2"/>
        <v>9</v>
      </c>
      <c r="D76" t="str" cm="1">
        <f t="array" ref="D76">GetValue("Dmn",C76,"Name")</f>
        <v>Nvarchar(20)</v>
      </c>
      <c r="E76" cm="1">
        <f t="array" ref="E76">GetValue("Dmn",C76,"TypeId")</f>
        <v>20</v>
      </c>
      <c r="F76" t="str" cm="1">
        <f t="array" ref="F76">GetValue("EngTyp",A76&amp;";"&amp;E76,"Name")</f>
        <v>VARCHAR</v>
      </c>
      <c r="G76" cm="1">
        <f t="array" ref="G76">GetValue("Dmn",C76,"Length")</f>
        <v>20</v>
      </c>
      <c r="H76" t="str" cm="1">
        <f t="array" ref="H76">GetValue("Dmn",C76,"Decimals")</f>
        <v/>
      </c>
      <c r="I76" t="str" cm="1">
        <f t="array" ref="I76">GetDataType(F76,G76,H76)</f>
        <v>VARCHAR(20)</v>
      </c>
    </row>
    <row r="77" spans="1:9" x14ac:dyDescent="0.3">
      <c r="A77">
        <v>3</v>
      </c>
      <c r="B77" t="str" cm="1">
        <f t="array" ref="B77">GetValue("Eng",A77,"Name")</f>
        <v>MariaDB</v>
      </c>
      <c r="C77">
        <f t="shared" si="2"/>
        <v>10</v>
      </c>
      <c r="D77" t="str" cm="1">
        <f t="array" ref="D77">GetValue("Dmn",C77,"Name")</f>
        <v>Nvarchar(25)</v>
      </c>
      <c r="E77" cm="1">
        <f t="array" ref="E77">GetValue("Dmn",C77,"TypeId")</f>
        <v>20</v>
      </c>
      <c r="F77" t="str" cm="1">
        <f t="array" ref="F77">GetValue("EngTyp",A77&amp;";"&amp;E77,"Name")</f>
        <v>VARCHAR</v>
      </c>
      <c r="G77" cm="1">
        <f t="array" ref="G77">GetValue("Dmn",C77,"Length")</f>
        <v>25</v>
      </c>
      <c r="H77" t="str" cm="1">
        <f t="array" ref="H77">GetValue("Dmn",C77,"Decimals")</f>
        <v/>
      </c>
      <c r="I77" t="str" cm="1">
        <f t="array" ref="I77">GetDataType(F77,G77,H77)</f>
        <v>VARCHAR(25)</v>
      </c>
    </row>
    <row r="78" spans="1:9" x14ac:dyDescent="0.3">
      <c r="A78">
        <v>3</v>
      </c>
      <c r="B78" t="str" cm="1">
        <f t="array" ref="B78">GetValue("Eng",A78,"Name")</f>
        <v>MariaDB</v>
      </c>
      <c r="C78">
        <f t="shared" si="2"/>
        <v>11</v>
      </c>
      <c r="D78" t="str" cm="1">
        <f t="array" ref="D78">GetValue("Dmn",C78,"Name")</f>
        <v>Nvarchar(50)</v>
      </c>
      <c r="E78" cm="1">
        <f t="array" ref="E78">GetValue("Dmn",C78,"TypeId")</f>
        <v>20</v>
      </c>
      <c r="F78" t="str" cm="1">
        <f t="array" ref="F78">GetValue("EngTyp",A78&amp;";"&amp;E78,"Name")</f>
        <v>VARCHAR</v>
      </c>
      <c r="G78" cm="1">
        <f t="array" ref="G78">GetValue("Dmn",C78,"Length")</f>
        <v>50</v>
      </c>
      <c r="H78" t="str" cm="1">
        <f t="array" ref="H78">GetValue("Dmn",C78,"Decimals")</f>
        <v/>
      </c>
      <c r="I78" t="str" cm="1">
        <f t="array" ref="I78">GetDataType(F78,G78,H78)</f>
        <v>VARCHAR(50)</v>
      </c>
    </row>
    <row r="79" spans="1:9" x14ac:dyDescent="0.3">
      <c r="A79">
        <v>3</v>
      </c>
      <c r="B79" t="str" cm="1">
        <f t="array" ref="B79">GetValue("Eng",A79,"Name")</f>
        <v>MariaDB</v>
      </c>
      <c r="C79">
        <f t="shared" si="2"/>
        <v>12</v>
      </c>
      <c r="D79" t="str" cm="1">
        <f t="array" ref="D79">GetValue("Dmn",C79,"Name")</f>
        <v>Nvarchar(256)</v>
      </c>
      <c r="E79" cm="1">
        <f t="array" ref="E79">GetValue("Dmn",C79,"TypeId")</f>
        <v>20</v>
      </c>
      <c r="F79" t="str" cm="1">
        <f t="array" ref="F79">GetValue("EngTyp",A79&amp;";"&amp;E79,"Name")</f>
        <v>VARCHAR</v>
      </c>
      <c r="G79" cm="1">
        <f t="array" ref="G79">GetValue("Dmn",C79,"Length")</f>
        <v>256</v>
      </c>
      <c r="H79" t="str" cm="1">
        <f t="array" ref="H79">GetValue("Dmn",C79,"Decimals")</f>
        <v/>
      </c>
      <c r="I79" t="str" cm="1">
        <f t="array" ref="I79">GetDataType(F79,G79,H79)</f>
        <v>VARCHAR(256)</v>
      </c>
    </row>
    <row r="80" spans="1:9" x14ac:dyDescent="0.3">
      <c r="A80">
        <v>3</v>
      </c>
      <c r="B80" t="str" cm="1">
        <f t="array" ref="B80">GetValue("Eng",A80,"Name")</f>
        <v>MariaDB</v>
      </c>
      <c r="C80">
        <f t="shared" si="2"/>
        <v>13</v>
      </c>
      <c r="D80" t="str" cm="1">
        <f t="array" ref="D80">GetValue("Dmn",C80,"Name")</f>
        <v>Variant</v>
      </c>
      <c r="E80" cm="1">
        <f t="array" ref="E80">GetValue("Dmn",C80,"TypeId")</f>
        <v>20</v>
      </c>
      <c r="F80" t="str" cm="1">
        <f t="array" ref="F80">GetValue("EngTyp",A80&amp;";"&amp;E80,"Name")</f>
        <v>VARCHAR</v>
      </c>
      <c r="G80" t="str" cm="1">
        <f t="array" ref="G80">GetValue("Dmn",C80,"Length")</f>
        <v/>
      </c>
      <c r="H80" t="str" cm="1">
        <f t="array" ref="H80">GetValue("Dmn",C80,"Decimals")</f>
        <v/>
      </c>
      <c r="I80" t="str" cm="1">
        <f t="array" ref="I80">GetDataType(F80,G80,H80)</f>
        <v>VARCHAR</v>
      </c>
    </row>
    <row r="81" spans="1:9" x14ac:dyDescent="0.3">
      <c r="A81">
        <v>3</v>
      </c>
      <c r="B81" t="str" cm="1">
        <f t="array" ref="B81">GetValue("Eng",A81,"Name")</f>
        <v>MariaDB</v>
      </c>
      <c r="C81">
        <f t="shared" si="2"/>
        <v>14</v>
      </c>
      <c r="D81" t="str" cm="1">
        <f t="array" ref="D81">GetValue("Dmn",C81,"Name")</f>
        <v>Codification</v>
      </c>
      <c r="E81" cm="1">
        <f t="array" ref="E81">GetValue("Dmn",C81,"TypeId")</f>
        <v>20</v>
      </c>
      <c r="F81" t="str" cm="1">
        <f t="array" ref="F81">GetValue("EngTyp",A81&amp;";"&amp;E81,"Name")</f>
        <v>VARCHAR</v>
      </c>
      <c r="G81" cm="1">
        <f t="array" ref="G81">GetValue("Dmn",C81,"Length")</f>
        <v>5</v>
      </c>
      <c r="H81" t="str" cm="1">
        <f t="array" ref="H81">GetValue("Dmn",C81,"Decimals")</f>
        <v/>
      </c>
      <c r="I81" t="str" cm="1">
        <f t="array" ref="I81">GetDataType(F81,G81,H81)</f>
        <v>VARCHAR(5)</v>
      </c>
    </row>
    <row r="82" spans="1:9" x14ac:dyDescent="0.3">
      <c r="A82">
        <v>3</v>
      </c>
      <c r="B82" t="str" cm="1">
        <f t="array" ref="B82">GetValue("Eng",A82,"Name")</f>
        <v>MariaDB</v>
      </c>
      <c r="C82">
        <f t="shared" si="2"/>
        <v>15</v>
      </c>
      <c r="D82" t="str" cm="1">
        <f t="array" ref="D82">GetValue("Dmn",C82,"Name")</f>
        <v>Operation</v>
      </c>
      <c r="E82" cm="1">
        <f t="array" ref="E82">GetValue("Dmn",C82,"TypeId")</f>
        <v>20</v>
      </c>
      <c r="F82" t="str" cm="1">
        <f t="array" ref="F82">GetValue("EngTyp",A82&amp;";"&amp;E82,"Name")</f>
        <v>VARCHAR</v>
      </c>
      <c r="G82" cm="1">
        <f t="array" ref="G82">GetValue("Dmn",C82,"Length")</f>
        <v>15</v>
      </c>
      <c r="H82" t="str" cm="1">
        <f t="array" ref="H82">GetValue("Dmn",C82,"Decimals")</f>
        <v/>
      </c>
      <c r="I82" t="str" cm="1">
        <f t="array" ref="I82">GetDataType(F82,G82,H82)</f>
        <v>VARCHAR(15)</v>
      </c>
    </row>
    <row r="83" spans="1:9" x14ac:dyDescent="0.3">
      <c r="A83">
        <v>3</v>
      </c>
      <c r="B83" t="str" cm="1">
        <f t="array" ref="B83">GetValue("Eng",A83,"Name")</f>
        <v>MariaDB</v>
      </c>
      <c r="C83">
        <f t="shared" si="2"/>
        <v>16</v>
      </c>
      <c r="D83" t="str" cm="1">
        <f t="array" ref="D83">GetValue("Dmn",C83,"Name")</f>
        <v>RAIZ CNPJ</v>
      </c>
      <c r="E83" cm="1">
        <f t="array" ref="E83">GetValue("Dmn",C83,"TypeId")</f>
        <v>20</v>
      </c>
      <c r="F83" t="str" cm="1">
        <f t="array" ref="F83">GetValue("EngTyp",A83&amp;";"&amp;E83,"Name")</f>
        <v>VARCHAR</v>
      </c>
      <c r="G83" cm="1">
        <f t="array" ref="G83">GetValue("Dmn",C83,"Length")</f>
        <v>8</v>
      </c>
      <c r="H83" t="str" cm="1">
        <f t="array" ref="H83">GetValue("Dmn",C83,"Decimals")</f>
        <v/>
      </c>
      <c r="I83" t="str" cm="1">
        <f t="array" ref="I83">GetDataType(F83,G83,H83)</f>
        <v>VARCHAR(8)</v>
      </c>
    </row>
    <row r="84" spans="1:9" x14ac:dyDescent="0.3">
      <c r="A84">
        <v>3</v>
      </c>
      <c r="B84" t="str" cm="1">
        <f t="array" ref="B84">GetValue("Eng",A84,"Name")</f>
        <v>MariaDB</v>
      </c>
      <c r="C84">
        <f t="shared" si="2"/>
        <v>17</v>
      </c>
      <c r="D84" t="str" cm="1">
        <f t="array" ref="D84">GetValue("Dmn",C84,"Name")</f>
        <v>CPF</v>
      </c>
      <c r="E84" cm="1">
        <f t="array" ref="E84">GetValue("Dmn",C84,"TypeId")</f>
        <v>20</v>
      </c>
      <c r="F84" t="str" cm="1">
        <f t="array" ref="F84">GetValue("EngTyp",A84&amp;";"&amp;E84,"Name")</f>
        <v>VARCHAR</v>
      </c>
      <c r="G84" cm="1">
        <f t="array" ref="G84">GetValue("Dmn",C84,"Length")</f>
        <v>11</v>
      </c>
      <c r="H84" t="str" cm="1">
        <f t="array" ref="H84">GetValue("Dmn",C84,"Decimals")</f>
        <v/>
      </c>
      <c r="I84" t="str" cm="1">
        <f t="array" ref="I84">GetDataType(F84,G84,H84)</f>
        <v>VARCHAR(11)</v>
      </c>
    </row>
    <row r="85" spans="1:9" x14ac:dyDescent="0.3">
      <c r="A85">
        <v>3</v>
      </c>
      <c r="B85" t="str" cm="1">
        <f t="array" ref="B85">GetValue("Eng",A85,"Name")</f>
        <v>MariaDB</v>
      </c>
      <c r="C85">
        <f t="shared" si="2"/>
        <v>18</v>
      </c>
      <c r="D85" t="str" cm="1">
        <f t="array" ref="D85">GetValue("Dmn",C85,"Name")</f>
        <v>CNPJ</v>
      </c>
      <c r="E85" cm="1">
        <f t="array" ref="E85">GetValue("Dmn",C85,"TypeId")</f>
        <v>20</v>
      </c>
      <c r="F85" t="str" cm="1">
        <f t="array" ref="F85">GetValue("EngTyp",A85&amp;";"&amp;E85,"Name")</f>
        <v>VARCHAR</v>
      </c>
      <c r="G85" cm="1">
        <f t="array" ref="G85">GetValue("Dmn",C85,"Length")</f>
        <v>14</v>
      </c>
      <c r="H85" t="str" cm="1">
        <f t="array" ref="H85">GetValue("Dmn",C85,"Decimals")</f>
        <v/>
      </c>
      <c r="I85" t="str" cm="1">
        <f t="array" ref="I85">GetDataType(F85,G85,H85)</f>
        <v>VARCHAR(14)</v>
      </c>
    </row>
    <row r="86" spans="1:9" x14ac:dyDescent="0.3">
      <c r="A86">
        <v>3</v>
      </c>
      <c r="B86" t="str" cm="1">
        <f t="array" ref="B86">GetValue("Eng",A86,"Name")</f>
        <v>MariaDB</v>
      </c>
      <c r="C86">
        <f t="shared" si="2"/>
        <v>19</v>
      </c>
      <c r="D86" t="str" cm="1">
        <f t="array" ref="D86">GetValue("Dmn",C86,"Name")</f>
        <v>RAIZ/CPF/CNPJ</v>
      </c>
      <c r="E86" cm="1">
        <f t="array" ref="E86">GetValue("Dmn",C86,"TypeId")</f>
        <v>20</v>
      </c>
      <c r="F86" t="str" cm="1">
        <f t="array" ref="F86">GetValue("EngTyp",A86&amp;";"&amp;E86,"Name")</f>
        <v>VARCHAR</v>
      </c>
      <c r="G86" cm="1">
        <f t="array" ref="G86">GetValue("Dmn",C86,"Length")</f>
        <v>14</v>
      </c>
      <c r="H86" t="str" cm="1">
        <f t="array" ref="H86">GetValue("Dmn",C86,"Decimals")</f>
        <v/>
      </c>
      <c r="I86" t="str" cm="1">
        <f t="array" ref="I86">GetDataType(F86,G86,H86)</f>
        <v>VARCHAR(14)</v>
      </c>
    </row>
    <row r="87" spans="1:9" x14ac:dyDescent="0.3">
      <c r="A87">
        <v>3</v>
      </c>
      <c r="B87" t="str" cm="1">
        <f t="array" ref="B87">GetValue("Eng",A87,"Name")</f>
        <v>MariaDB</v>
      </c>
      <c r="C87">
        <f t="shared" si="2"/>
        <v>20</v>
      </c>
      <c r="D87" t="str" cm="1">
        <f t="array" ref="D87">GetValue("Dmn",C87,"Name")</f>
        <v>CAEPF</v>
      </c>
      <c r="E87" cm="1">
        <f t="array" ref="E87">GetValue("Dmn",C87,"TypeId")</f>
        <v>20</v>
      </c>
      <c r="F87" t="str" cm="1">
        <f t="array" ref="F87">GetValue("EngTyp",A87&amp;";"&amp;E87,"Name")</f>
        <v>VARCHAR</v>
      </c>
      <c r="G87" cm="1">
        <f t="array" ref="G87">GetValue("Dmn",C87,"Length")</f>
        <v>14</v>
      </c>
      <c r="H87" t="str" cm="1">
        <f t="array" ref="H87">GetValue("Dmn",C87,"Decimals")</f>
        <v/>
      </c>
      <c r="I87" t="str" cm="1">
        <f t="array" ref="I87">GetDataType(F87,G87,H87)</f>
        <v>VARCHAR(14)</v>
      </c>
    </row>
    <row r="88" spans="1:9" x14ac:dyDescent="0.3">
      <c r="A88">
        <v>3</v>
      </c>
      <c r="B88" t="str" cm="1">
        <f t="array" ref="B88">GetValue("Eng",A88,"Name")</f>
        <v>MariaDB</v>
      </c>
      <c r="C88">
        <f t="shared" si="2"/>
        <v>21</v>
      </c>
      <c r="D88" t="str" cm="1">
        <f t="array" ref="D88">GetValue("Dmn",C88,"Name")</f>
        <v>CREDIT CARD</v>
      </c>
      <c r="E88" cm="1">
        <f t="array" ref="E88">GetValue("Dmn",C88,"TypeId")</f>
        <v>20</v>
      </c>
      <c r="F88" t="str" cm="1">
        <f t="array" ref="F88">GetValue("EngTyp",A88&amp;";"&amp;E88,"Name")</f>
        <v>VARCHAR</v>
      </c>
      <c r="G88" cm="1">
        <f t="array" ref="G88">GetValue("Dmn",C88,"Length")</f>
        <v>16</v>
      </c>
      <c r="H88" t="str" cm="1">
        <f t="array" ref="H88">GetValue("Dmn",C88,"Decimals")</f>
        <v/>
      </c>
      <c r="I88" t="str" cm="1">
        <f t="array" ref="I88">GetDataType(F88,G88,H88)</f>
        <v>VARCHAR(16)</v>
      </c>
    </row>
    <row r="89" spans="1:9" x14ac:dyDescent="0.3">
      <c r="A89">
        <v>3</v>
      </c>
      <c r="B89" t="str" cm="1">
        <f t="array" ref="B89">GetValue("Eng",A89,"Name")</f>
        <v>MariaDB</v>
      </c>
      <c r="C89">
        <f t="shared" si="2"/>
        <v>22</v>
      </c>
      <c r="D89" t="str" cm="1">
        <f t="array" ref="D89">GetValue("Dmn",C89,"Name")</f>
        <v>RENAVAM</v>
      </c>
      <c r="E89" cm="1">
        <f t="array" ref="E89">GetValue("Dmn",C89,"TypeId")</f>
        <v>20</v>
      </c>
      <c r="F89" t="str" cm="1">
        <f t="array" ref="F89">GetValue("EngTyp",A89&amp;";"&amp;E89,"Name")</f>
        <v>VARCHAR</v>
      </c>
      <c r="G89" cm="1">
        <f t="array" ref="G89">GetValue("Dmn",C89,"Length")</f>
        <v>11</v>
      </c>
      <c r="H89" t="str" cm="1">
        <f t="array" ref="H89">GetValue("Dmn",C89,"Decimals")</f>
        <v/>
      </c>
      <c r="I89" t="str" cm="1">
        <f t="array" ref="I89">GetDataType(F89,G89,H89)</f>
        <v>VARCHAR(11)</v>
      </c>
    </row>
    <row r="90" spans="1:9" x14ac:dyDescent="0.3">
      <c r="A90">
        <v>3</v>
      </c>
      <c r="B90" t="str" cm="1">
        <f t="array" ref="B90">GetValue("Eng",A90,"Name")</f>
        <v>MariaDB</v>
      </c>
      <c r="C90">
        <f t="shared" si="2"/>
        <v>23</v>
      </c>
      <c r="D90" t="str" cm="1">
        <f t="array" ref="D90">GetValue("Dmn",C90,"Name")</f>
        <v>EAN-8</v>
      </c>
      <c r="E90" cm="1">
        <f t="array" ref="E90">GetValue("Dmn",C90,"TypeId")</f>
        <v>20</v>
      </c>
      <c r="F90" t="str" cm="1">
        <f t="array" ref="F90">GetValue("EngTyp",A90&amp;";"&amp;E90,"Name")</f>
        <v>VARCHAR</v>
      </c>
      <c r="G90" cm="1">
        <f t="array" ref="G90">GetValue("Dmn",C90,"Length")</f>
        <v>8</v>
      </c>
      <c r="H90" t="str" cm="1">
        <f t="array" ref="H90">GetValue("Dmn",C90,"Decimals")</f>
        <v/>
      </c>
      <c r="I90" t="str" cm="1">
        <f t="array" ref="I90">GetDataType(F90,G90,H90)</f>
        <v>VARCHAR(8)</v>
      </c>
    </row>
    <row r="91" spans="1:9" x14ac:dyDescent="0.3">
      <c r="A91">
        <v>3</v>
      </c>
      <c r="B91" t="str" cm="1">
        <f t="array" ref="B91">GetValue("Eng",A91,"Name")</f>
        <v>MariaDB</v>
      </c>
      <c r="C91">
        <f t="shared" si="2"/>
        <v>24</v>
      </c>
      <c r="D91" t="str" cm="1">
        <f t="array" ref="D91">GetValue("Dmn",C91,"Name")</f>
        <v>EAN-13</v>
      </c>
      <c r="E91" cm="1">
        <f t="array" ref="E91">GetValue("Dmn",C91,"TypeId")</f>
        <v>20</v>
      </c>
      <c r="F91" t="str" cm="1">
        <f t="array" ref="F91">GetValue("EngTyp",A91&amp;";"&amp;E91,"Name")</f>
        <v>VARCHAR</v>
      </c>
      <c r="G91" cm="1">
        <f t="array" ref="G91">GetValue("Dmn",C91,"Length")</f>
        <v>13</v>
      </c>
      <c r="H91" t="str" cm="1">
        <f t="array" ref="H91">GetValue("Dmn",C91,"Decimals")</f>
        <v/>
      </c>
      <c r="I91" t="str" cm="1">
        <f t="array" ref="I91">GetDataType(F91,G91,H91)</f>
        <v>VARCHAR(13)</v>
      </c>
    </row>
    <row r="92" spans="1:9" x14ac:dyDescent="0.3">
      <c r="A92">
        <v>3</v>
      </c>
      <c r="B92" t="str" cm="1">
        <f t="array" ref="B92">GetValue("Eng",A92,"Name")</f>
        <v>MariaDB</v>
      </c>
      <c r="C92">
        <f t="shared" si="2"/>
        <v>25</v>
      </c>
      <c r="D92" t="str" cm="1">
        <f t="array" ref="D92">GetValue("Dmn",C92,"Name")</f>
        <v>ISBN-10</v>
      </c>
      <c r="E92" cm="1">
        <f t="array" ref="E92">GetValue("Dmn",C92,"TypeId")</f>
        <v>20</v>
      </c>
      <c r="F92" t="str" cm="1">
        <f t="array" ref="F92">GetValue("EngTyp",A92&amp;";"&amp;E92,"Name")</f>
        <v>VARCHAR</v>
      </c>
      <c r="G92" cm="1">
        <f t="array" ref="G92">GetValue("Dmn",C92,"Length")</f>
        <v>10</v>
      </c>
      <c r="H92" t="str" cm="1">
        <f t="array" ref="H92">GetValue("Dmn",C92,"Decimals")</f>
        <v/>
      </c>
      <c r="I92" t="str" cm="1">
        <f t="array" ref="I92">GetDataType(F92,G92,H92)</f>
        <v>VARCHAR(10)</v>
      </c>
    </row>
    <row r="93" spans="1:9" x14ac:dyDescent="0.3">
      <c r="A93">
        <v>3</v>
      </c>
      <c r="B93" t="str" cm="1">
        <f t="array" ref="B93">GetValue("Eng",A93,"Name")</f>
        <v>MariaDB</v>
      </c>
      <c r="C93">
        <f t="shared" si="2"/>
        <v>26</v>
      </c>
      <c r="D93" t="str" cm="1">
        <f t="array" ref="D93">GetValue("Dmn",C93,"Name")</f>
        <v>ISBN-13</v>
      </c>
      <c r="E93" cm="1">
        <f t="array" ref="E93">GetValue("Dmn",C93,"TypeId")</f>
        <v>20</v>
      </c>
      <c r="F93" t="str" cm="1">
        <f t="array" ref="F93">GetValue("EngTyp",A93&amp;";"&amp;E93,"Name")</f>
        <v>VARCHAR</v>
      </c>
      <c r="G93" cm="1">
        <f t="array" ref="G93">GetValue("Dmn",C93,"Length")</f>
        <v>13</v>
      </c>
      <c r="H93" t="str" cm="1">
        <f t="array" ref="H93">GetValue("Dmn",C93,"Decimals")</f>
        <v/>
      </c>
      <c r="I93" t="str" cm="1">
        <f t="array" ref="I93">GetDataType(F93,G93,H93)</f>
        <v>VARCHAR(13)</v>
      </c>
    </row>
    <row r="94" spans="1:9" x14ac:dyDescent="0.3">
      <c r="A94">
        <v>3</v>
      </c>
      <c r="B94" t="str" cm="1">
        <f t="array" ref="B94">GetValue("Eng",A94,"Name")</f>
        <v>MariaDB</v>
      </c>
      <c r="C94">
        <f t="shared" si="2"/>
        <v>27</v>
      </c>
      <c r="D94" t="str" cm="1">
        <f t="array" ref="D94">GetValue("Dmn",C94,"Name")</f>
        <v>ISSN</v>
      </c>
      <c r="E94" cm="1">
        <f t="array" ref="E94">GetValue("Dmn",C94,"TypeId")</f>
        <v>20</v>
      </c>
      <c r="F94" t="str" cm="1">
        <f t="array" ref="F94">GetValue("EngTyp",A94&amp;";"&amp;E94,"Name")</f>
        <v>VARCHAR</v>
      </c>
      <c r="G94" cm="1">
        <f t="array" ref="G94">GetValue("Dmn",C94,"Length")</f>
        <v>8</v>
      </c>
      <c r="H94" t="str" cm="1">
        <f t="array" ref="H94">GetValue("Dmn",C94,"Decimals")</f>
        <v/>
      </c>
      <c r="I94" t="str" cm="1">
        <f t="array" ref="I94">GetDataType(F94,G94,H94)</f>
        <v>VARCHAR(8)</v>
      </c>
    </row>
    <row r="95" spans="1:9" x14ac:dyDescent="0.3">
      <c r="A95">
        <v>3</v>
      </c>
      <c r="B95" t="str" cm="1">
        <f t="array" ref="B95">GetValue("Eng",A95,"Name")</f>
        <v>MariaDB</v>
      </c>
      <c r="C95">
        <f t="shared" si="2"/>
        <v>28</v>
      </c>
      <c r="D95" t="str" cm="1">
        <f t="array" ref="D95">GetValue("Dmn",C95,"Name")</f>
        <v>JS</v>
      </c>
      <c r="E95" cm="1">
        <f t="array" ref="E95">GetValue("Dmn",C95,"TypeId")</f>
        <v>21</v>
      </c>
      <c r="F95" t="str" cm="1">
        <f t="array" ref="F95">GetValue("EngTyp",A95&amp;";"&amp;E95,"Name")</f>
        <v>LONGTEXT</v>
      </c>
      <c r="G95" t="str" cm="1">
        <f t="array" ref="G95">GetValue("Dmn",C95,"Length")</f>
        <v/>
      </c>
      <c r="H95" t="str" cm="1">
        <f t="array" ref="H95">GetValue("Dmn",C95,"Decimals")</f>
        <v/>
      </c>
      <c r="I95" t="str" cm="1">
        <f t="array" ref="I95">GetDataType(F95,G95,H95)</f>
        <v>LONGTEXT</v>
      </c>
    </row>
    <row r="96" spans="1:9" x14ac:dyDescent="0.3">
      <c r="A96">
        <v>3</v>
      </c>
      <c r="B96" t="str" cm="1">
        <f t="array" ref="B96">GetValue("Eng",A96,"Name")</f>
        <v>MariaDB</v>
      </c>
      <c r="C96">
        <f t="shared" si="2"/>
        <v>29</v>
      </c>
      <c r="D96" t="str" cm="1">
        <f t="array" ref="D96">GetValue("Dmn",C96,"Name")</f>
        <v>SQL</v>
      </c>
      <c r="E96" cm="1">
        <f t="array" ref="E96">GetValue("Dmn",C96,"TypeId")</f>
        <v>21</v>
      </c>
      <c r="F96" t="str" cm="1">
        <f t="array" ref="F96">GetValue("EngTyp",A96&amp;";"&amp;E96,"Name")</f>
        <v>LONGTEXT</v>
      </c>
      <c r="G96" t="str" cm="1">
        <f t="array" ref="G96">GetValue("Dmn",C96,"Length")</f>
        <v/>
      </c>
      <c r="H96" t="str" cm="1">
        <f t="array" ref="H96">GetValue("Dmn",C96,"Decimals")</f>
        <v/>
      </c>
      <c r="I96" t="str" cm="1">
        <f t="array" ref="I96">GetDataType(F96,G96,H96)</f>
        <v>LONGTEXT</v>
      </c>
    </row>
    <row r="97" spans="1:9" x14ac:dyDescent="0.3">
      <c r="A97">
        <v>3</v>
      </c>
      <c r="B97" t="str" cm="1">
        <f t="array" ref="B97">GetValue("Eng",A97,"Name")</f>
        <v>MariaDB</v>
      </c>
      <c r="C97">
        <f t="shared" si="2"/>
        <v>30</v>
      </c>
      <c r="D97" t="str" cm="1">
        <f t="array" ref="D97">GetValue("Dmn",C97,"Name")</f>
        <v>Nvarchar(MAX)</v>
      </c>
      <c r="E97" cm="1">
        <f t="array" ref="E97">GetValue("Dmn",C97,"TypeId")</f>
        <v>21</v>
      </c>
      <c r="F97" t="str" cm="1">
        <f t="array" ref="F97">GetValue("EngTyp",A97&amp;";"&amp;E97,"Name")</f>
        <v>LONGTEXT</v>
      </c>
      <c r="G97" t="str" cm="1">
        <f t="array" ref="G97">GetValue("Dmn",C97,"Length")</f>
        <v/>
      </c>
      <c r="H97" t="str" cm="1">
        <f t="array" ref="H97">GetValue("Dmn",C97,"Decimals")</f>
        <v/>
      </c>
      <c r="I97" t="str" cm="1">
        <f t="array" ref="I97">GetDataType(F97,G97,H97)</f>
        <v>LONGTEXT</v>
      </c>
    </row>
    <row r="98" spans="1:9" x14ac:dyDescent="0.3">
      <c r="A98">
        <v>3</v>
      </c>
      <c r="B98" t="str" cm="1">
        <f t="array" ref="B98">GetValue("Eng",A98,"Name")</f>
        <v>MariaDB</v>
      </c>
      <c r="C98">
        <f t="shared" si="2"/>
        <v>31</v>
      </c>
      <c r="D98" t="str" cm="1">
        <f t="array" ref="D98">GetValue("Dmn",C98,"Name")</f>
        <v>JSON</v>
      </c>
      <c r="E98" cm="1">
        <f t="array" ref="E98">GetValue("Dmn",C98,"TypeId")</f>
        <v>21</v>
      </c>
      <c r="F98" t="str" cm="1">
        <f t="array" ref="F98">GetValue("EngTyp",A98&amp;";"&amp;E98,"Name")</f>
        <v>LONGTEXT</v>
      </c>
      <c r="G98" t="str" cm="1">
        <f t="array" ref="G98">GetValue("Dmn",C98,"Length")</f>
        <v/>
      </c>
      <c r="H98" t="str" cm="1">
        <f t="array" ref="H98">GetValue("Dmn",C98,"Decimals")</f>
        <v/>
      </c>
      <c r="I98" t="str" cm="1">
        <f t="array" ref="I98">GetDataType(F98,G98,H98)</f>
        <v>LONGTEXT</v>
      </c>
    </row>
    <row r="99" spans="1:9" x14ac:dyDescent="0.3">
      <c r="A99">
        <v>3</v>
      </c>
      <c r="B99" t="str" cm="1">
        <f t="array" ref="B99">GetValue("Eng",A99,"Name")</f>
        <v>MariaDB</v>
      </c>
      <c r="C99">
        <f t="shared" si="2"/>
        <v>32</v>
      </c>
      <c r="D99" t="str" cm="1">
        <f t="array" ref="D99">GetValue("Dmn",C99,"Name")</f>
        <v>Operator</v>
      </c>
      <c r="E99" cm="1">
        <f t="array" ref="E99">GetValue("Dmn",C99,"TypeId")</f>
        <v>4</v>
      </c>
      <c r="F99" t="str" cm="1">
        <f t="array" ref="F99">GetValue("EngTyp",A99&amp;";"&amp;E99,"Name")</f>
        <v>CHAR</v>
      </c>
      <c r="G99" cm="1">
        <f t="array" ref="G99">GetValue("Dmn",C99,"Length")</f>
        <v>1</v>
      </c>
      <c r="H99" t="str" cm="1">
        <f t="array" ref="H99">GetValue("Dmn",C99,"Decimals")</f>
        <v/>
      </c>
      <c r="I99" t="str" cm="1">
        <f t="array" ref="I99">GetDataType(F99,G99,H99)</f>
        <v>CHAR(1)</v>
      </c>
    </row>
    <row r="100" spans="1:9" x14ac:dyDescent="0.3">
      <c r="A100">
        <v>3</v>
      </c>
      <c r="B100" t="str" cm="1">
        <f t="array" ref="B100">GetValue("Eng",A100,"Name")</f>
        <v>MariaDB</v>
      </c>
      <c r="C100">
        <f t="shared" si="2"/>
        <v>33</v>
      </c>
      <c r="D100" t="str" cm="1">
        <f t="array" ref="D100">GetValue("Dmn",C100,"Name")</f>
        <v>Money</v>
      </c>
      <c r="E100" cm="1">
        <f t="array" ref="E100">GetValue("Dmn",C100,"TypeId")</f>
        <v>9</v>
      </c>
      <c r="F100" t="str" cm="1">
        <f t="array" ref="F100">GetValue("EngTyp",A100&amp;";"&amp;E100,"Name")</f>
        <v>DECIMAL</v>
      </c>
      <c r="G100" cm="1">
        <f t="array" ref="G100">GetValue("Dmn",C100,"Length")</f>
        <v>19</v>
      </c>
      <c r="H100" cm="1">
        <f t="array" ref="H100">GetValue("Dmn",C100,"Decimals")</f>
        <v>2</v>
      </c>
      <c r="I100" t="str" cm="1">
        <f t="array" ref="I100">GetDataType(F100,G100,H100)</f>
        <v>DECIMAL(19, 2)</v>
      </c>
    </row>
    <row r="101" spans="1:9" x14ac:dyDescent="0.3">
      <c r="A101">
        <v>4</v>
      </c>
      <c r="B101" t="str" cm="1">
        <f t="array" ref="B101">GetValue("Eng",A101,"Name")</f>
        <v>PostgreSQL</v>
      </c>
      <c r="C101">
        <v>1</v>
      </c>
      <c r="D101" t="str" cm="1">
        <f t="array" ref="D101">GetValue("Dmn",C101,"Name")</f>
        <v>BigInteger</v>
      </c>
      <c r="E101" cm="1">
        <f t="array" ref="E101">GetValue("Dmn",C101,"TypeId")</f>
        <v>1</v>
      </c>
      <c r="F101" t="str" cm="1">
        <f t="array" ref="F101">GetValue("EngTyp",A101&amp;";"&amp;E101,"Name")</f>
        <v>BIGINT</v>
      </c>
      <c r="G101" t="str" cm="1">
        <f t="array" ref="G101">GetValue("Dmn",C101,"Length")</f>
        <v/>
      </c>
      <c r="H101" t="str" cm="1">
        <f t="array" ref="H101">GetValue("Dmn",C101,"Decimals")</f>
        <v/>
      </c>
      <c r="I101" t="str" cm="1">
        <f t="array" ref="I101">GetDataType(F101,G101,H101)</f>
        <v>BIGINT</v>
      </c>
    </row>
    <row r="102" spans="1:9" x14ac:dyDescent="0.3">
      <c r="A102">
        <v>4</v>
      </c>
      <c r="B102" t="str" cm="1">
        <f t="array" ref="B102">GetValue("Eng",A102,"Name")</f>
        <v>PostgreSQL</v>
      </c>
      <c r="C102">
        <f>C101+1</f>
        <v>2</v>
      </c>
      <c r="D102" t="str" cm="1">
        <f t="array" ref="D102">GetValue("Dmn",C102,"Name")</f>
        <v>Integer</v>
      </c>
      <c r="E102" cm="1">
        <f t="array" ref="E102">GetValue("Dmn",C102,"TypeId")</f>
        <v>15</v>
      </c>
      <c r="F102" t="str" cm="1">
        <f t="array" ref="F102">GetValue("EngTyp",A102&amp;";"&amp;E102,"Name")</f>
        <v>INTEGER</v>
      </c>
      <c r="G102" t="str" cm="1">
        <f t="array" ref="G102">GetValue("Dmn",C102,"Length")</f>
        <v/>
      </c>
      <c r="H102" t="str" cm="1">
        <f t="array" ref="H102">GetValue("Dmn",C102,"Decimals")</f>
        <v/>
      </c>
      <c r="I102" t="str" cm="1">
        <f t="array" ref="I102">GetDataType(F102,G102,H102)</f>
        <v>INTEGER</v>
      </c>
    </row>
    <row r="103" spans="1:9" x14ac:dyDescent="0.3">
      <c r="A103">
        <v>4</v>
      </c>
      <c r="B103" t="str" cm="1">
        <f t="array" ref="B103">GetValue("Eng",A103,"Name")</f>
        <v>PostgreSQL</v>
      </c>
      <c r="C103">
        <f t="shared" ref="C103:C133" si="3">C102+1</f>
        <v>3</v>
      </c>
      <c r="D103" t="str" cm="1">
        <f t="array" ref="D103">GetValue("Dmn",C103,"Name")</f>
        <v>ShortInteger</v>
      </c>
      <c r="E103" cm="1">
        <f t="array" ref="E103">GetValue("Dmn",C103,"TypeId")</f>
        <v>15</v>
      </c>
      <c r="F103" t="str" cm="1">
        <f t="array" ref="F103">GetValue("EngTyp",A103&amp;";"&amp;E103,"Name")</f>
        <v>INTEGER</v>
      </c>
      <c r="G103" t="str" cm="1">
        <f t="array" ref="G103">GetValue("Dmn",C103,"Length")</f>
        <v/>
      </c>
      <c r="H103" t="str" cm="1">
        <f t="array" ref="H103">GetValue("Dmn",C103,"Decimals")</f>
        <v/>
      </c>
      <c r="I103" t="str" cm="1">
        <f t="array" ref="I103">GetDataType(F103,G103,H103)</f>
        <v>INTEGER</v>
      </c>
    </row>
    <row r="104" spans="1:9" x14ac:dyDescent="0.3">
      <c r="A104">
        <v>4</v>
      </c>
      <c r="B104" t="str" cm="1">
        <f t="array" ref="B104">GetValue("Eng",A104,"Name")</f>
        <v>PostgreSQL</v>
      </c>
      <c r="C104">
        <f t="shared" si="3"/>
        <v>4</v>
      </c>
      <c r="D104" t="str" cm="1">
        <f t="array" ref="D104">GetValue("Dmn",C104,"Name")</f>
        <v>SmallInteger</v>
      </c>
      <c r="E104" cm="1">
        <f t="array" ref="E104">GetValue("Dmn",C104,"TypeId")</f>
        <v>24</v>
      </c>
      <c r="F104" t="str" cm="1">
        <f t="array" ref="F104">GetValue("EngTyp",A104&amp;";"&amp;E104,"Name")</f>
        <v>SMALLINT</v>
      </c>
      <c r="G104" t="str" cm="1">
        <f t="array" ref="G104">GetValue("Dmn",C104,"Length")</f>
        <v/>
      </c>
      <c r="H104" t="str" cm="1">
        <f t="array" ref="H104">GetValue("Dmn",C104,"Decimals")</f>
        <v/>
      </c>
      <c r="I104" t="str" cm="1">
        <f t="array" ref="I104">GetDataType(F104,G104,H104)</f>
        <v>SMALLINT</v>
      </c>
    </row>
    <row r="105" spans="1:9" x14ac:dyDescent="0.3">
      <c r="A105">
        <v>4</v>
      </c>
      <c r="B105" t="str" cm="1">
        <f t="array" ref="B105">GetValue("Eng",A105,"Name")</f>
        <v>PostgreSQL</v>
      </c>
      <c r="C105">
        <f t="shared" si="3"/>
        <v>5</v>
      </c>
      <c r="D105" t="str" cm="1">
        <f t="array" ref="D105">GetValue("Dmn",C105,"Name")</f>
        <v>TinyInteger</v>
      </c>
      <c r="E105" cm="1">
        <f t="array" ref="E105">GetValue("Dmn",C105,"TypeId")</f>
        <v>31</v>
      </c>
      <c r="F105" t="str" cm="1">
        <f t="array" ref="F105">GetValue("EngTyp",A105&amp;";"&amp;E105,"Name")</f>
        <v>SMALLINT</v>
      </c>
      <c r="G105" t="str" cm="1">
        <f t="array" ref="G105">GetValue("Dmn",C105,"Length")</f>
        <v/>
      </c>
      <c r="H105" t="str" cm="1">
        <f t="array" ref="H105">GetValue("Dmn",C105,"Decimals")</f>
        <v/>
      </c>
      <c r="I105" t="str" cm="1">
        <f t="array" ref="I105">GetDataType(F105,G105,H105)</f>
        <v>SMALLINT</v>
      </c>
    </row>
    <row r="106" spans="1:9" x14ac:dyDescent="0.3">
      <c r="A106">
        <v>4</v>
      </c>
      <c r="B106" t="str" cm="1">
        <f t="array" ref="B106">GetValue("Eng",A106,"Name")</f>
        <v>PostgreSQL</v>
      </c>
      <c r="C106">
        <f t="shared" si="3"/>
        <v>6</v>
      </c>
      <c r="D106" t="str" cm="1">
        <f t="array" ref="D106">GetValue("Dmn",C106,"Name")</f>
        <v>Boolean</v>
      </c>
      <c r="E106" cm="1">
        <f t="array" ref="E106">GetValue("Dmn",C106,"TypeId")</f>
        <v>3</v>
      </c>
      <c r="F106" t="str" cm="1">
        <f t="array" ref="F106">GetValue("EngTyp",A106&amp;";"&amp;E106,"Name")</f>
        <v>BOOLEAN</v>
      </c>
      <c r="G106" t="str" cm="1">
        <f t="array" ref="G106">GetValue("Dmn",C106,"Length")</f>
        <v/>
      </c>
      <c r="H106" t="str" cm="1">
        <f t="array" ref="H106">GetValue("Dmn",C106,"Decimals")</f>
        <v/>
      </c>
      <c r="I106" t="str" cm="1">
        <f t="array" ref="I106">GetDataType(F106,G106,H106)</f>
        <v>BOOLEAN</v>
      </c>
    </row>
    <row r="107" spans="1:9" x14ac:dyDescent="0.3">
      <c r="A107">
        <v>4</v>
      </c>
      <c r="B107" t="str" cm="1">
        <f t="array" ref="B107">GetValue("Eng",A107,"Name")</f>
        <v>PostgreSQL</v>
      </c>
      <c r="C107">
        <f t="shared" si="3"/>
        <v>7</v>
      </c>
      <c r="D107" t="str" cm="1">
        <f t="array" ref="D107">GetValue("Dmn",C107,"Name")</f>
        <v>DateTime</v>
      </c>
      <c r="E107" cm="1">
        <f t="array" ref="E107">GetValue("Dmn",C107,"TypeId")</f>
        <v>6</v>
      </c>
      <c r="F107" t="str" cm="1">
        <f t="array" ref="F107">GetValue("EngTyp",A107&amp;";"&amp;E107,"Name")</f>
        <v>TIMESTAMP</v>
      </c>
      <c r="G107" t="str" cm="1">
        <f t="array" ref="G107">GetValue("Dmn",C107,"Length")</f>
        <v/>
      </c>
      <c r="H107" t="str" cm="1">
        <f t="array" ref="H107">GetValue("Dmn",C107,"Decimals")</f>
        <v/>
      </c>
      <c r="I107" t="str" cm="1">
        <f t="array" ref="I107">GetDataType(F107,G107,H107)</f>
        <v>TIMESTAMP</v>
      </c>
    </row>
    <row r="108" spans="1:9" x14ac:dyDescent="0.3">
      <c r="A108">
        <v>4</v>
      </c>
      <c r="B108" t="str" cm="1">
        <f t="array" ref="B108">GetValue("Eng",A108,"Name")</f>
        <v>PostgreSQL</v>
      </c>
      <c r="C108">
        <f t="shared" si="3"/>
        <v>8</v>
      </c>
      <c r="D108" t="str" cm="1">
        <f t="array" ref="D108">GetValue("Dmn",C108,"Name")</f>
        <v>Nvarchar(15)</v>
      </c>
      <c r="E108" cm="1">
        <f t="array" ref="E108">GetValue("Dmn",C108,"TypeId")</f>
        <v>20</v>
      </c>
      <c r="F108" t="str" cm="1">
        <f t="array" ref="F108">GetValue("EngTyp",A108&amp;";"&amp;E108,"Name")</f>
        <v>VARCHAR</v>
      </c>
      <c r="G108" cm="1">
        <f t="array" ref="G108">GetValue("Dmn",C108,"Length")</f>
        <v>15</v>
      </c>
      <c r="H108" t="str" cm="1">
        <f t="array" ref="H108">GetValue("Dmn",C108,"Decimals")</f>
        <v/>
      </c>
      <c r="I108" t="str" cm="1">
        <f t="array" ref="I108">GetDataType(F108,G108,H108)</f>
        <v>VARCHAR(15)</v>
      </c>
    </row>
    <row r="109" spans="1:9" x14ac:dyDescent="0.3">
      <c r="A109">
        <v>4</v>
      </c>
      <c r="B109" t="str" cm="1">
        <f t="array" ref="B109">GetValue("Eng",A109,"Name")</f>
        <v>PostgreSQL</v>
      </c>
      <c r="C109">
        <f t="shared" si="3"/>
        <v>9</v>
      </c>
      <c r="D109" t="str" cm="1">
        <f t="array" ref="D109">GetValue("Dmn",C109,"Name")</f>
        <v>Nvarchar(20)</v>
      </c>
      <c r="E109" cm="1">
        <f t="array" ref="E109">GetValue("Dmn",C109,"TypeId")</f>
        <v>20</v>
      </c>
      <c r="F109" t="str" cm="1">
        <f t="array" ref="F109">GetValue("EngTyp",A109&amp;";"&amp;E109,"Name")</f>
        <v>VARCHAR</v>
      </c>
      <c r="G109" cm="1">
        <f t="array" ref="G109">GetValue("Dmn",C109,"Length")</f>
        <v>20</v>
      </c>
      <c r="H109" t="str" cm="1">
        <f t="array" ref="H109">GetValue("Dmn",C109,"Decimals")</f>
        <v/>
      </c>
      <c r="I109" t="str" cm="1">
        <f t="array" ref="I109">GetDataType(F109,G109,H109)</f>
        <v>VARCHAR(20)</v>
      </c>
    </row>
    <row r="110" spans="1:9" x14ac:dyDescent="0.3">
      <c r="A110">
        <v>4</v>
      </c>
      <c r="B110" t="str" cm="1">
        <f t="array" ref="B110">GetValue("Eng",A110,"Name")</f>
        <v>PostgreSQL</v>
      </c>
      <c r="C110">
        <f t="shared" si="3"/>
        <v>10</v>
      </c>
      <c r="D110" t="str" cm="1">
        <f t="array" ref="D110">GetValue("Dmn",C110,"Name")</f>
        <v>Nvarchar(25)</v>
      </c>
      <c r="E110" cm="1">
        <f t="array" ref="E110">GetValue("Dmn",C110,"TypeId")</f>
        <v>20</v>
      </c>
      <c r="F110" t="str" cm="1">
        <f t="array" ref="F110">GetValue("EngTyp",A110&amp;";"&amp;E110,"Name")</f>
        <v>VARCHAR</v>
      </c>
      <c r="G110" cm="1">
        <f t="array" ref="G110">GetValue("Dmn",C110,"Length")</f>
        <v>25</v>
      </c>
      <c r="H110" t="str" cm="1">
        <f t="array" ref="H110">GetValue("Dmn",C110,"Decimals")</f>
        <v/>
      </c>
      <c r="I110" t="str" cm="1">
        <f t="array" ref="I110">GetDataType(F110,G110,H110)</f>
        <v>VARCHAR(25)</v>
      </c>
    </row>
    <row r="111" spans="1:9" x14ac:dyDescent="0.3">
      <c r="A111">
        <v>4</v>
      </c>
      <c r="B111" t="str" cm="1">
        <f t="array" ref="B111">GetValue("Eng",A111,"Name")</f>
        <v>PostgreSQL</v>
      </c>
      <c r="C111">
        <f t="shared" si="3"/>
        <v>11</v>
      </c>
      <c r="D111" t="str" cm="1">
        <f t="array" ref="D111">GetValue("Dmn",C111,"Name")</f>
        <v>Nvarchar(50)</v>
      </c>
      <c r="E111" cm="1">
        <f t="array" ref="E111">GetValue("Dmn",C111,"TypeId")</f>
        <v>20</v>
      </c>
      <c r="F111" t="str" cm="1">
        <f t="array" ref="F111">GetValue("EngTyp",A111&amp;";"&amp;E111,"Name")</f>
        <v>VARCHAR</v>
      </c>
      <c r="G111" cm="1">
        <f t="array" ref="G111">GetValue("Dmn",C111,"Length")</f>
        <v>50</v>
      </c>
      <c r="H111" t="str" cm="1">
        <f t="array" ref="H111">GetValue("Dmn",C111,"Decimals")</f>
        <v/>
      </c>
      <c r="I111" t="str" cm="1">
        <f t="array" ref="I111">GetDataType(F111,G111,H111)</f>
        <v>VARCHAR(50)</v>
      </c>
    </row>
    <row r="112" spans="1:9" x14ac:dyDescent="0.3">
      <c r="A112">
        <v>4</v>
      </c>
      <c r="B112" t="str" cm="1">
        <f t="array" ref="B112">GetValue("Eng",A112,"Name")</f>
        <v>PostgreSQL</v>
      </c>
      <c r="C112">
        <f t="shared" si="3"/>
        <v>12</v>
      </c>
      <c r="D112" t="str" cm="1">
        <f t="array" ref="D112">GetValue("Dmn",C112,"Name")</f>
        <v>Nvarchar(256)</v>
      </c>
      <c r="E112" cm="1">
        <f t="array" ref="E112">GetValue("Dmn",C112,"TypeId")</f>
        <v>20</v>
      </c>
      <c r="F112" t="str" cm="1">
        <f t="array" ref="F112">GetValue("EngTyp",A112&amp;";"&amp;E112,"Name")</f>
        <v>VARCHAR</v>
      </c>
      <c r="G112" cm="1">
        <f t="array" ref="G112">GetValue("Dmn",C112,"Length")</f>
        <v>256</v>
      </c>
      <c r="H112" t="str" cm="1">
        <f t="array" ref="H112">GetValue("Dmn",C112,"Decimals")</f>
        <v/>
      </c>
      <c r="I112" t="str" cm="1">
        <f t="array" ref="I112">GetDataType(F112,G112,H112)</f>
        <v>VARCHAR(256)</v>
      </c>
    </row>
    <row r="113" spans="1:9" x14ac:dyDescent="0.3">
      <c r="A113">
        <v>4</v>
      </c>
      <c r="B113" t="str" cm="1">
        <f t="array" ref="B113">GetValue("Eng",A113,"Name")</f>
        <v>PostgreSQL</v>
      </c>
      <c r="C113">
        <f t="shared" si="3"/>
        <v>13</v>
      </c>
      <c r="D113" t="str" cm="1">
        <f t="array" ref="D113">GetValue("Dmn",C113,"Name")</f>
        <v>Variant</v>
      </c>
      <c r="E113" cm="1">
        <f t="array" ref="E113">GetValue("Dmn",C113,"TypeId")</f>
        <v>20</v>
      </c>
      <c r="F113" t="str" cm="1">
        <f t="array" ref="F113">GetValue("EngTyp",A113&amp;";"&amp;E113,"Name")</f>
        <v>VARCHAR</v>
      </c>
      <c r="G113" t="str" cm="1">
        <f t="array" ref="G113">GetValue("Dmn",C113,"Length")</f>
        <v/>
      </c>
      <c r="H113" t="str" cm="1">
        <f t="array" ref="H113">GetValue("Dmn",C113,"Decimals")</f>
        <v/>
      </c>
      <c r="I113" t="str" cm="1">
        <f t="array" ref="I113">GetDataType(F113,G113,H113)</f>
        <v>VARCHAR</v>
      </c>
    </row>
    <row r="114" spans="1:9" x14ac:dyDescent="0.3">
      <c r="A114">
        <v>4</v>
      </c>
      <c r="B114" t="str" cm="1">
        <f t="array" ref="B114">GetValue("Eng",A114,"Name")</f>
        <v>PostgreSQL</v>
      </c>
      <c r="C114">
        <f t="shared" si="3"/>
        <v>14</v>
      </c>
      <c r="D114" t="str" cm="1">
        <f t="array" ref="D114">GetValue("Dmn",C114,"Name")</f>
        <v>Codification</v>
      </c>
      <c r="E114" cm="1">
        <f t="array" ref="E114">GetValue("Dmn",C114,"TypeId")</f>
        <v>20</v>
      </c>
      <c r="F114" t="str" cm="1">
        <f t="array" ref="F114">GetValue("EngTyp",A114&amp;";"&amp;E114,"Name")</f>
        <v>VARCHAR</v>
      </c>
      <c r="G114" cm="1">
        <f t="array" ref="G114">GetValue("Dmn",C114,"Length")</f>
        <v>5</v>
      </c>
      <c r="H114" t="str" cm="1">
        <f t="array" ref="H114">GetValue("Dmn",C114,"Decimals")</f>
        <v/>
      </c>
      <c r="I114" t="str" cm="1">
        <f t="array" ref="I114">GetDataType(F114,G114,H114)</f>
        <v>VARCHAR(5)</v>
      </c>
    </row>
    <row r="115" spans="1:9" x14ac:dyDescent="0.3">
      <c r="A115">
        <v>4</v>
      </c>
      <c r="B115" t="str" cm="1">
        <f t="array" ref="B115">GetValue("Eng",A115,"Name")</f>
        <v>PostgreSQL</v>
      </c>
      <c r="C115">
        <f t="shared" si="3"/>
        <v>15</v>
      </c>
      <c r="D115" t="str" cm="1">
        <f t="array" ref="D115">GetValue("Dmn",C115,"Name")</f>
        <v>Operation</v>
      </c>
      <c r="E115" cm="1">
        <f t="array" ref="E115">GetValue("Dmn",C115,"TypeId")</f>
        <v>20</v>
      </c>
      <c r="F115" t="str" cm="1">
        <f t="array" ref="F115">GetValue("EngTyp",A115&amp;";"&amp;E115,"Name")</f>
        <v>VARCHAR</v>
      </c>
      <c r="G115" cm="1">
        <f t="array" ref="G115">GetValue("Dmn",C115,"Length")</f>
        <v>15</v>
      </c>
      <c r="H115" t="str" cm="1">
        <f t="array" ref="H115">GetValue("Dmn",C115,"Decimals")</f>
        <v/>
      </c>
      <c r="I115" t="str" cm="1">
        <f t="array" ref="I115">GetDataType(F115,G115,H115)</f>
        <v>VARCHAR(15)</v>
      </c>
    </row>
    <row r="116" spans="1:9" x14ac:dyDescent="0.3">
      <c r="A116">
        <v>4</v>
      </c>
      <c r="B116" t="str" cm="1">
        <f t="array" ref="B116">GetValue("Eng",A116,"Name")</f>
        <v>PostgreSQL</v>
      </c>
      <c r="C116">
        <f t="shared" si="3"/>
        <v>16</v>
      </c>
      <c r="D116" t="str" cm="1">
        <f t="array" ref="D116">GetValue("Dmn",C116,"Name")</f>
        <v>RAIZ CNPJ</v>
      </c>
      <c r="E116" cm="1">
        <f t="array" ref="E116">GetValue("Dmn",C116,"TypeId")</f>
        <v>20</v>
      </c>
      <c r="F116" t="str" cm="1">
        <f t="array" ref="F116">GetValue("EngTyp",A116&amp;";"&amp;E116,"Name")</f>
        <v>VARCHAR</v>
      </c>
      <c r="G116" cm="1">
        <f t="array" ref="G116">GetValue("Dmn",C116,"Length")</f>
        <v>8</v>
      </c>
      <c r="H116" t="str" cm="1">
        <f t="array" ref="H116">GetValue("Dmn",C116,"Decimals")</f>
        <v/>
      </c>
      <c r="I116" t="str" cm="1">
        <f t="array" ref="I116">GetDataType(F116,G116,H116)</f>
        <v>VARCHAR(8)</v>
      </c>
    </row>
    <row r="117" spans="1:9" x14ac:dyDescent="0.3">
      <c r="A117">
        <v>4</v>
      </c>
      <c r="B117" t="str" cm="1">
        <f t="array" ref="B117">GetValue("Eng",A117,"Name")</f>
        <v>PostgreSQL</v>
      </c>
      <c r="C117">
        <f t="shared" si="3"/>
        <v>17</v>
      </c>
      <c r="D117" t="str" cm="1">
        <f t="array" ref="D117">GetValue("Dmn",C117,"Name")</f>
        <v>CPF</v>
      </c>
      <c r="E117" cm="1">
        <f t="array" ref="E117">GetValue("Dmn",C117,"TypeId")</f>
        <v>20</v>
      </c>
      <c r="F117" t="str" cm="1">
        <f t="array" ref="F117">GetValue("EngTyp",A117&amp;";"&amp;E117,"Name")</f>
        <v>VARCHAR</v>
      </c>
      <c r="G117" cm="1">
        <f t="array" ref="G117">GetValue("Dmn",C117,"Length")</f>
        <v>11</v>
      </c>
      <c r="H117" t="str" cm="1">
        <f t="array" ref="H117">GetValue("Dmn",C117,"Decimals")</f>
        <v/>
      </c>
      <c r="I117" t="str" cm="1">
        <f t="array" ref="I117">GetDataType(F117,G117,H117)</f>
        <v>VARCHAR(11)</v>
      </c>
    </row>
    <row r="118" spans="1:9" x14ac:dyDescent="0.3">
      <c r="A118">
        <v>4</v>
      </c>
      <c r="B118" t="str" cm="1">
        <f t="array" ref="B118">GetValue("Eng",A118,"Name")</f>
        <v>PostgreSQL</v>
      </c>
      <c r="C118">
        <f t="shared" si="3"/>
        <v>18</v>
      </c>
      <c r="D118" t="str" cm="1">
        <f t="array" ref="D118">GetValue("Dmn",C118,"Name")</f>
        <v>CNPJ</v>
      </c>
      <c r="E118" cm="1">
        <f t="array" ref="E118">GetValue("Dmn",C118,"TypeId")</f>
        <v>20</v>
      </c>
      <c r="F118" t="str" cm="1">
        <f t="array" ref="F118">GetValue("EngTyp",A118&amp;";"&amp;E118,"Name")</f>
        <v>VARCHAR</v>
      </c>
      <c r="G118" cm="1">
        <f t="array" ref="G118">GetValue("Dmn",C118,"Length")</f>
        <v>14</v>
      </c>
      <c r="H118" t="str" cm="1">
        <f t="array" ref="H118">GetValue("Dmn",C118,"Decimals")</f>
        <v/>
      </c>
      <c r="I118" t="str" cm="1">
        <f t="array" ref="I118">GetDataType(F118,G118,H118)</f>
        <v>VARCHAR(14)</v>
      </c>
    </row>
    <row r="119" spans="1:9" x14ac:dyDescent="0.3">
      <c r="A119">
        <v>4</v>
      </c>
      <c r="B119" t="str" cm="1">
        <f t="array" ref="B119">GetValue("Eng",A119,"Name")</f>
        <v>PostgreSQL</v>
      </c>
      <c r="C119">
        <f t="shared" si="3"/>
        <v>19</v>
      </c>
      <c r="D119" t="str" cm="1">
        <f t="array" ref="D119">GetValue("Dmn",C119,"Name")</f>
        <v>RAIZ/CPF/CNPJ</v>
      </c>
      <c r="E119" cm="1">
        <f t="array" ref="E119">GetValue("Dmn",C119,"TypeId")</f>
        <v>20</v>
      </c>
      <c r="F119" t="str" cm="1">
        <f t="array" ref="F119">GetValue("EngTyp",A119&amp;";"&amp;E119,"Name")</f>
        <v>VARCHAR</v>
      </c>
      <c r="G119" cm="1">
        <f t="array" ref="G119">GetValue("Dmn",C119,"Length")</f>
        <v>14</v>
      </c>
      <c r="H119" t="str" cm="1">
        <f t="array" ref="H119">GetValue("Dmn",C119,"Decimals")</f>
        <v/>
      </c>
      <c r="I119" t="str" cm="1">
        <f t="array" ref="I119">GetDataType(F119,G119,H119)</f>
        <v>VARCHAR(14)</v>
      </c>
    </row>
    <row r="120" spans="1:9" x14ac:dyDescent="0.3">
      <c r="A120">
        <v>4</v>
      </c>
      <c r="B120" t="str" cm="1">
        <f t="array" ref="B120">GetValue("Eng",A120,"Name")</f>
        <v>PostgreSQL</v>
      </c>
      <c r="C120">
        <f t="shared" si="3"/>
        <v>20</v>
      </c>
      <c r="D120" t="str" cm="1">
        <f t="array" ref="D120">GetValue("Dmn",C120,"Name")</f>
        <v>CAEPF</v>
      </c>
      <c r="E120" cm="1">
        <f t="array" ref="E120">GetValue("Dmn",C120,"TypeId")</f>
        <v>20</v>
      </c>
      <c r="F120" t="str" cm="1">
        <f t="array" ref="F120">GetValue("EngTyp",A120&amp;";"&amp;E120,"Name")</f>
        <v>VARCHAR</v>
      </c>
      <c r="G120" cm="1">
        <f t="array" ref="G120">GetValue("Dmn",C120,"Length")</f>
        <v>14</v>
      </c>
      <c r="H120" t="str" cm="1">
        <f t="array" ref="H120">GetValue("Dmn",C120,"Decimals")</f>
        <v/>
      </c>
      <c r="I120" t="str" cm="1">
        <f t="array" ref="I120">GetDataType(F120,G120,H120)</f>
        <v>VARCHAR(14)</v>
      </c>
    </row>
    <row r="121" spans="1:9" x14ac:dyDescent="0.3">
      <c r="A121">
        <v>4</v>
      </c>
      <c r="B121" t="str" cm="1">
        <f t="array" ref="B121">GetValue("Eng",A121,"Name")</f>
        <v>PostgreSQL</v>
      </c>
      <c r="C121">
        <f t="shared" si="3"/>
        <v>21</v>
      </c>
      <c r="D121" t="str" cm="1">
        <f t="array" ref="D121">GetValue("Dmn",C121,"Name")</f>
        <v>CREDIT CARD</v>
      </c>
      <c r="E121" cm="1">
        <f t="array" ref="E121">GetValue("Dmn",C121,"TypeId")</f>
        <v>20</v>
      </c>
      <c r="F121" t="str" cm="1">
        <f t="array" ref="F121">GetValue("EngTyp",A121&amp;";"&amp;E121,"Name")</f>
        <v>VARCHAR</v>
      </c>
      <c r="G121" cm="1">
        <f t="array" ref="G121">GetValue("Dmn",C121,"Length")</f>
        <v>16</v>
      </c>
      <c r="H121" t="str" cm="1">
        <f t="array" ref="H121">GetValue("Dmn",C121,"Decimals")</f>
        <v/>
      </c>
      <c r="I121" t="str" cm="1">
        <f t="array" ref="I121">GetDataType(F121,G121,H121)</f>
        <v>VARCHAR(16)</v>
      </c>
    </row>
    <row r="122" spans="1:9" x14ac:dyDescent="0.3">
      <c r="A122">
        <v>4</v>
      </c>
      <c r="B122" t="str" cm="1">
        <f t="array" ref="B122">GetValue("Eng",A122,"Name")</f>
        <v>PostgreSQL</v>
      </c>
      <c r="C122">
        <f t="shared" si="3"/>
        <v>22</v>
      </c>
      <c r="D122" t="str" cm="1">
        <f t="array" ref="D122">GetValue("Dmn",C122,"Name")</f>
        <v>RENAVAM</v>
      </c>
      <c r="E122" cm="1">
        <f t="array" ref="E122">GetValue("Dmn",C122,"TypeId")</f>
        <v>20</v>
      </c>
      <c r="F122" t="str" cm="1">
        <f t="array" ref="F122">GetValue("EngTyp",A122&amp;";"&amp;E122,"Name")</f>
        <v>VARCHAR</v>
      </c>
      <c r="G122" cm="1">
        <f t="array" ref="G122">GetValue("Dmn",C122,"Length")</f>
        <v>11</v>
      </c>
      <c r="H122" t="str" cm="1">
        <f t="array" ref="H122">GetValue("Dmn",C122,"Decimals")</f>
        <v/>
      </c>
      <c r="I122" t="str" cm="1">
        <f t="array" ref="I122">GetDataType(F122,G122,H122)</f>
        <v>VARCHAR(11)</v>
      </c>
    </row>
    <row r="123" spans="1:9" x14ac:dyDescent="0.3">
      <c r="A123">
        <v>4</v>
      </c>
      <c r="B123" t="str" cm="1">
        <f t="array" ref="B123">GetValue("Eng",A123,"Name")</f>
        <v>PostgreSQL</v>
      </c>
      <c r="C123">
        <f t="shared" si="3"/>
        <v>23</v>
      </c>
      <c r="D123" t="str" cm="1">
        <f t="array" ref="D123">GetValue("Dmn",C123,"Name")</f>
        <v>EAN-8</v>
      </c>
      <c r="E123" cm="1">
        <f t="array" ref="E123">GetValue("Dmn",C123,"TypeId")</f>
        <v>20</v>
      </c>
      <c r="F123" t="str" cm="1">
        <f t="array" ref="F123">GetValue("EngTyp",A123&amp;";"&amp;E123,"Name")</f>
        <v>VARCHAR</v>
      </c>
      <c r="G123" cm="1">
        <f t="array" ref="G123">GetValue("Dmn",C123,"Length")</f>
        <v>8</v>
      </c>
      <c r="H123" t="str" cm="1">
        <f t="array" ref="H123">GetValue("Dmn",C123,"Decimals")</f>
        <v/>
      </c>
      <c r="I123" t="str" cm="1">
        <f t="array" ref="I123">GetDataType(F123,G123,H123)</f>
        <v>VARCHAR(8)</v>
      </c>
    </row>
    <row r="124" spans="1:9" x14ac:dyDescent="0.3">
      <c r="A124">
        <v>4</v>
      </c>
      <c r="B124" t="str" cm="1">
        <f t="array" ref="B124">GetValue("Eng",A124,"Name")</f>
        <v>PostgreSQL</v>
      </c>
      <c r="C124">
        <f t="shared" si="3"/>
        <v>24</v>
      </c>
      <c r="D124" t="str" cm="1">
        <f t="array" ref="D124">GetValue("Dmn",C124,"Name")</f>
        <v>EAN-13</v>
      </c>
      <c r="E124" cm="1">
        <f t="array" ref="E124">GetValue("Dmn",C124,"TypeId")</f>
        <v>20</v>
      </c>
      <c r="F124" t="str" cm="1">
        <f t="array" ref="F124">GetValue("EngTyp",A124&amp;";"&amp;E124,"Name")</f>
        <v>VARCHAR</v>
      </c>
      <c r="G124" cm="1">
        <f t="array" ref="G124">GetValue("Dmn",C124,"Length")</f>
        <v>13</v>
      </c>
      <c r="H124" t="str" cm="1">
        <f t="array" ref="H124">GetValue("Dmn",C124,"Decimals")</f>
        <v/>
      </c>
      <c r="I124" t="str" cm="1">
        <f t="array" ref="I124">GetDataType(F124,G124,H124)</f>
        <v>VARCHAR(13)</v>
      </c>
    </row>
    <row r="125" spans="1:9" x14ac:dyDescent="0.3">
      <c r="A125">
        <v>4</v>
      </c>
      <c r="B125" t="str" cm="1">
        <f t="array" ref="B125">GetValue("Eng",A125,"Name")</f>
        <v>PostgreSQL</v>
      </c>
      <c r="C125">
        <f t="shared" si="3"/>
        <v>25</v>
      </c>
      <c r="D125" t="str" cm="1">
        <f t="array" ref="D125">GetValue("Dmn",C125,"Name")</f>
        <v>ISBN-10</v>
      </c>
      <c r="E125" cm="1">
        <f t="array" ref="E125">GetValue("Dmn",C125,"TypeId")</f>
        <v>20</v>
      </c>
      <c r="F125" t="str" cm="1">
        <f t="array" ref="F125">GetValue("EngTyp",A125&amp;";"&amp;E125,"Name")</f>
        <v>VARCHAR</v>
      </c>
      <c r="G125" cm="1">
        <f t="array" ref="G125">GetValue("Dmn",C125,"Length")</f>
        <v>10</v>
      </c>
      <c r="H125" t="str" cm="1">
        <f t="array" ref="H125">GetValue("Dmn",C125,"Decimals")</f>
        <v/>
      </c>
      <c r="I125" t="str" cm="1">
        <f t="array" ref="I125">GetDataType(F125,G125,H125)</f>
        <v>VARCHAR(10)</v>
      </c>
    </row>
    <row r="126" spans="1:9" x14ac:dyDescent="0.3">
      <c r="A126">
        <v>4</v>
      </c>
      <c r="B126" t="str" cm="1">
        <f t="array" ref="B126">GetValue("Eng",A126,"Name")</f>
        <v>PostgreSQL</v>
      </c>
      <c r="C126">
        <f t="shared" si="3"/>
        <v>26</v>
      </c>
      <c r="D126" t="str" cm="1">
        <f t="array" ref="D126">GetValue("Dmn",C126,"Name")</f>
        <v>ISBN-13</v>
      </c>
      <c r="E126" cm="1">
        <f t="array" ref="E126">GetValue("Dmn",C126,"TypeId")</f>
        <v>20</v>
      </c>
      <c r="F126" t="str" cm="1">
        <f t="array" ref="F126">GetValue("EngTyp",A126&amp;";"&amp;E126,"Name")</f>
        <v>VARCHAR</v>
      </c>
      <c r="G126" cm="1">
        <f t="array" ref="G126">GetValue("Dmn",C126,"Length")</f>
        <v>13</v>
      </c>
      <c r="H126" t="str" cm="1">
        <f t="array" ref="H126">GetValue("Dmn",C126,"Decimals")</f>
        <v/>
      </c>
      <c r="I126" t="str" cm="1">
        <f t="array" ref="I126">GetDataType(F126,G126,H126)</f>
        <v>VARCHAR(13)</v>
      </c>
    </row>
    <row r="127" spans="1:9" x14ac:dyDescent="0.3">
      <c r="A127">
        <v>4</v>
      </c>
      <c r="B127" t="str" cm="1">
        <f t="array" ref="B127">GetValue("Eng",A127,"Name")</f>
        <v>PostgreSQL</v>
      </c>
      <c r="C127">
        <f t="shared" si="3"/>
        <v>27</v>
      </c>
      <c r="D127" t="str" cm="1">
        <f t="array" ref="D127">GetValue("Dmn",C127,"Name")</f>
        <v>ISSN</v>
      </c>
      <c r="E127" cm="1">
        <f t="array" ref="E127">GetValue("Dmn",C127,"TypeId")</f>
        <v>20</v>
      </c>
      <c r="F127" t="str" cm="1">
        <f t="array" ref="F127">GetValue("EngTyp",A127&amp;";"&amp;E127,"Name")</f>
        <v>VARCHAR</v>
      </c>
      <c r="G127" cm="1">
        <f t="array" ref="G127">GetValue("Dmn",C127,"Length")</f>
        <v>8</v>
      </c>
      <c r="H127" t="str" cm="1">
        <f t="array" ref="H127">GetValue("Dmn",C127,"Decimals")</f>
        <v/>
      </c>
      <c r="I127" t="str" cm="1">
        <f t="array" ref="I127">GetDataType(F127,G127,H127)</f>
        <v>VARCHAR(8)</v>
      </c>
    </row>
    <row r="128" spans="1:9" x14ac:dyDescent="0.3">
      <c r="A128">
        <v>4</v>
      </c>
      <c r="B128" t="str" cm="1">
        <f t="array" ref="B128">GetValue("Eng",A128,"Name")</f>
        <v>PostgreSQL</v>
      </c>
      <c r="C128">
        <f t="shared" si="3"/>
        <v>28</v>
      </c>
      <c r="D128" t="str" cm="1">
        <f t="array" ref="D128">GetValue("Dmn",C128,"Name")</f>
        <v>JS</v>
      </c>
      <c r="E128" cm="1">
        <f t="array" ref="E128">GetValue("Dmn",C128,"TypeId")</f>
        <v>21</v>
      </c>
      <c r="F128" t="str" cm="1">
        <f t="array" ref="F128">GetValue("EngTyp",A128&amp;";"&amp;E128,"Name")</f>
        <v>TEXT</v>
      </c>
      <c r="G128" t="str" cm="1">
        <f t="array" ref="G128">GetValue("Dmn",C128,"Length")</f>
        <v/>
      </c>
      <c r="H128" t="str" cm="1">
        <f t="array" ref="H128">GetValue("Dmn",C128,"Decimals")</f>
        <v/>
      </c>
      <c r="I128" t="str" cm="1">
        <f t="array" ref="I128">GetDataType(F128,G128,H128)</f>
        <v>TEXT</v>
      </c>
    </row>
    <row r="129" spans="1:9" x14ac:dyDescent="0.3">
      <c r="A129">
        <v>4</v>
      </c>
      <c r="B129" t="str" cm="1">
        <f t="array" ref="B129">GetValue("Eng",A129,"Name")</f>
        <v>PostgreSQL</v>
      </c>
      <c r="C129">
        <f t="shared" si="3"/>
        <v>29</v>
      </c>
      <c r="D129" t="str" cm="1">
        <f t="array" ref="D129">GetValue("Dmn",C129,"Name")</f>
        <v>SQL</v>
      </c>
      <c r="E129" cm="1">
        <f t="array" ref="E129">GetValue("Dmn",C129,"TypeId")</f>
        <v>21</v>
      </c>
      <c r="F129" t="str" cm="1">
        <f t="array" ref="F129">GetValue("EngTyp",A129&amp;";"&amp;E129,"Name")</f>
        <v>TEXT</v>
      </c>
      <c r="G129" t="str" cm="1">
        <f t="array" ref="G129">GetValue("Dmn",C129,"Length")</f>
        <v/>
      </c>
      <c r="H129" t="str" cm="1">
        <f t="array" ref="H129">GetValue("Dmn",C129,"Decimals")</f>
        <v/>
      </c>
      <c r="I129" t="str" cm="1">
        <f t="array" ref="I129">GetDataType(F129,G129,H129)</f>
        <v>TEXT</v>
      </c>
    </row>
    <row r="130" spans="1:9" x14ac:dyDescent="0.3">
      <c r="A130">
        <v>4</v>
      </c>
      <c r="B130" t="str" cm="1">
        <f t="array" ref="B130">GetValue("Eng",A130,"Name")</f>
        <v>PostgreSQL</v>
      </c>
      <c r="C130">
        <f t="shared" si="3"/>
        <v>30</v>
      </c>
      <c r="D130" t="str" cm="1">
        <f t="array" ref="D130">GetValue("Dmn",C130,"Name")</f>
        <v>Nvarchar(MAX)</v>
      </c>
      <c r="E130" cm="1">
        <f t="array" ref="E130">GetValue("Dmn",C130,"TypeId")</f>
        <v>21</v>
      </c>
      <c r="F130" t="str" cm="1">
        <f t="array" ref="F130">GetValue("EngTyp",A130&amp;";"&amp;E130,"Name")</f>
        <v>TEXT</v>
      </c>
      <c r="G130" t="str" cm="1">
        <f t="array" ref="G130">GetValue("Dmn",C130,"Length")</f>
        <v/>
      </c>
      <c r="H130" t="str" cm="1">
        <f t="array" ref="H130">GetValue("Dmn",C130,"Decimals")</f>
        <v/>
      </c>
      <c r="I130" t="str" cm="1">
        <f t="array" ref="I130">GetDataType(F130,G130,H130)</f>
        <v>TEXT</v>
      </c>
    </row>
    <row r="131" spans="1:9" x14ac:dyDescent="0.3">
      <c r="A131">
        <v>4</v>
      </c>
      <c r="B131" t="str" cm="1">
        <f t="array" ref="B131">GetValue("Eng",A131,"Name")</f>
        <v>PostgreSQL</v>
      </c>
      <c r="C131">
        <f t="shared" si="3"/>
        <v>31</v>
      </c>
      <c r="D131" t="str" cm="1">
        <f t="array" ref="D131">GetValue("Dmn",C131,"Name")</f>
        <v>JSON</v>
      </c>
      <c r="E131" cm="1">
        <f t="array" ref="E131">GetValue("Dmn",C131,"TypeId")</f>
        <v>21</v>
      </c>
      <c r="F131" t="str" cm="1">
        <f t="array" ref="F131">GetValue("EngTyp",A131&amp;";"&amp;E131,"Name")</f>
        <v>TEXT</v>
      </c>
      <c r="G131" t="str" cm="1">
        <f t="array" ref="G131">GetValue("Dmn",C131,"Length")</f>
        <v/>
      </c>
      <c r="H131" t="str" cm="1">
        <f t="array" ref="H131">GetValue("Dmn",C131,"Decimals")</f>
        <v/>
      </c>
      <c r="I131" t="str" cm="1">
        <f t="array" ref="I131">GetDataType(F131,G131,H131)</f>
        <v>TEXT</v>
      </c>
    </row>
    <row r="132" spans="1:9" x14ac:dyDescent="0.3">
      <c r="A132">
        <v>4</v>
      </c>
      <c r="B132" t="str" cm="1">
        <f t="array" ref="B132">GetValue("Eng",A132,"Name")</f>
        <v>PostgreSQL</v>
      </c>
      <c r="C132">
        <f t="shared" si="3"/>
        <v>32</v>
      </c>
      <c r="D132" t="str" cm="1">
        <f t="array" ref="D132">GetValue("Dmn",C132,"Name")</f>
        <v>Operator</v>
      </c>
      <c r="E132" cm="1">
        <f t="array" ref="E132">GetValue("Dmn",C132,"TypeId")</f>
        <v>4</v>
      </c>
      <c r="F132" t="str" cm="1">
        <f t="array" ref="F132">GetValue("EngTyp",A132&amp;";"&amp;E132,"Name")</f>
        <v>CHAR</v>
      </c>
      <c r="G132" cm="1">
        <f t="array" ref="G132">GetValue("Dmn",C132,"Length")</f>
        <v>1</v>
      </c>
      <c r="H132" t="str" cm="1">
        <f t="array" ref="H132">GetValue("Dmn",C132,"Decimals")</f>
        <v/>
      </c>
      <c r="I132" t="str" cm="1">
        <f t="array" ref="I132">GetDataType(F132,G132,H132)</f>
        <v>CHAR(1)</v>
      </c>
    </row>
    <row r="133" spans="1:9" x14ac:dyDescent="0.3">
      <c r="A133">
        <v>4</v>
      </c>
      <c r="B133" t="str" cm="1">
        <f t="array" ref="B133">GetValue("Eng",A133,"Name")</f>
        <v>PostgreSQL</v>
      </c>
      <c r="C133">
        <f t="shared" si="3"/>
        <v>33</v>
      </c>
      <c r="D133" t="str" cm="1">
        <f t="array" ref="D133">GetValue("Dmn",C133,"Name")</f>
        <v>Money</v>
      </c>
      <c r="E133" cm="1">
        <f t="array" ref="E133">GetValue("Dmn",C133,"TypeId")</f>
        <v>9</v>
      </c>
      <c r="F133" t="str" cm="1">
        <f t="array" ref="F133">GetValue("EngTyp",A133&amp;";"&amp;E133,"Name")</f>
        <v>NUMERIC</v>
      </c>
      <c r="G133" cm="1">
        <f t="array" ref="G133">GetValue("Dmn",C133,"Length")</f>
        <v>19</v>
      </c>
      <c r="H133" cm="1">
        <f t="array" ref="H133">GetValue("Dmn",C133,"Decimals")</f>
        <v>2</v>
      </c>
      <c r="I133" t="str" cm="1">
        <f t="array" ref="I133">GetDataType(F133,G133,H133)</f>
        <v>NUMERIC(19, 2)</v>
      </c>
    </row>
    <row r="134" spans="1:9" x14ac:dyDescent="0.3">
      <c r="A134">
        <v>5</v>
      </c>
      <c r="B134" t="str" cm="1">
        <f t="array" ref="B134">GetValue("Eng",A134,"Name")</f>
        <v>Firebird</v>
      </c>
      <c r="C134">
        <v>1</v>
      </c>
      <c r="D134" t="str" cm="1">
        <f t="array" ref="D134">GetValue("Dmn",C134,"Name")</f>
        <v>BigInteger</v>
      </c>
      <c r="E134" cm="1">
        <f t="array" ref="E134">GetValue("Dmn",C134,"TypeId")</f>
        <v>1</v>
      </c>
      <c r="F134" t="str" cm="1">
        <f t="array" ref="F134">GetValue("EngTyp",A134&amp;";"&amp;E134,"Name")</f>
        <v>BIGINT</v>
      </c>
      <c r="G134" t="str" cm="1">
        <f t="array" ref="G134">GetValue("Dmn",C134,"Length")</f>
        <v/>
      </c>
      <c r="H134" t="str" cm="1">
        <f t="array" ref="H134">GetValue("Dmn",C134,"Decimals")</f>
        <v/>
      </c>
      <c r="I134" t="str" cm="1">
        <f t="array" ref="I134">GetDataType(F134,G134,H134)</f>
        <v>BIGINT</v>
      </c>
    </row>
    <row r="135" spans="1:9" x14ac:dyDescent="0.3">
      <c r="A135">
        <v>5</v>
      </c>
      <c r="B135" t="str" cm="1">
        <f t="array" ref="B135">GetValue("Eng",A135,"Name")</f>
        <v>Firebird</v>
      </c>
      <c r="C135">
        <f>C134+1</f>
        <v>2</v>
      </c>
      <c r="D135" t="str" cm="1">
        <f t="array" ref="D135">GetValue("Dmn",C135,"Name")</f>
        <v>Integer</v>
      </c>
      <c r="E135" cm="1">
        <f t="array" ref="E135">GetValue("Dmn",C135,"TypeId")</f>
        <v>15</v>
      </c>
      <c r="F135" t="str" cm="1">
        <f t="array" ref="F135">GetValue("EngTyp",A135&amp;";"&amp;E135,"Name")</f>
        <v>INTEGER</v>
      </c>
      <c r="G135" t="str" cm="1">
        <f t="array" ref="G135">GetValue("Dmn",C135,"Length")</f>
        <v/>
      </c>
      <c r="H135" t="str" cm="1">
        <f t="array" ref="H135">GetValue("Dmn",C135,"Decimals")</f>
        <v/>
      </c>
      <c r="I135" t="str" cm="1">
        <f t="array" ref="I135">GetDataType(F135,G135,H135)</f>
        <v>INTEGER</v>
      </c>
    </row>
    <row r="136" spans="1:9" x14ac:dyDescent="0.3">
      <c r="A136">
        <v>5</v>
      </c>
      <c r="B136" t="str" cm="1">
        <f t="array" ref="B136">GetValue("Eng",A136,"Name")</f>
        <v>Firebird</v>
      </c>
      <c r="C136">
        <f t="shared" ref="C136:C166" si="4">C135+1</f>
        <v>3</v>
      </c>
      <c r="D136" t="str" cm="1">
        <f t="array" ref="D136">GetValue("Dmn",C136,"Name")</f>
        <v>ShortInteger</v>
      </c>
      <c r="E136" cm="1">
        <f t="array" ref="E136">GetValue("Dmn",C136,"TypeId")</f>
        <v>15</v>
      </c>
      <c r="F136" t="str" cm="1">
        <f t="array" ref="F136">GetValue("EngTyp",A136&amp;";"&amp;E136,"Name")</f>
        <v>INTEGER</v>
      </c>
      <c r="G136" t="str" cm="1">
        <f t="array" ref="G136">GetValue("Dmn",C136,"Length")</f>
        <v/>
      </c>
      <c r="H136" t="str" cm="1">
        <f t="array" ref="H136">GetValue("Dmn",C136,"Decimals")</f>
        <v/>
      </c>
      <c r="I136" t="str" cm="1">
        <f t="array" ref="I136">GetDataType(F136,G136,H136)</f>
        <v>INTEGER</v>
      </c>
    </row>
    <row r="137" spans="1:9" x14ac:dyDescent="0.3">
      <c r="A137">
        <v>5</v>
      </c>
      <c r="B137" t="str" cm="1">
        <f t="array" ref="B137">GetValue("Eng",A137,"Name")</f>
        <v>Firebird</v>
      </c>
      <c r="C137">
        <f t="shared" si="4"/>
        <v>4</v>
      </c>
      <c r="D137" t="str" cm="1">
        <f t="array" ref="D137">GetValue("Dmn",C137,"Name")</f>
        <v>SmallInteger</v>
      </c>
      <c r="E137" cm="1">
        <f t="array" ref="E137">GetValue("Dmn",C137,"TypeId")</f>
        <v>24</v>
      </c>
      <c r="F137" t="str" cm="1">
        <f t="array" ref="F137">GetValue("EngTyp",A137&amp;";"&amp;E137,"Name")</f>
        <v>SMALLINT</v>
      </c>
      <c r="G137" t="str" cm="1">
        <f t="array" ref="G137">GetValue("Dmn",C137,"Length")</f>
        <v/>
      </c>
      <c r="H137" t="str" cm="1">
        <f t="array" ref="H137">GetValue("Dmn",C137,"Decimals")</f>
        <v/>
      </c>
      <c r="I137" t="str" cm="1">
        <f t="array" ref="I137">GetDataType(F137,G137,H137)</f>
        <v>SMALLINT</v>
      </c>
    </row>
    <row r="138" spans="1:9" x14ac:dyDescent="0.3">
      <c r="A138">
        <v>5</v>
      </c>
      <c r="B138" t="str" cm="1">
        <f t="array" ref="B138">GetValue("Eng",A138,"Name")</f>
        <v>Firebird</v>
      </c>
      <c r="C138">
        <f t="shared" si="4"/>
        <v>5</v>
      </c>
      <c r="D138" t="str" cm="1">
        <f t="array" ref="D138">GetValue("Dmn",C138,"Name")</f>
        <v>TinyInteger</v>
      </c>
      <c r="E138" cm="1">
        <f t="array" ref="E138">GetValue("Dmn",C138,"TypeId")</f>
        <v>31</v>
      </c>
      <c r="F138" t="str" cm="1">
        <f t="array" ref="F138">GetValue("EngTyp",A138&amp;";"&amp;E138,"Name")</f>
        <v>SMALLINT</v>
      </c>
      <c r="G138" t="str" cm="1">
        <f t="array" ref="G138">GetValue("Dmn",C138,"Length")</f>
        <v/>
      </c>
      <c r="H138" t="str" cm="1">
        <f t="array" ref="H138">GetValue("Dmn",C138,"Decimals")</f>
        <v/>
      </c>
      <c r="I138" t="str" cm="1">
        <f t="array" ref="I138">GetDataType(F138,G138,H138)</f>
        <v>SMALLINT</v>
      </c>
    </row>
    <row r="139" spans="1:9" x14ac:dyDescent="0.3">
      <c r="A139">
        <v>5</v>
      </c>
      <c r="B139" t="str" cm="1">
        <f t="array" ref="B139">GetValue("Eng",A139,"Name")</f>
        <v>Firebird</v>
      </c>
      <c r="C139">
        <f t="shared" si="4"/>
        <v>6</v>
      </c>
      <c r="D139" t="str" cm="1">
        <f t="array" ref="D139">GetValue("Dmn",C139,"Name")</f>
        <v>Boolean</v>
      </c>
      <c r="E139" cm="1">
        <f t="array" ref="E139">GetValue("Dmn",C139,"TypeId")</f>
        <v>3</v>
      </c>
      <c r="F139" t="str" cm="1">
        <f t="array" ref="F139">GetValue("EngTyp",A139&amp;";"&amp;E139,"Name")</f>
        <v>SMALLINT</v>
      </c>
      <c r="G139" t="str" cm="1">
        <f t="array" ref="G139">GetValue("Dmn",C139,"Length")</f>
        <v/>
      </c>
      <c r="H139" t="str" cm="1">
        <f t="array" ref="H139">GetValue("Dmn",C139,"Decimals")</f>
        <v/>
      </c>
      <c r="I139" t="str" cm="1">
        <f t="array" ref="I139">GetDataType(F139,G139,H139)</f>
        <v>SMALLINT</v>
      </c>
    </row>
    <row r="140" spans="1:9" x14ac:dyDescent="0.3">
      <c r="A140">
        <v>5</v>
      </c>
      <c r="B140" t="str" cm="1">
        <f t="array" ref="B140">GetValue("Eng",A140,"Name")</f>
        <v>Firebird</v>
      </c>
      <c r="C140">
        <f t="shared" si="4"/>
        <v>7</v>
      </c>
      <c r="D140" t="str" cm="1">
        <f t="array" ref="D140">GetValue("Dmn",C140,"Name")</f>
        <v>DateTime</v>
      </c>
      <c r="E140" cm="1">
        <f t="array" ref="E140">GetValue("Dmn",C140,"TypeId")</f>
        <v>6</v>
      </c>
      <c r="F140" t="str" cm="1">
        <f t="array" ref="F140">GetValue("EngTyp",A140&amp;";"&amp;E140,"Name")</f>
        <v>TIMESTAMP</v>
      </c>
      <c r="G140" t="str" cm="1">
        <f t="array" ref="G140">GetValue("Dmn",C140,"Length")</f>
        <v/>
      </c>
      <c r="H140" t="str" cm="1">
        <f t="array" ref="H140">GetValue("Dmn",C140,"Decimals")</f>
        <v/>
      </c>
      <c r="I140" t="str" cm="1">
        <f t="array" ref="I140">GetDataType(F140,G140,H140)</f>
        <v>TIMESTAMP</v>
      </c>
    </row>
    <row r="141" spans="1:9" x14ac:dyDescent="0.3">
      <c r="A141">
        <v>5</v>
      </c>
      <c r="B141" t="str" cm="1">
        <f t="array" ref="B141">GetValue("Eng",A141,"Name")</f>
        <v>Firebird</v>
      </c>
      <c r="C141">
        <f t="shared" si="4"/>
        <v>8</v>
      </c>
      <c r="D141" t="str" cm="1">
        <f t="array" ref="D141">GetValue("Dmn",C141,"Name")</f>
        <v>Nvarchar(15)</v>
      </c>
      <c r="E141" cm="1">
        <f t="array" ref="E141">GetValue("Dmn",C141,"TypeId")</f>
        <v>20</v>
      </c>
      <c r="F141" t="str" cm="1">
        <f t="array" ref="F141">GetValue("EngTyp",A141&amp;";"&amp;E141,"Name")</f>
        <v>VARCHAR</v>
      </c>
      <c r="G141" cm="1">
        <f t="array" ref="G141">GetValue("Dmn",C141,"Length")</f>
        <v>15</v>
      </c>
      <c r="H141" t="str" cm="1">
        <f t="array" ref="H141">GetValue("Dmn",C141,"Decimals")</f>
        <v/>
      </c>
      <c r="I141" t="str" cm="1">
        <f t="array" ref="I141">GetDataType(F141,G141,H141)</f>
        <v>VARCHAR(15)</v>
      </c>
    </row>
    <row r="142" spans="1:9" x14ac:dyDescent="0.3">
      <c r="A142">
        <v>5</v>
      </c>
      <c r="B142" t="str" cm="1">
        <f t="array" ref="B142">GetValue("Eng",A142,"Name")</f>
        <v>Firebird</v>
      </c>
      <c r="C142">
        <f t="shared" si="4"/>
        <v>9</v>
      </c>
      <c r="D142" t="str" cm="1">
        <f t="array" ref="D142">GetValue("Dmn",C142,"Name")</f>
        <v>Nvarchar(20)</v>
      </c>
      <c r="E142" cm="1">
        <f t="array" ref="E142">GetValue("Dmn",C142,"TypeId")</f>
        <v>20</v>
      </c>
      <c r="F142" t="str" cm="1">
        <f t="array" ref="F142">GetValue("EngTyp",A142&amp;";"&amp;E142,"Name")</f>
        <v>VARCHAR</v>
      </c>
      <c r="G142" cm="1">
        <f t="array" ref="G142">GetValue("Dmn",C142,"Length")</f>
        <v>20</v>
      </c>
      <c r="H142" t="str" cm="1">
        <f t="array" ref="H142">GetValue("Dmn",C142,"Decimals")</f>
        <v/>
      </c>
      <c r="I142" t="str" cm="1">
        <f t="array" ref="I142">GetDataType(F142,G142,H142)</f>
        <v>VARCHAR(20)</v>
      </c>
    </row>
    <row r="143" spans="1:9" x14ac:dyDescent="0.3">
      <c r="A143">
        <v>5</v>
      </c>
      <c r="B143" t="str" cm="1">
        <f t="array" ref="B143">GetValue("Eng",A143,"Name")</f>
        <v>Firebird</v>
      </c>
      <c r="C143">
        <f t="shared" si="4"/>
        <v>10</v>
      </c>
      <c r="D143" t="str" cm="1">
        <f t="array" ref="D143">GetValue("Dmn",C143,"Name")</f>
        <v>Nvarchar(25)</v>
      </c>
      <c r="E143" cm="1">
        <f t="array" ref="E143">GetValue("Dmn",C143,"TypeId")</f>
        <v>20</v>
      </c>
      <c r="F143" t="str" cm="1">
        <f t="array" ref="F143">GetValue("EngTyp",A143&amp;";"&amp;E143,"Name")</f>
        <v>VARCHAR</v>
      </c>
      <c r="G143" cm="1">
        <f t="array" ref="G143">GetValue("Dmn",C143,"Length")</f>
        <v>25</v>
      </c>
      <c r="H143" t="str" cm="1">
        <f t="array" ref="H143">GetValue("Dmn",C143,"Decimals")</f>
        <v/>
      </c>
      <c r="I143" t="str" cm="1">
        <f t="array" ref="I143">GetDataType(F143,G143,H143)</f>
        <v>VARCHAR(25)</v>
      </c>
    </row>
    <row r="144" spans="1:9" x14ac:dyDescent="0.3">
      <c r="A144">
        <v>5</v>
      </c>
      <c r="B144" t="str" cm="1">
        <f t="array" ref="B144">GetValue("Eng",A144,"Name")</f>
        <v>Firebird</v>
      </c>
      <c r="C144">
        <f t="shared" si="4"/>
        <v>11</v>
      </c>
      <c r="D144" t="str" cm="1">
        <f t="array" ref="D144">GetValue("Dmn",C144,"Name")</f>
        <v>Nvarchar(50)</v>
      </c>
      <c r="E144" cm="1">
        <f t="array" ref="E144">GetValue("Dmn",C144,"TypeId")</f>
        <v>20</v>
      </c>
      <c r="F144" t="str" cm="1">
        <f t="array" ref="F144">GetValue("EngTyp",A144&amp;";"&amp;E144,"Name")</f>
        <v>VARCHAR</v>
      </c>
      <c r="G144" cm="1">
        <f t="array" ref="G144">GetValue("Dmn",C144,"Length")</f>
        <v>50</v>
      </c>
      <c r="H144" t="str" cm="1">
        <f t="array" ref="H144">GetValue("Dmn",C144,"Decimals")</f>
        <v/>
      </c>
      <c r="I144" t="str" cm="1">
        <f t="array" ref="I144">GetDataType(F144,G144,H144)</f>
        <v>VARCHAR(50)</v>
      </c>
    </row>
    <row r="145" spans="1:9" x14ac:dyDescent="0.3">
      <c r="A145">
        <v>5</v>
      </c>
      <c r="B145" t="str" cm="1">
        <f t="array" ref="B145">GetValue("Eng",A145,"Name")</f>
        <v>Firebird</v>
      </c>
      <c r="C145">
        <f t="shared" si="4"/>
        <v>12</v>
      </c>
      <c r="D145" t="str" cm="1">
        <f t="array" ref="D145">GetValue("Dmn",C145,"Name")</f>
        <v>Nvarchar(256)</v>
      </c>
      <c r="E145" cm="1">
        <f t="array" ref="E145">GetValue("Dmn",C145,"TypeId")</f>
        <v>20</v>
      </c>
      <c r="F145" t="str" cm="1">
        <f t="array" ref="F145">GetValue("EngTyp",A145&amp;";"&amp;E145,"Name")</f>
        <v>VARCHAR</v>
      </c>
      <c r="G145" cm="1">
        <f t="array" ref="G145">GetValue("Dmn",C145,"Length")</f>
        <v>256</v>
      </c>
      <c r="H145" t="str" cm="1">
        <f t="array" ref="H145">GetValue("Dmn",C145,"Decimals")</f>
        <v/>
      </c>
      <c r="I145" t="str" cm="1">
        <f t="array" ref="I145">GetDataType(F145,G145,H145)</f>
        <v>VARCHAR(256)</v>
      </c>
    </row>
    <row r="146" spans="1:9" x14ac:dyDescent="0.3">
      <c r="A146">
        <v>5</v>
      </c>
      <c r="B146" t="str" cm="1">
        <f t="array" ref="B146">GetValue("Eng",A146,"Name")</f>
        <v>Firebird</v>
      </c>
      <c r="C146">
        <f t="shared" si="4"/>
        <v>13</v>
      </c>
      <c r="D146" t="str" cm="1">
        <f t="array" ref="D146">GetValue("Dmn",C146,"Name")</f>
        <v>Variant</v>
      </c>
      <c r="E146" cm="1">
        <f t="array" ref="E146">GetValue("Dmn",C146,"TypeId")</f>
        <v>20</v>
      </c>
      <c r="F146" t="str" cm="1">
        <f t="array" ref="F146">GetValue("EngTyp",A146&amp;";"&amp;E146,"Name")</f>
        <v>VARCHAR</v>
      </c>
      <c r="G146" t="str" cm="1">
        <f t="array" ref="G146">GetValue("Dmn",C146,"Length")</f>
        <v/>
      </c>
      <c r="H146" t="str" cm="1">
        <f t="array" ref="H146">GetValue("Dmn",C146,"Decimals")</f>
        <v/>
      </c>
      <c r="I146" t="str" cm="1">
        <f t="array" ref="I146">GetDataType(F146,G146,H146)</f>
        <v>VARCHAR</v>
      </c>
    </row>
    <row r="147" spans="1:9" x14ac:dyDescent="0.3">
      <c r="A147">
        <v>5</v>
      </c>
      <c r="B147" t="str" cm="1">
        <f t="array" ref="B147">GetValue("Eng",A147,"Name")</f>
        <v>Firebird</v>
      </c>
      <c r="C147">
        <f t="shared" si="4"/>
        <v>14</v>
      </c>
      <c r="D147" t="str" cm="1">
        <f t="array" ref="D147">GetValue("Dmn",C147,"Name")</f>
        <v>Codification</v>
      </c>
      <c r="E147" cm="1">
        <f t="array" ref="E147">GetValue("Dmn",C147,"TypeId")</f>
        <v>20</v>
      </c>
      <c r="F147" t="str" cm="1">
        <f t="array" ref="F147">GetValue("EngTyp",A147&amp;";"&amp;E147,"Name")</f>
        <v>VARCHAR</v>
      </c>
      <c r="G147" cm="1">
        <f t="array" ref="G147">GetValue("Dmn",C147,"Length")</f>
        <v>5</v>
      </c>
      <c r="H147" t="str" cm="1">
        <f t="array" ref="H147">GetValue("Dmn",C147,"Decimals")</f>
        <v/>
      </c>
      <c r="I147" t="str" cm="1">
        <f t="array" ref="I147">GetDataType(F147,G147,H147)</f>
        <v>VARCHAR(5)</v>
      </c>
    </row>
    <row r="148" spans="1:9" x14ac:dyDescent="0.3">
      <c r="A148">
        <v>5</v>
      </c>
      <c r="B148" t="str" cm="1">
        <f t="array" ref="B148">GetValue("Eng",A148,"Name")</f>
        <v>Firebird</v>
      </c>
      <c r="C148">
        <f t="shared" si="4"/>
        <v>15</v>
      </c>
      <c r="D148" t="str" cm="1">
        <f t="array" ref="D148">GetValue("Dmn",C148,"Name")</f>
        <v>Operation</v>
      </c>
      <c r="E148" cm="1">
        <f t="array" ref="E148">GetValue("Dmn",C148,"TypeId")</f>
        <v>20</v>
      </c>
      <c r="F148" t="str" cm="1">
        <f t="array" ref="F148">GetValue("EngTyp",A148&amp;";"&amp;E148,"Name")</f>
        <v>VARCHAR</v>
      </c>
      <c r="G148" cm="1">
        <f t="array" ref="G148">GetValue("Dmn",C148,"Length")</f>
        <v>15</v>
      </c>
      <c r="H148" t="str" cm="1">
        <f t="array" ref="H148">GetValue("Dmn",C148,"Decimals")</f>
        <v/>
      </c>
      <c r="I148" t="str" cm="1">
        <f t="array" ref="I148">GetDataType(F148,G148,H148)</f>
        <v>VARCHAR(15)</v>
      </c>
    </row>
    <row r="149" spans="1:9" x14ac:dyDescent="0.3">
      <c r="A149">
        <v>5</v>
      </c>
      <c r="B149" t="str" cm="1">
        <f t="array" ref="B149">GetValue("Eng",A149,"Name")</f>
        <v>Firebird</v>
      </c>
      <c r="C149">
        <f t="shared" si="4"/>
        <v>16</v>
      </c>
      <c r="D149" t="str" cm="1">
        <f t="array" ref="D149">GetValue("Dmn",C149,"Name")</f>
        <v>RAIZ CNPJ</v>
      </c>
      <c r="E149" cm="1">
        <f t="array" ref="E149">GetValue("Dmn",C149,"TypeId")</f>
        <v>20</v>
      </c>
      <c r="F149" t="str" cm="1">
        <f t="array" ref="F149">GetValue("EngTyp",A149&amp;";"&amp;E149,"Name")</f>
        <v>VARCHAR</v>
      </c>
      <c r="G149" cm="1">
        <f t="array" ref="G149">GetValue("Dmn",C149,"Length")</f>
        <v>8</v>
      </c>
      <c r="H149" t="str" cm="1">
        <f t="array" ref="H149">GetValue("Dmn",C149,"Decimals")</f>
        <v/>
      </c>
      <c r="I149" t="str" cm="1">
        <f t="array" ref="I149">GetDataType(F149,G149,H149)</f>
        <v>VARCHAR(8)</v>
      </c>
    </row>
    <row r="150" spans="1:9" x14ac:dyDescent="0.3">
      <c r="A150">
        <v>5</v>
      </c>
      <c r="B150" t="str" cm="1">
        <f t="array" ref="B150">GetValue("Eng",A150,"Name")</f>
        <v>Firebird</v>
      </c>
      <c r="C150">
        <f t="shared" si="4"/>
        <v>17</v>
      </c>
      <c r="D150" t="str" cm="1">
        <f t="array" ref="D150">GetValue("Dmn",C150,"Name")</f>
        <v>CPF</v>
      </c>
      <c r="E150" cm="1">
        <f t="array" ref="E150">GetValue("Dmn",C150,"TypeId")</f>
        <v>20</v>
      </c>
      <c r="F150" t="str" cm="1">
        <f t="array" ref="F150">GetValue("EngTyp",A150&amp;";"&amp;E150,"Name")</f>
        <v>VARCHAR</v>
      </c>
      <c r="G150" cm="1">
        <f t="array" ref="G150">GetValue("Dmn",C150,"Length")</f>
        <v>11</v>
      </c>
      <c r="H150" t="str" cm="1">
        <f t="array" ref="H150">GetValue("Dmn",C150,"Decimals")</f>
        <v/>
      </c>
      <c r="I150" t="str" cm="1">
        <f t="array" ref="I150">GetDataType(F150,G150,H150)</f>
        <v>VARCHAR(11)</v>
      </c>
    </row>
    <row r="151" spans="1:9" x14ac:dyDescent="0.3">
      <c r="A151">
        <v>5</v>
      </c>
      <c r="B151" t="str" cm="1">
        <f t="array" ref="B151">GetValue("Eng",A151,"Name")</f>
        <v>Firebird</v>
      </c>
      <c r="C151">
        <f t="shared" si="4"/>
        <v>18</v>
      </c>
      <c r="D151" t="str" cm="1">
        <f t="array" ref="D151">GetValue("Dmn",C151,"Name")</f>
        <v>CNPJ</v>
      </c>
      <c r="E151" cm="1">
        <f t="array" ref="E151">GetValue("Dmn",C151,"TypeId")</f>
        <v>20</v>
      </c>
      <c r="F151" t="str" cm="1">
        <f t="array" ref="F151">GetValue("EngTyp",A151&amp;";"&amp;E151,"Name")</f>
        <v>VARCHAR</v>
      </c>
      <c r="G151" cm="1">
        <f t="array" ref="G151">GetValue("Dmn",C151,"Length")</f>
        <v>14</v>
      </c>
      <c r="H151" t="str" cm="1">
        <f t="array" ref="H151">GetValue("Dmn",C151,"Decimals")</f>
        <v/>
      </c>
      <c r="I151" t="str" cm="1">
        <f t="array" ref="I151">GetDataType(F151,G151,H151)</f>
        <v>VARCHAR(14)</v>
      </c>
    </row>
    <row r="152" spans="1:9" x14ac:dyDescent="0.3">
      <c r="A152">
        <v>5</v>
      </c>
      <c r="B152" t="str" cm="1">
        <f t="array" ref="B152">GetValue("Eng",A152,"Name")</f>
        <v>Firebird</v>
      </c>
      <c r="C152">
        <f t="shared" si="4"/>
        <v>19</v>
      </c>
      <c r="D152" t="str" cm="1">
        <f t="array" ref="D152">GetValue("Dmn",C152,"Name")</f>
        <v>RAIZ/CPF/CNPJ</v>
      </c>
      <c r="E152" cm="1">
        <f t="array" ref="E152">GetValue("Dmn",C152,"TypeId")</f>
        <v>20</v>
      </c>
      <c r="F152" t="str" cm="1">
        <f t="array" ref="F152">GetValue("EngTyp",A152&amp;";"&amp;E152,"Name")</f>
        <v>VARCHAR</v>
      </c>
      <c r="G152" cm="1">
        <f t="array" ref="G152">GetValue("Dmn",C152,"Length")</f>
        <v>14</v>
      </c>
      <c r="H152" t="str" cm="1">
        <f t="array" ref="H152">GetValue("Dmn",C152,"Decimals")</f>
        <v/>
      </c>
      <c r="I152" t="str" cm="1">
        <f t="array" ref="I152">GetDataType(F152,G152,H152)</f>
        <v>VARCHAR(14)</v>
      </c>
    </row>
    <row r="153" spans="1:9" x14ac:dyDescent="0.3">
      <c r="A153">
        <v>5</v>
      </c>
      <c r="B153" t="str" cm="1">
        <f t="array" ref="B153">GetValue("Eng",A153,"Name")</f>
        <v>Firebird</v>
      </c>
      <c r="C153">
        <f t="shared" si="4"/>
        <v>20</v>
      </c>
      <c r="D153" t="str" cm="1">
        <f t="array" ref="D153">GetValue("Dmn",C153,"Name")</f>
        <v>CAEPF</v>
      </c>
      <c r="E153" cm="1">
        <f t="array" ref="E153">GetValue("Dmn",C153,"TypeId")</f>
        <v>20</v>
      </c>
      <c r="F153" t="str" cm="1">
        <f t="array" ref="F153">GetValue("EngTyp",A153&amp;";"&amp;E153,"Name")</f>
        <v>VARCHAR</v>
      </c>
      <c r="G153" cm="1">
        <f t="array" ref="G153">GetValue("Dmn",C153,"Length")</f>
        <v>14</v>
      </c>
      <c r="H153" t="str" cm="1">
        <f t="array" ref="H153">GetValue("Dmn",C153,"Decimals")</f>
        <v/>
      </c>
      <c r="I153" t="str" cm="1">
        <f t="array" ref="I153">GetDataType(F153,G153,H153)</f>
        <v>VARCHAR(14)</v>
      </c>
    </row>
    <row r="154" spans="1:9" x14ac:dyDescent="0.3">
      <c r="A154">
        <v>5</v>
      </c>
      <c r="B154" t="str" cm="1">
        <f t="array" ref="B154">GetValue("Eng",A154,"Name")</f>
        <v>Firebird</v>
      </c>
      <c r="C154">
        <f t="shared" si="4"/>
        <v>21</v>
      </c>
      <c r="D154" t="str" cm="1">
        <f t="array" ref="D154">GetValue("Dmn",C154,"Name")</f>
        <v>CREDIT CARD</v>
      </c>
      <c r="E154" cm="1">
        <f t="array" ref="E154">GetValue("Dmn",C154,"TypeId")</f>
        <v>20</v>
      </c>
      <c r="F154" t="str" cm="1">
        <f t="array" ref="F154">GetValue("EngTyp",A154&amp;";"&amp;E154,"Name")</f>
        <v>VARCHAR</v>
      </c>
      <c r="G154" cm="1">
        <f t="array" ref="G154">GetValue("Dmn",C154,"Length")</f>
        <v>16</v>
      </c>
      <c r="H154" t="str" cm="1">
        <f t="array" ref="H154">GetValue("Dmn",C154,"Decimals")</f>
        <v/>
      </c>
      <c r="I154" t="str" cm="1">
        <f t="array" ref="I154">GetDataType(F154,G154,H154)</f>
        <v>VARCHAR(16)</v>
      </c>
    </row>
    <row r="155" spans="1:9" x14ac:dyDescent="0.3">
      <c r="A155">
        <v>5</v>
      </c>
      <c r="B155" t="str" cm="1">
        <f t="array" ref="B155">GetValue("Eng",A155,"Name")</f>
        <v>Firebird</v>
      </c>
      <c r="C155">
        <f t="shared" si="4"/>
        <v>22</v>
      </c>
      <c r="D155" t="str" cm="1">
        <f t="array" ref="D155">GetValue("Dmn",C155,"Name")</f>
        <v>RENAVAM</v>
      </c>
      <c r="E155" cm="1">
        <f t="array" ref="E155">GetValue("Dmn",C155,"TypeId")</f>
        <v>20</v>
      </c>
      <c r="F155" t="str" cm="1">
        <f t="array" ref="F155">GetValue("EngTyp",A155&amp;";"&amp;E155,"Name")</f>
        <v>VARCHAR</v>
      </c>
      <c r="G155" cm="1">
        <f t="array" ref="G155">GetValue("Dmn",C155,"Length")</f>
        <v>11</v>
      </c>
      <c r="H155" t="str" cm="1">
        <f t="array" ref="H155">GetValue("Dmn",C155,"Decimals")</f>
        <v/>
      </c>
      <c r="I155" t="str" cm="1">
        <f t="array" ref="I155">GetDataType(F155,G155,H155)</f>
        <v>VARCHAR(11)</v>
      </c>
    </row>
    <row r="156" spans="1:9" x14ac:dyDescent="0.3">
      <c r="A156">
        <v>5</v>
      </c>
      <c r="B156" t="str" cm="1">
        <f t="array" ref="B156">GetValue("Eng",A156,"Name")</f>
        <v>Firebird</v>
      </c>
      <c r="C156">
        <f t="shared" si="4"/>
        <v>23</v>
      </c>
      <c r="D156" t="str" cm="1">
        <f t="array" ref="D156">GetValue("Dmn",C156,"Name")</f>
        <v>EAN-8</v>
      </c>
      <c r="E156" cm="1">
        <f t="array" ref="E156">GetValue("Dmn",C156,"TypeId")</f>
        <v>20</v>
      </c>
      <c r="F156" t="str" cm="1">
        <f t="array" ref="F156">GetValue("EngTyp",A156&amp;";"&amp;E156,"Name")</f>
        <v>VARCHAR</v>
      </c>
      <c r="G156" cm="1">
        <f t="array" ref="G156">GetValue("Dmn",C156,"Length")</f>
        <v>8</v>
      </c>
      <c r="H156" t="str" cm="1">
        <f t="array" ref="H156">GetValue("Dmn",C156,"Decimals")</f>
        <v/>
      </c>
      <c r="I156" t="str" cm="1">
        <f t="array" ref="I156">GetDataType(F156,G156,H156)</f>
        <v>VARCHAR(8)</v>
      </c>
    </row>
    <row r="157" spans="1:9" x14ac:dyDescent="0.3">
      <c r="A157">
        <v>5</v>
      </c>
      <c r="B157" t="str" cm="1">
        <f t="array" ref="B157">GetValue("Eng",A157,"Name")</f>
        <v>Firebird</v>
      </c>
      <c r="C157">
        <f t="shared" si="4"/>
        <v>24</v>
      </c>
      <c r="D157" t="str" cm="1">
        <f t="array" ref="D157">GetValue("Dmn",C157,"Name")</f>
        <v>EAN-13</v>
      </c>
      <c r="E157" cm="1">
        <f t="array" ref="E157">GetValue("Dmn",C157,"TypeId")</f>
        <v>20</v>
      </c>
      <c r="F157" t="str" cm="1">
        <f t="array" ref="F157">GetValue("EngTyp",A157&amp;";"&amp;E157,"Name")</f>
        <v>VARCHAR</v>
      </c>
      <c r="G157" cm="1">
        <f t="array" ref="G157">GetValue("Dmn",C157,"Length")</f>
        <v>13</v>
      </c>
      <c r="H157" t="str" cm="1">
        <f t="array" ref="H157">GetValue("Dmn",C157,"Decimals")</f>
        <v/>
      </c>
      <c r="I157" t="str" cm="1">
        <f t="array" ref="I157">GetDataType(F157,G157,H157)</f>
        <v>VARCHAR(13)</v>
      </c>
    </row>
    <row r="158" spans="1:9" x14ac:dyDescent="0.3">
      <c r="A158">
        <v>5</v>
      </c>
      <c r="B158" t="str" cm="1">
        <f t="array" ref="B158">GetValue("Eng",A158,"Name")</f>
        <v>Firebird</v>
      </c>
      <c r="C158">
        <f t="shared" si="4"/>
        <v>25</v>
      </c>
      <c r="D158" t="str" cm="1">
        <f t="array" ref="D158">GetValue("Dmn",C158,"Name")</f>
        <v>ISBN-10</v>
      </c>
      <c r="E158" cm="1">
        <f t="array" ref="E158">GetValue("Dmn",C158,"TypeId")</f>
        <v>20</v>
      </c>
      <c r="F158" t="str" cm="1">
        <f t="array" ref="F158">GetValue("EngTyp",A158&amp;";"&amp;E158,"Name")</f>
        <v>VARCHAR</v>
      </c>
      <c r="G158" cm="1">
        <f t="array" ref="G158">GetValue("Dmn",C158,"Length")</f>
        <v>10</v>
      </c>
      <c r="H158" t="str" cm="1">
        <f t="array" ref="H158">GetValue("Dmn",C158,"Decimals")</f>
        <v/>
      </c>
      <c r="I158" t="str" cm="1">
        <f t="array" ref="I158">GetDataType(F158,G158,H158)</f>
        <v>VARCHAR(10)</v>
      </c>
    </row>
    <row r="159" spans="1:9" x14ac:dyDescent="0.3">
      <c r="A159">
        <v>5</v>
      </c>
      <c r="B159" t="str" cm="1">
        <f t="array" ref="B159">GetValue("Eng",A159,"Name")</f>
        <v>Firebird</v>
      </c>
      <c r="C159">
        <f t="shared" si="4"/>
        <v>26</v>
      </c>
      <c r="D159" t="str" cm="1">
        <f t="array" ref="D159">GetValue("Dmn",C159,"Name")</f>
        <v>ISBN-13</v>
      </c>
      <c r="E159" cm="1">
        <f t="array" ref="E159">GetValue("Dmn",C159,"TypeId")</f>
        <v>20</v>
      </c>
      <c r="F159" t="str" cm="1">
        <f t="array" ref="F159">GetValue("EngTyp",A159&amp;";"&amp;E159,"Name")</f>
        <v>VARCHAR</v>
      </c>
      <c r="G159" cm="1">
        <f t="array" ref="G159">GetValue("Dmn",C159,"Length")</f>
        <v>13</v>
      </c>
      <c r="H159" t="str" cm="1">
        <f t="array" ref="H159">GetValue("Dmn",C159,"Decimals")</f>
        <v/>
      </c>
      <c r="I159" t="str" cm="1">
        <f t="array" ref="I159">GetDataType(F159,G159,H159)</f>
        <v>VARCHAR(13)</v>
      </c>
    </row>
    <row r="160" spans="1:9" x14ac:dyDescent="0.3">
      <c r="A160">
        <v>5</v>
      </c>
      <c r="B160" t="str" cm="1">
        <f t="array" ref="B160">GetValue("Eng",A160,"Name")</f>
        <v>Firebird</v>
      </c>
      <c r="C160">
        <f t="shared" si="4"/>
        <v>27</v>
      </c>
      <c r="D160" t="str" cm="1">
        <f t="array" ref="D160">GetValue("Dmn",C160,"Name")</f>
        <v>ISSN</v>
      </c>
      <c r="E160" cm="1">
        <f t="array" ref="E160">GetValue("Dmn",C160,"TypeId")</f>
        <v>20</v>
      </c>
      <c r="F160" t="str" cm="1">
        <f t="array" ref="F160">GetValue("EngTyp",A160&amp;";"&amp;E160,"Name")</f>
        <v>VARCHAR</v>
      </c>
      <c r="G160" cm="1">
        <f t="array" ref="G160">GetValue("Dmn",C160,"Length")</f>
        <v>8</v>
      </c>
      <c r="H160" t="str" cm="1">
        <f t="array" ref="H160">GetValue("Dmn",C160,"Decimals")</f>
        <v/>
      </c>
      <c r="I160" t="str" cm="1">
        <f t="array" ref="I160">GetDataType(F160,G160,H160)</f>
        <v>VARCHAR(8)</v>
      </c>
    </row>
    <row r="161" spans="1:9" x14ac:dyDescent="0.3">
      <c r="A161">
        <v>5</v>
      </c>
      <c r="B161" t="str" cm="1">
        <f t="array" ref="B161">GetValue("Eng",A161,"Name")</f>
        <v>Firebird</v>
      </c>
      <c r="C161">
        <f t="shared" si="4"/>
        <v>28</v>
      </c>
      <c r="D161" t="str" cm="1">
        <f t="array" ref="D161">GetValue("Dmn",C161,"Name")</f>
        <v>JS</v>
      </c>
      <c r="E161" cm="1">
        <f t="array" ref="E161">GetValue("Dmn",C161,"TypeId")</f>
        <v>21</v>
      </c>
      <c r="F161" t="str" cm="1">
        <f t="array" ref="F161">GetValue("EngTyp",A161&amp;";"&amp;E161,"Name")</f>
        <v>BLOB SUB_TYPE TEXT</v>
      </c>
      <c r="G161" t="str" cm="1">
        <f t="array" ref="G161">GetValue("Dmn",C161,"Length")</f>
        <v/>
      </c>
      <c r="H161" t="str" cm="1">
        <f t="array" ref="H161">GetValue("Dmn",C161,"Decimals")</f>
        <v/>
      </c>
      <c r="I161" t="str" cm="1">
        <f t="array" ref="I161">GetDataType(F161,G161,H161)</f>
        <v>BLOB SUB_TYPE TEXT</v>
      </c>
    </row>
    <row r="162" spans="1:9" x14ac:dyDescent="0.3">
      <c r="A162">
        <v>5</v>
      </c>
      <c r="B162" t="str" cm="1">
        <f t="array" ref="B162">GetValue("Eng",A162,"Name")</f>
        <v>Firebird</v>
      </c>
      <c r="C162">
        <f t="shared" si="4"/>
        <v>29</v>
      </c>
      <c r="D162" t="str" cm="1">
        <f t="array" ref="D162">GetValue("Dmn",C162,"Name")</f>
        <v>SQL</v>
      </c>
      <c r="E162" cm="1">
        <f t="array" ref="E162">GetValue("Dmn",C162,"TypeId")</f>
        <v>21</v>
      </c>
      <c r="F162" t="str" cm="1">
        <f t="array" ref="F162">GetValue("EngTyp",A162&amp;";"&amp;E162,"Name")</f>
        <v>BLOB SUB_TYPE TEXT</v>
      </c>
      <c r="G162" t="str" cm="1">
        <f t="array" ref="G162">GetValue("Dmn",C162,"Length")</f>
        <v/>
      </c>
      <c r="H162" t="str" cm="1">
        <f t="array" ref="H162">GetValue("Dmn",C162,"Decimals")</f>
        <v/>
      </c>
      <c r="I162" t="str" cm="1">
        <f t="array" ref="I162">GetDataType(F162,G162,H162)</f>
        <v>BLOB SUB_TYPE TEXT</v>
      </c>
    </row>
    <row r="163" spans="1:9" x14ac:dyDescent="0.3">
      <c r="A163">
        <v>5</v>
      </c>
      <c r="B163" t="str" cm="1">
        <f t="array" ref="B163">GetValue("Eng",A163,"Name")</f>
        <v>Firebird</v>
      </c>
      <c r="C163">
        <f t="shared" si="4"/>
        <v>30</v>
      </c>
      <c r="D163" t="str" cm="1">
        <f t="array" ref="D163">GetValue("Dmn",C163,"Name")</f>
        <v>Nvarchar(MAX)</v>
      </c>
      <c r="E163" cm="1">
        <f t="array" ref="E163">GetValue("Dmn",C163,"TypeId")</f>
        <v>21</v>
      </c>
      <c r="F163" t="str" cm="1">
        <f t="array" ref="F163">GetValue("EngTyp",A163&amp;";"&amp;E163,"Name")</f>
        <v>BLOB SUB_TYPE TEXT</v>
      </c>
      <c r="G163" t="str" cm="1">
        <f t="array" ref="G163">GetValue("Dmn",C163,"Length")</f>
        <v/>
      </c>
      <c r="H163" t="str" cm="1">
        <f t="array" ref="H163">GetValue("Dmn",C163,"Decimals")</f>
        <v/>
      </c>
      <c r="I163" t="str" cm="1">
        <f t="array" ref="I163">GetDataType(F163,G163,H163)</f>
        <v>BLOB SUB_TYPE TEXT</v>
      </c>
    </row>
    <row r="164" spans="1:9" x14ac:dyDescent="0.3">
      <c r="A164">
        <v>5</v>
      </c>
      <c r="B164" t="str" cm="1">
        <f t="array" ref="B164">GetValue("Eng",A164,"Name")</f>
        <v>Firebird</v>
      </c>
      <c r="C164">
        <f t="shared" si="4"/>
        <v>31</v>
      </c>
      <c r="D164" t="str" cm="1">
        <f t="array" ref="D164">GetValue("Dmn",C164,"Name")</f>
        <v>JSON</v>
      </c>
      <c r="E164" cm="1">
        <f t="array" ref="E164">GetValue("Dmn",C164,"TypeId")</f>
        <v>21</v>
      </c>
      <c r="F164" t="str" cm="1">
        <f t="array" ref="F164">GetValue("EngTyp",A164&amp;";"&amp;E164,"Name")</f>
        <v>BLOB SUB_TYPE TEXT</v>
      </c>
      <c r="G164" t="str" cm="1">
        <f t="array" ref="G164">GetValue("Dmn",C164,"Length")</f>
        <v/>
      </c>
      <c r="H164" t="str" cm="1">
        <f t="array" ref="H164">GetValue("Dmn",C164,"Decimals")</f>
        <v/>
      </c>
      <c r="I164" t="str" cm="1">
        <f t="array" ref="I164">GetDataType(F164,G164,H164)</f>
        <v>BLOB SUB_TYPE TEXT</v>
      </c>
    </row>
    <row r="165" spans="1:9" x14ac:dyDescent="0.3">
      <c r="A165">
        <v>5</v>
      </c>
      <c r="B165" t="str" cm="1">
        <f t="array" ref="B165">GetValue("Eng",A165,"Name")</f>
        <v>Firebird</v>
      </c>
      <c r="C165">
        <f t="shared" si="4"/>
        <v>32</v>
      </c>
      <c r="D165" t="str" cm="1">
        <f t="array" ref="D165">GetValue("Dmn",C165,"Name")</f>
        <v>Operator</v>
      </c>
      <c r="E165" cm="1">
        <f t="array" ref="E165">GetValue("Dmn",C165,"TypeId")</f>
        <v>4</v>
      </c>
      <c r="F165" t="str" cm="1">
        <f t="array" ref="F165">GetValue("EngTyp",A165&amp;";"&amp;E165,"Name")</f>
        <v>CHAR</v>
      </c>
      <c r="G165" cm="1">
        <f t="array" ref="G165">GetValue("Dmn",C165,"Length")</f>
        <v>1</v>
      </c>
      <c r="H165" t="str" cm="1">
        <f t="array" ref="H165">GetValue("Dmn",C165,"Decimals")</f>
        <v/>
      </c>
      <c r="I165" t="str" cm="1">
        <f t="array" ref="I165">GetDataType(F165,G165,H165)</f>
        <v>CHAR(1)</v>
      </c>
    </row>
    <row r="166" spans="1:9" x14ac:dyDescent="0.3">
      <c r="A166">
        <v>5</v>
      </c>
      <c r="B166" t="str" cm="1">
        <f t="array" ref="B166">GetValue("Eng",A166,"Name")</f>
        <v>Firebird</v>
      </c>
      <c r="C166">
        <f t="shared" si="4"/>
        <v>33</v>
      </c>
      <c r="D166" t="str" cm="1">
        <f t="array" ref="D166">GetValue("Dmn",C166,"Name")</f>
        <v>Money</v>
      </c>
      <c r="E166" cm="1">
        <f t="array" ref="E166">GetValue("Dmn",C166,"TypeId")</f>
        <v>9</v>
      </c>
      <c r="F166" t="str" cm="1">
        <f t="array" ref="F166">GetValue("EngTyp",A166&amp;";"&amp;E166,"Name")</f>
        <v>DECIMAL</v>
      </c>
      <c r="G166" cm="1">
        <f t="array" ref="G166">GetValue("Dmn",C166,"Length")</f>
        <v>19</v>
      </c>
      <c r="H166" cm="1">
        <f t="array" ref="H166">GetValue("Dmn",C166,"Decimals")</f>
        <v>2</v>
      </c>
      <c r="I166" t="str" cm="1">
        <f t="array" ref="I166">GetDataType(F166,G166,H166)</f>
        <v>DECIMAL(19, 2)</v>
      </c>
    </row>
    <row r="167" spans="1:9" x14ac:dyDescent="0.3">
      <c r="A167">
        <v>6</v>
      </c>
      <c r="B167" t="str" cm="1">
        <f t="array" ref="B167">GetValue("Eng",A167,"Name")</f>
        <v>Interbase</v>
      </c>
      <c r="C167">
        <v>1</v>
      </c>
      <c r="D167" t="str" cm="1">
        <f t="array" ref="D167">GetValue("Dmn",C167,"Name")</f>
        <v>BigInteger</v>
      </c>
      <c r="E167" cm="1">
        <f t="array" ref="E167">GetValue("Dmn",C167,"TypeId")</f>
        <v>1</v>
      </c>
      <c r="F167" t="str" cm="1">
        <f t="array" ref="F167">GetValue("EngTyp",A167&amp;";"&amp;E167,"Name")</f>
        <v>BIGINT</v>
      </c>
      <c r="G167" t="str" cm="1">
        <f t="array" ref="G167">GetValue("Dmn",C167,"Length")</f>
        <v/>
      </c>
      <c r="H167" t="str" cm="1">
        <f t="array" ref="H167">GetValue("Dmn",C167,"Decimals")</f>
        <v/>
      </c>
      <c r="I167" t="str" cm="1">
        <f t="array" ref="I167">GetDataType(F167,G167,H167)</f>
        <v>BIGINT</v>
      </c>
    </row>
    <row r="168" spans="1:9" x14ac:dyDescent="0.3">
      <c r="A168">
        <v>6</v>
      </c>
      <c r="B168" t="str" cm="1">
        <f t="array" ref="B168">GetValue("Eng",A168,"Name")</f>
        <v>Interbase</v>
      </c>
      <c r="C168">
        <f>C167+1</f>
        <v>2</v>
      </c>
      <c r="D168" t="str" cm="1">
        <f t="array" ref="D168">GetValue("Dmn",C168,"Name")</f>
        <v>Integer</v>
      </c>
      <c r="E168" cm="1">
        <f t="array" ref="E168">GetValue("Dmn",C168,"TypeId")</f>
        <v>15</v>
      </c>
      <c r="F168" t="str" cm="1">
        <f t="array" ref="F168">GetValue("EngTyp",A168&amp;";"&amp;E168,"Name")</f>
        <v>INTEGER</v>
      </c>
      <c r="G168" t="str" cm="1">
        <f t="array" ref="G168">GetValue("Dmn",C168,"Length")</f>
        <v/>
      </c>
      <c r="H168" t="str" cm="1">
        <f t="array" ref="H168">GetValue("Dmn",C168,"Decimals")</f>
        <v/>
      </c>
      <c r="I168" t="str" cm="1">
        <f t="array" ref="I168">GetDataType(F168,G168,H168)</f>
        <v>INTEGER</v>
      </c>
    </row>
    <row r="169" spans="1:9" x14ac:dyDescent="0.3">
      <c r="A169">
        <v>6</v>
      </c>
      <c r="B169" t="str" cm="1">
        <f t="array" ref="B169">GetValue("Eng",A169,"Name")</f>
        <v>Interbase</v>
      </c>
      <c r="C169">
        <f t="shared" ref="C169:C199" si="5">C168+1</f>
        <v>3</v>
      </c>
      <c r="D169" t="str" cm="1">
        <f t="array" ref="D169">GetValue("Dmn",C169,"Name")</f>
        <v>ShortInteger</v>
      </c>
      <c r="E169" cm="1">
        <f t="array" ref="E169">GetValue("Dmn",C169,"TypeId")</f>
        <v>15</v>
      </c>
      <c r="F169" t="str" cm="1">
        <f t="array" ref="F169">GetValue("EngTyp",A169&amp;";"&amp;E169,"Name")</f>
        <v>INTEGER</v>
      </c>
      <c r="G169" t="str" cm="1">
        <f t="array" ref="G169">GetValue("Dmn",C169,"Length")</f>
        <v/>
      </c>
      <c r="H169" t="str" cm="1">
        <f t="array" ref="H169">GetValue("Dmn",C169,"Decimals")</f>
        <v/>
      </c>
      <c r="I169" t="str" cm="1">
        <f t="array" ref="I169">GetDataType(F169,G169,H169)</f>
        <v>INTEGER</v>
      </c>
    </row>
    <row r="170" spans="1:9" x14ac:dyDescent="0.3">
      <c r="A170">
        <v>6</v>
      </c>
      <c r="B170" t="str" cm="1">
        <f t="array" ref="B170">GetValue("Eng",A170,"Name")</f>
        <v>Interbase</v>
      </c>
      <c r="C170">
        <f t="shared" si="5"/>
        <v>4</v>
      </c>
      <c r="D170" t="str" cm="1">
        <f t="array" ref="D170">GetValue("Dmn",C170,"Name")</f>
        <v>SmallInteger</v>
      </c>
      <c r="E170" cm="1">
        <f t="array" ref="E170">GetValue("Dmn",C170,"TypeId")</f>
        <v>24</v>
      </c>
      <c r="F170" t="str" cm="1">
        <f t="array" ref="F170">GetValue("EngTyp",A170&amp;";"&amp;E170,"Name")</f>
        <v>SMALLINT</v>
      </c>
      <c r="G170" t="str" cm="1">
        <f t="array" ref="G170">GetValue("Dmn",C170,"Length")</f>
        <v/>
      </c>
      <c r="H170" t="str" cm="1">
        <f t="array" ref="H170">GetValue("Dmn",C170,"Decimals")</f>
        <v/>
      </c>
      <c r="I170" t="str" cm="1">
        <f t="array" ref="I170">GetDataType(F170,G170,H170)</f>
        <v>SMALLINT</v>
      </c>
    </row>
    <row r="171" spans="1:9" x14ac:dyDescent="0.3">
      <c r="A171">
        <v>6</v>
      </c>
      <c r="B171" t="str" cm="1">
        <f t="array" ref="B171">GetValue("Eng",A171,"Name")</f>
        <v>Interbase</v>
      </c>
      <c r="C171">
        <f t="shared" si="5"/>
        <v>5</v>
      </c>
      <c r="D171" t="str" cm="1">
        <f t="array" ref="D171">GetValue("Dmn",C171,"Name")</f>
        <v>TinyInteger</v>
      </c>
      <c r="E171" cm="1">
        <f t="array" ref="E171">GetValue("Dmn",C171,"TypeId")</f>
        <v>31</v>
      </c>
      <c r="F171" t="str" cm="1">
        <f t="array" ref="F171">GetValue("EngTyp",A171&amp;";"&amp;E171,"Name")</f>
        <v>SMALLINT</v>
      </c>
      <c r="G171" t="str" cm="1">
        <f t="array" ref="G171">GetValue("Dmn",C171,"Length")</f>
        <v/>
      </c>
      <c r="H171" t="str" cm="1">
        <f t="array" ref="H171">GetValue("Dmn",C171,"Decimals")</f>
        <v/>
      </c>
      <c r="I171" t="str" cm="1">
        <f t="array" ref="I171">GetDataType(F171,G171,H171)</f>
        <v>SMALLINT</v>
      </c>
    </row>
    <row r="172" spans="1:9" x14ac:dyDescent="0.3">
      <c r="A172">
        <v>6</v>
      </c>
      <c r="B172" t="str" cm="1">
        <f t="array" ref="B172">GetValue("Eng",A172,"Name")</f>
        <v>Interbase</v>
      </c>
      <c r="C172">
        <f t="shared" si="5"/>
        <v>6</v>
      </c>
      <c r="D172" t="str" cm="1">
        <f t="array" ref="D172">GetValue("Dmn",C172,"Name")</f>
        <v>Boolean</v>
      </c>
      <c r="E172" cm="1">
        <f t="array" ref="E172">GetValue("Dmn",C172,"TypeId")</f>
        <v>3</v>
      </c>
      <c r="F172" t="str" cm="1">
        <f t="array" ref="F172">GetValue("EngTyp",A172&amp;";"&amp;E172,"Name")</f>
        <v>SMALLINT</v>
      </c>
      <c r="G172" t="str" cm="1">
        <f t="array" ref="G172">GetValue("Dmn",C172,"Length")</f>
        <v/>
      </c>
      <c r="H172" t="str" cm="1">
        <f t="array" ref="H172">GetValue("Dmn",C172,"Decimals")</f>
        <v/>
      </c>
      <c r="I172" t="str" cm="1">
        <f t="array" ref="I172">GetDataType(F172,G172,H172)</f>
        <v>SMALLINT</v>
      </c>
    </row>
    <row r="173" spans="1:9" x14ac:dyDescent="0.3">
      <c r="A173">
        <v>6</v>
      </c>
      <c r="B173" t="str" cm="1">
        <f t="array" ref="B173">GetValue("Eng",A173,"Name")</f>
        <v>Interbase</v>
      </c>
      <c r="C173">
        <f t="shared" si="5"/>
        <v>7</v>
      </c>
      <c r="D173" t="str" cm="1">
        <f t="array" ref="D173">GetValue("Dmn",C173,"Name")</f>
        <v>DateTime</v>
      </c>
      <c r="E173" cm="1">
        <f t="array" ref="E173">GetValue("Dmn",C173,"TypeId")</f>
        <v>6</v>
      </c>
      <c r="F173" t="str" cm="1">
        <f t="array" ref="F173">GetValue("EngTyp",A173&amp;";"&amp;E173,"Name")</f>
        <v>TIMESTAMP</v>
      </c>
      <c r="G173" t="str" cm="1">
        <f t="array" ref="G173">GetValue("Dmn",C173,"Length")</f>
        <v/>
      </c>
      <c r="H173" t="str" cm="1">
        <f t="array" ref="H173">GetValue("Dmn",C173,"Decimals")</f>
        <v/>
      </c>
      <c r="I173" t="str" cm="1">
        <f t="array" ref="I173">GetDataType(F173,G173,H173)</f>
        <v>TIMESTAMP</v>
      </c>
    </row>
    <row r="174" spans="1:9" x14ac:dyDescent="0.3">
      <c r="A174">
        <v>6</v>
      </c>
      <c r="B174" t="str" cm="1">
        <f t="array" ref="B174">GetValue("Eng",A174,"Name")</f>
        <v>Interbase</v>
      </c>
      <c r="C174">
        <f t="shared" si="5"/>
        <v>8</v>
      </c>
      <c r="D174" t="str" cm="1">
        <f t="array" ref="D174">GetValue("Dmn",C174,"Name")</f>
        <v>Nvarchar(15)</v>
      </c>
      <c r="E174" cm="1">
        <f t="array" ref="E174">GetValue("Dmn",C174,"TypeId")</f>
        <v>20</v>
      </c>
      <c r="F174" t="str" cm="1">
        <f t="array" ref="F174">GetValue("EngTyp",A174&amp;";"&amp;E174,"Name")</f>
        <v>VARCHAR</v>
      </c>
      <c r="G174" cm="1">
        <f t="array" ref="G174">GetValue("Dmn",C174,"Length")</f>
        <v>15</v>
      </c>
      <c r="H174" t="str" cm="1">
        <f t="array" ref="H174">GetValue("Dmn",C174,"Decimals")</f>
        <v/>
      </c>
      <c r="I174" t="str" cm="1">
        <f t="array" ref="I174">GetDataType(F174,G174,H174)</f>
        <v>VARCHAR(15)</v>
      </c>
    </row>
    <row r="175" spans="1:9" x14ac:dyDescent="0.3">
      <c r="A175">
        <v>6</v>
      </c>
      <c r="B175" t="str" cm="1">
        <f t="array" ref="B175">GetValue("Eng",A175,"Name")</f>
        <v>Interbase</v>
      </c>
      <c r="C175">
        <f t="shared" si="5"/>
        <v>9</v>
      </c>
      <c r="D175" t="str" cm="1">
        <f t="array" ref="D175">GetValue("Dmn",C175,"Name")</f>
        <v>Nvarchar(20)</v>
      </c>
      <c r="E175" cm="1">
        <f t="array" ref="E175">GetValue("Dmn",C175,"TypeId")</f>
        <v>20</v>
      </c>
      <c r="F175" t="str" cm="1">
        <f t="array" ref="F175">GetValue("EngTyp",A175&amp;";"&amp;E175,"Name")</f>
        <v>VARCHAR</v>
      </c>
      <c r="G175" cm="1">
        <f t="array" ref="G175">GetValue("Dmn",C175,"Length")</f>
        <v>20</v>
      </c>
      <c r="H175" t="str" cm="1">
        <f t="array" ref="H175">GetValue("Dmn",C175,"Decimals")</f>
        <v/>
      </c>
      <c r="I175" t="str" cm="1">
        <f t="array" ref="I175">GetDataType(F175,G175,H175)</f>
        <v>VARCHAR(20)</v>
      </c>
    </row>
    <row r="176" spans="1:9" x14ac:dyDescent="0.3">
      <c r="A176">
        <v>6</v>
      </c>
      <c r="B176" t="str" cm="1">
        <f t="array" ref="B176">GetValue("Eng",A176,"Name")</f>
        <v>Interbase</v>
      </c>
      <c r="C176">
        <f t="shared" si="5"/>
        <v>10</v>
      </c>
      <c r="D176" t="str" cm="1">
        <f t="array" ref="D176">GetValue("Dmn",C176,"Name")</f>
        <v>Nvarchar(25)</v>
      </c>
      <c r="E176" cm="1">
        <f t="array" ref="E176">GetValue("Dmn",C176,"TypeId")</f>
        <v>20</v>
      </c>
      <c r="F176" t="str" cm="1">
        <f t="array" ref="F176">GetValue("EngTyp",A176&amp;";"&amp;E176,"Name")</f>
        <v>VARCHAR</v>
      </c>
      <c r="G176" cm="1">
        <f t="array" ref="G176">GetValue("Dmn",C176,"Length")</f>
        <v>25</v>
      </c>
      <c r="H176" t="str" cm="1">
        <f t="array" ref="H176">GetValue("Dmn",C176,"Decimals")</f>
        <v/>
      </c>
      <c r="I176" t="str" cm="1">
        <f t="array" ref="I176">GetDataType(F176,G176,H176)</f>
        <v>VARCHAR(25)</v>
      </c>
    </row>
    <row r="177" spans="1:9" x14ac:dyDescent="0.3">
      <c r="A177">
        <v>6</v>
      </c>
      <c r="B177" t="str" cm="1">
        <f t="array" ref="B177">GetValue("Eng",A177,"Name")</f>
        <v>Interbase</v>
      </c>
      <c r="C177">
        <f t="shared" si="5"/>
        <v>11</v>
      </c>
      <c r="D177" t="str" cm="1">
        <f t="array" ref="D177">GetValue("Dmn",C177,"Name")</f>
        <v>Nvarchar(50)</v>
      </c>
      <c r="E177" cm="1">
        <f t="array" ref="E177">GetValue("Dmn",C177,"TypeId")</f>
        <v>20</v>
      </c>
      <c r="F177" t="str" cm="1">
        <f t="array" ref="F177">GetValue("EngTyp",A177&amp;";"&amp;E177,"Name")</f>
        <v>VARCHAR</v>
      </c>
      <c r="G177" cm="1">
        <f t="array" ref="G177">GetValue("Dmn",C177,"Length")</f>
        <v>50</v>
      </c>
      <c r="H177" t="str" cm="1">
        <f t="array" ref="H177">GetValue("Dmn",C177,"Decimals")</f>
        <v/>
      </c>
      <c r="I177" t="str" cm="1">
        <f t="array" ref="I177">GetDataType(F177,G177,H177)</f>
        <v>VARCHAR(50)</v>
      </c>
    </row>
    <row r="178" spans="1:9" x14ac:dyDescent="0.3">
      <c r="A178">
        <v>6</v>
      </c>
      <c r="B178" t="str" cm="1">
        <f t="array" ref="B178">GetValue("Eng",A178,"Name")</f>
        <v>Interbase</v>
      </c>
      <c r="C178">
        <f t="shared" si="5"/>
        <v>12</v>
      </c>
      <c r="D178" t="str" cm="1">
        <f t="array" ref="D178">GetValue("Dmn",C178,"Name")</f>
        <v>Nvarchar(256)</v>
      </c>
      <c r="E178" cm="1">
        <f t="array" ref="E178">GetValue("Dmn",C178,"TypeId")</f>
        <v>20</v>
      </c>
      <c r="F178" t="str" cm="1">
        <f t="array" ref="F178">GetValue("EngTyp",A178&amp;";"&amp;E178,"Name")</f>
        <v>VARCHAR</v>
      </c>
      <c r="G178" cm="1">
        <f t="array" ref="G178">GetValue("Dmn",C178,"Length")</f>
        <v>256</v>
      </c>
      <c r="H178" t="str" cm="1">
        <f t="array" ref="H178">GetValue("Dmn",C178,"Decimals")</f>
        <v/>
      </c>
      <c r="I178" t="str" cm="1">
        <f t="array" ref="I178">GetDataType(F178,G178,H178)</f>
        <v>VARCHAR(256)</v>
      </c>
    </row>
    <row r="179" spans="1:9" x14ac:dyDescent="0.3">
      <c r="A179">
        <v>6</v>
      </c>
      <c r="B179" t="str" cm="1">
        <f t="array" ref="B179">GetValue("Eng",A179,"Name")</f>
        <v>Interbase</v>
      </c>
      <c r="C179">
        <f t="shared" si="5"/>
        <v>13</v>
      </c>
      <c r="D179" t="str" cm="1">
        <f t="array" ref="D179">GetValue("Dmn",C179,"Name")</f>
        <v>Variant</v>
      </c>
      <c r="E179" cm="1">
        <f t="array" ref="E179">GetValue("Dmn",C179,"TypeId")</f>
        <v>20</v>
      </c>
      <c r="F179" t="str" cm="1">
        <f t="array" ref="F179">GetValue("EngTyp",A179&amp;";"&amp;E179,"Name")</f>
        <v>VARCHAR</v>
      </c>
      <c r="G179" t="str" cm="1">
        <f t="array" ref="G179">GetValue("Dmn",C179,"Length")</f>
        <v/>
      </c>
      <c r="H179" t="str" cm="1">
        <f t="array" ref="H179">GetValue("Dmn",C179,"Decimals")</f>
        <v/>
      </c>
      <c r="I179" t="str" cm="1">
        <f t="array" ref="I179">GetDataType(F179,G179,H179)</f>
        <v>VARCHAR</v>
      </c>
    </row>
    <row r="180" spans="1:9" x14ac:dyDescent="0.3">
      <c r="A180">
        <v>6</v>
      </c>
      <c r="B180" t="str" cm="1">
        <f t="array" ref="B180">GetValue("Eng",A180,"Name")</f>
        <v>Interbase</v>
      </c>
      <c r="C180">
        <f t="shared" si="5"/>
        <v>14</v>
      </c>
      <c r="D180" t="str" cm="1">
        <f t="array" ref="D180">GetValue("Dmn",C180,"Name")</f>
        <v>Codification</v>
      </c>
      <c r="E180" cm="1">
        <f t="array" ref="E180">GetValue("Dmn",C180,"TypeId")</f>
        <v>20</v>
      </c>
      <c r="F180" t="str" cm="1">
        <f t="array" ref="F180">GetValue("EngTyp",A180&amp;";"&amp;E180,"Name")</f>
        <v>VARCHAR</v>
      </c>
      <c r="G180" cm="1">
        <f t="array" ref="G180">GetValue("Dmn",C180,"Length")</f>
        <v>5</v>
      </c>
      <c r="H180" t="str" cm="1">
        <f t="array" ref="H180">GetValue("Dmn",C180,"Decimals")</f>
        <v/>
      </c>
      <c r="I180" t="str" cm="1">
        <f t="array" ref="I180">GetDataType(F180,G180,H180)</f>
        <v>VARCHAR(5)</v>
      </c>
    </row>
    <row r="181" spans="1:9" x14ac:dyDescent="0.3">
      <c r="A181">
        <v>6</v>
      </c>
      <c r="B181" t="str" cm="1">
        <f t="array" ref="B181">GetValue("Eng",A181,"Name")</f>
        <v>Interbase</v>
      </c>
      <c r="C181">
        <f t="shared" si="5"/>
        <v>15</v>
      </c>
      <c r="D181" t="str" cm="1">
        <f t="array" ref="D181">GetValue("Dmn",C181,"Name")</f>
        <v>Operation</v>
      </c>
      <c r="E181" cm="1">
        <f t="array" ref="E181">GetValue("Dmn",C181,"TypeId")</f>
        <v>20</v>
      </c>
      <c r="F181" t="str" cm="1">
        <f t="array" ref="F181">GetValue("EngTyp",A181&amp;";"&amp;E181,"Name")</f>
        <v>VARCHAR</v>
      </c>
      <c r="G181" cm="1">
        <f t="array" ref="G181">GetValue("Dmn",C181,"Length")</f>
        <v>15</v>
      </c>
      <c r="H181" t="str" cm="1">
        <f t="array" ref="H181">GetValue("Dmn",C181,"Decimals")</f>
        <v/>
      </c>
      <c r="I181" t="str" cm="1">
        <f t="array" ref="I181">GetDataType(F181,G181,H181)</f>
        <v>VARCHAR(15)</v>
      </c>
    </row>
    <row r="182" spans="1:9" x14ac:dyDescent="0.3">
      <c r="A182">
        <v>6</v>
      </c>
      <c r="B182" t="str" cm="1">
        <f t="array" ref="B182">GetValue("Eng",A182,"Name")</f>
        <v>Interbase</v>
      </c>
      <c r="C182">
        <f t="shared" si="5"/>
        <v>16</v>
      </c>
      <c r="D182" t="str" cm="1">
        <f t="array" ref="D182">GetValue("Dmn",C182,"Name")</f>
        <v>RAIZ CNPJ</v>
      </c>
      <c r="E182" cm="1">
        <f t="array" ref="E182">GetValue("Dmn",C182,"TypeId")</f>
        <v>20</v>
      </c>
      <c r="F182" t="str" cm="1">
        <f t="array" ref="F182">GetValue("EngTyp",A182&amp;";"&amp;E182,"Name")</f>
        <v>VARCHAR</v>
      </c>
      <c r="G182" cm="1">
        <f t="array" ref="G182">GetValue("Dmn",C182,"Length")</f>
        <v>8</v>
      </c>
      <c r="H182" t="str" cm="1">
        <f t="array" ref="H182">GetValue("Dmn",C182,"Decimals")</f>
        <v/>
      </c>
      <c r="I182" t="str" cm="1">
        <f t="array" ref="I182">GetDataType(F182,G182,H182)</f>
        <v>VARCHAR(8)</v>
      </c>
    </row>
    <row r="183" spans="1:9" x14ac:dyDescent="0.3">
      <c r="A183">
        <v>6</v>
      </c>
      <c r="B183" t="str" cm="1">
        <f t="array" ref="B183">GetValue("Eng",A183,"Name")</f>
        <v>Interbase</v>
      </c>
      <c r="C183">
        <f t="shared" si="5"/>
        <v>17</v>
      </c>
      <c r="D183" t="str" cm="1">
        <f t="array" ref="D183">GetValue("Dmn",C183,"Name")</f>
        <v>CPF</v>
      </c>
      <c r="E183" cm="1">
        <f t="array" ref="E183">GetValue("Dmn",C183,"TypeId")</f>
        <v>20</v>
      </c>
      <c r="F183" t="str" cm="1">
        <f t="array" ref="F183">GetValue("EngTyp",A183&amp;";"&amp;E183,"Name")</f>
        <v>VARCHAR</v>
      </c>
      <c r="G183" cm="1">
        <f t="array" ref="G183">GetValue("Dmn",C183,"Length")</f>
        <v>11</v>
      </c>
      <c r="H183" t="str" cm="1">
        <f t="array" ref="H183">GetValue("Dmn",C183,"Decimals")</f>
        <v/>
      </c>
      <c r="I183" t="str" cm="1">
        <f t="array" ref="I183">GetDataType(F183,G183,H183)</f>
        <v>VARCHAR(11)</v>
      </c>
    </row>
    <row r="184" spans="1:9" x14ac:dyDescent="0.3">
      <c r="A184">
        <v>6</v>
      </c>
      <c r="B184" t="str" cm="1">
        <f t="array" ref="B184">GetValue("Eng",A184,"Name")</f>
        <v>Interbase</v>
      </c>
      <c r="C184">
        <f t="shared" si="5"/>
        <v>18</v>
      </c>
      <c r="D184" t="str" cm="1">
        <f t="array" ref="D184">GetValue("Dmn",C184,"Name")</f>
        <v>CNPJ</v>
      </c>
      <c r="E184" cm="1">
        <f t="array" ref="E184">GetValue("Dmn",C184,"TypeId")</f>
        <v>20</v>
      </c>
      <c r="F184" t="str" cm="1">
        <f t="array" ref="F184">GetValue("EngTyp",A184&amp;";"&amp;E184,"Name")</f>
        <v>VARCHAR</v>
      </c>
      <c r="G184" cm="1">
        <f t="array" ref="G184">GetValue("Dmn",C184,"Length")</f>
        <v>14</v>
      </c>
      <c r="H184" t="str" cm="1">
        <f t="array" ref="H184">GetValue("Dmn",C184,"Decimals")</f>
        <v/>
      </c>
      <c r="I184" t="str" cm="1">
        <f t="array" ref="I184">GetDataType(F184,G184,H184)</f>
        <v>VARCHAR(14)</v>
      </c>
    </row>
    <row r="185" spans="1:9" x14ac:dyDescent="0.3">
      <c r="A185">
        <v>6</v>
      </c>
      <c r="B185" t="str" cm="1">
        <f t="array" ref="B185">GetValue("Eng",A185,"Name")</f>
        <v>Interbase</v>
      </c>
      <c r="C185">
        <f t="shared" si="5"/>
        <v>19</v>
      </c>
      <c r="D185" t="str" cm="1">
        <f t="array" ref="D185">GetValue("Dmn",C185,"Name")</f>
        <v>RAIZ/CPF/CNPJ</v>
      </c>
      <c r="E185" cm="1">
        <f t="array" ref="E185">GetValue("Dmn",C185,"TypeId")</f>
        <v>20</v>
      </c>
      <c r="F185" t="str" cm="1">
        <f t="array" ref="F185">GetValue("EngTyp",A185&amp;";"&amp;E185,"Name")</f>
        <v>VARCHAR</v>
      </c>
      <c r="G185" cm="1">
        <f t="array" ref="G185">GetValue("Dmn",C185,"Length")</f>
        <v>14</v>
      </c>
      <c r="H185" t="str" cm="1">
        <f t="array" ref="H185">GetValue("Dmn",C185,"Decimals")</f>
        <v/>
      </c>
      <c r="I185" t="str" cm="1">
        <f t="array" ref="I185">GetDataType(F185,G185,H185)</f>
        <v>VARCHAR(14)</v>
      </c>
    </row>
    <row r="186" spans="1:9" x14ac:dyDescent="0.3">
      <c r="A186">
        <v>6</v>
      </c>
      <c r="B186" t="str" cm="1">
        <f t="array" ref="B186">GetValue("Eng",A186,"Name")</f>
        <v>Interbase</v>
      </c>
      <c r="C186">
        <f t="shared" si="5"/>
        <v>20</v>
      </c>
      <c r="D186" t="str" cm="1">
        <f t="array" ref="D186">GetValue("Dmn",C186,"Name")</f>
        <v>CAEPF</v>
      </c>
      <c r="E186" cm="1">
        <f t="array" ref="E186">GetValue("Dmn",C186,"TypeId")</f>
        <v>20</v>
      </c>
      <c r="F186" t="str" cm="1">
        <f t="array" ref="F186">GetValue("EngTyp",A186&amp;";"&amp;E186,"Name")</f>
        <v>VARCHAR</v>
      </c>
      <c r="G186" cm="1">
        <f t="array" ref="G186">GetValue("Dmn",C186,"Length")</f>
        <v>14</v>
      </c>
      <c r="H186" t="str" cm="1">
        <f t="array" ref="H186">GetValue("Dmn",C186,"Decimals")</f>
        <v/>
      </c>
      <c r="I186" t="str" cm="1">
        <f t="array" ref="I186">GetDataType(F186,G186,H186)</f>
        <v>VARCHAR(14)</v>
      </c>
    </row>
    <row r="187" spans="1:9" x14ac:dyDescent="0.3">
      <c r="A187">
        <v>6</v>
      </c>
      <c r="B187" t="str" cm="1">
        <f t="array" ref="B187">GetValue("Eng",A187,"Name")</f>
        <v>Interbase</v>
      </c>
      <c r="C187">
        <f t="shared" si="5"/>
        <v>21</v>
      </c>
      <c r="D187" t="str" cm="1">
        <f t="array" ref="D187">GetValue("Dmn",C187,"Name")</f>
        <v>CREDIT CARD</v>
      </c>
      <c r="E187" cm="1">
        <f t="array" ref="E187">GetValue("Dmn",C187,"TypeId")</f>
        <v>20</v>
      </c>
      <c r="F187" t="str" cm="1">
        <f t="array" ref="F187">GetValue("EngTyp",A187&amp;";"&amp;E187,"Name")</f>
        <v>VARCHAR</v>
      </c>
      <c r="G187" cm="1">
        <f t="array" ref="G187">GetValue("Dmn",C187,"Length")</f>
        <v>16</v>
      </c>
      <c r="H187" t="str" cm="1">
        <f t="array" ref="H187">GetValue("Dmn",C187,"Decimals")</f>
        <v/>
      </c>
      <c r="I187" t="str" cm="1">
        <f t="array" ref="I187">GetDataType(F187,G187,H187)</f>
        <v>VARCHAR(16)</v>
      </c>
    </row>
    <row r="188" spans="1:9" x14ac:dyDescent="0.3">
      <c r="A188">
        <v>6</v>
      </c>
      <c r="B188" t="str" cm="1">
        <f t="array" ref="B188">GetValue("Eng",A188,"Name")</f>
        <v>Interbase</v>
      </c>
      <c r="C188">
        <f t="shared" si="5"/>
        <v>22</v>
      </c>
      <c r="D188" t="str" cm="1">
        <f t="array" ref="D188">GetValue("Dmn",C188,"Name")</f>
        <v>RENAVAM</v>
      </c>
      <c r="E188" cm="1">
        <f t="array" ref="E188">GetValue("Dmn",C188,"TypeId")</f>
        <v>20</v>
      </c>
      <c r="F188" t="str" cm="1">
        <f t="array" ref="F188">GetValue("EngTyp",A188&amp;";"&amp;E188,"Name")</f>
        <v>VARCHAR</v>
      </c>
      <c r="G188" cm="1">
        <f t="array" ref="G188">GetValue("Dmn",C188,"Length")</f>
        <v>11</v>
      </c>
      <c r="H188" t="str" cm="1">
        <f t="array" ref="H188">GetValue("Dmn",C188,"Decimals")</f>
        <v/>
      </c>
      <c r="I188" t="str" cm="1">
        <f t="array" ref="I188">GetDataType(F188,G188,H188)</f>
        <v>VARCHAR(11)</v>
      </c>
    </row>
    <row r="189" spans="1:9" x14ac:dyDescent="0.3">
      <c r="A189">
        <v>6</v>
      </c>
      <c r="B189" t="str" cm="1">
        <f t="array" ref="B189">GetValue("Eng",A189,"Name")</f>
        <v>Interbase</v>
      </c>
      <c r="C189">
        <f t="shared" si="5"/>
        <v>23</v>
      </c>
      <c r="D189" t="str" cm="1">
        <f t="array" ref="D189">GetValue("Dmn",C189,"Name")</f>
        <v>EAN-8</v>
      </c>
      <c r="E189" cm="1">
        <f t="array" ref="E189">GetValue("Dmn",C189,"TypeId")</f>
        <v>20</v>
      </c>
      <c r="F189" t="str" cm="1">
        <f t="array" ref="F189">GetValue("EngTyp",A189&amp;";"&amp;E189,"Name")</f>
        <v>VARCHAR</v>
      </c>
      <c r="G189" cm="1">
        <f t="array" ref="G189">GetValue("Dmn",C189,"Length")</f>
        <v>8</v>
      </c>
      <c r="H189" t="str" cm="1">
        <f t="array" ref="H189">GetValue("Dmn",C189,"Decimals")</f>
        <v/>
      </c>
      <c r="I189" t="str" cm="1">
        <f t="array" ref="I189">GetDataType(F189,G189,H189)</f>
        <v>VARCHAR(8)</v>
      </c>
    </row>
    <row r="190" spans="1:9" x14ac:dyDescent="0.3">
      <c r="A190">
        <v>6</v>
      </c>
      <c r="B190" t="str" cm="1">
        <f t="array" ref="B190">GetValue("Eng",A190,"Name")</f>
        <v>Interbase</v>
      </c>
      <c r="C190">
        <f t="shared" si="5"/>
        <v>24</v>
      </c>
      <c r="D190" t="str" cm="1">
        <f t="array" ref="D190">GetValue("Dmn",C190,"Name")</f>
        <v>EAN-13</v>
      </c>
      <c r="E190" cm="1">
        <f t="array" ref="E190">GetValue("Dmn",C190,"TypeId")</f>
        <v>20</v>
      </c>
      <c r="F190" t="str" cm="1">
        <f t="array" ref="F190">GetValue("EngTyp",A190&amp;";"&amp;E190,"Name")</f>
        <v>VARCHAR</v>
      </c>
      <c r="G190" cm="1">
        <f t="array" ref="G190">GetValue("Dmn",C190,"Length")</f>
        <v>13</v>
      </c>
      <c r="H190" t="str" cm="1">
        <f t="array" ref="H190">GetValue("Dmn",C190,"Decimals")</f>
        <v/>
      </c>
      <c r="I190" t="str" cm="1">
        <f t="array" ref="I190">GetDataType(F190,G190,H190)</f>
        <v>VARCHAR(13)</v>
      </c>
    </row>
    <row r="191" spans="1:9" x14ac:dyDescent="0.3">
      <c r="A191">
        <v>6</v>
      </c>
      <c r="B191" t="str" cm="1">
        <f t="array" ref="B191">GetValue("Eng",A191,"Name")</f>
        <v>Interbase</v>
      </c>
      <c r="C191">
        <f t="shared" si="5"/>
        <v>25</v>
      </c>
      <c r="D191" t="str" cm="1">
        <f t="array" ref="D191">GetValue("Dmn",C191,"Name")</f>
        <v>ISBN-10</v>
      </c>
      <c r="E191" cm="1">
        <f t="array" ref="E191">GetValue("Dmn",C191,"TypeId")</f>
        <v>20</v>
      </c>
      <c r="F191" t="str" cm="1">
        <f t="array" ref="F191">GetValue("EngTyp",A191&amp;";"&amp;E191,"Name")</f>
        <v>VARCHAR</v>
      </c>
      <c r="G191" cm="1">
        <f t="array" ref="G191">GetValue("Dmn",C191,"Length")</f>
        <v>10</v>
      </c>
      <c r="H191" t="str" cm="1">
        <f t="array" ref="H191">GetValue("Dmn",C191,"Decimals")</f>
        <v/>
      </c>
      <c r="I191" t="str" cm="1">
        <f t="array" ref="I191">GetDataType(F191,G191,H191)</f>
        <v>VARCHAR(10)</v>
      </c>
    </row>
    <row r="192" spans="1:9" x14ac:dyDescent="0.3">
      <c r="A192">
        <v>6</v>
      </c>
      <c r="B192" t="str" cm="1">
        <f t="array" ref="B192">GetValue("Eng",A192,"Name")</f>
        <v>Interbase</v>
      </c>
      <c r="C192">
        <f t="shared" si="5"/>
        <v>26</v>
      </c>
      <c r="D192" t="str" cm="1">
        <f t="array" ref="D192">GetValue("Dmn",C192,"Name")</f>
        <v>ISBN-13</v>
      </c>
      <c r="E192" cm="1">
        <f t="array" ref="E192">GetValue("Dmn",C192,"TypeId")</f>
        <v>20</v>
      </c>
      <c r="F192" t="str" cm="1">
        <f t="array" ref="F192">GetValue("EngTyp",A192&amp;";"&amp;E192,"Name")</f>
        <v>VARCHAR</v>
      </c>
      <c r="G192" cm="1">
        <f t="array" ref="G192">GetValue("Dmn",C192,"Length")</f>
        <v>13</v>
      </c>
      <c r="H192" t="str" cm="1">
        <f t="array" ref="H192">GetValue("Dmn",C192,"Decimals")</f>
        <v/>
      </c>
      <c r="I192" t="str" cm="1">
        <f t="array" ref="I192">GetDataType(F192,G192,H192)</f>
        <v>VARCHAR(13)</v>
      </c>
    </row>
    <row r="193" spans="1:9" x14ac:dyDescent="0.3">
      <c r="A193">
        <v>6</v>
      </c>
      <c r="B193" t="str" cm="1">
        <f t="array" ref="B193">GetValue("Eng",A193,"Name")</f>
        <v>Interbase</v>
      </c>
      <c r="C193">
        <f t="shared" si="5"/>
        <v>27</v>
      </c>
      <c r="D193" t="str" cm="1">
        <f t="array" ref="D193">GetValue("Dmn",C193,"Name")</f>
        <v>ISSN</v>
      </c>
      <c r="E193" cm="1">
        <f t="array" ref="E193">GetValue("Dmn",C193,"TypeId")</f>
        <v>20</v>
      </c>
      <c r="F193" t="str" cm="1">
        <f t="array" ref="F193">GetValue("EngTyp",A193&amp;";"&amp;E193,"Name")</f>
        <v>VARCHAR</v>
      </c>
      <c r="G193" cm="1">
        <f t="array" ref="G193">GetValue("Dmn",C193,"Length")</f>
        <v>8</v>
      </c>
      <c r="H193" t="str" cm="1">
        <f t="array" ref="H193">GetValue("Dmn",C193,"Decimals")</f>
        <v/>
      </c>
      <c r="I193" t="str" cm="1">
        <f t="array" ref="I193">GetDataType(F193,G193,H193)</f>
        <v>VARCHAR(8)</v>
      </c>
    </row>
    <row r="194" spans="1:9" x14ac:dyDescent="0.3">
      <c r="A194">
        <v>6</v>
      </c>
      <c r="B194" t="str" cm="1">
        <f t="array" ref="B194">GetValue("Eng",A194,"Name")</f>
        <v>Interbase</v>
      </c>
      <c r="C194">
        <f t="shared" si="5"/>
        <v>28</v>
      </c>
      <c r="D194" t="str" cm="1">
        <f t="array" ref="D194">GetValue("Dmn",C194,"Name")</f>
        <v>JS</v>
      </c>
      <c r="E194" cm="1">
        <f t="array" ref="E194">GetValue("Dmn",C194,"TypeId")</f>
        <v>21</v>
      </c>
      <c r="F194" t="str" cm="1">
        <f t="array" ref="F194">GetValue("EngTyp",A194&amp;";"&amp;E194,"Name")</f>
        <v>BLOB SUB_TYPE TEXT</v>
      </c>
      <c r="G194" t="str" cm="1">
        <f t="array" ref="G194">GetValue("Dmn",C194,"Length")</f>
        <v/>
      </c>
      <c r="H194" t="str" cm="1">
        <f t="array" ref="H194">GetValue("Dmn",C194,"Decimals")</f>
        <v/>
      </c>
      <c r="I194" t="str" cm="1">
        <f t="array" ref="I194">GetDataType(F194,G194,H194)</f>
        <v>BLOB SUB_TYPE TEXT</v>
      </c>
    </row>
    <row r="195" spans="1:9" x14ac:dyDescent="0.3">
      <c r="A195">
        <v>6</v>
      </c>
      <c r="B195" t="str" cm="1">
        <f t="array" ref="B195">GetValue("Eng",A195,"Name")</f>
        <v>Interbase</v>
      </c>
      <c r="C195">
        <f t="shared" si="5"/>
        <v>29</v>
      </c>
      <c r="D195" t="str" cm="1">
        <f t="array" ref="D195">GetValue("Dmn",C195,"Name")</f>
        <v>SQL</v>
      </c>
      <c r="E195" cm="1">
        <f t="array" ref="E195">GetValue("Dmn",C195,"TypeId")</f>
        <v>21</v>
      </c>
      <c r="F195" t="str" cm="1">
        <f t="array" ref="F195">GetValue("EngTyp",A195&amp;";"&amp;E195,"Name")</f>
        <v>BLOB SUB_TYPE TEXT</v>
      </c>
      <c r="G195" t="str" cm="1">
        <f t="array" ref="G195">GetValue("Dmn",C195,"Length")</f>
        <v/>
      </c>
      <c r="H195" t="str" cm="1">
        <f t="array" ref="H195">GetValue("Dmn",C195,"Decimals")</f>
        <v/>
      </c>
      <c r="I195" t="str" cm="1">
        <f t="array" ref="I195">GetDataType(F195,G195,H195)</f>
        <v>BLOB SUB_TYPE TEXT</v>
      </c>
    </row>
    <row r="196" spans="1:9" x14ac:dyDescent="0.3">
      <c r="A196">
        <v>6</v>
      </c>
      <c r="B196" t="str" cm="1">
        <f t="array" ref="B196">GetValue("Eng",A196,"Name")</f>
        <v>Interbase</v>
      </c>
      <c r="C196">
        <f t="shared" si="5"/>
        <v>30</v>
      </c>
      <c r="D196" t="str" cm="1">
        <f t="array" ref="D196">GetValue("Dmn",C196,"Name")</f>
        <v>Nvarchar(MAX)</v>
      </c>
      <c r="E196" cm="1">
        <f t="array" ref="E196">GetValue("Dmn",C196,"TypeId")</f>
        <v>21</v>
      </c>
      <c r="F196" t="str" cm="1">
        <f t="array" ref="F196">GetValue("EngTyp",A196&amp;";"&amp;E196,"Name")</f>
        <v>BLOB SUB_TYPE TEXT</v>
      </c>
      <c r="G196" t="str" cm="1">
        <f t="array" ref="G196">GetValue("Dmn",C196,"Length")</f>
        <v/>
      </c>
      <c r="H196" t="str" cm="1">
        <f t="array" ref="H196">GetValue("Dmn",C196,"Decimals")</f>
        <v/>
      </c>
      <c r="I196" t="str" cm="1">
        <f t="array" ref="I196">GetDataType(F196,G196,H196)</f>
        <v>BLOB SUB_TYPE TEXT</v>
      </c>
    </row>
    <row r="197" spans="1:9" x14ac:dyDescent="0.3">
      <c r="A197">
        <v>6</v>
      </c>
      <c r="B197" t="str" cm="1">
        <f t="array" ref="B197">GetValue("Eng",A197,"Name")</f>
        <v>Interbase</v>
      </c>
      <c r="C197">
        <f t="shared" si="5"/>
        <v>31</v>
      </c>
      <c r="D197" t="str" cm="1">
        <f t="array" ref="D197">GetValue("Dmn",C197,"Name")</f>
        <v>JSON</v>
      </c>
      <c r="E197" cm="1">
        <f t="array" ref="E197">GetValue("Dmn",C197,"TypeId")</f>
        <v>21</v>
      </c>
      <c r="F197" t="str" cm="1">
        <f t="array" ref="F197">GetValue("EngTyp",A197&amp;";"&amp;E197,"Name")</f>
        <v>BLOB SUB_TYPE TEXT</v>
      </c>
      <c r="G197" t="str" cm="1">
        <f t="array" ref="G197">GetValue("Dmn",C197,"Length")</f>
        <v/>
      </c>
      <c r="H197" t="str" cm="1">
        <f t="array" ref="H197">GetValue("Dmn",C197,"Decimals")</f>
        <v/>
      </c>
      <c r="I197" t="str" cm="1">
        <f t="array" ref="I197">GetDataType(F197,G197,H197)</f>
        <v>BLOB SUB_TYPE TEXT</v>
      </c>
    </row>
    <row r="198" spans="1:9" x14ac:dyDescent="0.3">
      <c r="A198">
        <v>6</v>
      </c>
      <c r="B198" t="str" cm="1">
        <f t="array" ref="B198">GetValue("Eng",A198,"Name")</f>
        <v>Interbase</v>
      </c>
      <c r="C198">
        <f t="shared" si="5"/>
        <v>32</v>
      </c>
      <c r="D198" t="str" cm="1">
        <f t="array" ref="D198">GetValue("Dmn",C198,"Name")</f>
        <v>Operator</v>
      </c>
      <c r="E198" cm="1">
        <f t="array" ref="E198">GetValue("Dmn",C198,"TypeId")</f>
        <v>4</v>
      </c>
      <c r="F198" t="str" cm="1">
        <f t="array" ref="F198">GetValue("EngTyp",A198&amp;";"&amp;E198,"Name")</f>
        <v>CHAR</v>
      </c>
      <c r="G198" cm="1">
        <f t="array" ref="G198">GetValue("Dmn",C198,"Length")</f>
        <v>1</v>
      </c>
      <c r="H198" t="str" cm="1">
        <f t="array" ref="H198">GetValue("Dmn",C198,"Decimals")</f>
        <v/>
      </c>
      <c r="I198" t="str" cm="1">
        <f t="array" ref="I198">GetDataType(F198,G198,H198)</f>
        <v>CHAR(1)</v>
      </c>
    </row>
    <row r="199" spans="1:9" x14ac:dyDescent="0.3">
      <c r="A199">
        <v>6</v>
      </c>
      <c r="B199" t="str" cm="1">
        <f t="array" ref="B199">GetValue("Eng",A199,"Name")</f>
        <v>Interbase</v>
      </c>
      <c r="C199">
        <f t="shared" si="5"/>
        <v>33</v>
      </c>
      <c r="D199" t="str" cm="1">
        <f t="array" ref="D199">GetValue("Dmn",C199,"Name")</f>
        <v>Money</v>
      </c>
      <c r="E199" cm="1">
        <f t="array" ref="E199">GetValue("Dmn",C199,"TypeId")</f>
        <v>9</v>
      </c>
      <c r="F199" t="str" cm="1">
        <f t="array" ref="F199">GetValue("EngTyp",A199&amp;";"&amp;E199,"Name")</f>
        <v>DECIMAL</v>
      </c>
      <c r="G199" cm="1">
        <f t="array" ref="G199">GetValue("Dmn",C199,"Length")</f>
        <v>19</v>
      </c>
      <c r="H199" cm="1">
        <f t="array" ref="H199">GetValue("Dmn",C199,"Decimals")</f>
        <v>2</v>
      </c>
      <c r="I199" t="str" cm="1">
        <f t="array" ref="I199">GetDataType(F199,G199,H199)</f>
        <v>DECIMAL(19, 2)</v>
      </c>
    </row>
    <row r="200" spans="1:9" x14ac:dyDescent="0.3">
      <c r="A200">
        <v>7</v>
      </c>
      <c r="B200" t="str" cm="1">
        <f t="array" ref="B200">GetValue("Eng",A200,"Name")</f>
        <v>SQL Anywhere</v>
      </c>
      <c r="C200">
        <v>1</v>
      </c>
      <c r="D200" t="str" cm="1">
        <f t="array" ref="D200">GetValue("Dmn",C200,"Name")</f>
        <v>BigInteger</v>
      </c>
      <c r="E200" cm="1">
        <f t="array" ref="E200">GetValue("Dmn",C200,"TypeId")</f>
        <v>1</v>
      </c>
      <c r="F200" t="str" cm="1">
        <f t="array" ref="F200">GetValue("EngTyp",A200&amp;";"&amp;E200,"Name")</f>
        <v>BIGINT</v>
      </c>
      <c r="G200" t="str" cm="1">
        <f t="array" ref="G200">GetValue("Dmn",C200,"Length")</f>
        <v/>
      </c>
      <c r="H200" t="str" cm="1">
        <f t="array" ref="H200">GetValue("Dmn",C200,"Decimals")</f>
        <v/>
      </c>
      <c r="I200" t="str" cm="1">
        <f t="array" ref="I200">GetDataType(F200,G200,H200)</f>
        <v>BIGINT</v>
      </c>
    </row>
    <row r="201" spans="1:9" x14ac:dyDescent="0.3">
      <c r="A201">
        <v>7</v>
      </c>
      <c r="B201" t="str" cm="1">
        <f t="array" ref="B201">GetValue("Eng",A201,"Name")</f>
        <v>SQL Anywhere</v>
      </c>
      <c r="C201">
        <f>C200+1</f>
        <v>2</v>
      </c>
      <c r="D201" t="str" cm="1">
        <f t="array" ref="D201">GetValue("Dmn",C201,"Name")</f>
        <v>Integer</v>
      </c>
      <c r="E201" cm="1">
        <f t="array" ref="E201">GetValue("Dmn",C201,"TypeId")</f>
        <v>15</v>
      </c>
      <c r="F201" t="str" cm="1">
        <f t="array" ref="F201">GetValue("EngTyp",A201&amp;";"&amp;E201,"Name")</f>
        <v>INTEGER</v>
      </c>
      <c r="G201" t="str" cm="1">
        <f t="array" ref="G201">GetValue("Dmn",C201,"Length")</f>
        <v/>
      </c>
      <c r="H201" t="str" cm="1">
        <f t="array" ref="H201">GetValue("Dmn",C201,"Decimals")</f>
        <v/>
      </c>
      <c r="I201" t="str" cm="1">
        <f t="array" ref="I201">GetDataType(F201,G201,H201)</f>
        <v>INTEGER</v>
      </c>
    </row>
    <row r="202" spans="1:9" x14ac:dyDescent="0.3">
      <c r="A202">
        <v>7</v>
      </c>
      <c r="B202" t="str" cm="1">
        <f t="array" ref="B202">GetValue("Eng",A202,"Name")</f>
        <v>SQL Anywhere</v>
      </c>
      <c r="C202">
        <f t="shared" ref="C202:C232" si="6">C201+1</f>
        <v>3</v>
      </c>
      <c r="D202" t="str" cm="1">
        <f t="array" ref="D202">GetValue("Dmn",C202,"Name")</f>
        <v>ShortInteger</v>
      </c>
      <c r="E202" cm="1">
        <f t="array" ref="E202">GetValue("Dmn",C202,"TypeId")</f>
        <v>15</v>
      </c>
      <c r="F202" t="str" cm="1">
        <f t="array" ref="F202">GetValue("EngTyp",A202&amp;";"&amp;E202,"Name")</f>
        <v>INTEGER</v>
      </c>
      <c r="G202" t="str" cm="1">
        <f t="array" ref="G202">GetValue("Dmn",C202,"Length")</f>
        <v/>
      </c>
      <c r="H202" t="str" cm="1">
        <f t="array" ref="H202">GetValue("Dmn",C202,"Decimals")</f>
        <v/>
      </c>
      <c r="I202" t="str" cm="1">
        <f t="array" ref="I202">GetDataType(F202,G202,H202)</f>
        <v>INTEGER</v>
      </c>
    </row>
    <row r="203" spans="1:9" x14ac:dyDescent="0.3">
      <c r="A203">
        <v>7</v>
      </c>
      <c r="B203" t="str" cm="1">
        <f t="array" ref="B203">GetValue("Eng",A203,"Name")</f>
        <v>SQL Anywhere</v>
      </c>
      <c r="C203">
        <f t="shared" si="6"/>
        <v>4</v>
      </c>
      <c r="D203" t="str" cm="1">
        <f t="array" ref="D203">GetValue("Dmn",C203,"Name")</f>
        <v>SmallInteger</v>
      </c>
      <c r="E203" cm="1">
        <f t="array" ref="E203">GetValue("Dmn",C203,"TypeId")</f>
        <v>24</v>
      </c>
      <c r="F203" t="str" cm="1">
        <f t="array" ref="F203">GetValue("EngTyp",A203&amp;";"&amp;E203,"Name")</f>
        <v>SMALLINT</v>
      </c>
      <c r="G203" t="str" cm="1">
        <f t="array" ref="G203">GetValue("Dmn",C203,"Length")</f>
        <v/>
      </c>
      <c r="H203" t="str" cm="1">
        <f t="array" ref="H203">GetValue("Dmn",C203,"Decimals")</f>
        <v/>
      </c>
      <c r="I203" t="str" cm="1">
        <f t="array" ref="I203">GetDataType(F203,G203,H203)</f>
        <v>SMALLINT</v>
      </c>
    </row>
    <row r="204" spans="1:9" x14ac:dyDescent="0.3">
      <c r="A204">
        <v>7</v>
      </c>
      <c r="B204" t="str" cm="1">
        <f t="array" ref="B204">GetValue("Eng",A204,"Name")</f>
        <v>SQL Anywhere</v>
      </c>
      <c r="C204">
        <f t="shared" si="6"/>
        <v>5</v>
      </c>
      <c r="D204" t="str" cm="1">
        <f t="array" ref="D204">GetValue("Dmn",C204,"Name")</f>
        <v>TinyInteger</v>
      </c>
      <c r="E204" cm="1">
        <f t="array" ref="E204">GetValue("Dmn",C204,"TypeId")</f>
        <v>31</v>
      </c>
      <c r="F204" t="str" cm="1">
        <f t="array" ref="F204">GetValue("EngTyp",A204&amp;";"&amp;E204,"Name")</f>
        <v>SMALLINT</v>
      </c>
      <c r="G204" t="str" cm="1">
        <f t="array" ref="G204">GetValue("Dmn",C204,"Length")</f>
        <v/>
      </c>
      <c r="H204" t="str" cm="1">
        <f t="array" ref="H204">GetValue("Dmn",C204,"Decimals")</f>
        <v/>
      </c>
      <c r="I204" t="str" cm="1">
        <f t="array" ref="I204">GetDataType(F204,G204,H204)</f>
        <v>SMALLINT</v>
      </c>
    </row>
    <row r="205" spans="1:9" x14ac:dyDescent="0.3">
      <c r="A205">
        <v>7</v>
      </c>
      <c r="B205" t="str" cm="1">
        <f t="array" ref="B205">GetValue("Eng",A205,"Name")</f>
        <v>SQL Anywhere</v>
      </c>
      <c r="C205">
        <f t="shared" si="6"/>
        <v>6</v>
      </c>
      <c r="D205" t="str" cm="1">
        <f t="array" ref="D205">GetValue("Dmn",C205,"Name")</f>
        <v>Boolean</v>
      </c>
      <c r="E205" cm="1">
        <f t="array" ref="E205">GetValue("Dmn",C205,"TypeId")</f>
        <v>3</v>
      </c>
      <c r="F205" t="str" cm="1">
        <f t="array" ref="F205">GetValue("EngTyp",A205&amp;";"&amp;E205,"Name")</f>
        <v>SMALLINT</v>
      </c>
      <c r="G205" t="str" cm="1">
        <f t="array" ref="G205">GetValue("Dmn",C205,"Length")</f>
        <v/>
      </c>
      <c r="H205" t="str" cm="1">
        <f t="array" ref="H205">GetValue("Dmn",C205,"Decimals")</f>
        <v/>
      </c>
      <c r="I205" t="str" cm="1">
        <f t="array" ref="I205">GetDataType(F205,G205,H205)</f>
        <v>SMALLINT</v>
      </c>
    </row>
    <row r="206" spans="1:9" x14ac:dyDescent="0.3">
      <c r="A206">
        <v>7</v>
      </c>
      <c r="B206" t="str" cm="1">
        <f t="array" ref="B206">GetValue("Eng",A206,"Name")</f>
        <v>SQL Anywhere</v>
      </c>
      <c r="C206">
        <f t="shared" si="6"/>
        <v>7</v>
      </c>
      <c r="D206" t="str" cm="1">
        <f t="array" ref="D206">GetValue("Dmn",C206,"Name")</f>
        <v>DateTime</v>
      </c>
      <c r="E206" cm="1">
        <f t="array" ref="E206">GetValue("Dmn",C206,"TypeId")</f>
        <v>6</v>
      </c>
      <c r="F206" t="str" cm="1">
        <f t="array" ref="F206">GetValue("EngTyp",A206&amp;";"&amp;E206,"Name")</f>
        <v>TIMESTAMP</v>
      </c>
      <c r="G206" t="str" cm="1">
        <f t="array" ref="G206">GetValue("Dmn",C206,"Length")</f>
        <v/>
      </c>
      <c r="H206" t="str" cm="1">
        <f t="array" ref="H206">GetValue("Dmn",C206,"Decimals")</f>
        <v/>
      </c>
      <c r="I206" t="str" cm="1">
        <f t="array" ref="I206">GetDataType(F206,G206,H206)</f>
        <v>TIMESTAMP</v>
      </c>
    </row>
    <row r="207" spans="1:9" x14ac:dyDescent="0.3">
      <c r="A207">
        <v>7</v>
      </c>
      <c r="B207" t="str" cm="1">
        <f t="array" ref="B207">GetValue("Eng",A207,"Name")</f>
        <v>SQL Anywhere</v>
      </c>
      <c r="C207">
        <f t="shared" si="6"/>
        <v>8</v>
      </c>
      <c r="D207" t="str" cm="1">
        <f t="array" ref="D207">GetValue("Dmn",C207,"Name")</f>
        <v>Nvarchar(15)</v>
      </c>
      <c r="E207" cm="1">
        <f t="array" ref="E207">GetValue("Dmn",C207,"TypeId")</f>
        <v>20</v>
      </c>
      <c r="F207" t="str" cm="1">
        <f t="array" ref="F207">GetValue("EngTyp",A207&amp;";"&amp;E207,"Name")</f>
        <v>VARCHAR</v>
      </c>
      <c r="G207" cm="1">
        <f t="array" ref="G207">GetValue("Dmn",C207,"Length")</f>
        <v>15</v>
      </c>
      <c r="H207" t="str" cm="1">
        <f t="array" ref="H207">GetValue("Dmn",C207,"Decimals")</f>
        <v/>
      </c>
      <c r="I207" t="str" cm="1">
        <f t="array" ref="I207">GetDataType(F207,G207,H207)</f>
        <v>VARCHAR(15)</v>
      </c>
    </row>
    <row r="208" spans="1:9" x14ac:dyDescent="0.3">
      <c r="A208">
        <v>7</v>
      </c>
      <c r="B208" t="str" cm="1">
        <f t="array" ref="B208">GetValue("Eng",A208,"Name")</f>
        <v>SQL Anywhere</v>
      </c>
      <c r="C208">
        <f t="shared" si="6"/>
        <v>9</v>
      </c>
      <c r="D208" t="str" cm="1">
        <f t="array" ref="D208">GetValue("Dmn",C208,"Name")</f>
        <v>Nvarchar(20)</v>
      </c>
      <c r="E208" cm="1">
        <f t="array" ref="E208">GetValue("Dmn",C208,"TypeId")</f>
        <v>20</v>
      </c>
      <c r="F208" t="str" cm="1">
        <f t="array" ref="F208">GetValue("EngTyp",A208&amp;";"&amp;E208,"Name")</f>
        <v>VARCHAR</v>
      </c>
      <c r="G208" cm="1">
        <f t="array" ref="G208">GetValue("Dmn",C208,"Length")</f>
        <v>20</v>
      </c>
      <c r="H208" t="str" cm="1">
        <f t="array" ref="H208">GetValue("Dmn",C208,"Decimals")</f>
        <v/>
      </c>
      <c r="I208" t="str" cm="1">
        <f t="array" ref="I208">GetDataType(F208,G208,H208)</f>
        <v>VARCHAR(20)</v>
      </c>
    </row>
    <row r="209" spans="1:9" x14ac:dyDescent="0.3">
      <c r="A209">
        <v>7</v>
      </c>
      <c r="B209" t="str" cm="1">
        <f t="array" ref="B209">GetValue("Eng",A209,"Name")</f>
        <v>SQL Anywhere</v>
      </c>
      <c r="C209">
        <f t="shared" si="6"/>
        <v>10</v>
      </c>
      <c r="D209" t="str" cm="1">
        <f t="array" ref="D209">GetValue("Dmn",C209,"Name")</f>
        <v>Nvarchar(25)</v>
      </c>
      <c r="E209" cm="1">
        <f t="array" ref="E209">GetValue("Dmn",C209,"TypeId")</f>
        <v>20</v>
      </c>
      <c r="F209" t="str" cm="1">
        <f t="array" ref="F209">GetValue("EngTyp",A209&amp;";"&amp;E209,"Name")</f>
        <v>VARCHAR</v>
      </c>
      <c r="G209" cm="1">
        <f t="array" ref="G209">GetValue("Dmn",C209,"Length")</f>
        <v>25</v>
      </c>
      <c r="H209" t="str" cm="1">
        <f t="array" ref="H209">GetValue("Dmn",C209,"Decimals")</f>
        <v/>
      </c>
      <c r="I209" t="str" cm="1">
        <f t="array" ref="I209">GetDataType(F209,G209,H209)</f>
        <v>VARCHAR(25)</v>
      </c>
    </row>
    <row r="210" spans="1:9" x14ac:dyDescent="0.3">
      <c r="A210">
        <v>7</v>
      </c>
      <c r="B210" t="str" cm="1">
        <f t="array" ref="B210">GetValue("Eng",A210,"Name")</f>
        <v>SQL Anywhere</v>
      </c>
      <c r="C210">
        <f t="shared" si="6"/>
        <v>11</v>
      </c>
      <c r="D210" t="str" cm="1">
        <f t="array" ref="D210">GetValue("Dmn",C210,"Name")</f>
        <v>Nvarchar(50)</v>
      </c>
      <c r="E210" cm="1">
        <f t="array" ref="E210">GetValue("Dmn",C210,"TypeId")</f>
        <v>20</v>
      </c>
      <c r="F210" t="str" cm="1">
        <f t="array" ref="F210">GetValue("EngTyp",A210&amp;";"&amp;E210,"Name")</f>
        <v>VARCHAR</v>
      </c>
      <c r="G210" cm="1">
        <f t="array" ref="G210">GetValue("Dmn",C210,"Length")</f>
        <v>50</v>
      </c>
      <c r="H210" t="str" cm="1">
        <f t="array" ref="H210">GetValue("Dmn",C210,"Decimals")</f>
        <v/>
      </c>
      <c r="I210" t="str" cm="1">
        <f t="array" ref="I210">GetDataType(F210,G210,H210)</f>
        <v>VARCHAR(50)</v>
      </c>
    </row>
    <row r="211" spans="1:9" x14ac:dyDescent="0.3">
      <c r="A211">
        <v>7</v>
      </c>
      <c r="B211" t="str" cm="1">
        <f t="array" ref="B211">GetValue("Eng",A211,"Name")</f>
        <v>SQL Anywhere</v>
      </c>
      <c r="C211">
        <f t="shared" si="6"/>
        <v>12</v>
      </c>
      <c r="D211" t="str" cm="1">
        <f t="array" ref="D211">GetValue("Dmn",C211,"Name")</f>
        <v>Nvarchar(256)</v>
      </c>
      <c r="E211" cm="1">
        <f t="array" ref="E211">GetValue("Dmn",C211,"TypeId")</f>
        <v>20</v>
      </c>
      <c r="F211" t="str" cm="1">
        <f t="array" ref="F211">GetValue("EngTyp",A211&amp;";"&amp;E211,"Name")</f>
        <v>VARCHAR</v>
      </c>
      <c r="G211" cm="1">
        <f t="array" ref="G211">GetValue("Dmn",C211,"Length")</f>
        <v>256</v>
      </c>
      <c r="H211" t="str" cm="1">
        <f t="array" ref="H211">GetValue("Dmn",C211,"Decimals")</f>
        <v/>
      </c>
      <c r="I211" t="str" cm="1">
        <f t="array" ref="I211">GetDataType(F211,G211,H211)</f>
        <v>VARCHAR(256)</v>
      </c>
    </row>
    <row r="212" spans="1:9" x14ac:dyDescent="0.3">
      <c r="A212">
        <v>7</v>
      </c>
      <c r="B212" t="str" cm="1">
        <f t="array" ref="B212">GetValue("Eng",A212,"Name")</f>
        <v>SQL Anywhere</v>
      </c>
      <c r="C212">
        <f t="shared" si="6"/>
        <v>13</v>
      </c>
      <c r="D212" t="str" cm="1">
        <f t="array" ref="D212">GetValue("Dmn",C212,"Name")</f>
        <v>Variant</v>
      </c>
      <c r="E212" cm="1">
        <f t="array" ref="E212">GetValue("Dmn",C212,"TypeId")</f>
        <v>20</v>
      </c>
      <c r="F212" t="str" cm="1">
        <f t="array" ref="F212">GetValue("EngTyp",A212&amp;";"&amp;E212,"Name")</f>
        <v>VARCHAR</v>
      </c>
      <c r="G212" t="str" cm="1">
        <f t="array" ref="G212">GetValue("Dmn",C212,"Length")</f>
        <v/>
      </c>
      <c r="H212" t="str" cm="1">
        <f t="array" ref="H212">GetValue("Dmn",C212,"Decimals")</f>
        <v/>
      </c>
      <c r="I212" t="str" cm="1">
        <f t="array" ref="I212">GetDataType(F212,G212,H212)</f>
        <v>VARCHAR</v>
      </c>
    </row>
    <row r="213" spans="1:9" x14ac:dyDescent="0.3">
      <c r="A213">
        <v>7</v>
      </c>
      <c r="B213" t="str" cm="1">
        <f t="array" ref="B213">GetValue("Eng",A213,"Name")</f>
        <v>SQL Anywhere</v>
      </c>
      <c r="C213">
        <f t="shared" si="6"/>
        <v>14</v>
      </c>
      <c r="D213" t="str" cm="1">
        <f t="array" ref="D213">GetValue("Dmn",C213,"Name")</f>
        <v>Codification</v>
      </c>
      <c r="E213" cm="1">
        <f t="array" ref="E213">GetValue("Dmn",C213,"TypeId")</f>
        <v>20</v>
      </c>
      <c r="F213" t="str" cm="1">
        <f t="array" ref="F213">GetValue("EngTyp",A213&amp;";"&amp;E213,"Name")</f>
        <v>VARCHAR</v>
      </c>
      <c r="G213" cm="1">
        <f t="array" ref="G213">GetValue("Dmn",C213,"Length")</f>
        <v>5</v>
      </c>
      <c r="H213" t="str" cm="1">
        <f t="array" ref="H213">GetValue("Dmn",C213,"Decimals")</f>
        <v/>
      </c>
      <c r="I213" t="str" cm="1">
        <f t="array" ref="I213">GetDataType(F213,G213,H213)</f>
        <v>VARCHAR(5)</v>
      </c>
    </row>
    <row r="214" spans="1:9" x14ac:dyDescent="0.3">
      <c r="A214">
        <v>7</v>
      </c>
      <c r="B214" t="str" cm="1">
        <f t="array" ref="B214">GetValue("Eng",A214,"Name")</f>
        <v>SQL Anywhere</v>
      </c>
      <c r="C214">
        <f t="shared" si="6"/>
        <v>15</v>
      </c>
      <c r="D214" t="str" cm="1">
        <f t="array" ref="D214">GetValue("Dmn",C214,"Name")</f>
        <v>Operation</v>
      </c>
      <c r="E214" cm="1">
        <f t="array" ref="E214">GetValue("Dmn",C214,"TypeId")</f>
        <v>20</v>
      </c>
      <c r="F214" t="str" cm="1">
        <f t="array" ref="F214">GetValue("EngTyp",A214&amp;";"&amp;E214,"Name")</f>
        <v>VARCHAR</v>
      </c>
      <c r="G214" cm="1">
        <f t="array" ref="G214">GetValue("Dmn",C214,"Length")</f>
        <v>15</v>
      </c>
      <c r="H214" t="str" cm="1">
        <f t="array" ref="H214">GetValue("Dmn",C214,"Decimals")</f>
        <v/>
      </c>
      <c r="I214" t="str" cm="1">
        <f t="array" ref="I214">GetDataType(F214,G214,H214)</f>
        <v>VARCHAR(15)</v>
      </c>
    </row>
    <row r="215" spans="1:9" x14ac:dyDescent="0.3">
      <c r="A215">
        <v>7</v>
      </c>
      <c r="B215" t="str" cm="1">
        <f t="array" ref="B215">GetValue("Eng",A215,"Name")</f>
        <v>SQL Anywhere</v>
      </c>
      <c r="C215">
        <f t="shared" si="6"/>
        <v>16</v>
      </c>
      <c r="D215" t="str" cm="1">
        <f t="array" ref="D215">GetValue("Dmn",C215,"Name")</f>
        <v>RAIZ CNPJ</v>
      </c>
      <c r="E215" cm="1">
        <f t="array" ref="E215">GetValue("Dmn",C215,"TypeId")</f>
        <v>20</v>
      </c>
      <c r="F215" t="str" cm="1">
        <f t="array" ref="F215">GetValue("EngTyp",A215&amp;";"&amp;E215,"Name")</f>
        <v>VARCHAR</v>
      </c>
      <c r="G215" cm="1">
        <f t="array" ref="G215">GetValue("Dmn",C215,"Length")</f>
        <v>8</v>
      </c>
      <c r="H215" t="str" cm="1">
        <f t="array" ref="H215">GetValue("Dmn",C215,"Decimals")</f>
        <v/>
      </c>
      <c r="I215" t="str" cm="1">
        <f t="array" ref="I215">GetDataType(F215,G215,H215)</f>
        <v>VARCHAR(8)</v>
      </c>
    </row>
    <row r="216" spans="1:9" x14ac:dyDescent="0.3">
      <c r="A216">
        <v>7</v>
      </c>
      <c r="B216" t="str" cm="1">
        <f t="array" ref="B216">GetValue("Eng",A216,"Name")</f>
        <v>SQL Anywhere</v>
      </c>
      <c r="C216">
        <f t="shared" si="6"/>
        <v>17</v>
      </c>
      <c r="D216" t="str" cm="1">
        <f t="array" ref="D216">GetValue("Dmn",C216,"Name")</f>
        <v>CPF</v>
      </c>
      <c r="E216" cm="1">
        <f t="array" ref="E216">GetValue("Dmn",C216,"TypeId")</f>
        <v>20</v>
      </c>
      <c r="F216" t="str" cm="1">
        <f t="array" ref="F216">GetValue("EngTyp",A216&amp;";"&amp;E216,"Name")</f>
        <v>VARCHAR</v>
      </c>
      <c r="G216" cm="1">
        <f t="array" ref="G216">GetValue("Dmn",C216,"Length")</f>
        <v>11</v>
      </c>
      <c r="H216" t="str" cm="1">
        <f t="array" ref="H216">GetValue("Dmn",C216,"Decimals")</f>
        <v/>
      </c>
      <c r="I216" t="str" cm="1">
        <f t="array" ref="I216">GetDataType(F216,G216,H216)</f>
        <v>VARCHAR(11)</v>
      </c>
    </row>
    <row r="217" spans="1:9" x14ac:dyDescent="0.3">
      <c r="A217">
        <v>7</v>
      </c>
      <c r="B217" t="str" cm="1">
        <f t="array" ref="B217">GetValue("Eng",A217,"Name")</f>
        <v>SQL Anywhere</v>
      </c>
      <c r="C217">
        <f t="shared" si="6"/>
        <v>18</v>
      </c>
      <c r="D217" t="str" cm="1">
        <f t="array" ref="D217">GetValue("Dmn",C217,"Name")</f>
        <v>CNPJ</v>
      </c>
      <c r="E217" cm="1">
        <f t="array" ref="E217">GetValue("Dmn",C217,"TypeId")</f>
        <v>20</v>
      </c>
      <c r="F217" t="str" cm="1">
        <f t="array" ref="F217">GetValue("EngTyp",A217&amp;";"&amp;E217,"Name")</f>
        <v>VARCHAR</v>
      </c>
      <c r="G217" cm="1">
        <f t="array" ref="G217">GetValue("Dmn",C217,"Length")</f>
        <v>14</v>
      </c>
      <c r="H217" t="str" cm="1">
        <f t="array" ref="H217">GetValue("Dmn",C217,"Decimals")</f>
        <v/>
      </c>
      <c r="I217" t="str" cm="1">
        <f t="array" ref="I217">GetDataType(F217,G217,H217)</f>
        <v>VARCHAR(14)</v>
      </c>
    </row>
    <row r="218" spans="1:9" x14ac:dyDescent="0.3">
      <c r="A218">
        <v>7</v>
      </c>
      <c r="B218" t="str" cm="1">
        <f t="array" ref="B218">GetValue("Eng",A218,"Name")</f>
        <v>SQL Anywhere</v>
      </c>
      <c r="C218">
        <f t="shared" si="6"/>
        <v>19</v>
      </c>
      <c r="D218" t="str" cm="1">
        <f t="array" ref="D218">GetValue("Dmn",C218,"Name")</f>
        <v>RAIZ/CPF/CNPJ</v>
      </c>
      <c r="E218" cm="1">
        <f t="array" ref="E218">GetValue("Dmn",C218,"TypeId")</f>
        <v>20</v>
      </c>
      <c r="F218" t="str" cm="1">
        <f t="array" ref="F218">GetValue("EngTyp",A218&amp;";"&amp;E218,"Name")</f>
        <v>VARCHAR</v>
      </c>
      <c r="G218" cm="1">
        <f t="array" ref="G218">GetValue("Dmn",C218,"Length")</f>
        <v>14</v>
      </c>
      <c r="H218" t="str" cm="1">
        <f t="array" ref="H218">GetValue("Dmn",C218,"Decimals")</f>
        <v/>
      </c>
      <c r="I218" t="str" cm="1">
        <f t="array" ref="I218">GetDataType(F218,G218,H218)</f>
        <v>VARCHAR(14)</v>
      </c>
    </row>
    <row r="219" spans="1:9" x14ac:dyDescent="0.3">
      <c r="A219">
        <v>7</v>
      </c>
      <c r="B219" t="str" cm="1">
        <f t="array" ref="B219">GetValue("Eng",A219,"Name")</f>
        <v>SQL Anywhere</v>
      </c>
      <c r="C219">
        <f t="shared" si="6"/>
        <v>20</v>
      </c>
      <c r="D219" t="str" cm="1">
        <f t="array" ref="D219">GetValue("Dmn",C219,"Name")</f>
        <v>CAEPF</v>
      </c>
      <c r="E219" cm="1">
        <f t="array" ref="E219">GetValue("Dmn",C219,"TypeId")</f>
        <v>20</v>
      </c>
      <c r="F219" t="str" cm="1">
        <f t="array" ref="F219">GetValue("EngTyp",A219&amp;";"&amp;E219,"Name")</f>
        <v>VARCHAR</v>
      </c>
      <c r="G219" cm="1">
        <f t="array" ref="G219">GetValue("Dmn",C219,"Length")</f>
        <v>14</v>
      </c>
      <c r="H219" t="str" cm="1">
        <f t="array" ref="H219">GetValue("Dmn",C219,"Decimals")</f>
        <v/>
      </c>
      <c r="I219" t="str" cm="1">
        <f t="array" ref="I219">GetDataType(F219,G219,H219)</f>
        <v>VARCHAR(14)</v>
      </c>
    </row>
    <row r="220" spans="1:9" x14ac:dyDescent="0.3">
      <c r="A220">
        <v>7</v>
      </c>
      <c r="B220" t="str" cm="1">
        <f t="array" ref="B220">GetValue("Eng",A220,"Name")</f>
        <v>SQL Anywhere</v>
      </c>
      <c r="C220">
        <f t="shared" si="6"/>
        <v>21</v>
      </c>
      <c r="D220" t="str" cm="1">
        <f t="array" ref="D220">GetValue("Dmn",C220,"Name")</f>
        <v>CREDIT CARD</v>
      </c>
      <c r="E220" cm="1">
        <f t="array" ref="E220">GetValue("Dmn",C220,"TypeId")</f>
        <v>20</v>
      </c>
      <c r="F220" t="str" cm="1">
        <f t="array" ref="F220">GetValue("EngTyp",A220&amp;";"&amp;E220,"Name")</f>
        <v>VARCHAR</v>
      </c>
      <c r="G220" cm="1">
        <f t="array" ref="G220">GetValue("Dmn",C220,"Length")</f>
        <v>16</v>
      </c>
      <c r="H220" t="str" cm="1">
        <f t="array" ref="H220">GetValue("Dmn",C220,"Decimals")</f>
        <v/>
      </c>
      <c r="I220" t="str" cm="1">
        <f t="array" ref="I220">GetDataType(F220,G220,H220)</f>
        <v>VARCHAR(16)</v>
      </c>
    </row>
    <row r="221" spans="1:9" x14ac:dyDescent="0.3">
      <c r="A221">
        <v>7</v>
      </c>
      <c r="B221" t="str" cm="1">
        <f t="array" ref="B221">GetValue("Eng",A221,"Name")</f>
        <v>SQL Anywhere</v>
      </c>
      <c r="C221">
        <f t="shared" si="6"/>
        <v>22</v>
      </c>
      <c r="D221" t="str" cm="1">
        <f t="array" ref="D221">GetValue("Dmn",C221,"Name")</f>
        <v>RENAVAM</v>
      </c>
      <c r="E221" cm="1">
        <f t="array" ref="E221">GetValue("Dmn",C221,"TypeId")</f>
        <v>20</v>
      </c>
      <c r="F221" t="str" cm="1">
        <f t="array" ref="F221">GetValue("EngTyp",A221&amp;";"&amp;E221,"Name")</f>
        <v>VARCHAR</v>
      </c>
      <c r="G221" cm="1">
        <f t="array" ref="G221">GetValue("Dmn",C221,"Length")</f>
        <v>11</v>
      </c>
      <c r="H221" t="str" cm="1">
        <f t="array" ref="H221">GetValue("Dmn",C221,"Decimals")</f>
        <v/>
      </c>
      <c r="I221" t="str" cm="1">
        <f t="array" ref="I221">GetDataType(F221,G221,H221)</f>
        <v>VARCHAR(11)</v>
      </c>
    </row>
    <row r="222" spans="1:9" x14ac:dyDescent="0.3">
      <c r="A222">
        <v>7</v>
      </c>
      <c r="B222" t="str" cm="1">
        <f t="array" ref="B222">GetValue("Eng",A222,"Name")</f>
        <v>SQL Anywhere</v>
      </c>
      <c r="C222">
        <f t="shared" si="6"/>
        <v>23</v>
      </c>
      <c r="D222" t="str" cm="1">
        <f t="array" ref="D222">GetValue("Dmn",C222,"Name")</f>
        <v>EAN-8</v>
      </c>
      <c r="E222" cm="1">
        <f t="array" ref="E222">GetValue("Dmn",C222,"TypeId")</f>
        <v>20</v>
      </c>
      <c r="F222" t="str" cm="1">
        <f t="array" ref="F222">GetValue("EngTyp",A222&amp;";"&amp;E222,"Name")</f>
        <v>VARCHAR</v>
      </c>
      <c r="G222" cm="1">
        <f t="array" ref="G222">GetValue("Dmn",C222,"Length")</f>
        <v>8</v>
      </c>
      <c r="H222" t="str" cm="1">
        <f t="array" ref="H222">GetValue("Dmn",C222,"Decimals")</f>
        <v/>
      </c>
      <c r="I222" t="str" cm="1">
        <f t="array" ref="I222">GetDataType(F222,G222,H222)</f>
        <v>VARCHAR(8)</v>
      </c>
    </row>
    <row r="223" spans="1:9" x14ac:dyDescent="0.3">
      <c r="A223">
        <v>7</v>
      </c>
      <c r="B223" t="str" cm="1">
        <f t="array" ref="B223">GetValue("Eng",A223,"Name")</f>
        <v>SQL Anywhere</v>
      </c>
      <c r="C223">
        <f t="shared" si="6"/>
        <v>24</v>
      </c>
      <c r="D223" t="str" cm="1">
        <f t="array" ref="D223">GetValue("Dmn",C223,"Name")</f>
        <v>EAN-13</v>
      </c>
      <c r="E223" cm="1">
        <f t="array" ref="E223">GetValue("Dmn",C223,"TypeId")</f>
        <v>20</v>
      </c>
      <c r="F223" t="str" cm="1">
        <f t="array" ref="F223">GetValue("EngTyp",A223&amp;";"&amp;E223,"Name")</f>
        <v>VARCHAR</v>
      </c>
      <c r="G223" cm="1">
        <f t="array" ref="G223">GetValue("Dmn",C223,"Length")</f>
        <v>13</v>
      </c>
      <c r="H223" t="str" cm="1">
        <f t="array" ref="H223">GetValue("Dmn",C223,"Decimals")</f>
        <v/>
      </c>
      <c r="I223" t="str" cm="1">
        <f t="array" ref="I223">GetDataType(F223,G223,H223)</f>
        <v>VARCHAR(13)</v>
      </c>
    </row>
    <row r="224" spans="1:9" x14ac:dyDescent="0.3">
      <c r="A224">
        <v>7</v>
      </c>
      <c r="B224" t="str" cm="1">
        <f t="array" ref="B224">GetValue("Eng",A224,"Name")</f>
        <v>SQL Anywhere</v>
      </c>
      <c r="C224">
        <f t="shared" si="6"/>
        <v>25</v>
      </c>
      <c r="D224" t="str" cm="1">
        <f t="array" ref="D224">GetValue("Dmn",C224,"Name")</f>
        <v>ISBN-10</v>
      </c>
      <c r="E224" cm="1">
        <f t="array" ref="E224">GetValue("Dmn",C224,"TypeId")</f>
        <v>20</v>
      </c>
      <c r="F224" t="str" cm="1">
        <f t="array" ref="F224">GetValue("EngTyp",A224&amp;";"&amp;E224,"Name")</f>
        <v>VARCHAR</v>
      </c>
      <c r="G224" cm="1">
        <f t="array" ref="G224">GetValue("Dmn",C224,"Length")</f>
        <v>10</v>
      </c>
      <c r="H224" t="str" cm="1">
        <f t="array" ref="H224">GetValue("Dmn",C224,"Decimals")</f>
        <v/>
      </c>
      <c r="I224" t="str" cm="1">
        <f t="array" ref="I224">GetDataType(F224,G224,H224)</f>
        <v>VARCHAR(10)</v>
      </c>
    </row>
    <row r="225" spans="1:9" x14ac:dyDescent="0.3">
      <c r="A225">
        <v>7</v>
      </c>
      <c r="B225" t="str" cm="1">
        <f t="array" ref="B225">GetValue("Eng",A225,"Name")</f>
        <v>SQL Anywhere</v>
      </c>
      <c r="C225">
        <f t="shared" si="6"/>
        <v>26</v>
      </c>
      <c r="D225" t="str" cm="1">
        <f t="array" ref="D225">GetValue("Dmn",C225,"Name")</f>
        <v>ISBN-13</v>
      </c>
      <c r="E225" cm="1">
        <f t="array" ref="E225">GetValue("Dmn",C225,"TypeId")</f>
        <v>20</v>
      </c>
      <c r="F225" t="str" cm="1">
        <f t="array" ref="F225">GetValue("EngTyp",A225&amp;";"&amp;E225,"Name")</f>
        <v>VARCHAR</v>
      </c>
      <c r="G225" cm="1">
        <f t="array" ref="G225">GetValue("Dmn",C225,"Length")</f>
        <v>13</v>
      </c>
      <c r="H225" t="str" cm="1">
        <f t="array" ref="H225">GetValue("Dmn",C225,"Decimals")</f>
        <v/>
      </c>
      <c r="I225" t="str" cm="1">
        <f t="array" ref="I225">GetDataType(F225,G225,H225)</f>
        <v>VARCHAR(13)</v>
      </c>
    </row>
    <row r="226" spans="1:9" x14ac:dyDescent="0.3">
      <c r="A226">
        <v>7</v>
      </c>
      <c r="B226" t="str" cm="1">
        <f t="array" ref="B226">GetValue("Eng",A226,"Name")</f>
        <v>SQL Anywhere</v>
      </c>
      <c r="C226">
        <f t="shared" si="6"/>
        <v>27</v>
      </c>
      <c r="D226" t="str" cm="1">
        <f t="array" ref="D226">GetValue("Dmn",C226,"Name")</f>
        <v>ISSN</v>
      </c>
      <c r="E226" cm="1">
        <f t="array" ref="E226">GetValue("Dmn",C226,"TypeId")</f>
        <v>20</v>
      </c>
      <c r="F226" t="str" cm="1">
        <f t="array" ref="F226">GetValue("EngTyp",A226&amp;";"&amp;E226,"Name")</f>
        <v>VARCHAR</v>
      </c>
      <c r="G226" cm="1">
        <f t="array" ref="G226">GetValue("Dmn",C226,"Length")</f>
        <v>8</v>
      </c>
      <c r="H226" t="str" cm="1">
        <f t="array" ref="H226">GetValue("Dmn",C226,"Decimals")</f>
        <v/>
      </c>
      <c r="I226" t="str" cm="1">
        <f t="array" ref="I226">GetDataType(F226,G226,H226)</f>
        <v>VARCHAR(8)</v>
      </c>
    </row>
    <row r="227" spans="1:9" x14ac:dyDescent="0.3">
      <c r="A227">
        <v>7</v>
      </c>
      <c r="B227" t="str" cm="1">
        <f t="array" ref="B227">GetValue("Eng",A227,"Name")</f>
        <v>SQL Anywhere</v>
      </c>
      <c r="C227">
        <f t="shared" si="6"/>
        <v>28</v>
      </c>
      <c r="D227" t="str" cm="1">
        <f t="array" ref="D227">GetValue("Dmn",C227,"Name")</f>
        <v>JS</v>
      </c>
      <c r="E227" cm="1">
        <f t="array" ref="E227">GetValue("Dmn",C227,"TypeId")</f>
        <v>21</v>
      </c>
      <c r="F227" t="str" cm="1">
        <f t="array" ref="F227">GetValue("EngTyp",A227&amp;";"&amp;E227,"Name")</f>
        <v>LONG VARCHAR</v>
      </c>
      <c r="G227" t="str" cm="1">
        <f t="array" ref="G227">GetValue("Dmn",C227,"Length")</f>
        <v/>
      </c>
      <c r="H227" t="str" cm="1">
        <f t="array" ref="H227">GetValue("Dmn",C227,"Decimals")</f>
        <v/>
      </c>
      <c r="I227" t="str" cm="1">
        <f t="array" ref="I227">GetDataType(F227,G227,H227)</f>
        <v>LONG VARCHAR</v>
      </c>
    </row>
    <row r="228" spans="1:9" x14ac:dyDescent="0.3">
      <c r="A228">
        <v>7</v>
      </c>
      <c r="B228" t="str" cm="1">
        <f t="array" ref="B228">GetValue("Eng",A228,"Name")</f>
        <v>SQL Anywhere</v>
      </c>
      <c r="C228">
        <f t="shared" si="6"/>
        <v>29</v>
      </c>
      <c r="D228" t="str" cm="1">
        <f t="array" ref="D228">GetValue("Dmn",C228,"Name")</f>
        <v>SQL</v>
      </c>
      <c r="E228" cm="1">
        <f t="array" ref="E228">GetValue("Dmn",C228,"TypeId")</f>
        <v>21</v>
      </c>
      <c r="F228" t="str" cm="1">
        <f t="array" ref="F228">GetValue("EngTyp",A228&amp;";"&amp;E228,"Name")</f>
        <v>LONG VARCHAR</v>
      </c>
      <c r="G228" t="str" cm="1">
        <f t="array" ref="G228">GetValue("Dmn",C228,"Length")</f>
        <v/>
      </c>
      <c r="H228" t="str" cm="1">
        <f t="array" ref="H228">GetValue("Dmn",C228,"Decimals")</f>
        <v/>
      </c>
      <c r="I228" t="str" cm="1">
        <f t="array" ref="I228">GetDataType(F228,G228,H228)</f>
        <v>LONG VARCHAR</v>
      </c>
    </row>
    <row r="229" spans="1:9" x14ac:dyDescent="0.3">
      <c r="A229">
        <v>7</v>
      </c>
      <c r="B229" t="str" cm="1">
        <f t="array" ref="B229">GetValue("Eng",A229,"Name")</f>
        <v>SQL Anywhere</v>
      </c>
      <c r="C229">
        <f t="shared" si="6"/>
        <v>30</v>
      </c>
      <c r="D229" t="str" cm="1">
        <f t="array" ref="D229">GetValue("Dmn",C229,"Name")</f>
        <v>Nvarchar(MAX)</v>
      </c>
      <c r="E229" cm="1">
        <f t="array" ref="E229">GetValue("Dmn",C229,"TypeId")</f>
        <v>21</v>
      </c>
      <c r="F229" t="str" cm="1">
        <f t="array" ref="F229">GetValue("EngTyp",A229&amp;";"&amp;E229,"Name")</f>
        <v>LONG VARCHAR</v>
      </c>
      <c r="G229" t="str" cm="1">
        <f t="array" ref="G229">GetValue("Dmn",C229,"Length")</f>
        <v/>
      </c>
      <c r="H229" t="str" cm="1">
        <f t="array" ref="H229">GetValue("Dmn",C229,"Decimals")</f>
        <v/>
      </c>
      <c r="I229" t="str" cm="1">
        <f t="array" ref="I229">GetDataType(F229,G229,H229)</f>
        <v>LONG VARCHAR</v>
      </c>
    </row>
    <row r="230" spans="1:9" x14ac:dyDescent="0.3">
      <c r="A230">
        <v>7</v>
      </c>
      <c r="B230" t="str" cm="1">
        <f t="array" ref="B230">GetValue("Eng",A230,"Name")</f>
        <v>SQL Anywhere</v>
      </c>
      <c r="C230">
        <f t="shared" si="6"/>
        <v>31</v>
      </c>
      <c r="D230" t="str" cm="1">
        <f t="array" ref="D230">GetValue("Dmn",C230,"Name")</f>
        <v>JSON</v>
      </c>
      <c r="E230" cm="1">
        <f t="array" ref="E230">GetValue("Dmn",C230,"TypeId")</f>
        <v>21</v>
      </c>
      <c r="F230" t="str" cm="1">
        <f t="array" ref="F230">GetValue("EngTyp",A230&amp;";"&amp;E230,"Name")</f>
        <v>LONG VARCHAR</v>
      </c>
      <c r="G230" t="str" cm="1">
        <f t="array" ref="G230">GetValue("Dmn",C230,"Length")</f>
        <v/>
      </c>
      <c r="H230" t="str" cm="1">
        <f t="array" ref="H230">GetValue("Dmn",C230,"Decimals")</f>
        <v/>
      </c>
      <c r="I230" t="str" cm="1">
        <f t="array" ref="I230">GetDataType(F230,G230,H230)</f>
        <v>LONG VARCHAR</v>
      </c>
    </row>
    <row r="231" spans="1:9" x14ac:dyDescent="0.3">
      <c r="A231">
        <v>7</v>
      </c>
      <c r="B231" t="str" cm="1">
        <f t="array" ref="B231">GetValue("Eng",A231,"Name")</f>
        <v>SQL Anywhere</v>
      </c>
      <c r="C231">
        <f t="shared" si="6"/>
        <v>32</v>
      </c>
      <c r="D231" t="str" cm="1">
        <f t="array" ref="D231">GetValue("Dmn",C231,"Name")</f>
        <v>Operator</v>
      </c>
      <c r="E231" cm="1">
        <f t="array" ref="E231">GetValue("Dmn",C231,"TypeId")</f>
        <v>4</v>
      </c>
      <c r="F231" t="str" cm="1">
        <f t="array" ref="F231">GetValue("EngTyp",A231&amp;";"&amp;E231,"Name")</f>
        <v>CHAR</v>
      </c>
      <c r="G231" cm="1">
        <f t="array" ref="G231">GetValue("Dmn",C231,"Length")</f>
        <v>1</v>
      </c>
      <c r="H231" t="str" cm="1">
        <f t="array" ref="H231">GetValue("Dmn",C231,"Decimals")</f>
        <v/>
      </c>
      <c r="I231" t="str" cm="1">
        <f t="array" ref="I231">GetDataType(F231,G231,H231)</f>
        <v>CHAR(1)</v>
      </c>
    </row>
    <row r="232" spans="1:9" x14ac:dyDescent="0.3">
      <c r="A232">
        <v>7</v>
      </c>
      <c r="B232" t="str" cm="1">
        <f t="array" ref="B232">GetValue("Eng",A232,"Name")</f>
        <v>SQL Anywhere</v>
      </c>
      <c r="C232">
        <f t="shared" si="6"/>
        <v>33</v>
      </c>
      <c r="D232" t="str" cm="1">
        <f t="array" ref="D232">GetValue("Dmn",C232,"Name")</f>
        <v>Money</v>
      </c>
      <c r="E232" cm="1">
        <f t="array" ref="E232">GetValue("Dmn",C232,"TypeId")</f>
        <v>9</v>
      </c>
      <c r="F232" t="str" cm="1">
        <f t="array" ref="F232">GetValue("EngTyp",A232&amp;";"&amp;E232,"Name")</f>
        <v>DECIMAL</v>
      </c>
      <c r="G232" cm="1">
        <f t="array" ref="G232">GetValue("Dmn",C232,"Length")</f>
        <v>19</v>
      </c>
      <c r="H232" cm="1">
        <f t="array" ref="H232">GetValue("Dmn",C232,"Decimals")</f>
        <v>2</v>
      </c>
      <c r="I232" t="str" cm="1">
        <f t="array" ref="I232">GetDataType(F232,G232,H232)</f>
        <v>DECIMAL(19, 2)</v>
      </c>
    </row>
    <row r="233" spans="1:9" x14ac:dyDescent="0.3">
      <c r="A233">
        <v>8</v>
      </c>
      <c r="B233" t="str" cm="1">
        <f t="array" ref="B233">GetValue("Eng",A233,"Name")</f>
        <v>Informix</v>
      </c>
      <c r="C233">
        <v>1</v>
      </c>
      <c r="D233" t="str" cm="1">
        <f t="array" ref="D233">GetValue("Dmn",C233,"Name")</f>
        <v>BigInteger</v>
      </c>
      <c r="E233" cm="1">
        <f t="array" ref="E233">GetValue("Dmn",C233,"TypeId")</f>
        <v>1</v>
      </c>
      <c r="F233" t="str" cm="1">
        <f t="array" ref="F233">GetValue("EngTyp",A233&amp;";"&amp;E233,"Name")</f>
        <v>INT8</v>
      </c>
      <c r="G233" t="str" cm="1">
        <f t="array" ref="G233">GetValue("Dmn",C233,"Length")</f>
        <v/>
      </c>
      <c r="H233" t="str" cm="1">
        <f t="array" ref="H233">GetValue("Dmn",C233,"Decimals")</f>
        <v/>
      </c>
      <c r="I233" t="str" cm="1">
        <f t="array" ref="I233">GetDataType(F233,G233,H233)</f>
        <v>INT8</v>
      </c>
    </row>
    <row r="234" spans="1:9" x14ac:dyDescent="0.3">
      <c r="A234">
        <v>8</v>
      </c>
      <c r="B234" t="str" cm="1">
        <f t="array" ref="B234">GetValue("Eng",A234,"Name")</f>
        <v>Informix</v>
      </c>
      <c r="C234">
        <f>C233+1</f>
        <v>2</v>
      </c>
      <c r="D234" t="str" cm="1">
        <f t="array" ref="D234">GetValue("Dmn",C234,"Name")</f>
        <v>Integer</v>
      </c>
      <c r="E234" cm="1">
        <f t="array" ref="E234">GetValue("Dmn",C234,"TypeId")</f>
        <v>15</v>
      </c>
      <c r="F234" t="str" cm="1">
        <f t="array" ref="F234">GetValue("EngTyp",A234&amp;";"&amp;E234,"Name")</f>
        <v>INTEGER</v>
      </c>
      <c r="G234" t="str" cm="1">
        <f t="array" ref="G234">GetValue("Dmn",C234,"Length")</f>
        <v/>
      </c>
      <c r="H234" t="str" cm="1">
        <f t="array" ref="H234">GetValue("Dmn",C234,"Decimals")</f>
        <v/>
      </c>
      <c r="I234" t="str" cm="1">
        <f t="array" ref="I234">GetDataType(F234,G234,H234)</f>
        <v>INTEGER</v>
      </c>
    </row>
    <row r="235" spans="1:9" x14ac:dyDescent="0.3">
      <c r="A235">
        <v>8</v>
      </c>
      <c r="B235" t="str" cm="1">
        <f t="array" ref="B235">GetValue("Eng",A235,"Name")</f>
        <v>Informix</v>
      </c>
      <c r="C235">
        <f t="shared" ref="C235:C265" si="7">C234+1</f>
        <v>3</v>
      </c>
      <c r="D235" t="str" cm="1">
        <f t="array" ref="D235">GetValue("Dmn",C235,"Name")</f>
        <v>ShortInteger</v>
      </c>
      <c r="E235" cm="1">
        <f t="array" ref="E235">GetValue("Dmn",C235,"TypeId")</f>
        <v>15</v>
      </c>
      <c r="F235" t="str" cm="1">
        <f t="array" ref="F235">GetValue("EngTyp",A235&amp;";"&amp;E235,"Name")</f>
        <v>INTEGER</v>
      </c>
      <c r="G235" t="str" cm="1">
        <f t="array" ref="G235">GetValue("Dmn",C235,"Length")</f>
        <v/>
      </c>
      <c r="H235" t="str" cm="1">
        <f t="array" ref="H235">GetValue("Dmn",C235,"Decimals")</f>
        <v/>
      </c>
      <c r="I235" t="str" cm="1">
        <f t="array" ref="I235">GetDataType(F235,G235,H235)</f>
        <v>INTEGER</v>
      </c>
    </row>
    <row r="236" spans="1:9" x14ac:dyDescent="0.3">
      <c r="A236">
        <v>8</v>
      </c>
      <c r="B236" t="str" cm="1">
        <f t="array" ref="B236">GetValue("Eng",A236,"Name")</f>
        <v>Informix</v>
      </c>
      <c r="C236">
        <f t="shared" si="7"/>
        <v>4</v>
      </c>
      <c r="D236" t="str" cm="1">
        <f t="array" ref="D236">GetValue("Dmn",C236,"Name")</f>
        <v>SmallInteger</v>
      </c>
      <c r="E236" cm="1">
        <f t="array" ref="E236">GetValue("Dmn",C236,"TypeId")</f>
        <v>24</v>
      </c>
      <c r="F236" t="str" cm="1">
        <f t="array" ref="F236">GetValue("EngTyp",A236&amp;";"&amp;E236,"Name")</f>
        <v>SMALLINT</v>
      </c>
      <c r="G236" t="str" cm="1">
        <f t="array" ref="G236">GetValue("Dmn",C236,"Length")</f>
        <v/>
      </c>
      <c r="H236" t="str" cm="1">
        <f t="array" ref="H236">GetValue("Dmn",C236,"Decimals")</f>
        <v/>
      </c>
      <c r="I236" t="str" cm="1">
        <f t="array" ref="I236">GetDataType(F236,G236,H236)</f>
        <v>SMALLINT</v>
      </c>
    </row>
    <row r="237" spans="1:9" x14ac:dyDescent="0.3">
      <c r="A237">
        <v>8</v>
      </c>
      <c r="B237" t="str" cm="1">
        <f t="array" ref="B237">GetValue("Eng",A237,"Name")</f>
        <v>Informix</v>
      </c>
      <c r="C237">
        <f t="shared" si="7"/>
        <v>5</v>
      </c>
      <c r="D237" t="str" cm="1">
        <f t="array" ref="D237">GetValue("Dmn",C237,"Name")</f>
        <v>TinyInteger</v>
      </c>
      <c r="E237" cm="1">
        <f t="array" ref="E237">GetValue("Dmn",C237,"TypeId")</f>
        <v>31</v>
      </c>
      <c r="F237" t="str" cm="1">
        <f t="array" ref="F237">GetValue("EngTyp",A237&amp;";"&amp;E237,"Name")</f>
        <v>SMALLINT</v>
      </c>
      <c r="G237" t="str" cm="1">
        <f t="array" ref="G237">GetValue("Dmn",C237,"Length")</f>
        <v/>
      </c>
      <c r="H237" t="str" cm="1">
        <f t="array" ref="H237">GetValue("Dmn",C237,"Decimals")</f>
        <v/>
      </c>
      <c r="I237" t="str" cm="1">
        <f t="array" ref="I237">GetDataType(F237,G237,H237)</f>
        <v>SMALLINT</v>
      </c>
    </row>
    <row r="238" spans="1:9" x14ac:dyDescent="0.3">
      <c r="A238">
        <v>8</v>
      </c>
      <c r="B238" t="str" cm="1">
        <f t="array" ref="B238">GetValue("Eng",A238,"Name")</f>
        <v>Informix</v>
      </c>
      <c r="C238">
        <f t="shared" si="7"/>
        <v>6</v>
      </c>
      <c r="D238" t="str" cm="1">
        <f t="array" ref="D238">GetValue("Dmn",C238,"Name")</f>
        <v>Boolean</v>
      </c>
      <c r="E238" cm="1">
        <f t="array" ref="E238">GetValue("Dmn",C238,"TypeId")</f>
        <v>3</v>
      </c>
      <c r="F238" t="str" cm="1">
        <f t="array" ref="F238">GetValue("EngTyp",A238&amp;";"&amp;E238,"Name")</f>
        <v>BOOLEAN</v>
      </c>
      <c r="G238" t="str" cm="1">
        <f t="array" ref="G238">GetValue("Dmn",C238,"Length")</f>
        <v/>
      </c>
      <c r="H238" t="str" cm="1">
        <f t="array" ref="H238">GetValue("Dmn",C238,"Decimals")</f>
        <v/>
      </c>
      <c r="I238" t="str" cm="1">
        <f t="array" ref="I238">GetDataType(F238,G238,H238)</f>
        <v>BOOLEAN</v>
      </c>
    </row>
    <row r="239" spans="1:9" x14ac:dyDescent="0.3">
      <c r="A239">
        <v>8</v>
      </c>
      <c r="B239" t="str" cm="1">
        <f t="array" ref="B239">GetValue("Eng",A239,"Name")</f>
        <v>Informix</v>
      </c>
      <c r="C239">
        <f t="shared" si="7"/>
        <v>7</v>
      </c>
      <c r="D239" t="str" cm="1">
        <f t="array" ref="D239">GetValue("Dmn",C239,"Name")</f>
        <v>DateTime</v>
      </c>
      <c r="E239" cm="1">
        <f t="array" ref="E239">GetValue("Dmn",C239,"TypeId")</f>
        <v>6</v>
      </c>
      <c r="F239" t="str" cm="1">
        <f t="array" ref="F239">GetValue("EngTyp",A239&amp;";"&amp;E239,"Name")</f>
        <v>DATETIME YEAR TO SECOND</v>
      </c>
      <c r="G239" t="str" cm="1">
        <f t="array" ref="G239">GetValue("Dmn",C239,"Length")</f>
        <v/>
      </c>
      <c r="H239" t="str" cm="1">
        <f t="array" ref="H239">GetValue("Dmn",C239,"Decimals")</f>
        <v/>
      </c>
      <c r="I239" t="str" cm="1">
        <f t="array" ref="I239">GetDataType(F239,G239,H239)</f>
        <v>DATETIME YEAR TO SECOND</v>
      </c>
    </row>
    <row r="240" spans="1:9" x14ac:dyDescent="0.3">
      <c r="A240">
        <v>8</v>
      </c>
      <c r="B240" t="str" cm="1">
        <f t="array" ref="B240">GetValue("Eng",A240,"Name")</f>
        <v>Informix</v>
      </c>
      <c r="C240">
        <f t="shared" si="7"/>
        <v>8</v>
      </c>
      <c r="D240" t="str" cm="1">
        <f t="array" ref="D240">GetValue("Dmn",C240,"Name")</f>
        <v>Nvarchar(15)</v>
      </c>
      <c r="E240" cm="1">
        <f t="array" ref="E240">GetValue("Dmn",C240,"TypeId")</f>
        <v>20</v>
      </c>
      <c r="F240" t="str" cm="1">
        <f t="array" ref="F240">GetValue("EngTyp",A240&amp;";"&amp;E240,"Name")</f>
        <v>NVARCHAR</v>
      </c>
      <c r="G240" cm="1">
        <f t="array" ref="G240">GetValue("Dmn",C240,"Length")</f>
        <v>15</v>
      </c>
      <c r="H240" t="str" cm="1">
        <f t="array" ref="H240">GetValue("Dmn",C240,"Decimals")</f>
        <v/>
      </c>
      <c r="I240" t="str" cm="1">
        <f t="array" ref="I240">GetDataType(F240,G240,H240)</f>
        <v>NVARCHAR(15)</v>
      </c>
    </row>
    <row r="241" spans="1:9" x14ac:dyDescent="0.3">
      <c r="A241">
        <v>8</v>
      </c>
      <c r="B241" t="str" cm="1">
        <f t="array" ref="B241">GetValue("Eng",A241,"Name")</f>
        <v>Informix</v>
      </c>
      <c r="C241">
        <f t="shared" si="7"/>
        <v>9</v>
      </c>
      <c r="D241" t="str" cm="1">
        <f t="array" ref="D241">GetValue("Dmn",C241,"Name")</f>
        <v>Nvarchar(20)</v>
      </c>
      <c r="E241" cm="1">
        <f t="array" ref="E241">GetValue("Dmn",C241,"TypeId")</f>
        <v>20</v>
      </c>
      <c r="F241" t="str" cm="1">
        <f t="array" ref="F241">GetValue("EngTyp",A241&amp;";"&amp;E241,"Name")</f>
        <v>NVARCHAR</v>
      </c>
      <c r="G241" cm="1">
        <f t="array" ref="G241">GetValue("Dmn",C241,"Length")</f>
        <v>20</v>
      </c>
      <c r="H241" t="str" cm="1">
        <f t="array" ref="H241">GetValue("Dmn",C241,"Decimals")</f>
        <v/>
      </c>
      <c r="I241" t="str" cm="1">
        <f t="array" ref="I241">GetDataType(F241,G241,H241)</f>
        <v>NVARCHAR(20)</v>
      </c>
    </row>
    <row r="242" spans="1:9" x14ac:dyDescent="0.3">
      <c r="A242">
        <v>8</v>
      </c>
      <c r="B242" t="str" cm="1">
        <f t="array" ref="B242">GetValue("Eng",A242,"Name")</f>
        <v>Informix</v>
      </c>
      <c r="C242">
        <f t="shared" si="7"/>
        <v>10</v>
      </c>
      <c r="D242" t="str" cm="1">
        <f t="array" ref="D242">GetValue("Dmn",C242,"Name")</f>
        <v>Nvarchar(25)</v>
      </c>
      <c r="E242" cm="1">
        <f t="array" ref="E242">GetValue("Dmn",C242,"TypeId")</f>
        <v>20</v>
      </c>
      <c r="F242" t="str" cm="1">
        <f t="array" ref="F242">GetValue("EngTyp",A242&amp;";"&amp;E242,"Name")</f>
        <v>NVARCHAR</v>
      </c>
      <c r="G242" cm="1">
        <f t="array" ref="G242">GetValue("Dmn",C242,"Length")</f>
        <v>25</v>
      </c>
      <c r="H242" t="str" cm="1">
        <f t="array" ref="H242">GetValue("Dmn",C242,"Decimals")</f>
        <v/>
      </c>
      <c r="I242" t="str" cm="1">
        <f t="array" ref="I242">GetDataType(F242,G242,H242)</f>
        <v>NVARCHAR(25)</v>
      </c>
    </row>
    <row r="243" spans="1:9" x14ac:dyDescent="0.3">
      <c r="A243">
        <v>8</v>
      </c>
      <c r="B243" t="str" cm="1">
        <f t="array" ref="B243">GetValue("Eng",A243,"Name")</f>
        <v>Informix</v>
      </c>
      <c r="C243">
        <f t="shared" si="7"/>
        <v>11</v>
      </c>
      <c r="D243" t="str" cm="1">
        <f t="array" ref="D243">GetValue("Dmn",C243,"Name")</f>
        <v>Nvarchar(50)</v>
      </c>
      <c r="E243" cm="1">
        <f t="array" ref="E243">GetValue("Dmn",C243,"TypeId")</f>
        <v>20</v>
      </c>
      <c r="F243" t="str" cm="1">
        <f t="array" ref="F243">GetValue("EngTyp",A243&amp;";"&amp;E243,"Name")</f>
        <v>NVARCHAR</v>
      </c>
      <c r="G243" cm="1">
        <f t="array" ref="G243">GetValue("Dmn",C243,"Length")</f>
        <v>50</v>
      </c>
      <c r="H243" t="str" cm="1">
        <f t="array" ref="H243">GetValue("Dmn",C243,"Decimals")</f>
        <v/>
      </c>
      <c r="I243" t="str" cm="1">
        <f t="array" ref="I243">GetDataType(F243,G243,H243)</f>
        <v>NVARCHAR(50)</v>
      </c>
    </row>
    <row r="244" spans="1:9" x14ac:dyDescent="0.3">
      <c r="A244">
        <v>8</v>
      </c>
      <c r="B244" t="str" cm="1">
        <f t="array" ref="B244">GetValue("Eng",A244,"Name")</f>
        <v>Informix</v>
      </c>
      <c r="C244">
        <f t="shared" si="7"/>
        <v>12</v>
      </c>
      <c r="D244" t="str" cm="1">
        <f t="array" ref="D244">GetValue("Dmn",C244,"Name")</f>
        <v>Nvarchar(256)</v>
      </c>
      <c r="E244" cm="1">
        <f t="array" ref="E244">GetValue("Dmn",C244,"TypeId")</f>
        <v>20</v>
      </c>
      <c r="F244" t="str" cm="1">
        <f t="array" ref="F244">GetValue("EngTyp",A244&amp;";"&amp;E244,"Name")</f>
        <v>NVARCHAR</v>
      </c>
      <c r="G244" cm="1">
        <f t="array" ref="G244">GetValue("Dmn",C244,"Length")</f>
        <v>256</v>
      </c>
      <c r="H244" t="str" cm="1">
        <f t="array" ref="H244">GetValue("Dmn",C244,"Decimals")</f>
        <v/>
      </c>
      <c r="I244" t="str" cm="1">
        <f t="array" ref="I244">GetDataType(F244,G244,H244)</f>
        <v>NVARCHAR(256)</v>
      </c>
    </row>
    <row r="245" spans="1:9" x14ac:dyDescent="0.3">
      <c r="A245">
        <v>8</v>
      </c>
      <c r="B245" t="str" cm="1">
        <f t="array" ref="B245">GetValue("Eng",A245,"Name")</f>
        <v>Informix</v>
      </c>
      <c r="C245">
        <f t="shared" si="7"/>
        <v>13</v>
      </c>
      <c r="D245" t="str" cm="1">
        <f t="array" ref="D245">GetValue("Dmn",C245,"Name")</f>
        <v>Variant</v>
      </c>
      <c r="E245" cm="1">
        <f t="array" ref="E245">GetValue("Dmn",C245,"TypeId")</f>
        <v>20</v>
      </c>
      <c r="F245" t="str" cm="1">
        <f t="array" ref="F245">GetValue("EngTyp",A245&amp;";"&amp;E245,"Name")</f>
        <v>NVARCHAR</v>
      </c>
      <c r="G245" t="str" cm="1">
        <f t="array" ref="G245">GetValue("Dmn",C245,"Length")</f>
        <v/>
      </c>
      <c r="H245" t="str" cm="1">
        <f t="array" ref="H245">GetValue("Dmn",C245,"Decimals")</f>
        <v/>
      </c>
      <c r="I245" t="str" cm="1">
        <f t="array" ref="I245">GetDataType(F245,G245,H245)</f>
        <v>NVARCHAR</v>
      </c>
    </row>
    <row r="246" spans="1:9" x14ac:dyDescent="0.3">
      <c r="A246">
        <v>8</v>
      </c>
      <c r="B246" t="str" cm="1">
        <f t="array" ref="B246">GetValue("Eng",A246,"Name")</f>
        <v>Informix</v>
      </c>
      <c r="C246">
        <f t="shared" si="7"/>
        <v>14</v>
      </c>
      <c r="D246" t="str" cm="1">
        <f t="array" ref="D246">GetValue("Dmn",C246,"Name")</f>
        <v>Codification</v>
      </c>
      <c r="E246" cm="1">
        <f t="array" ref="E246">GetValue("Dmn",C246,"TypeId")</f>
        <v>20</v>
      </c>
      <c r="F246" t="str" cm="1">
        <f t="array" ref="F246">GetValue("EngTyp",A246&amp;";"&amp;E246,"Name")</f>
        <v>NVARCHAR</v>
      </c>
      <c r="G246" cm="1">
        <f t="array" ref="G246">GetValue("Dmn",C246,"Length")</f>
        <v>5</v>
      </c>
      <c r="H246" t="str" cm="1">
        <f t="array" ref="H246">GetValue("Dmn",C246,"Decimals")</f>
        <v/>
      </c>
      <c r="I246" t="str" cm="1">
        <f t="array" ref="I246">GetDataType(F246,G246,H246)</f>
        <v>NVARCHAR(5)</v>
      </c>
    </row>
    <row r="247" spans="1:9" x14ac:dyDescent="0.3">
      <c r="A247">
        <v>8</v>
      </c>
      <c r="B247" t="str" cm="1">
        <f t="array" ref="B247">GetValue("Eng",A247,"Name")</f>
        <v>Informix</v>
      </c>
      <c r="C247">
        <f t="shared" si="7"/>
        <v>15</v>
      </c>
      <c r="D247" t="str" cm="1">
        <f t="array" ref="D247">GetValue("Dmn",C247,"Name")</f>
        <v>Operation</v>
      </c>
      <c r="E247" cm="1">
        <f t="array" ref="E247">GetValue("Dmn",C247,"TypeId")</f>
        <v>20</v>
      </c>
      <c r="F247" t="str" cm="1">
        <f t="array" ref="F247">GetValue("EngTyp",A247&amp;";"&amp;E247,"Name")</f>
        <v>NVARCHAR</v>
      </c>
      <c r="G247" cm="1">
        <f t="array" ref="G247">GetValue("Dmn",C247,"Length")</f>
        <v>15</v>
      </c>
      <c r="H247" t="str" cm="1">
        <f t="array" ref="H247">GetValue("Dmn",C247,"Decimals")</f>
        <v/>
      </c>
      <c r="I247" t="str" cm="1">
        <f t="array" ref="I247">GetDataType(F247,G247,H247)</f>
        <v>NVARCHAR(15)</v>
      </c>
    </row>
    <row r="248" spans="1:9" x14ac:dyDescent="0.3">
      <c r="A248">
        <v>8</v>
      </c>
      <c r="B248" t="str" cm="1">
        <f t="array" ref="B248">GetValue("Eng",A248,"Name")</f>
        <v>Informix</v>
      </c>
      <c r="C248">
        <f t="shared" si="7"/>
        <v>16</v>
      </c>
      <c r="D248" t="str" cm="1">
        <f t="array" ref="D248">GetValue("Dmn",C248,"Name")</f>
        <v>RAIZ CNPJ</v>
      </c>
      <c r="E248" cm="1">
        <f t="array" ref="E248">GetValue("Dmn",C248,"TypeId")</f>
        <v>20</v>
      </c>
      <c r="F248" t="str" cm="1">
        <f t="array" ref="F248">GetValue("EngTyp",A248&amp;";"&amp;E248,"Name")</f>
        <v>NVARCHAR</v>
      </c>
      <c r="G248" cm="1">
        <f t="array" ref="G248">GetValue("Dmn",C248,"Length")</f>
        <v>8</v>
      </c>
      <c r="H248" t="str" cm="1">
        <f t="array" ref="H248">GetValue("Dmn",C248,"Decimals")</f>
        <v/>
      </c>
      <c r="I248" t="str" cm="1">
        <f t="array" ref="I248">GetDataType(F248,G248,H248)</f>
        <v>NVARCHAR(8)</v>
      </c>
    </row>
    <row r="249" spans="1:9" x14ac:dyDescent="0.3">
      <c r="A249">
        <v>8</v>
      </c>
      <c r="B249" t="str" cm="1">
        <f t="array" ref="B249">GetValue("Eng",A249,"Name")</f>
        <v>Informix</v>
      </c>
      <c r="C249">
        <f t="shared" si="7"/>
        <v>17</v>
      </c>
      <c r="D249" t="str" cm="1">
        <f t="array" ref="D249">GetValue("Dmn",C249,"Name")</f>
        <v>CPF</v>
      </c>
      <c r="E249" cm="1">
        <f t="array" ref="E249">GetValue("Dmn",C249,"TypeId")</f>
        <v>20</v>
      </c>
      <c r="F249" t="str" cm="1">
        <f t="array" ref="F249">GetValue("EngTyp",A249&amp;";"&amp;E249,"Name")</f>
        <v>NVARCHAR</v>
      </c>
      <c r="G249" cm="1">
        <f t="array" ref="G249">GetValue("Dmn",C249,"Length")</f>
        <v>11</v>
      </c>
      <c r="H249" t="str" cm="1">
        <f t="array" ref="H249">GetValue("Dmn",C249,"Decimals")</f>
        <v/>
      </c>
      <c r="I249" t="str" cm="1">
        <f t="array" ref="I249">GetDataType(F249,G249,H249)</f>
        <v>NVARCHAR(11)</v>
      </c>
    </row>
    <row r="250" spans="1:9" x14ac:dyDescent="0.3">
      <c r="A250">
        <v>8</v>
      </c>
      <c r="B250" t="str" cm="1">
        <f t="array" ref="B250">GetValue("Eng",A250,"Name")</f>
        <v>Informix</v>
      </c>
      <c r="C250">
        <f t="shared" si="7"/>
        <v>18</v>
      </c>
      <c r="D250" t="str" cm="1">
        <f t="array" ref="D250">GetValue("Dmn",C250,"Name")</f>
        <v>CNPJ</v>
      </c>
      <c r="E250" cm="1">
        <f t="array" ref="E250">GetValue("Dmn",C250,"TypeId")</f>
        <v>20</v>
      </c>
      <c r="F250" t="str" cm="1">
        <f t="array" ref="F250">GetValue("EngTyp",A250&amp;";"&amp;E250,"Name")</f>
        <v>NVARCHAR</v>
      </c>
      <c r="G250" cm="1">
        <f t="array" ref="G250">GetValue("Dmn",C250,"Length")</f>
        <v>14</v>
      </c>
      <c r="H250" t="str" cm="1">
        <f t="array" ref="H250">GetValue("Dmn",C250,"Decimals")</f>
        <v/>
      </c>
      <c r="I250" t="str" cm="1">
        <f t="array" ref="I250">GetDataType(F250,G250,H250)</f>
        <v>NVARCHAR(14)</v>
      </c>
    </row>
    <row r="251" spans="1:9" x14ac:dyDescent="0.3">
      <c r="A251">
        <v>8</v>
      </c>
      <c r="B251" t="str" cm="1">
        <f t="array" ref="B251">GetValue("Eng",A251,"Name")</f>
        <v>Informix</v>
      </c>
      <c r="C251">
        <f t="shared" si="7"/>
        <v>19</v>
      </c>
      <c r="D251" t="str" cm="1">
        <f t="array" ref="D251">GetValue("Dmn",C251,"Name")</f>
        <v>RAIZ/CPF/CNPJ</v>
      </c>
      <c r="E251" cm="1">
        <f t="array" ref="E251">GetValue("Dmn",C251,"TypeId")</f>
        <v>20</v>
      </c>
      <c r="F251" t="str" cm="1">
        <f t="array" ref="F251">GetValue("EngTyp",A251&amp;";"&amp;E251,"Name")</f>
        <v>NVARCHAR</v>
      </c>
      <c r="G251" cm="1">
        <f t="array" ref="G251">GetValue("Dmn",C251,"Length")</f>
        <v>14</v>
      </c>
      <c r="H251" t="str" cm="1">
        <f t="array" ref="H251">GetValue("Dmn",C251,"Decimals")</f>
        <v/>
      </c>
      <c r="I251" t="str" cm="1">
        <f t="array" ref="I251">GetDataType(F251,G251,H251)</f>
        <v>NVARCHAR(14)</v>
      </c>
    </row>
    <row r="252" spans="1:9" x14ac:dyDescent="0.3">
      <c r="A252">
        <v>8</v>
      </c>
      <c r="B252" t="str" cm="1">
        <f t="array" ref="B252">GetValue("Eng",A252,"Name")</f>
        <v>Informix</v>
      </c>
      <c r="C252">
        <f t="shared" si="7"/>
        <v>20</v>
      </c>
      <c r="D252" t="str" cm="1">
        <f t="array" ref="D252">GetValue("Dmn",C252,"Name")</f>
        <v>CAEPF</v>
      </c>
      <c r="E252" cm="1">
        <f t="array" ref="E252">GetValue("Dmn",C252,"TypeId")</f>
        <v>20</v>
      </c>
      <c r="F252" t="str" cm="1">
        <f t="array" ref="F252">GetValue("EngTyp",A252&amp;";"&amp;E252,"Name")</f>
        <v>NVARCHAR</v>
      </c>
      <c r="G252" cm="1">
        <f t="array" ref="G252">GetValue("Dmn",C252,"Length")</f>
        <v>14</v>
      </c>
      <c r="H252" t="str" cm="1">
        <f t="array" ref="H252">GetValue("Dmn",C252,"Decimals")</f>
        <v/>
      </c>
      <c r="I252" t="str" cm="1">
        <f t="array" ref="I252">GetDataType(F252,G252,H252)</f>
        <v>NVARCHAR(14)</v>
      </c>
    </row>
    <row r="253" spans="1:9" x14ac:dyDescent="0.3">
      <c r="A253">
        <v>8</v>
      </c>
      <c r="B253" t="str" cm="1">
        <f t="array" ref="B253">GetValue("Eng",A253,"Name")</f>
        <v>Informix</v>
      </c>
      <c r="C253">
        <f t="shared" si="7"/>
        <v>21</v>
      </c>
      <c r="D253" t="str" cm="1">
        <f t="array" ref="D253">GetValue("Dmn",C253,"Name")</f>
        <v>CREDIT CARD</v>
      </c>
      <c r="E253" cm="1">
        <f t="array" ref="E253">GetValue("Dmn",C253,"TypeId")</f>
        <v>20</v>
      </c>
      <c r="F253" t="str" cm="1">
        <f t="array" ref="F253">GetValue("EngTyp",A253&amp;";"&amp;E253,"Name")</f>
        <v>NVARCHAR</v>
      </c>
      <c r="G253" cm="1">
        <f t="array" ref="G253">GetValue("Dmn",C253,"Length")</f>
        <v>16</v>
      </c>
      <c r="H253" t="str" cm="1">
        <f t="array" ref="H253">GetValue("Dmn",C253,"Decimals")</f>
        <v/>
      </c>
      <c r="I253" t="str" cm="1">
        <f t="array" ref="I253">GetDataType(F253,G253,H253)</f>
        <v>NVARCHAR(16)</v>
      </c>
    </row>
    <row r="254" spans="1:9" x14ac:dyDescent="0.3">
      <c r="A254">
        <v>8</v>
      </c>
      <c r="B254" t="str" cm="1">
        <f t="array" ref="B254">GetValue("Eng",A254,"Name")</f>
        <v>Informix</v>
      </c>
      <c r="C254">
        <f t="shared" si="7"/>
        <v>22</v>
      </c>
      <c r="D254" t="str" cm="1">
        <f t="array" ref="D254">GetValue("Dmn",C254,"Name")</f>
        <v>RENAVAM</v>
      </c>
      <c r="E254" cm="1">
        <f t="array" ref="E254">GetValue("Dmn",C254,"TypeId")</f>
        <v>20</v>
      </c>
      <c r="F254" t="str" cm="1">
        <f t="array" ref="F254">GetValue("EngTyp",A254&amp;";"&amp;E254,"Name")</f>
        <v>NVARCHAR</v>
      </c>
      <c r="G254" cm="1">
        <f t="array" ref="G254">GetValue("Dmn",C254,"Length")</f>
        <v>11</v>
      </c>
      <c r="H254" t="str" cm="1">
        <f t="array" ref="H254">GetValue("Dmn",C254,"Decimals")</f>
        <v/>
      </c>
      <c r="I254" t="str" cm="1">
        <f t="array" ref="I254">GetDataType(F254,G254,H254)</f>
        <v>NVARCHAR(11)</v>
      </c>
    </row>
    <row r="255" spans="1:9" x14ac:dyDescent="0.3">
      <c r="A255">
        <v>8</v>
      </c>
      <c r="B255" t="str" cm="1">
        <f t="array" ref="B255">GetValue("Eng",A255,"Name")</f>
        <v>Informix</v>
      </c>
      <c r="C255">
        <f t="shared" si="7"/>
        <v>23</v>
      </c>
      <c r="D255" t="str" cm="1">
        <f t="array" ref="D255">GetValue("Dmn",C255,"Name")</f>
        <v>EAN-8</v>
      </c>
      <c r="E255" cm="1">
        <f t="array" ref="E255">GetValue("Dmn",C255,"TypeId")</f>
        <v>20</v>
      </c>
      <c r="F255" t="str" cm="1">
        <f t="array" ref="F255">GetValue("EngTyp",A255&amp;";"&amp;E255,"Name")</f>
        <v>NVARCHAR</v>
      </c>
      <c r="G255" cm="1">
        <f t="array" ref="G255">GetValue("Dmn",C255,"Length")</f>
        <v>8</v>
      </c>
      <c r="H255" t="str" cm="1">
        <f t="array" ref="H255">GetValue("Dmn",C255,"Decimals")</f>
        <v/>
      </c>
      <c r="I255" t="str" cm="1">
        <f t="array" ref="I255">GetDataType(F255,G255,H255)</f>
        <v>NVARCHAR(8)</v>
      </c>
    </row>
    <row r="256" spans="1:9" x14ac:dyDescent="0.3">
      <c r="A256">
        <v>8</v>
      </c>
      <c r="B256" t="str" cm="1">
        <f t="array" ref="B256">GetValue("Eng",A256,"Name")</f>
        <v>Informix</v>
      </c>
      <c r="C256">
        <f t="shared" si="7"/>
        <v>24</v>
      </c>
      <c r="D256" t="str" cm="1">
        <f t="array" ref="D256">GetValue("Dmn",C256,"Name")</f>
        <v>EAN-13</v>
      </c>
      <c r="E256" cm="1">
        <f t="array" ref="E256">GetValue("Dmn",C256,"TypeId")</f>
        <v>20</v>
      </c>
      <c r="F256" t="str" cm="1">
        <f t="array" ref="F256">GetValue("EngTyp",A256&amp;";"&amp;E256,"Name")</f>
        <v>NVARCHAR</v>
      </c>
      <c r="G256" cm="1">
        <f t="array" ref="G256">GetValue("Dmn",C256,"Length")</f>
        <v>13</v>
      </c>
      <c r="H256" t="str" cm="1">
        <f t="array" ref="H256">GetValue("Dmn",C256,"Decimals")</f>
        <v/>
      </c>
      <c r="I256" t="str" cm="1">
        <f t="array" ref="I256">GetDataType(F256,G256,H256)</f>
        <v>NVARCHAR(13)</v>
      </c>
    </row>
    <row r="257" spans="1:9" x14ac:dyDescent="0.3">
      <c r="A257">
        <v>8</v>
      </c>
      <c r="B257" t="str" cm="1">
        <f t="array" ref="B257">GetValue("Eng",A257,"Name")</f>
        <v>Informix</v>
      </c>
      <c r="C257">
        <f t="shared" si="7"/>
        <v>25</v>
      </c>
      <c r="D257" t="str" cm="1">
        <f t="array" ref="D257">GetValue("Dmn",C257,"Name")</f>
        <v>ISBN-10</v>
      </c>
      <c r="E257" cm="1">
        <f t="array" ref="E257">GetValue("Dmn",C257,"TypeId")</f>
        <v>20</v>
      </c>
      <c r="F257" t="str" cm="1">
        <f t="array" ref="F257">GetValue("EngTyp",A257&amp;";"&amp;E257,"Name")</f>
        <v>NVARCHAR</v>
      </c>
      <c r="G257" cm="1">
        <f t="array" ref="G257">GetValue("Dmn",C257,"Length")</f>
        <v>10</v>
      </c>
      <c r="H257" t="str" cm="1">
        <f t="array" ref="H257">GetValue("Dmn",C257,"Decimals")</f>
        <v/>
      </c>
      <c r="I257" t="str" cm="1">
        <f t="array" ref="I257">GetDataType(F257,G257,H257)</f>
        <v>NVARCHAR(10)</v>
      </c>
    </row>
    <row r="258" spans="1:9" x14ac:dyDescent="0.3">
      <c r="A258">
        <v>8</v>
      </c>
      <c r="B258" t="str" cm="1">
        <f t="array" ref="B258">GetValue("Eng",A258,"Name")</f>
        <v>Informix</v>
      </c>
      <c r="C258">
        <f t="shared" si="7"/>
        <v>26</v>
      </c>
      <c r="D258" t="str" cm="1">
        <f t="array" ref="D258">GetValue("Dmn",C258,"Name")</f>
        <v>ISBN-13</v>
      </c>
      <c r="E258" cm="1">
        <f t="array" ref="E258">GetValue("Dmn",C258,"TypeId")</f>
        <v>20</v>
      </c>
      <c r="F258" t="str" cm="1">
        <f t="array" ref="F258">GetValue("EngTyp",A258&amp;";"&amp;E258,"Name")</f>
        <v>NVARCHAR</v>
      </c>
      <c r="G258" cm="1">
        <f t="array" ref="G258">GetValue("Dmn",C258,"Length")</f>
        <v>13</v>
      </c>
      <c r="H258" t="str" cm="1">
        <f t="array" ref="H258">GetValue("Dmn",C258,"Decimals")</f>
        <v/>
      </c>
      <c r="I258" t="str" cm="1">
        <f t="array" ref="I258">GetDataType(F258,G258,H258)</f>
        <v>NVARCHAR(13)</v>
      </c>
    </row>
    <row r="259" spans="1:9" x14ac:dyDescent="0.3">
      <c r="A259">
        <v>8</v>
      </c>
      <c r="B259" t="str" cm="1">
        <f t="array" ref="B259">GetValue("Eng",A259,"Name")</f>
        <v>Informix</v>
      </c>
      <c r="C259">
        <f t="shared" si="7"/>
        <v>27</v>
      </c>
      <c r="D259" t="str" cm="1">
        <f t="array" ref="D259">GetValue("Dmn",C259,"Name")</f>
        <v>ISSN</v>
      </c>
      <c r="E259" cm="1">
        <f t="array" ref="E259">GetValue("Dmn",C259,"TypeId")</f>
        <v>20</v>
      </c>
      <c r="F259" t="str" cm="1">
        <f t="array" ref="F259">GetValue("EngTyp",A259&amp;";"&amp;E259,"Name")</f>
        <v>NVARCHAR</v>
      </c>
      <c r="G259" cm="1">
        <f t="array" ref="G259">GetValue("Dmn",C259,"Length")</f>
        <v>8</v>
      </c>
      <c r="H259" t="str" cm="1">
        <f t="array" ref="H259">GetValue("Dmn",C259,"Decimals")</f>
        <v/>
      </c>
      <c r="I259" t="str" cm="1">
        <f t="array" ref="I259">GetDataType(F259,G259,H259)</f>
        <v>NVARCHAR(8)</v>
      </c>
    </row>
    <row r="260" spans="1:9" x14ac:dyDescent="0.3">
      <c r="A260">
        <v>8</v>
      </c>
      <c r="B260" t="str" cm="1">
        <f t="array" ref="B260">GetValue("Eng",A260,"Name")</f>
        <v>Informix</v>
      </c>
      <c r="C260">
        <f t="shared" si="7"/>
        <v>28</v>
      </c>
      <c r="D260" t="str" cm="1">
        <f t="array" ref="D260">GetValue("Dmn",C260,"Name")</f>
        <v>JS</v>
      </c>
      <c r="E260" cm="1">
        <f t="array" ref="E260">GetValue("Dmn",C260,"TypeId")</f>
        <v>21</v>
      </c>
      <c r="F260" t="str" cm="1">
        <f t="array" ref="F260">GetValue("EngTyp",A260&amp;";"&amp;E260,"Name")</f>
        <v>TEXT</v>
      </c>
      <c r="G260" t="str" cm="1">
        <f t="array" ref="G260">GetValue("Dmn",C260,"Length")</f>
        <v/>
      </c>
      <c r="H260" t="str" cm="1">
        <f t="array" ref="H260">GetValue("Dmn",C260,"Decimals")</f>
        <v/>
      </c>
      <c r="I260" t="str" cm="1">
        <f t="array" ref="I260">GetDataType(F260,G260,H260)</f>
        <v>TEXT</v>
      </c>
    </row>
    <row r="261" spans="1:9" x14ac:dyDescent="0.3">
      <c r="A261">
        <v>8</v>
      </c>
      <c r="B261" t="str" cm="1">
        <f t="array" ref="B261">GetValue("Eng",A261,"Name")</f>
        <v>Informix</v>
      </c>
      <c r="C261">
        <f t="shared" si="7"/>
        <v>29</v>
      </c>
      <c r="D261" t="str" cm="1">
        <f t="array" ref="D261">GetValue("Dmn",C261,"Name")</f>
        <v>SQL</v>
      </c>
      <c r="E261" cm="1">
        <f t="array" ref="E261">GetValue("Dmn",C261,"TypeId")</f>
        <v>21</v>
      </c>
      <c r="F261" t="str" cm="1">
        <f t="array" ref="F261">GetValue("EngTyp",A261&amp;";"&amp;E261,"Name")</f>
        <v>TEXT</v>
      </c>
      <c r="G261" t="str" cm="1">
        <f t="array" ref="G261">GetValue("Dmn",C261,"Length")</f>
        <v/>
      </c>
      <c r="H261" t="str" cm="1">
        <f t="array" ref="H261">GetValue("Dmn",C261,"Decimals")</f>
        <v/>
      </c>
      <c r="I261" t="str" cm="1">
        <f t="array" ref="I261">GetDataType(F261,G261,H261)</f>
        <v>TEXT</v>
      </c>
    </row>
    <row r="262" spans="1:9" x14ac:dyDescent="0.3">
      <c r="A262">
        <v>8</v>
      </c>
      <c r="B262" t="str" cm="1">
        <f t="array" ref="B262">GetValue("Eng",A262,"Name")</f>
        <v>Informix</v>
      </c>
      <c r="C262">
        <f t="shared" si="7"/>
        <v>30</v>
      </c>
      <c r="D262" t="str" cm="1">
        <f t="array" ref="D262">GetValue("Dmn",C262,"Name")</f>
        <v>Nvarchar(MAX)</v>
      </c>
      <c r="E262" cm="1">
        <f t="array" ref="E262">GetValue("Dmn",C262,"TypeId")</f>
        <v>21</v>
      </c>
      <c r="F262" t="str" cm="1">
        <f t="array" ref="F262">GetValue("EngTyp",A262&amp;";"&amp;E262,"Name")</f>
        <v>TEXT</v>
      </c>
      <c r="G262" t="str" cm="1">
        <f t="array" ref="G262">GetValue("Dmn",C262,"Length")</f>
        <v/>
      </c>
      <c r="H262" t="str" cm="1">
        <f t="array" ref="H262">GetValue("Dmn",C262,"Decimals")</f>
        <v/>
      </c>
      <c r="I262" t="str" cm="1">
        <f t="array" ref="I262">GetDataType(F262,G262,H262)</f>
        <v>TEXT</v>
      </c>
    </row>
    <row r="263" spans="1:9" x14ac:dyDescent="0.3">
      <c r="A263">
        <v>8</v>
      </c>
      <c r="B263" t="str" cm="1">
        <f t="array" ref="B263">GetValue("Eng",A263,"Name")</f>
        <v>Informix</v>
      </c>
      <c r="C263">
        <f t="shared" si="7"/>
        <v>31</v>
      </c>
      <c r="D263" t="str" cm="1">
        <f t="array" ref="D263">GetValue("Dmn",C263,"Name")</f>
        <v>JSON</v>
      </c>
      <c r="E263" cm="1">
        <f t="array" ref="E263">GetValue("Dmn",C263,"TypeId")</f>
        <v>21</v>
      </c>
      <c r="F263" t="str" cm="1">
        <f t="array" ref="F263">GetValue("EngTyp",A263&amp;";"&amp;E263,"Name")</f>
        <v>TEXT</v>
      </c>
      <c r="G263" t="str" cm="1">
        <f t="array" ref="G263">GetValue("Dmn",C263,"Length")</f>
        <v/>
      </c>
      <c r="H263" t="str" cm="1">
        <f t="array" ref="H263">GetValue("Dmn",C263,"Decimals")</f>
        <v/>
      </c>
      <c r="I263" t="str" cm="1">
        <f t="array" ref="I263">GetDataType(F263,G263,H263)</f>
        <v>TEXT</v>
      </c>
    </row>
    <row r="264" spans="1:9" x14ac:dyDescent="0.3">
      <c r="A264">
        <v>8</v>
      </c>
      <c r="B264" t="str" cm="1">
        <f t="array" ref="B264">GetValue("Eng",A264,"Name")</f>
        <v>Informix</v>
      </c>
      <c r="C264">
        <f t="shared" si="7"/>
        <v>32</v>
      </c>
      <c r="D264" t="str" cm="1">
        <f t="array" ref="D264">GetValue("Dmn",C264,"Name")</f>
        <v>Operator</v>
      </c>
      <c r="E264" cm="1">
        <f t="array" ref="E264">GetValue("Dmn",C264,"TypeId")</f>
        <v>4</v>
      </c>
      <c r="F264" t="str" cm="1">
        <f t="array" ref="F264">GetValue("EngTyp",A264&amp;";"&amp;E264,"Name")</f>
        <v>CHAR</v>
      </c>
      <c r="G264" cm="1">
        <f t="array" ref="G264">GetValue("Dmn",C264,"Length")</f>
        <v>1</v>
      </c>
      <c r="H264" t="str" cm="1">
        <f t="array" ref="H264">GetValue("Dmn",C264,"Decimals")</f>
        <v/>
      </c>
      <c r="I264" t="str" cm="1">
        <f t="array" ref="I264">GetDataType(F264,G264,H264)</f>
        <v>CHAR(1)</v>
      </c>
    </row>
    <row r="265" spans="1:9" x14ac:dyDescent="0.3">
      <c r="A265">
        <v>8</v>
      </c>
      <c r="B265" t="str" cm="1">
        <f t="array" ref="B265">GetValue("Eng",A265,"Name")</f>
        <v>Informix</v>
      </c>
      <c r="C265">
        <f t="shared" si="7"/>
        <v>33</v>
      </c>
      <c r="D265" t="str" cm="1">
        <f t="array" ref="D265">GetValue("Dmn",C265,"Name")</f>
        <v>Money</v>
      </c>
      <c r="E265" cm="1">
        <f t="array" ref="E265">GetValue("Dmn",C265,"TypeId")</f>
        <v>9</v>
      </c>
      <c r="F265" t="str" cm="1">
        <f t="array" ref="F265">GetValue("EngTyp",A265&amp;";"&amp;E265,"Name")</f>
        <v>DECIMAL</v>
      </c>
      <c r="G265" cm="1">
        <f t="array" ref="G265">GetValue("Dmn",C265,"Length")</f>
        <v>19</v>
      </c>
      <c r="H265" cm="1">
        <f t="array" ref="H265">GetValue("Dmn",C265,"Decimals")</f>
        <v>2</v>
      </c>
      <c r="I265" t="str" cm="1">
        <f t="array" ref="I265">GetDataType(F265,G265,H265)</f>
        <v>DECIMAL(19, 2)</v>
      </c>
    </row>
    <row r="266" spans="1:9" x14ac:dyDescent="0.3">
      <c r="A266">
        <v>9</v>
      </c>
      <c r="B266" t="str" cm="1">
        <f t="array" ref="B266">GetValue("Eng",A266,"Name")</f>
        <v>Oracle</v>
      </c>
      <c r="C266">
        <v>1</v>
      </c>
      <c r="D266" t="str" cm="1">
        <f t="array" ref="D266">GetValue("Dmn",C266,"Name")</f>
        <v>BigInteger</v>
      </c>
      <c r="E266" cm="1">
        <f t="array" ref="E266">GetValue("Dmn",C266,"TypeId")</f>
        <v>1</v>
      </c>
      <c r="F266" t="str" cm="1">
        <f t="array" ref="F266">GetValue("EngTyp",A266&amp;";"&amp;E266,"Name")</f>
        <v>NUMBER(19)</v>
      </c>
      <c r="G266" t="str" cm="1">
        <f t="array" ref="G266">GetValue("Dmn",C266,"Length")</f>
        <v/>
      </c>
      <c r="H266" t="str" cm="1">
        <f t="array" ref="H266">GetValue("Dmn",C266,"Decimals")</f>
        <v/>
      </c>
      <c r="I266" t="str" cm="1">
        <f t="array" ref="I266">GetDataType(F266,G266,H266)</f>
        <v>NUMBER(19)</v>
      </c>
    </row>
    <row r="267" spans="1:9" x14ac:dyDescent="0.3">
      <c r="A267">
        <v>9</v>
      </c>
      <c r="B267" t="str" cm="1">
        <f t="array" ref="B267">GetValue("Eng",A267,"Name")</f>
        <v>Oracle</v>
      </c>
      <c r="C267">
        <f>C266+1</f>
        <v>2</v>
      </c>
      <c r="D267" t="str" cm="1">
        <f t="array" ref="D267">GetValue("Dmn",C267,"Name")</f>
        <v>Integer</v>
      </c>
      <c r="E267" cm="1">
        <f t="array" ref="E267">GetValue("Dmn",C267,"TypeId")</f>
        <v>15</v>
      </c>
      <c r="F267" t="str" cm="1">
        <f t="array" ref="F267">GetValue("EngTyp",A267&amp;";"&amp;E267,"Name")</f>
        <v>NUMBER(10)</v>
      </c>
      <c r="G267" t="str" cm="1">
        <f t="array" ref="G267">GetValue("Dmn",C267,"Length")</f>
        <v/>
      </c>
      <c r="H267" t="str" cm="1">
        <f t="array" ref="H267">GetValue("Dmn",C267,"Decimals")</f>
        <v/>
      </c>
      <c r="I267" t="str" cm="1">
        <f t="array" ref="I267">GetDataType(F267,G267,H267)</f>
        <v>NUMBER(10)</v>
      </c>
    </row>
    <row r="268" spans="1:9" x14ac:dyDescent="0.3">
      <c r="A268">
        <v>9</v>
      </c>
      <c r="B268" t="str" cm="1">
        <f t="array" ref="B268">GetValue("Eng",A268,"Name")</f>
        <v>Oracle</v>
      </c>
      <c r="C268">
        <f t="shared" ref="C268:C298" si="8">C267+1</f>
        <v>3</v>
      </c>
      <c r="D268" t="str" cm="1">
        <f t="array" ref="D268">GetValue("Dmn",C268,"Name")</f>
        <v>ShortInteger</v>
      </c>
      <c r="E268" cm="1">
        <f t="array" ref="E268">GetValue("Dmn",C268,"TypeId")</f>
        <v>15</v>
      </c>
      <c r="F268" t="str" cm="1">
        <f t="array" ref="F268">GetValue("EngTyp",A268&amp;";"&amp;E268,"Name")</f>
        <v>NUMBER(10)</v>
      </c>
      <c r="G268" t="str" cm="1">
        <f t="array" ref="G268">GetValue("Dmn",C268,"Length")</f>
        <v/>
      </c>
      <c r="H268" t="str" cm="1">
        <f t="array" ref="H268">GetValue("Dmn",C268,"Decimals")</f>
        <v/>
      </c>
      <c r="I268" t="str" cm="1">
        <f t="array" ref="I268">GetDataType(F268,G268,H268)</f>
        <v>NUMBER(10)</v>
      </c>
    </row>
    <row r="269" spans="1:9" x14ac:dyDescent="0.3">
      <c r="A269">
        <v>9</v>
      </c>
      <c r="B269" t="str" cm="1">
        <f t="array" ref="B269">GetValue("Eng",A269,"Name")</f>
        <v>Oracle</v>
      </c>
      <c r="C269">
        <f t="shared" si="8"/>
        <v>4</v>
      </c>
      <c r="D269" t="str" cm="1">
        <f t="array" ref="D269">GetValue("Dmn",C269,"Name")</f>
        <v>SmallInteger</v>
      </c>
      <c r="E269" cm="1">
        <f t="array" ref="E269">GetValue("Dmn",C269,"TypeId")</f>
        <v>24</v>
      </c>
      <c r="F269" t="str" cm="1">
        <f t="array" ref="F269">GetValue("EngTyp",A269&amp;";"&amp;E269,"Name")</f>
        <v>NUMBER(5)</v>
      </c>
      <c r="G269" t="str" cm="1">
        <f t="array" ref="G269">GetValue("Dmn",C269,"Length")</f>
        <v/>
      </c>
      <c r="H269" t="str" cm="1">
        <f t="array" ref="H269">GetValue("Dmn",C269,"Decimals")</f>
        <v/>
      </c>
      <c r="I269" t="str" cm="1">
        <f t="array" ref="I269">GetDataType(F269,G269,H269)</f>
        <v>NUMBER(5)</v>
      </c>
    </row>
    <row r="270" spans="1:9" x14ac:dyDescent="0.3">
      <c r="A270">
        <v>9</v>
      </c>
      <c r="B270" t="str" cm="1">
        <f t="array" ref="B270">GetValue("Eng",A270,"Name")</f>
        <v>Oracle</v>
      </c>
      <c r="C270">
        <f t="shared" si="8"/>
        <v>5</v>
      </c>
      <c r="D270" t="str" cm="1">
        <f t="array" ref="D270">GetValue("Dmn",C270,"Name")</f>
        <v>TinyInteger</v>
      </c>
      <c r="E270" cm="1">
        <f t="array" ref="E270">GetValue("Dmn",C270,"TypeId")</f>
        <v>31</v>
      </c>
      <c r="F270" t="str" cm="1">
        <f t="array" ref="F270">GetValue("EngTyp",A270&amp;";"&amp;E270,"Name")</f>
        <v>NUMBER(3)</v>
      </c>
      <c r="G270" t="str" cm="1">
        <f t="array" ref="G270">GetValue("Dmn",C270,"Length")</f>
        <v/>
      </c>
      <c r="H270" t="str" cm="1">
        <f t="array" ref="H270">GetValue("Dmn",C270,"Decimals")</f>
        <v/>
      </c>
      <c r="I270" t="str" cm="1">
        <f t="array" ref="I270">GetDataType(F270,G270,H270)</f>
        <v>NUMBER(3)</v>
      </c>
    </row>
    <row r="271" spans="1:9" x14ac:dyDescent="0.3">
      <c r="A271">
        <v>9</v>
      </c>
      <c r="B271" t="str" cm="1">
        <f t="array" ref="B271">GetValue("Eng",A271,"Name")</f>
        <v>Oracle</v>
      </c>
      <c r="C271">
        <f t="shared" si="8"/>
        <v>6</v>
      </c>
      <c r="D271" t="str" cm="1">
        <f t="array" ref="D271">GetValue("Dmn",C271,"Name")</f>
        <v>Boolean</v>
      </c>
      <c r="E271" cm="1">
        <f t="array" ref="E271">GetValue("Dmn",C271,"TypeId")</f>
        <v>3</v>
      </c>
      <c r="F271" t="str" cm="1">
        <f t="array" ref="F271">GetValue("EngTyp",A271&amp;";"&amp;E271,"Name")</f>
        <v>NUMBER(1)</v>
      </c>
      <c r="G271" t="str" cm="1">
        <f t="array" ref="G271">GetValue("Dmn",C271,"Length")</f>
        <v/>
      </c>
      <c r="H271" t="str" cm="1">
        <f t="array" ref="H271">GetValue("Dmn",C271,"Decimals")</f>
        <v/>
      </c>
      <c r="I271" t="str" cm="1">
        <f t="array" ref="I271">GetDataType(F271,G271,H271)</f>
        <v>NUMBER(1)</v>
      </c>
    </row>
    <row r="272" spans="1:9" x14ac:dyDescent="0.3">
      <c r="A272">
        <v>9</v>
      </c>
      <c r="B272" t="str" cm="1">
        <f t="array" ref="B272">GetValue("Eng",A272,"Name")</f>
        <v>Oracle</v>
      </c>
      <c r="C272">
        <f t="shared" si="8"/>
        <v>7</v>
      </c>
      <c r="D272" t="str" cm="1">
        <f t="array" ref="D272">GetValue("Dmn",C272,"Name")</f>
        <v>DateTime</v>
      </c>
      <c r="E272" cm="1">
        <f t="array" ref="E272">GetValue("Dmn",C272,"TypeId")</f>
        <v>6</v>
      </c>
      <c r="F272" t="str" cm="1">
        <f t="array" ref="F272">GetValue("EngTyp",A272&amp;";"&amp;E272,"Name")</f>
        <v>DATE</v>
      </c>
      <c r="G272" t="str" cm="1">
        <f t="array" ref="G272">GetValue("Dmn",C272,"Length")</f>
        <v/>
      </c>
      <c r="H272" t="str" cm="1">
        <f t="array" ref="H272">GetValue("Dmn",C272,"Decimals")</f>
        <v/>
      </c>
      <c r="I272" t="str" cm="1">
        <f t="array" ref="I272">GetDataType(F272,G272,H272)</f>
        <v>DATE</v>
      </c>
    </row>
    <row r="273" spans="1:9" x14ac:dyDescent="0.3">
      <c r="A273">
        <v>9</v>
      </c>
      <c r="B273" t="str" cm="1">
        <f t="array" ref="B273">GetValue("Eng",A273,"Name")</f>
        <v>Oracle</v>
      </c>
      <c r="C273">
        <f t="shared" si="8"/>
        <v>8</v>
      </c>
      <c r="D273" t="str" cm="1">
        <f t="array" ref="D273">GetValue("Dmn",C273,"Name")</f>
        <v>Nvarchar(15)</v>
      </c>
      <c r="E273" cm="1">
        <f t="array" ref="E273">GetValue("Dmn",C273,"TypeId")</f>
        <v>20</v>
      </c>
      <c r="F273" t="str" cm="1">
        <f t="array" ref="F273">GetValue("EngTyp",A273&amp;";"&amp;E273,"Name")</f>
        <v>NVARCHAR2</v>
      </c>
      <c r="G273" cm="1">
        <f t="array" ref="G273">GetValue("Dmn",C273,"Length")</f>
        <v>15</v>
      </c>
      <c r="H273" t="str" cm="1">
        <f t="array" ref="H273">GetValue("Dmn",C273,"Decimals")</f>
        <v/>
      </c>
      <c r="I273" t="str" cm="1">
        <f t="array" ref="I273">GetDataType(F273,G273,H273)</f>
        <v>NVARCHAR2(15)</v>
      </c>
    </row>
    <row r="274" spans="1:9" x14ac:dyDescent="0.3">
      <c r="A274">
        <v>9</v>
      </c>
      <c r="B274" t="str" cm="1">
        <f t="array" ref="B274">GetValue("Eng",A274,"Name")</f>
        <v>Oracle</v>
      </c>
      <c r="C274">
        <f t="shared" si="8"/>
        <v>9</v>
      </c>
      <c r="D274" t="str" cm="1">
        <f t="array" ref="D274">GetValue("Dmn",C274,"Name")</f>
        <v>Nvarchar(20)</v>
      </c>
      <c r="E274" cm="1">
        <f t="array" ref="E274">GetValue("Dmn",C274,"TypeId")</f>
        <v>20</v>
      </c>
      <c r="F274" t="str" cm="1">
        <f t="array" ref="F274">GetValue("EngTyp",A274&amp;";"&amp;E274,"Name")</f>
        <v>NVARCHAR2</v>
      </c>
      <c r="G274" cm="1">
        <f t="array" ref="G274">GetValue("Dmn",C274,"Length")</f>
        <v>20</v>
      </c>
      <c r="H274" t="str" cm="1">
        <f t="array" ref="H274">GetValue("Dmn",C274,"Decimals")</f>
        <v/>
      </c>
      <c r="I274" t="str" cm="1">
        <f t="array" ref="I274">GetDataType(F274,G274,H274)</f>
        <v>NVARCHAR2(20)</v>
      </c>
    </row>
    <row r="275" spans="1:9" x14ac:dyDescent="0.3">
      <c r="A275">
        <v>9</v>
      </c>
      <c r="B275" t="str" cm="1">
        <f t="array" ref="B275">GetValue("Eng",A275,"Name")</f>
        <v>Oracle</v>
      </c>
      <c r="C275">
        <f t="shared" si="8"/>
        <v>10</v>
      </c>
      <c r="D275" t="str" cm="1">
        <f t="array" ref="D275">GetValue("Dmn",C275,"Name")</f>
        <v>Nvarchar(25)</v>
      </c>
      <c r="E275" cm="1">
        <f t="array" ref="E275">GetValue("Dmn",C275,"TypeId")</f>
        <v>20</v>
      </c>
      <c r="F275" t="str" cm="1">
        <f t="array" ref="F275">GetValue("EngTyp",A275&amp;";"&amp;E275,"Name")</f>
        <v>NVARCHAR2</v>
      </c>
      <c r="G275" cm="1">
        <f t="array" ref="G275">GetValue("Dmn",C275,"Length")</f>
        <v>25</v>
      </c>
      <c r="H275" t="str" cm="1">
        <f t="array" ref="H275">GetValue("Dmn",C275,"Decimals")</f>
        <v/>
      </c>
      <c r="I275" t="str" cm="1">
        <f t="array" ref="I275">GetDataType(F275,G275,H275)</f>
        <v>NVARCHAR2(25)</v>
      </c>
    </row>
    <row r="276" spans="1:9" x14ac:dyDescent="0.3">
      <c r="A276">
        <v>9</v>
      </c>
      <c r="B276" t="str" cm="1">
        <f t="array" ref="B276">GetValue("Eng",A276,"Name")</f>
        <v>Oracle</v>
      </c>
      <c r="C276">
        <f t="shared" si="8"/>
        <v>11</v>
      </c>
      <c r="D276" t="str" cm="1">
        <f t="array" ref="D276">GetValue("Dmn",C276,"Name")</f>
        <v>Nvarchar(50)</v>
      </c>
      <c r="E276" cm="1">
        <f t="array" ref="E276">GetValue("Dmn",C276,"TypeId")</f>
        <v>20</v>
      </c>
      <c r="F276" t="str" cm="1">
        <f t="array" ref="F276">GetValue("EngTyp",A276&amp;";"&amp;E276,"Name")</f>
        <v>NVARCHAR2</v>
      </c>
      <c r="G276" cm="1">
        <f t="array" ref="G276">GetValue("Dmn",C276,"Length")</f>
        <v>50</v>
      </c>
      <c r="H276" t="str" cm="1">
        <f t="array" ref="H276">GetValue("Dmn",C276,"Decimals")</f>
        <v/>
      </c>
      <c r="I276" t="str" cm="1">
        <f t="array" ref="I276">GetDataType(F276,G276,H276)</f>
        <v>NVARCHAR2(50)</v>
      </c>
    </row>
    <row r="277" spans="1:9" x14ac:dyDescent="0.3">
      <c r="A277">
        <v>9</v>
      </c>
      <c r="B277" t="str" cm="1">
        <f t="array" ref="B277">GetValue("Eng",A277,"Name")</f>
        <v>Oracle</v>
      </c>
      <c r="C277">
        <f t="shared" si="8"/>
        <v>12</v>
      </c>
      <c r="D277" t="str" cm="1">
        <f t="array" ref="D277">GetValue("Dmn",C277,"Name")</f>
        <v>Nvarchar(256)</v>
      </c>
      <c r="E277" cm="1">
        <f t="array" ref="E277">GetValue("Dmn",C277,"TypeId")</f>
        <v>20</v>
      </c>
      <c r="F277" t="str" cm="1">
        <f t="array" ref="F277">GetValue("EngTyp",A277&amp;";"&amp;E277,"Name")</f>
        <v>NVARCHAR2</v>
      </c>
      <c r="G277" cm="1">
        <f t="array" ref="G277">GetValue("Dmn",C277,"Length")</f>
        <v>256</v>
      </c>
      <c r="H277" t="str" cm="1">
        <f t="array" ref="H277">GetValue("Dmn",C277,"Decimals")</f>
        <v/>
      </c>
      <c r="I277" t="str" cm="1">
        <f t="array" ref="I277">GetDataType(F277,G277,H277)</f>
        <v>NVARCHAR2(256)</v>
      </c>
    </row>
    <row r="278" spans="1:9" x14ac:dyDescent="0.3">
      <c r="A278">
        <v>9</v>
      </c>
      <c r="B278" t="str" cm="1">
        <f t="array" ref="B278">GetValue("Eng",A278,"Name")</f>
        <v>Oracle</v>
      </c>
      <c r="C278">
        <f t="shared" si="8"/>
        <v>13</v>
      </c>
      <c r="D278" t="str" cm="1">
        <f t="array" ref="D278">GetValue("Dmn",C278,"Name")</f>
        <v>Variant</v>
      </c>
      <c r="E278" cm="1">
        <f t="array" ref="E278">GetValue("Dmn",C278,"TypeId")</f>
        <v>20</v>
      </c>
      <c r="F278" t="str" cm="1">
        <f t="array" ref="F278">GetValue("EngTyp",A278&amp;";"&amp;E278,"Name")</f>
        <v>NVARCHAR2</v>
      </c>
      <c r="G278" t="str" cm="1">
        <f t="array" ref="G278">GetValue("Dmn",C278,"Length")</f>
        <v/>
      </c>
      <c r="H278" t="str" cm="1">
        <f t="array" ref="H278">GetValue("Dmn",C278,"Decimals")</f>
        <v/>
      </c>
      <c r="I278" t="str" cm="1">
        <f t="array" ref="I278">GetDataType(F278,G278,H278)</f>
        <v>NVARCHAR2</v>
      </c>
    </row>
    <row r="279" spans="1:9" x14ac:dyDescent="0.3">
      <c r="A279">
        <v>9</v>
      </c>
      <c r="B279" t="str" cm="1">
        <f t="array" ref="B279">GetValue("Eng",A279,"Name")</f>
        <v>Oracle</v>
      </c>
      <c r="C279">
        <f t="shared" si="8"/>
        <v>14</v>
      </c>
      <c r="D279" t="str" cm="1">
        <f t="array" ref="D279">GetValue("Dmn",C279,"Name")</f>
        <v>Codification</v>
      </c>
      <c r="E279" cm="1">
        <f t="array" ref="E279">GetValue("Dmn",C279,"TypeId")</f>
        <v>20</v>
      </c>
      <c r="F279" t="str" cm="1">
        <f t="array" ref="F279">GetValue("EngTyp",A279&amp;";"&amp;E279,"Name")</f>
        <v>NVARCHAR2</v>
      </c>
      <c r="G279" cm="1">
        <f t="array" ref="G279">GetValue("Dmn",C279,"Length")</f>
        <v>5</v>
      </c>
      <c r="H279" t="str" cm="1">
        <f t="array" ref="H279">GetValue("Dmn",C279,"Decimals")</f>
        <v/>
      </c>
      <c r="I279" t="str" cm="1">
        <f t="array" ref="I279">GetDataType(F279,G279,H279)</f>
        <v>NVARCHAR2(5)</v>
      </c>
    </row>
    <row r="280" spans="1:9" x14ac:dyDescent="0.3">
      <c r="A280">
        <v>9</v>
      </c>
      <c r="B280" t="str" cm="1">
        <f t="array" ref="B280">GetValue("Eng",A280,"Name")</f>
        <v>Oracle</v>
      </c>
      <c r="C280">
        <f t="shared" si="8"/>
        <v>15</v>
      </c>
      <c r="D280" t="str" cm="1">
        <f t="array" ref="D280">GetValue("Dmn",C280,"Name")</f>
        <v>Operation</v>
      </c>
      <c r="E280" cm="1">
        <f t="array" ref="E280">GetValue("Dmn",C280,"TypeId")</f>
        <v>20</v>
      </c>
      <c r="F280" t="str" cm="1">
        <f t="array" ref="F280">GetValue("EngTyp",A280&amp;";"&amp;E280,"Name")</f>
        <v>NVARCHAR2</v>
      </c>
      <c r="G280" cm="1">
        <f t="array" ref="G280">GetValue("Dmn",C280,"Length")</f>
        <v>15</v>
      </c>
      <c r="H280" t="str" cm="1">
        <f t="array" ref="H280">GetValue("Dmn",C280,"Decimals")</f>
        <v/>
      </c>
      <c r="I280" t="str" cm="1">
        <f t="array" ref="I280">GetDataType(F280,G280,H280)</f>
        <v>NVARCHAR2(15)</v>
      </c>
    </row>
    <row r="281" spans="1:9" x14ac:dyDescent="0.3">
      <c r="A281">
        <v>9</v>
      </c>
      <c r="B281" t="str" cm="1">
        <f t="array" ref="B281">GetValue("Eng",A281,"Name")</f>
        <v>Oracle</v>
      </c>
      <c r="C281">
        <f t="shared" si="8"/>
        <v>16</v>
      </c>
      <c r="D281" t="str" cm="1">
        <f t="array" ref="D281">GetValue("Dmn",C281,"Name")</f>
        <v>RAIZ CNPJ</v>
      </c>
      <c r="E281" cm="1">
        <f t="array" ref="E281">GetValue("Dmn",C281,"TypeId")</f>
        <v>20</v>
      </c>
      <c r="F281" t="str" cm="1">
        <f t="array" ref="F281">GetValue("EngTyp",A281&amp;";"&amp;E281,"Name")</f>
        <v>NVARCHAR2</v>
      </c>
      <c r="G281" cm="1">
        <f t="array" ref="G281">GetValue("Dmn",C281,"Length")</f>
        <v>8</v>
      </c>
      <c r="H281" t="str" cm="1">
        <f t="array" ref="H281">GetValue("Dmn",C281,"Decimals")</f>
        <v/>
      </c>
      <c r="I281" t="str" cm="1">
        <f t="array" ref="I281">GetDataType(F281,G281,H281)</f>
        <v>NVARCHAR2(8)</v>
      </c>
    </row>
    <row r="282" spans="1:9" x14ac:dyDescent="0.3">
      <c r="A282">
        <v>9</v>
      </c>
      <c r="B282" t="str" cm="1">
        <f t="array" ref="B282">GetValue("Eng",A282,"Name")</f>
        <v>Oracle</v>
      </c>
      <c r="C282">
        <f t="shared" si="8"/>
        <v>17</v>
      </c>
      <c r="D282" t="str" cm="1">
        <f t="array" ref="D282">GetValue("Dmn",C282,"Name")</f>
        <v>CPF</v>
      </c>
      <c r="E282" cm="1">
        <f t="array" ref="E282">GetValue("Dmn",C282,"TypeId")</f>
        <v>20</v>
      </c>
      <c r="F282" t="str" cm="1">
        <f t="array" ref="F282">GetValue("EngTyp",A282&amp;";"&amp;E282,"Name")</f>
        <v>NVARCHAR2</v>
      </c>
      <c r="G282" cm="1">
        <f t="array" ref="G282">GetValue("Dmn",C282,"Length")</f>
        <v>11</v>
      </c>
      <c r="H282" t="str" cm="1">
        <f t="array" ref="H282">GetValue("Dmn",C282,"Decimals")</f>
        <v/>
      </c>
      <c r="I282" t="str" cm="1">
        <f t="array" ref="I282">GetDataType(F282,G282,H282)</f>
        <v>NVARCHAR2(11)</v>
      </c>
    </row>
    <row r="283" spans="1:9" x14ac:dyDescent="0.3">
      <c r="A283">
        <v>9</v>
      </c>
      <c r="B283" t="str" cm="1">
        <f t="array" ref="B283">GetValue("Eng",A283,"Name")</f>
        <v>Oracle</v>
      </c>
      <c r="C283">
        <f t="shared" si="8"/>
        <v>18</v>
      </c>
      <c r="D283" t="str" cm="1">
        <f t="array" ref="D283">GetValue("Dmn",C283,"Name")</f>
        <v>CNPJ</v>
      </c>
      <c r="E283" cm="1">
        <f t="array" ref="E283">GetValue("Dmn",C283,"TypeId")</f>
        <v>20</v>
      </c>
      <c r="F283" t="str" cm="1">
        <f t="array" ref="F283">GetValue("EngTyp",A283&amp;";"&amp;E283,"Name")</f>
        <v>NVARCHAR2</v>
      </c>
      <c r="G283" cm="1">
        <f t="array" ref="G283">GetValue("Dmn",C283,"Length")</f>
        <v>14</v>
      </c>
      <c r="H283" t="str" cm="1">
        <f t="array" ref="H283">GetValue("Dmn",C283,"Decimals")</f>
        <v/>
      </c>
      <c r="I283" t="str" cm="1">
        <f t="array" ref="I283">GetDataType(F283,G283,H283)</f>
        <v>NVARCHAR2(14)</v>
      </c>
    </row>
    <row r="284" spans="1:9" x14ac:dyDescent="0.3">
      <c r="A284">
        <v>9</v>
      </c>
      <c r="B284" t="str" cm="1">
        <f t="array" ref="B284">GetValue("Eng",A284,"Name")</f>
        <v>Oracle</v>
      </c>
      <c r="C284">
        <f t="shared" si="8"/>
        <v>19</v>
      </c>
      <c r="D284" t="str" cm="1">
        <f t="array" ref="D284">GetValue("Dmn",C284,"Name")</f>
        <v>RAIZ/CPF/CNPJ</v>
      </c>
      <c r="E284" cm="1">
        <f t="array" ref="E284">GetValue("Dmn",C284,"TypeId")</f>
        <v>20</v>
      </c>
      <c r="F284" t="str" cm="1">
        <f t="array" ref="F284">GetValue("EngTyp",A284&amp;";"&amp;E284,"Name")</f>
        <v>NVARCHAR2</v>
      </c>
      <c r="G284" cm="1">
        <f t="array" ref="G284">GetValue("Dmn",C284,"Length")</f>
        <v>14</v>
      </c>
      <c r="H284" t="str" cm="1">
        <f t="array" ref="H284">GetValue("Dmn",C284,"Decimals")</f>
        <v/>
      </c>
      <c r="I284" t="str" cm="1">
        <f t="array" ref="I284">GetDataType(F284,G284,H284)</f>
        <v>NVARCHAR2(14)</v>
      </c>
    </row>
    <row r="285" spans="1:9" x14ac:dyDescent="0.3">
      <c r="A285">
        <v>9</v>
      </c>
      <c r="B285" t="str" cm="1">
        <f t="array" ref="B285">GetValue("Eng",A285,"Name")</f>
        <v>Oracle</v>
      </c>
      <c r="C285">
        <f t="shared" si="8"/>
        <v>20</v>
      </c>
      <c r="D285" t="str" cm="1">
        <f t="array" ref="D285">GetValue("Dmn",C285,"Name")</f>
        <v>CAEPF</v>
      </c>
      <c r="E285" cm="1">
        <f t="array" ref="E285">GetValue("Dmn",C285,"TypeId")</f>
        <v>20</v>
      </c>
      <c r="F285" t="str" cm="1">
        <f t="array" ref="F285">GetValue("EngTyp",A285&amp;";"&amp;E285,"Name")</f>
        <v>NVARCHAR2</v>
      </c>
      <c r="G285" cm="1">
        <f t="array" ref="G285">GetValue("Dmn",C285,"Length")</f>
        <v>14</v>
      </c>
      <c r="H285" t="str" cm="1">
        <f t="array" ref="H285">GetValue("Dmn",C285,"Decimals")</f>
        <v/>
      </c>
      <c r="I285" t="str" cm="1">
        <f t="array" ref="I285">GetDataType(F285,G285,H285)</f>
        <v>NVARCHAR2(14)</v>
      </c>
    </row>
    <row r="286" spans="1:9" x14ac:dyDescent="0.3">
      <c r="A286">
        <v>9</v>
      </c>
      <c r="B286" t="str" cm="1">
        <f t="array" ref="B286">GetValue("Eng",A286,"Name")</f>
        <v>Oracle</v>
      </c>
      <c r="C286">
        <f t="shared" si="8"/>
        <v>21</v>
      </c>
      <c r="D286" t="str" cm="1">
        <f t="array" ref="D286">GetValue("Dmn",C286,"Name")</f>
        <v>CREDIT CARD</v>
      </c>
      <c r="E286" cm="1">
        <f t="array" ref="E286">GetValue("Dmn",C286,"TypeId")</f>
        <v>20</v>
      </c>
      <c r="F286" t="str" cm="1">
        <f t="array" ref="F286">GetValue("EngTyp",A286&amp;";"&amp;E286,"Name")</f>
        <v>NVARCHAR2</v>
      </c>
      <c r="G286" cm="1">
        <f t="array" ref="G286">GetValue("Dmn",C286,"Length")</f>
        <v>16</v>
      </c>
      <c r="H286" t="str" cm="1">
        <f t="array" ref="H286">GetValue("Dmn",C286,"Decimals")</f>
        <v/>
      </c>
      <c r="I286" t="str" cm="1">
        <f t="array" ref="I286">GetDataType(F286,G286,H286)</f>
        <v>NVARCHAR2(16)</v>
      </c>
    </row>
    <row r="287" spans="1:9" x14ac:dyDescent="0.3">
      <c r="A287">
        <v>9</v>
      </c>
      <c r="B287" t="str" cm="1">
        <f t="array" ref="B287">GetValue("Eng",A287,"Name")</f>
        <v>Oracle</v>
      </c>
      <c r="C287">
        <f t="shared" si="8"/>
        <v>22</v>
      </c>
      <c r="D287" t="str" cm="1">
        <f t="array" ref="D287">GetValue("Dmn",C287,"Name")</f>
        <v>RENAVAM</v>
      </c>
      <c r="E287" cm="1">
        <f t="array" ref="E287">GetValue("Dmn",C287,"TypeId")</f>
        <v>20</v>
      </c>
      <c r="F287" t="str" cm="1">
        <f t="array" ref="F287">GetValue("EngTyp",A287&amp;";"&amp;E287,"Name")</f>
        <v>NVARCHAR2</v>
      </c>
      <c r="G287" cm="1">
        <f t="array" ref="G287">GetValue("Dmn",C287,"Length")</f>
        <v>11</v>
      </c>
      <c r="H287" t="str" cm="1">
        <f t="array" ref="H287">GetValue("Dmn",C287,"Decimals")</f>
        <v/>
      </c>
      <c r="I287" t="str" cm="1">
        <f t="array" ref="I287">GetDataType(F287,G287,H287)</f>
        <v>NVARCHAR2(11)</v>
      </c>
    </row>
    <row r="288" spans="1:9" x14ac:dyDescent="0.3">
      <c r="A288">
        <v>10</v>
      </c>
      <c r="B288" t="str" cm="1">
        <f t="array" ref="B288">GetValue("Eng",A288,"Name")</f>
        <v>DB2</v>
      </c>
      <c r="C288">
        <f t="shared" si="8"/>
        <v>23</v>
      </c>
      <c r="D288" t="str" cm="1">
        <f t="array" ref="D288">GetValue("Dmn",C288,"Name")</f>
        <v>EAN-8</v>
      </c>
      <c r="E288" cm="1">
        <f t="array" ref="E288">GetValue("Dmn",C288,"TypeId")</f>
        <v>20</v>
      </c>
      <c r="F288" t="str" cm="1">
        <f t="array" ref="F288">GetValue("EngTyp",A288&amp;";"&amp;E288,"Name")</f>
        <v>VARGRAPHIC</v>
      </c>
      <c r="G288" cm="1">
        <f t="array" ref="G288">GetValue("Dmn",C288,"Length")</f>
        <v>8</v>
      </c>
      <c r="H288" t="str" cm="1">
        <f t="array" ref="H288">GetValue("Dmn",C288,"Decimals")</f>
        <v/>
      </c>
      <c r="I288" t="str" cm="1">
        <f t="array" ref="I288">GetDataType(F288,G288,H288)</f>
        <v>VARGRAPHIC(8)</v>
      </c>
    </row>
    <row r="289" spans="1:9" x14ac:dyDescent="0.3">
      <c r="A289">
        <v>10</v>
      </c>
      <c r="B289" t="str" cm="1">
        <f t="array" ref="B289">GetValue("Eng",A289,"Name")</f>
        <v>DB2</v>
      </c>
      <c r="C289">
        <f t="shared" si="8"/>
        <v>24</v>
      </c>
      <c r="D289" t="str" cm="1">
        <f t="array" ref="D289">GetValue("Dmn",C289,"Name")</f>
        <v>EAN-13</v>
      </c>
      <c r="E289" cm="1">
        <f t="array" ref="E289">GetValue("Dmn",C289,"TypeId")</f>
        <v>20</v>
      </c>
      <c r="F289" t="str" cm="1">
        <f t="array" ref="F289">GetValue("EngTyp",A289&amp;";"&amp;E289,"Name")</f>
        <v>VARGRAPHIC</v>
      </c>
      <c r="G289" cm="1">
        <f t="array" ref="G289">GetValue("Dmn",C289,"Length")</f>
        <v>13</v>
      </c>
      <c r="H289" t="str" cm="1">
        <f t="array" ref="H289">GetValue("Dmn",C289,"Decimals")</f>
        <v/>
      </c>
      <c r="I289" t="str" cm="1">
        <f t="array" ref="I289">GetDataType(F289,G289,H289)</f>
        <v>VARGRAPHIC(13)</v>
      </c>
    </row>
    <row r="290" spans="1:9" x14ac:dyDescent="0.3">
      <c r="A290">
        <v>10</v>
      </c>
      <c r="B290" t="str" cm="1">
        <f t="array" ref="B290">GetValue("Eng",A290,"Name")</f>
        <v>DB2</v>
      </c>
      <c r="C290">
        <f t="shared" si="8"/>
        <v>25</v>
      </c>
      <c r="D290" t="str" cm="1">
        <f t="array" ref="D290">GetValue("Dmn",C290,"Name")</f>
        <v>ISBN-10</v>
      </c>
      <c r="E290" cm="1">
        <f t="array" ref="E290">GetValue("Dmn",C290,"TypeId")</f>
        <v>20</v>
      </c>
      <c r="F290" t="str" cm="1">
        <f t="array" ref="F290">GetValue("EngTyp",A290&amp;";"&amp;E290,"Name")</f>
        <v>VARGRAPHIC</v>
      </c>
      <c r="G290" cm="1">
        <f t="array" ref="G290">GetValue("Dmn",C290,"Length")</f>
        <v>10</v>
      </c>
      <c r="H290" t="str" cm="1">
        <f t="array" ref="H290">GetValue("Dmn",C290,"Decimals")</f>
        <v/>
      </c>
      <c r="I290" t="str" cm="1">
        <f t="array" ref="I290">GetDataType(F290,G290,H290)</f>
        <v>VARGRAPHIC(10)</v>
      </c>
    </row>
    <row r="291" spans="1:9" x14ac:dyDescent="0.3">
      <c r="A291">
        <v>10</v>
      </c>
      <c r="B291" t="str" cm="1">
        <f t="array" ref="B291">GetValue("Eng",A291,"Name")</f>
        <v>DB2</v>
      </c>
      <c r="C291">
        <f t="shared" si="8"/>
        <v>26</v>
      </c>
      <c r="D291" t="str" cm="1">
        <f t="array" ref="D291">GetValue("Dmn",C291,"Name")</f>
        <v>ISBN-13</v>
      </c>
      <c r="E291" cm="1">
        <f t="array" ref="E291">GetValue("Dmn",C291,"TypeId")</f>
        <v>20</v>
      </c>
      <c r="F291" t="str" cm="1">
        <f t="array" ref="F291">GetValue("EngTyp",A291&amp;";"&amp;E291,"Name")</f>
        <v>VARGRAPHIC</v>
      </c>
      <c r="G291" cm="1">
        <f t="array" ref="G291">GetValue("Dmn",C291,"Length")</f>
        <v>13</v>
      </c>
      <c r="H291" t="str" cm="1">
        <f t="array" ref="H291">GetValue("Dmn",C291,"Decimals")</f>
        <v/>
      </c>
      <c r="I291" t="str" cm="1">
        <f t="array" ref="I291">GetDataType(F291,G291,H291)</f>
        <v>VARGRAPHIC(13)</v>
      </c>
    </row>
    <row r="292" spans="1:9" x14ac:dyDescent="0.3">
      <c r="A292">
        <v>10</v>
      </c>
      <c r="B292" t="str" cm="1">
        <f t="array" ref="B292">GetValue("Eng",A292,"Name")</f>
        <v>DB2</v>
      </c>
      <c r="C292">
        <f t="shared" si="8"/>
        <v>27</v>
      </c>
      <c r="D292" t="str" cm="1">
        <f t="array" ref="D292">GetValue("Dmn",C292,"Name")</f>
        <v>ISSN</v>
      </c>
      <c r="E292" cm="1">
        <f t="array" ref="E292">GetValue("Dmn",C292,"TypeId")</f>
        <v>20</v>
      </c>
      <c r="F292" t="str" cm="1">
        <f t="array" ref="F292">GetValue("EngTyp",A292&amp;";"&amp;E292,"Name")</f>
        <v>VARGRAPHIC</v>
      </c>
      <c r="G292" cm="1">
        <f t="array" ref="G292">GetValue("Dmn",C292,"Length")</f>
        <v>8</v>
      </c>
      <c r="H292" t="str" cm="1">
        <f t="array" ref="H292">GetValue("Dmn",C292,"Decimals")</f>
        <v/>
      </c>
      <c r="I292" t="str" cm="1">
        <f t="array" ref="I292">GetDataType(F292,G292,H292)</f>
        <v>VARGRAPHIC(8)</v>
      </c>
    </row>
    <row r="293" spans="1:9" x14ac:dyDescent="0.3">
      <c r="A293">
        <v>10</v>
      </c>
      <c r="B293" t="str" cm="1">
        <f t="array" ref="B293">GetValue("Eng",A293,"Name")</f>
        <v>DB2</v>
      </c>
      <c r="C293">
        <f t="shared" si="8"/>
        <v>28</v>
      </c>
      <c r="D293" t="str" cm="1">
        <f t="array" ref="D293">GetValue("Dmn",C293,"Name")</f>
        <v>JS</v>
      </c>
      <c r="E293" cm="1">
        <f t="array" ref="E293">GetValue("Dmn",C293,"TypeId")</f>
        <v>21</v>
      </c>
      <c r="F293" t="str" cm="1">
        <f t="array" ref="F293">GetValue("EngTyp",A293&amp;";"&amp;E293,"Name")</f>
        <v>CLOB</v>
      </c>
      <c r="G293" t="str" cm="1">
        <f t="array" ref="G293">GetValue("Dmn",C293,"Length")</f>
        <v/>
      </c>
      <c r="H293" t="str" cm="1">
        <f t="array" ref="H293">GetValue("Dmn",C293,"Decimals")</f>
        <v/>
      </c>
      <c r="I293" t="str" cm="1">
        <f t="array" ref="I293">GetDataType(F293,G293,H293)</f>
        <v>CLOB</v>
      </c>
    </row>
    <row r="294" spans="1:9" x14ac:dyDescent="0.3">
      <c r="A294">
        <v>10</v>
      </c>
      <c r="B294" t="str" cm="1">
        <f t="array" ref="B294">GetValue("Eng",A294,"Name")</f>
        <v>DB2</v>
      </c>
      <c r="C294">
        <f t="shared" si="8"/>
        <v>29</v>
      </c>
      <c r="D294" t="str" cm="1">
        <f t="array" ref="D294">GetValue("Dmn",C294,"Name")</f>
        <v>SQL</v>
      </c>
      <c r="E294" cm="1">
        <f t="array" ref="E294">GetValue("Dmn",C294,"TypeId")</f>
        <v>21</v>
      </c>
      <c r="F294" t="str" cm="1">
        <f t="array" ref="F294">GetValue("EngTyp",A294&amp;";"&amp;E294,"Name")</f>
        <v>CLOB</v>
      </c>
      <c r="G294" t="str" cm="1">
        <f t="array" ref="G294">GetValue("Dmn",C294,"Length")</f>
        <v/>
      </c>
      <c r="H294" t="str" cm="1">
        <f t="array" ref="H294">GetValue("Dmn",C294,"Decimals")</f>
        <v/>
      </c>
      <c r="I294" t="str" cm="1">
        <f t="array" ref="I294">GetDataType(F294,G294,H294)</f>
        <v>CLOB</v>
      </c>
    </row>
    <row r="295" spans="1:9" x14ac:dyDescent="0.3">
      <c r="A295">
        <v>10</v>
      </c>
      <c r="B295" t="str" cm="1">
        <f t="array" ref="B295">GetValue("Eng",A295,"Name")</f>
        <v>DB2</v>
      </c>
      <c r="C295">
        <f t="shared" si="8"/>
        <v>30</v>
      </c>
      <c r="D295" t="str" cm="1">
        <f t="array" ref="D295">GetValue("Dmn",C295,"Name")</f>
        <v>Nvarchar(MAX)</v>
      </c>
      <c r="E295" cm="1">
        <f t="array" ref="E295">GetValue("Dmn",C295,"TypeId")</f>
        <v>21</v>
      </c>
      <c r="F295" t="str" cm="1">
        <f t="array" ref="F295">GetValue("EngTyp",A295&amp;";"&amp;E295,"Name")</f>
        <v>CLOB</v>
      </c>
      <c r="G295" t="str" cm="1">
        <f t="array" ref="G295">GetValue("Dmn",C295,"Length")</f>
        <v/>
      </c>
      <c r="H295" t="str" cm="1">
        <f t="array" ref="H295">GetValue("Dmn",C295,"Decimals")</f>
        <v/>
      </c>
      <c r="I295" t="str" cm="1">
        <f t="array" ref="I295">GetDataType(F295,G295,H295)</f>
        <v>CLOB</v>
      </c>
    </row>
    <row r="296" spans="1:9" x14ac:dyDescent="0.3">
      <c r="A296">
        <v>10</v>
      </c>
      <c r="B296" t="str" cm="1">
        <f t="array" ref="B296">GetValue("Eng",A296,"Name")</f>
        <v>DB2</v>
      </c>
      <c r="C296">
        <f t="shared" si="8"/>
        <v>31</v>
      </c>
      <c r="D296" t="str" cm="1">
        <f t="array" ref="D296">GetValue("Dmn",C296,"Name")</f>
        <v>JSON</v>
      </c>
      <c r="E296" cm="1">
        <f t="array" ref="E296">GetValue("Dmn",C296,"TypeId")</f>
        <v>21</v>
      </c>
      <c r="F296" t="str" cm="1">
        <f t="array" ref="F296">GetValue("EngTyp",A296&amp;";"&amp;E296,"Name")</f>
        <v>CLOB</v>
      </c>
      <c r="G296" t="str" cm="1">
        <f t="array" ref="G296">GetValue("Dmn",C296,"Length")</f>
        <v/>
      </c>
      <c r="H296" t="str" cm="1">
        <f t="array" ref="H296">GetValue("Dmn",C296,"Decimals")</f>
        <v/>
      </c>
      <c r="I296" t="str" cm="1">
        <f t="array" ref="I296">GetDataType(F296,G296,H296)</f>
        <v>CLOB</v>
      </c>
    </row>
    <row r="297" spans="1:9" x14ac:dyDescent="0.3">
      <c r="A297">
        <v>10</v>
      </c>
      <c r="B297" t="str" cm="1">
        <f t="array" ref="B297">GetValue("Eng",A297,"Name")</f>
        <v>DB2</v>
      </c>
      <c r="C297">
        <f t="shared" si="8"/>
        <v>32</v>
      </c>
      <c r="D297" t="str" cm="1">
        <f t="array" ref="D297">GetValue("Dmn",C297,"Name")</f>
        <v>Operator</v>
      </c>
      <c r="E297" cm="1">
        <f t="array" ref="E297">GetValue("Dmn",C297,"TypeId")</f>
        <v>4</v>
      </c>
      <c r="F297" t="str" cm="1">
        <f t="array" ref="F297">GetValue("EngTyp",A297&amp;";"&amp;E297,"Name")</f>
        <v>CHAR</v>
      </c>
      <c r="G297" cm="1">
        <f t="array" ref="G297">GetValue("Dmn",C297,"Length")</f>
        <v>1</v>
      </c>
      <c r="H297" t="str" cm="1">
        <f t="array" ref="H297">GetValue("Dmn",C297,"Decimals")</f>
        <v/>
      </c>
      <c r="I297" t="str" cm="1">
        <f t="array" ref="I297">GetDataType(F297,G297,H297)</f>
        <v>CHAR(1)</v>
      </c>
    </row>
    <row r="298" spans="1:9" x14ac:dyDescent="0.3">
      <c r="A298">
        <v>10</v>
      </c>
      <c r="B298" t="str" cm="1">
        <f t="array" ref="B298">GetValue("Eng",A298,"Name")</f>
        <v>DB2</v>
      </c>
      <c r="C298">
        <f t="shared" si="8"/>
        <v>33</v>
      </c>
      <c r="D298" t="str" cm="1">
        <f t="array" ref="D298">GetValue("Dmn",C298,"Name")</f>
        <v>Money</v>
      </c>
      <c r="E298" cm="1">
        <f t="array" ref="E298">GetValue("Dmn",C298,"TypeId")</f>
        <v>9</v>
      </c>
      <c r="F298" t="str" cm="1">
        <f t="array" ref="F298">GetValue("EngTyp",A298&amp;";"&amp;E298,"Name")</f>
        <v>DECIMAL</v>
      </c>
      <c r="G298" cm="1">
        <f t="array" ref="G298">GetValue("Dmn",C298,"Length")</f>
        <v>19</v>
      </c>
      <c r="H298" cm="1">
        <f t="array" ref="H298">GetValue("Dmn",C298,"Decimals")</f>
        <v>2</v>
      </c>
      <c r="I298" t="str" cm="1">
        <f t="array" ref="I298">GetDataType(F298,G298,H298)</f>
        <v>DECIMAL(19, 2)</v>
      </c>
    </row>
    <row r="299" spans="1:9" x14ac:dyDescent="0.3">
      <c r="A299">
        <v>10</v>
      </c>
      <c r="B299" t="str" cm="1">
        <f t="array" ref="B299">GetValue("Eng",A299,"Name")</f>
        <v>DB2</v>
      </c>
      <c r="C299">
        <v>1</v>
      </c>
      <c r="D299" t="str" cm="1">
        <f t="array" ref="D299">GetValue("Dmn",C299,"Name")</f>
        <v>BigInteger</v>
      </c>
      <c r="E299" cm="1">
        <f t="array" ref="E299">GetValue("Dmn",C299,"TypeId")</f>
        <v>1</v>
      </c>
      <c r="F299" t="str" cm="1">
        <f t="array" ref="F299">GetValue("EngTyp",A299&amp;";"&amp;E299,"Name")</f>
        <v>BIGINT</v>
      </c>
      <c r="G299" t="str" cm="1">
        <f t="array" ref="G299">GetValue("Dmn",C299,"Length")</f>
        <v/>
      </c>
      <c r="H299" t="str" cm="1">
        <f t="array" ref="H299">GetValue("Dmn",C299,"Decimals")</f>
        <v/>
      </c>
      <c r="I299" t="str" cm="1">
        <f t="array" ref="I299">GetDataType(F299,G299,H299)</f>
        <v>BIGINT</v>
      </c>
    </row>
    <row r="300" spans="1:9" x14ac:dyDescent="0.3">
      <c r="A300">
        <v>10</v>
      </c>
      <c r="B300" t="str" cm="1">
        <f t="array" ref="B300">GetValue("Eng",A300,"Name")</f>
        <v>DB2</v>
      </c>
      <c r="C300">
        <f>C299+1</f>
        <v>2</v>
      </c>
      <c r="D300" t="str" cm="1">
        <f t="array" ref="D300">GetValue("Dmn",C300,"Name")</f>
        <v>Integer</v>
      </c>
      <c r="E300" cm="1">
        <f t="array" ref="E300">GetValue("Dmn",C300,"TypeId")</f>
        <v>15</v>
      </c>
      <c r="F300" t="str" cm="1">
        <f t="array" ref="F300">GetValue("EngTyp",A300&amp;";"&amp;E300,"Name")</f>
        <v>INTEGER</v>
      </c>
      <c r="G300" t="str" cm="1">
        <f t="array" ref="G300">GetValue("Dmn",C300,"Length")</f>
        <v/>
      </c>
      <c r="H300" t="str" cm="1">
        <f t="array" ref="H300">GetValue("Dmn",C300,"Decimals")</f>
        <v/>
      </c>
      <c r="I300" t="str" cm="1">
        <f t="array" ref="I300">GetDataType(F300,G300,H300)</f>
        <v>INTEGER</v>
      </c>
    </row>
    <row r="301" spans="1:9" x14ac:dyDescent="0.3">
      <c r="A301">
        <v>10</v>
      </c>
      <c r="B301" t="str" cm="1">
        <f t="array" ref="B301">GetValue("Eng",A301,"Name")</f>
        <v>DB2</v>
      </c>
      <c r="C301">
        <f t="shared" ref="C301:C331" si="9">C300+1</f>
        <v>3</v>
      </c>
      <c r="D301" t="str" cm="1">
        <f t="array" ref="D301">GetValue("Dmn",C301,"Name")</f>
        <v>ShortInteger</v>
      </c>
      <c r="E301" cm="1">
        <f t="array" ref="E301">GetValue("Dmn",C301,"TypeId")</f>
        <v>15</v>
      </c>
      <c r="F301" t="str" cm="1">
        <f t="array" ref="F301">GetValue("EngTyp",A301&amp;";"&amp;E301,"Name")</f>
        <v>INTEGER</v>
      </c>
      <c r="G301" t="str" cm="1">
        <f t="array" ref="G301">GetValue("Dmn",C301,"Length")</f>
        <v/>
      </c>
      <c r="H301" t="str" cm="1">
        <f t="array" ref="H301">GetValue("Dmn",C301,"Decimals")</f>
        <v/>
      </c>
      <c r="I301" t="str" cm="1">
        <f t="array" ref="I301">GetDataType(F301,G301,H301)</f>
        <v>INTEGER</v>
      </c>
    </row>
    <row r="302" spans="1:9" x14ac:dyDescent="0.3">
      <c r="A302">
        <v>10</v>
      </c>
      <c r="B302" t="str" cm="1">
        <f t="array" ref="B302">GetValue("Eng",A302,"Name")</f>
        <v>DB2</v>
      </c>
      <c r="C302">
        <f t="shared" si="9"/>
        <v>4</v>
      </c>
      <c r="D302" t="str" cm="1">
        <f t="array" ref="D302">GetValue("Dmn",C302,"Name")</f>
        <v>SmallInteger</v>
      </c>
      <c r="E302" cm="1">
        <f t="array" ref="E302">GetValue("Dmn",C302,"TypeId")</f>
        <v>24</v>
      </c>
      <c r="F302" t="str" cm="1">
        <f t="array" ref="F302">GetValue("EngTyp",A302&amp;";"&amp;E302,"Name")</f>
        <v>SMALLINT</v>
      </c>
      <c r="G302" t="str" cm="1">
        <f t="array" ref="G302">GetValue("Dmn",C302,"Length")</f>
        <v/>
      </c>
      <c r="H302" t="str" cm="1">
        <f t="array" ref="H302">GetValue("Dmn",C302,"Decimals")</f>
        <v/>
      </c>
      <c r="I302" t="str" cm="1">
        <f t="array" ref="I302">GetDataType(F302,G302,H302)</f>
        <v>SMALLINT</v>
      </c>
    </row>
    <row r="303" spans="1:9" x14ac:dyDescent="0.3">
      <c r="A303">
        <v>10</v>
      </c>
      <c r="B303" t="str" cm="1">
        <f t="array" ref="B303">GetValue("Eng",A303,"Name")</f>
        <v>DB2</v>
      </c>
      <c r="C303">
        <f t="shared" si="9"/>
        <v>5</v>
      </c>
      <c r="D303" t="str" cm="1">
        <f t="array" ref="D303">GetValue("Dmn",C303,"Name")</f>
        <v>TinyInteger</v>
      </c>
      <c r="E303" cm="1">
        <f t="array" ref="E303">GetValue("Dmn",C303,"TypeId")</f>
        <v>31</v>
      </c>
      <c r="F303" t="str" cm="1">
        <f t="array" ref="F303">GetValue("EngTyp",A303&amp;";"&amp;E303,"Name")</f>
        <v>SMALLINT</v>
      </c>
      <c r="G303" t="str" cm="1">
        <f t="array" ref="G303">GetValue("Dmn",C303,"Length")</f>
        <v/>
      </c>
      <c r="H303" t="str" cm="1">
        <f t="array" ref="H303">GetValue("Dmn",C303,"Decimals")</f>
        <v/>
      </c>
      <c r="I303" t="str" cm="1">
        <f t="array" ref="I303">GetDataType(F303,G303,H303)</f>
        <v>SMALLINT</v>
      </c>
    </row>
    <row r="304" spans="1:9" x14ac:dyDescent="0.3">
      <c r="A304">
        <v>10</v>
      </c>
      <c r="B304" t="str" cm="1">
        <f t="array" ref="B304">GetValue("Eng",A304,"Name")</f>
        <v>DB2</v>
      </c>
      <c r="C304">
        <f t="shared" si="9"/>
        <v>6</v>
      </c>
      <c r="D304" t="str" cm="1">
        <f t="array" ref="D304">GetValue("Dmn",C304,"Name")</f>
        <v>Boolean</v>
      </c>
      <c r="E304" cm="1">
        <f t="array" ref="E304">GetValue("Dmn",C304,"TypeId")</f>
        <v>3</v>
      </c>
      <c r="F304" t="str" cm="1">
        <f t="array" ref="F304">GetValue("EngTyp",A304&amp;";"&amp;E304,"Name")</f>
        <v>SMALLINT</v>
      </c>
      <c r="G304" t="str" cm="1">
        <f t="array" ref="G304">GetValue("Dmn",C304,"Length")</f>
        <v/>
      </c>
      <c r="H304" t="str" cm="1">
        <f t="array" ref="H304">GetValue("Dmn",C304,"Decimals")</f>
        <v/>
      </c>
      <c r="I304" t="str" cm="1">
        <f t="array" ref="I304">GetDataType(F304,G304,H304)</f>
        <v>SMALLINT</v>
      </c>
    </row>
    <row r="305" spans="1:9" x14ac:dyDescent="0.3">
      <c r="A305">
        <v>10</v>
      </c>
      <c r="B305" t="str" cm="1">
        <f t="array" ref="B305">GetValue("Eng",A305,"Name")</f>
        <v>DB2</v>
      </c>
      <c r="C305">
        <f t="shared" si="9"/>
        <v>7</v>
      </c>
      <c r="D305" t="str" cm="1">
        <f t="array" ref="D305">GetValue("Dmn",C305,"Name")</f>
        <v>DateTime</v>
      </c>
      <c r="E305" cm="1">
        <f t="array" ref="E305">GetValue("Dmn",C305,"TypeId")</f>
        <v>6</v>
      </c>
      <c r="F305" t="str" cm="1">
        <f t="array" ref="F305">GetValue("EngTyp",A305&amp;";"&amp;E305,"Name")</f>
        <v>TIMESTAMP</v>
      </c>
      <c r="G305" t="str" cm="1">
        <f t="array" ref="G305">GetValue("Dmn",C305,"Length")</f>
        <v/>
      </c>
      <c r="H305" t="str" cm="1">
        <f t="array" ref="H305">GetValue("Dmn",C305,"Decimals")</f>
        <v/>
      </c>
      <c r="I305" t="str" cm="1">
        <f t="array" ref="I305">GetDataType(F305,G305,H305)</f>
        <v>TIMESTAMP</v>
      </c>
    </row>
    <row r="306" spans="1:9" x14ac:dyDescent="0.3">
      <c r="A306">
        <v>10</v>
      </c>
      <c r="B306" t="str" cm="1">
        <f t="array" ref="B306">GetValue("Eng",A306,"Name")</f>
        <v>DB2</v>
      </c>
      <c r="C306">
        <f t="shared" si="9"/>
        <v>8</v>
      </c>
      <c r="D306" t="str" cm="1">
        <f t="array" ref="D306">GetValue("Dmn",C306,"Name")</f>
        <v>Nvarchar(15)</v>
      </c>
      <c r="E306" cm="1">
        <f t="array" ref="E306">GetValue("Dmn",C306,"TypeId")</f>
        <v>20</v>
      </c>
      <c r="F306" t="str" cm="1">
        <f t="array" ref="F306">GetValue("EngTyp",A306&amp;";"&amp;E306,"Name")</f>
        <v>VARGRAPHIC</v>
      </c>
      <c r="G306" cm="1">
        <f t="array" ref="G306">GetValue("Dmn",C306,"Length")</f>
        <v>15</v>
      </c>
      <c r="H306" t="str" cm="1">
        <f t="array" ref="H306">GetValue("Dmn",C306,"Decimals")</f>
        <v/>
      </c>
      <c r="I306" t="str" cm="1">
        <f t="array" ref="I306">GetDataType(F306,G306,H306)</f>
        <v>VARGRAPHIC(15)</v>
      </c>
    </row>
    <row r="307" spans="1:9" x14ac:dyDescent="0.3">
      <c r="A307">
        <v>10</v>
      </c>
      <c r="B307" t="str" cm="1">
        <f t="array" ref="B307">GetValue("Eng",A307,"Name")</f>
        <v>DB2</v>
      </c>
      <c r="C307">
        <f t="shared" si="9"/>
        <v>9</v>
      </c>
      <c r="D307" t="str" cm="1">
        <f t="array" ref="D307">GetValue("Dmn",C307,"Name")</f>
        <v>Nvarchar(20)</v>
      </c>
      <c r="E307" cm="1">
        <f t="array" ref="E307">GetValue("Dmn",C307,"TypeId")</f>
        <v>20</v>
      </c>
      <c r="F307" t="str" cm="1">
        <f t="array" ref="F307">GetValue("EngTyp",A307&amp;";"&amp;E307,"Name")</f>
        <v>VARGRAPHIC</v>
      </c>
      <c r="G307" cm="1">
        <f t="array" ref="G307">GetValue("Dmn",C307,"Length")</f>
        <v>20</v>
      </c>
      <c r="H307" t="str" cm="1">
        <f t="array" ref="H307">GetValue("Dmn",C307,"Decimals")</f>
        <v/>
      </c>
      <c r="I307" t="str" cm="1">
        <f t="array" ref="I307">GetDataType(F307,G307,H307)</f>
        <v>VARGRAPHIC(20)</v>
      </c>
    </row>
    <row r="308" spans="1:9" x14ac:dyDescent="0.3">
      <c r="A308">
        <v>10</v>
      </c>
      <c r="B308" t="str" cm="1">
        <f t="array" ref="B308">GetValue("Eng",A308,"Name")</f>
        <v>DB2</v>
      </c>
      <c r="C308">
        <f t="shared" si="9"/>
        <v>10</v>
      </c>
      <c r="D308" t="str" cm="1">
        <f t="array" ref="D308">GetValue("Dmn",C308,"Name")</f>
        <v>Nvarchar(25)</v>
      </c>
      <c r="E308" cm="1">
        <f t="array" ref="E308">GetValue("Dmn",C308,"TypeId")</f>
        <v>20</v>
      </c>
      <c r="F308" t="str" cm="1">
        <f t="array" ref="F308">GetValue("EngTyp",A308&amp;";"&amp;E308,"Name")</f>
        <v>VARGRAPHIC</v>
      </c>
      <c r="G308" cm="1">
        <f t="array" ref="G308">GetValue("Dmn",C308,"Length")</f>
        <v>25</v>
      </c>
      <c r="H308" t="str" cm="1">
        <f t="array" ref="H308">GetValue("Dmn",C308,"Decimals")</f>
        <v/>
      </c>
      <c r="I308" t="str" cm="1">
        <f t="array" ref="I308">GetDataType(F308,G308,H308)</f>
        <v>VARGRAPHIC(25)</v>
      </c>
    </row>
    <row r="309" spans="1:9" x14ac:dyDescent="0.3">
      <c r="A309">
        <v>10</v>
      </c>
      <c r="B309" t="str" cm="1">
        <f t="array" ref="B309">GetValue("Eng",A309,"Name")</f>
        <v>DB2</v>
      </c>
      <c r="C309">
        <f t="shared" si="9"/>
        <v>11</v>
      </c>
      <c r="D309" t="str" cm="1">
        <f t="array" ref="D309">GetValue("Dmn",C309,"Name")</f>
        <v>Nvarchar(50)</v>
      </c>
      <c r="E309" cm="1">
        <f t="array" ref="E309">GetValue("Dmn",C309,"TypeId")</f>
        <v>20</v>
      </c>
      <c r="F309" t="str" cm="1">
        <f t="array" ref="F309">GetValue("EngTyp",A309&amp;";"&amp;E309,"Name")</f>
        <v>VARGRAPHIC</v>
      </c>
      <c r="G309" cm="1">
        <f t="array" ref="G309">GetValue("Dmn",C309,"Length")</f>
        <v>50</v>
      </c>
      <c r="H309" t="str" cm="1">
        <f t="array" ref="H309">GetValue("Dmn",C309,"Decimals")</f>
        <v/>
      </c>
      <c r="I309" t="str" cm="1">
        <f t="array" ref="I309">GetDataType(F309,G309,H309)</f>
        <v>VARGRAPHIC(50)</v>
      </c>
    </row>
    <row r="310" spans="1:9" x14ac:dyDescent="0.3">
      <c r="A310">
        <v>10</v>
      </c>
      <c r="B310" t="str" cm="1">
        <f t="array" ref="B310">GetValue("Eng",A310,"Name")</f>
        <v>DB2</v>
      </c>
      <c r="C310">
        <f t="shared" si="9"/>
        <v>12</v>
      </c>
      <c r="D310" t="str" cm="1">
        <f t="array" ref="D310">GetValue("Dmn",C310,"Name")</f>
        <v>Nvarchar(256)</v>
      </c>
      <c r="E310" cm="1">
        <f t="array" ref="E310">GetValue("Dmn",C310,"TypeId")</f>
        <v>20</v>
      </c>
      <c r="F310" t="str" cm="1">
        <f t="array" ref="F310">GetValue("EngTyp",A310&amp;";"&amp;E310,"Name")</f>
        <v>VARGRAPHIC</v>
      </c>
      <c r="G310" cm="1">
        <f t="array" ref="G310">GetValue("Dmn",C310,"Length")</f>
        <v>256</v>
      </c>
      <c r="H310" t="str" cm="1">
        <f t="array" ref="H310">GetValue("Dmn",C310,"Decimals")</f>
        <v/>
      </c>
      <c r="I310" t="str" cm="1">
        <f t="array" ref="I310">GetDataType(F310,G310,H310)</f>
        <v>VARGRAPHIC(256)</v>
      </c>
    </row>
    <row r="311" spans="1:9" x14ac:dyDescent="0.3">
      <c r="A311">
        <v>10</v>
      </c>
      <c r="B311" t="str" cm="1">
        <f t="array" ref="B311">GetValue("Eng",A311,"Name")</f>
        <v>DB2</v>
      </c>
      <c r="C311">
        <f t="shared" si="9"/>
        <v>13</v>
      </c>
      <c r="D311" t="str" cm="1">
        <f t="array" ref="D311">GetValue("Dmn",C311,"Name")</f>
        <v>Variant</v>
      </c>
      <c r="E311" cm="1">
        <f t="array" ref="E311">GetValue("Dmn",C311,"TypeId")</f>
        <v>20</v>
      </c>
      <c r="F311" t="str" cm="1">
        <f t="array" ref="F311">GetValue("EngTyp",A311&amp;";"&amp;E311,"Name")</f>
        <v>VARGRAPHIC</v>
      </c>
      <c r="G311" t="str" cm="1">
        <f t="array" ref="G311">GetValue("Dmn",C311,"Length")</f>
        <v/>
      </c>
      <c r="H311" t="str" cm="1">
        <f t="array" ref="H311">GetValue("Dmn",C311,"Decimals")</f>
        <v/>
      </c>
      <c r="I311" t="str" cm="1">
        <f t="array" ref="I311">GetDataType(F311,G311,H311)</f>
        <v>VARGRAPHIC</v>
      </c>
    </row>
    <row r="312" spans="1:9" x14ac:dyDescent="0.3">
      <c r="A312">
        <v>10</v>
      </c>
      <c r="B312" t="str" cm="1">
        <f t="array" ref="B312">GetValue("Eng",A312,"Name")</f>
        <v>DB2</v>
      </c>
      <c r="C312">
        <f t="shared" si="9"/>
        <v>14</v>
      </c>
      <c r="D312" t="str" cm="1">
        <f t="array" ref="D312">GetValue("Dmn",C312,"Name")</f>
        <v>Codification</v>
      </c>
      <c r="E312" cm="1">
        <f t="array" ref="E312">GetValue("Dmn",C312,"TypeId")</f>
        <v>20</v>
      </c>
      <c r="F312" t="str" cm="1">
        <f t="array" ref="F312">GetValue("EngTyp",A312&amp;";"&amp;E312,"Name")</f>
        <v>VARGRAPHIC</v>
      </c>
      <c r="G312" cm="1">
        <f t="array" ref="G312">GetValue("Dmn",C312,"Length")</f>
        <v>5</v>
      </c>
      <c r="H312" t="str" cm="1">
        <f t="array" ref="H312">GetValue("Dmn",C312,"Decimals")</f>
        <v/>
      </c>
      <c r="I312" t="str" cm="1">
        <f t="array" ref="I312">GetDataType(F312,G312,H312)</f>
        <v>VARGRAPHIC(5)</v>
      </c>
    </row>
    <row r="313" spans="1:9" x14ac:dyDescent="0.3">
      <c r="A313">
        <v>10</v>
      </c>
      <c r="B313" t="str" cm="1">
        <f t="array" ref="B313">GetValue("Eng",A313,"Name")</f>
        <v>DB2</v>
      </c>
      <c r="C313">
        <f t="shared" si="9"/>
        <v>15</v>
      </c>
      <c r="D313" t="str" cm="1">
        <f t="array" ref="D313">GetValue("Dmn",C313,"Name")</f>
        <v>Operation</v>
      </c>
      <c r="E313" cm="1">
        <f t="array" ref="E313">GetValue("Dmn",C313,"TypeId")</f>
        <v>20</v>
      </c>
      <c r="F313" t="str" cm="1">
        <f t="array" ref="F313">GetValue("EngTyp",A313&amp;";"&amp;E313,"Name")</f>
        <v>VARGRAPHIC</v>
      </c>
      <c r="G313" cm="1">
        <f t="array" ref="G313">GetValue("Dmn",C313,"Length")</f>
        <v>15</v>
      </c>
      <c r="H313" t="str" cm="1">
        <f t="array" ref="H313">GetValue("Dmn",C313,"Decimals")</f>
        <v/>
      </c>
      <c r="I313" t="str" cm="1">
        <f t="array" ref="I313">GetDataType(F313,G313,H313)</f>
        <v>VARGRAPHIC(15)</v>
      </c>
    </row>
    <row r="314" spans="1:9" x14ac:dyDescent="0.3">
      <c r="A314">
        <v>10</v>
      </c>
      <c r="B314" t="str" cm="1">
        <f t="array" ref="B314">GetValue("Eng",A314,"Name")</f>
        <v>DB2</v>
      </c>
      <c r="C314">
        <f t="shared" si="9"/>
        <v>16</v>
      </c>
      <c r="D314" t="str" cm="1">
        <f t="array" ref="D314">GetValue("Dmn",C314,"Name")</f>
        <v>RAIZ CNPJ</v>
      </c>
      <c r="E314" cm="1">
        <f t="array" ref="E314">GetValue("Dmn",C314,"TypeId")</f>
        <v>20</v>
      </c>
      <c r="F314" t="str" cm="1">
        <f t="array" ref="F314">GetValue("EngTyp",A314&amp;";"&amp;E314,"Name")</f>
        <v>VARGRAPHIC</v>
      </c>
      <c r="G314" cm="1">
        <f t="array" ref="G314">GetValue("Dmn",C314,"Length")</f>
        <v>8</v>
      </c>
      <c r="H314" t="str" cm="1">
        <f t="array" ref="H314">GetValue("Dmn",C314,"Decimals")</f>
        <v/>
      </c>
      <c r="I314" t="str" cm="1">
        <f t="array" ref="I314">GetDataType(F314,G314,H314)</f>
        <v>VARGRAPHIC(8)</v>
      </c>
    </row>
    <row r="315" spans="1:9" x14ac:dyDescent="0.3">
      <c r="A315">
        <v>10</v>
      </c>
      <c r="B315" t="str" cm="1">
        <f t="array" ref="B315">GetValue("Eng",A315,"Name")</f>
        <v>DB2</v>
      </c>
      <c r="C315">
        <f t="shared" si="9"/>
        <v>17</v>
      </c>
      <c r="D315" t="str" cm="1">
        <f t="array" ref="D315">GetValue("Dmn",C315,"Name")</f>
        <v>CPF</v>
      </c>
      <c r="E315" cm="1">
        <f t="array" ref="E315">GetValue("Dmn",C315,"TypeId")</f>
        <v>20</v>
      </c>
      <c r="F315" t="str" cm="1">
        <f t="array" ref="F315">GetValue("EngTyp",A315&amp;";"&amp;E315,"Name")</f>
        <v>VARGRAPHIC</v>
      </c>
      <c r="G315" cm="1">
        <f t="array" ref="G315">GetValue("Dmn",C315,"Length")</f>
        <v>11</v>
      </c>
      <c r="H315" t="str" cm="1">
        <f t="array" ref="H315">GetValue("Dmn",C315,"Decimals")</f>
        <v/>
      </c>
      <c r="I315" t="str" cm="1">
        <f t="array" ref="I315">GetDataType(F315,G315,H315)</f>
        <v>VARGRAPHIC(11)</v>
      </c>
    </row>
    <row r="316" spans="1:9" x14ac:dyDescent="0.3">
      <c r="A316">
        <v>10</v>
      </c>
      <c r="B316" t="str" cm="1">
        <f t="array" ref="B316">GetValue("Eng",A316,"Name")</f>
        <v>DB2</v>
      </c>
      <c r="C316">
        <f t="shared" si="9"/>
        <v>18</v>
      </c>
      <c r="D316" t="str" cm="1">
        <f t="array" ref="D316">GetValue("Dmn",C316,"Name")</f>
        <v>CNPJ</v>
      </c>
      <c r="E316" cm="1">
        <f t="array" ref="E316">GetValue("Dmn",C316,"TypeId")</f>
        <v>20</v>
      </c>
      <c r="F316" t="str" cm="1">
        <f t="array" ref="F316">GetValue("EngTyp",A316&amp;";"&amp;E316,"Name")</f>
        <v>VARGRAPHIC</v>
      </c>
      <c r="G316" cm="1">
        <f t="array" ref="G316">GetValue("Dmn",C316,"Length")</f>
        <v>14</v>
      </c>
      <c r="H316" t="str" cm="1">
        <f t="array" ref="H316">GetValue("Dmn",C316,"Decimals")</f>
        <v/>
      </c>
      <c r="I316" t="str" cm="1">
        <f t="array" ref="I316">GetDataType(F316,G316,H316)</f>
        <v>VARGRAPHIC(14)</v>
      </c>
    </row>
    <row r="317" spans="1:9" x14ac:dyDescent="0.3">
      <c r="A317">
        <v>10</v>
      </c>
      <c r="B317" t="str" cm="1">
        <f t="array" ref="B317">GetValue("Eng",A317,"Name")</f>
        <v>DB2</v>
      </c>
      <c r="C317">
        <f t="shared" si="9"/>
        <v>19</v>
      </c>
      <c r="D317" t="str" cm="1">
        <f t="array" ref="D317">GetValue("Dmn",C317,"Name")</f>
        <v>RAIZ/CPF/CNPJ</v>
      </c>
      <c r="E317" cm="1">
        <f t="array" ref="E317">GetValue("Dmn",C317,"TypeId")</f>
        <v>20</v>
      </c>
      <c r="F317" t="str" cm="1">
        <f t="array" ref="F317">GetValue("EngTyp",A317&amp;";"&amp;E317,"Name")</f>
        <v>VARGRAPHIC</v>
      </c>
      <c r="G317" cm="1">
        <f t="array" ref="G317">GetValue("Dmn",C317,"Length")</f>
        <v>14</v>
      </c>
      <c r="H317" t="str" cm="1">
        <f t="array" ref="H317">GetValue("Dmn",C317,"Decimals")</f>
        <v/>
      </c>
      <c r="I317" t="str" cm="1">
        <f t="array" ref="I317">GetDataType(F317,G317,H317)</f>
        <v>VARGRAPHIC(14)</v>
      </c>
    </row>
    <row r="318" spans="1:9" x14ac:dyDescent="0.3">
      <c r="A318">
        <v>10</v>
      </c>
      <c r="B318" t="str" cm="1">
        <f t="array" ref="B318">GetValue("Eng",A318,"Name")</f>
        <v>DB2</v>
      </c>
      <c r="C318">
        <f t="shared" si="9"/>
        <v>20</v>
      </c>
      <c r="D318" t="str" cm="1">
        <f t="array" ref="D318">GetValue("Dmn",C318,"Name")</f>
        <v>CAEPF</v>
      </c>
      <c r="E318" cm="1">
        <f t="array" ref="E318">GetValue("Dmn",C318,"TypeId")</f>
        <v>20</v>
      </c>
      <c r="F318" t="str" cm="1">
        <f t="array" ref="F318">GetValue("EngTyp",A318&amp;";"&amp;E318,"Name")</f>
        <v>VARGRAPHIC</v>
      </c>
      <c r="G318" cm="1">
        <f t="array" ref="G318">GetValue("Dmn",C318,"Length")</f>
        <v>14</v>
      </c>
      <c r="H318" t="str" cm="1">
        <f t="array" ref="H318">GetValue("Dmn",C318,"Decimals")</f>
        <v/>
      </c>
      <c r="I318" t="str" cm="1">
        <f t="array" ref="I318">GetDataType(F318,G318,H318)</f>
        <v>VARGRAPHIC(14)</v>
      </c>
    </row>
    <row r="319" spans="1:9" x14ac:dyDescent="0.3">
      <c r="A319">
        <v>10</v>
      </c>
      <c r="B319" t="str" cm="1">
        <f t="array" ref="B319">GetValue("Eng",A319,"Name")</f>
        <v>DB2</v>
      </c>
      <c r="C319">
        <f t="shared" si="9"/>
        <v>21</v>
      </c>
      <c r="D319" t="str" cm="1">
        <f t="array" ref="D319">GetValue("Dmn",C319,"Name")</f>
        <v>CREDIT CARD</v>
      </c>
      <c r="E319" cm="1">
        <f t="array" ref="E319">GetValue("Dmn",C319,"TypeId")</f>
        <v>20</v>
      </c>
      <c r="F319" t="str" cm="1">
        <f t="array" ref="F319">GetValue("EngTyp",A319&amp;";"&amp;E319,"Name")</f>
        <v>VARGRAPHIC</v>
      </c>
      <c r="G319" cm="1">
        <f t="array" ref="G319">GetValue("Dmn",C319,"Length")</f>
        <v>16</v>
      </c>
      <c r="H319" t="str" cm="1">
        <f t="array" ref="H319">GetValue("Dmn",C319,"Decimals")</f>
        <v/>
      </c>
      <c r="I319" t="str" cm="1">
        <f t="array" ref="I319">GetDataType(F319,G319,H319)</f>
        <v>VARGRAPHIC(16)</v>
      </c>
    </row>
    <row r="320" spans="1:9" x14ac:dyDescent="0.3">
      <c r="A320">
        <v>10</v>
      </c>
      <c r="B320" t="str" cm="1">
        <f t="array" ref="B320">GetValue("Eng",A320,"Name")</f>
        <v>DB2</v>
      </c>
      <c r="C320">
        <f t="shared" si="9"/>
        <v>22</v>
      </c>
      <c r="D320" t="str" cm="1">
        <f t="array" ref="D320">GetValue("Dmn",C320,"Name")</f>
        <v>RENAVAM</v>
      </c>
      <c r="E320" cm="1">
        <f t="array" ref="E320">GetValue("Dmn",C320,"TypeId")</f>
        <v>20</v>
      </c>
      <c r="F320" t="str" cm="1">
        <f t="array" ref="F320">GetValue("EngTyp",A320&amp;";"&amp;E320,"Name")</f>
        <v>VARGRAPHIC</v>
      </c>
      <c r="G320" cm="1">
        <f t="array" ref="G320">GetValue("Dmn",C320,"Length")</f>
        <v>11</v>
      </c>
      <c r="H320" t="str" cm="1">
        <f t="array" ref="H320">GetValue("Dmn",C320,"Decimals")</f>
        <v/>
      </c>
      <c r="I320" t="str" cm="1">
        <f t="array" ref="I320">GetDataType(F320,G320,H320)</f>
        <v>VARGRAPHIC(11)</v>
      </c>
    </row>
    <row r="321" spans="1:9" x14ac:dyDescent="0.3">
      <c r="A321">
        <v>10</v>
      </c>
      <c r="B321" t="str" cm="1">
        <f t="array" ref="B321">GetValue("Eng",A321,"Name")</f>
        <v>DB2</v>
      </c>
      <c r="C321">
        <f t="shared" si="9"/>
        <v>23</v>
      </c>
      <c r="D321" t="str" cm="1">
        <f t="array" ref="D321">GetValue("Dmn",C321,"Name")</f>
        <v>EAN-8</v>
      </c>
      <c r="E321" cm="1">
        <f t="array" ref="E321">GetValue("Dmn",C321,"TypeId")</f>
        <v>20</v>
      </c>
      <c r="F321" t="str" cm="1">
        <f t="array" ref="F321">GetValue("EngTyp",A321&amp;";"&amp;E321,"Name")</f>
        <v>VARGRAPHIC</v>
      </c>
      <c r="G321" cm="1">
        <f t="array" ref="G321">GetValue("Dmn",C321,"Length")</f>
        <v>8</v>
      </c>
      <c r="H321" t="str" cm="1">
        <f t="array" ref="H321">GetValue("Dmn",C321,"Decimals")</f>
        <v/>
      </c>
      <c r="I321" t="str" cm="1">
        <f t="array" ref="I321">GetDataType(F321,G321,H321)</f>
        <v>VARGRAPHIC(8)</v>
      </c>
    </row>
    <row r="322" spans="1:9" x14ac:dyDescent="0.3">
      <c r="A322">
        <v>10</v>
      </c>
      <c r="B322" t="str" cm="1">
        <f t="array" ref="B322">GetValue("Eng",A322,"Name")</f>
        <v>DB2</v>
      </c>
      <c r="C322">
        <f t="shared" si="9"/>
        <v>24</v>
      </c>
      <c r="D322" t="str" cm="1">
        <f t="array" ref="D322">GetValue("Dmn",C322,"Name")</f>
        <v>EAN-13</v>
      </c>
      <c r="E322" cm="1">
        <f t="array" ref="E322">GetValue("Dmn",C322,"TypeId")</f>
        <v>20</v>
      </c>
      <c r="F322" t="str" cm="1">
        <f t="array" ref="F322">GetValue("EngTyp",A322&amp;";"&amp;E322,"Name")</f>
        <v>VARGRAPHIC</v>
      </c>
      <c r="G322" cm="1">
        <f t="array" ref="G322">GetValue("Dmn",C322,"Length")</f>
        <v>13</v>
      </c>
      <c r="H322" t="str" cm="1">
        <f t="array" ref="H322">GetValue("Dmn",C322,"Decimals")</f>
        <v/>
      </c>
      <c r="I322" t="str" cm="1">
        <f t="array" ref="I322">GetDataType(F322,G322,H322)</f>
        <v>VARGRAPHIC(13)</v>
      </c>
    </row>
    <row r="323" spans="1:9" x14ac:dyDescent="0.3">
      <c r="A323">
        <v>10</v>
      </c>
      <c r="B323" t="str" cm="1">
        <f t="array" ref="B323">GetValue("Eng",A323,"Name")</f>
        <v>DB2</v>
      </c>
      <c r="C323">
        <f t="shared" si="9"/>
        <v>25</v>
      </c>
      <c r="D323" t="str" cm="1">
        <f t="array" ref="D323">GetValue("Dmn",C323,"Name")</f>
        <v>ISBN-10</v>
      </c>
      <c r="E323" cm="1">
        <f t="array" ref="E323">GetValue("Dmn",C323,"TypeId")</f>
        <v>20</v>
      </c>
      <c r="F323" t="str" cm="1">
        <f t="array" ref="F323">GetValue("EngTyp",A323&amp;";"&amp;E323,"Name")</f>
        <v>VARGRAPHIC</v>
      </c>
      <c r="G323" cm="1">
        <f t="array" ref="G323">GetValue("Dmn",C323,"Length")</f>
        <v>10</v>
      </c>
      <c r="H323" t="str" cm="1">
        <f t="array" ref="H323">GetValue("Dmn",C323,"Decimals")</f>
        <v/>
      </c>
      <c r="I323" t="str" cm="1">
        <f t="array" ref="I323">GetDataType(F323,G323,H323)</f>
        <v>VARGRAPHIC(10)</v>
      </c>
    </row>
    <row r="324" spans="1:9" x14ac:dyDescent="0.3">
      <c r="A324">
        <v>10</v>
      </c>
      <c r="B324" t="str" cm="1">
        <f t="array" ref="B324">GetValue("Eng",A324,"Name")</f>
        <v>DB2</v>
      </c>
      <c r="C324">
        <f t="shared" si="9"/>
        <v>26</v>
      </c>
      <c r="D324" t="str" cm="1">
        <f t="array" ref="D324">GetValue("Dmn",C324,"Name")</f>
        <v>ISBN-13</v>
      </c>
      <c r="E324" cm="1">
        <f t="array" ref="E324">GetValue("Dmn",C324,"TypeId")</f>
        <v>20</v>
      </c>
      <c r="F324" t="str" cm="1">
        <f t="array" ref="F324">GetValue("EngTyp",A324&amp;";"&amp;E324,"Name")</f>
        <v>VARGRAPHIC</v>
      </c>
      <c r="G324" cm="1">
        <f t="array" ref="G324">GetValue("Dmn",C324,"Length")</f>
        <v>13</v>
      </c>
      <c r="H324" t="str" cm="1">
        <f t="array" ref="H324">GetValue("Dmn",C324,"Decimals")</f>
        <v/>
      </c>
      <c r="I324" t="str" cm="1">
        <f t="array" ref="I324">GetDataType(F324,G324,H324)</f>
        <v>VARGRAPHIC(13)</v>
      </c>
    </row>
    <row r="325" spans="1:9" x14ac:dyDescent="0.3">
      <c r="A325">
        <v>10</v>
      </c>
      <c r="B325" t="str" cm="1">
        <f t="array" ref="B325">GetValue("Eng",A325,"Name")</f>
        <v>DB2</v>
      </c>
      <c r="C325">
        <f t="shared" si="9"/>
        <v>27</v>
      </c>
      <c r="D325" t="str" cm="1">
        <f t="array" ref="D325">GetValue("Dmn",C325,"Name")</f>
        <v>ISSN</v>
      </c>
      <c r="E325" cm="1">
        <f t="array" ref="E325">GetValue("Dmn",C325,"TypeId")</f>
        <v>20</v>
      </c>
      <c r="F325" t="str" cm="1">
        <f t="array" ref="F325">GetValue("EngTyp",A325&amp;";"&amp;E325,"Name")</f>
        <v>VARGRAPHIC</v>
      </c>
      <c r="G325" cm="1">
        <f t="array" ref="G325">GetValue("Dmn",C325,"Length")</f>
        <v>8</v>
      </c>
      <c r="H325" t="str" cm="1">
        <f t="array" ref="H325">GetValue("Dmn",C325,"Decimals")</f>
        <v/>
      </c>
      <c r="I325" t="str" cm="1">
        <f t="array" ref="I325">GetDataType(F325,G325,H325)</f>
        <v>VARGRAPHIC(8)</v>
      </c>
    </row>
    <row r="326" spans="1:9" x14ac:dyDescent="0.3">
      <c r="A326">
        <v>10</v>
      </c>
      <c r="B326" t="str" cm="1">
        <f t="array" ref="B326">GetValue("Eng",A326,"Name")</f>
        <v>DB2</v>
      </c>
      <c r="C326">
        <f t="shared" si="9"/>
        <v>28</v>
      </c>
      <c r="D326" t="str" cm="1">
        <f t="array" ref="D326">GetValue("Dmn",C326,"Name")</f>
        <v>JS</v>
      </c>
      <c r="E326" cm="1">
        <f t="array" ref="E326">GetValue("Dmn",C326,"TypeId")</f>
        <v>21</v>
      </c>
      <c r="F326" t="str" cm="1">
        <f t="array" ref="F326">GetValue("EngTyp",A326&amp;";"&amp;E326,"Name")</f>
        <v>CLOB</v>
      </c>
      <c r="G326" t="str" cm="1">
        <f t="array" ref="G326">GetValue("Dmn",C326,"Length")</f>
        <v/>
      </c>
      <c r="H326" t="str" cm="1">
        <f t="array" ref="H326">GetValue("Dmn",C326,"Decimals")</f>
        <v/>
      </c>
      <c r="I326" t="str" cm="1">
        <f t="array" ref="I326">GetDataType(F326,G326,H326)</f>
        <v>CLOB</v>
      </c>
    </row>
    <row r="327" spans="1:9" x14ac:dyDescent="0.3">
      <c r="A327">
        <v>10</v>
      </c>
      <c r="B327" t="str" cm="1">
        <f t="array" ref="B327">GetValue("Eng",A327,"Name")</f>
        <v>DB2</v>
      </c>
      <c r="C327">
        <f t="shared" si="9"/>
        <v>29</v>
      </c>
      <c r="D327" t="str" cm="1">
        <f t="array" ref="D327">GetValue("Dmn",C327,"Name")</f>
        <v>SQL</v>
      </c>
      <c r="E327" cm="1">
        <f t="array" ref="E327">GetValue("Dmn",C327,"TypeId")</f>
        <v>21</v>
      </c>
      <c r="F327" t="str" cm="1">
        <f t="array" ref="F327">GetValue("EngTyp",A327&amp;";"&amp;E327,"Name")</f>
        <v>CLOB</v>
      </c>
      <c r="G327" t="str" cm="1">
        <f t="array" ref="G327">GetValue("Dmn",C327,"Length")</f>
        <v/>
      </c>
      <c r="H327" t="str" cm="1">
        <f t="array" ref="H327">GetValue("Dmn",C327,"Decimals")</f>
        <v/>
      </c>
      <c r="I327" t="str" cm="1">
        <f t="array" ref="I327">GetDataType(F327,G327,H327)</f>
        <v>CLOB</v>
      </c>
    </row>
    <row r="328" spans="1:9" x14ac:dyDescent="0.3">
      <c r="A328">
        <v>10</v>
      </c>
      <c r="B328" t="str" cm="1">
        <f t="array" ref="B328">GetValue("Eng",A328,"Name")</f>
        <v>DB2</v>
      </c>
      <c r="C328">
        <f t="shared" si="9"/>
        <v>30</v>
      </c>
      <c r="D328" t="str" cm="1">
        <f t="array" ref="D328">GetValue("Dmn",C328,"Name")</f>
        <v>Nvarchar(MAX)</v>
      </c>
      <c r="E328" cm="1">
        <f t="array" ref="E328">GetValue("Dmn",C328,"TypeId")</f>
        <v>21</v>
      </c>
      <c r="F328" t="str" cm="1">
        <f t="array" ref="F328">GetValue("EngTyp",A328&amp;";"&amp;E328,"Name")</f>
        <v>CLOB</v>
      </c>
      <c r="G328" t="str" cm="1">
        <f t="array" ref="G328">GetValue("Dmn",C328,"Length")</f>
        <v/>
      </c>
      <c r="H328" t="str" cm="1">
        <f t="array" ref="H328">GetValue("Dmn",C328,"Decimals")</f>
        <v/>
      </c>
      <c r="I328" t="str" cm="1">
        <f t="array" ref="I328">GetDataType(F328,G328,H328)</f>
        <v>CLOB</v>
      </c>
    </row>
    <row r="329" spans="1:9" x14ac:dyDescent="0.3">
      <c r="A329">
        <v>10</v>
      </c>
      <c r="B329" t="str" cm="1">
        <f t="array" ref="B329">GetValue("Eng",A329,"Name")</f>
        <v>DB2</v>
      </c>
      <c r="C329">
        <f t="shared" si="9"/>
        <v>31</v>
      </c>
      <c r="D329" t="str" cm="1">
        <f t="array" ref="D329">GetValue("Dmn",C329,"Name")</f>
        <v>JSON</v>
      </c>
      <c r="E329" cm="1">
        <f t="array" ref="E329">GetValue("Dmn",C329,"TypeId")</f>
        <v>21</v>
      </c>
      <c r="F329" t="str" cm="1">
        <f t="array" ref="F329">GetValue("EngTyp",A329&amp;";"&amp;E329,"Name")</f>
        <v>CLOB</v>
      </c>
      <c r="G329" t="str" cm="1">
        <f t="array" ref="G329">GetValue("Dmn",C329,"Length")</f>
        <v/>
      </c>
      <c r="H329" t="str" cm="1">
        <f t="array" ref="H329">GetValue("Dmn",C329,"Decimals")</f>
        <v/>
      </c>
      <c r="I329" t="str" cm="1">
        <f t="array" ref="I329">GetDataType(F329,G329,H329)</f>
        <v>CLOB</v>
      </c>
    </row>
    <row r="330" spans="1:9" x14ac:dyDescent="0.3">
      <c r="A330">
        <v>10</v>
      </c>
      <c r="B330" t="str" cm="1">
        <f t="array" ref="B330">GetValue("Eng",A330,"Name")</f>
        <v>DB2</v>
      </c>
      <c r="C330">
        <f t="shared" si="9"/>
        <v>32</v>
      </c>
      <c r="D330" t="str" cm="1">
        <f t="array" ref="D330">GetValue("Dmn",C330,"Name")</f>
        <v>Operator</v>
      </c>
      <c r="E330" cm="1">
        <f t="array" ref="E330">GetValue("Dmn",C330,"TypeId")</f>
        <v>4</v>
      </c>
      <c r="F330" t="str" cm="1">
        <f t="array" ref="F330">GetValue("EngTyp",A330&amp;";"&amp;E330,"Name")</f>
        <v>CHAR</v>
      </c>
      <c r="G330" cm="1">
        <f t="array" ref="G330">GetValue("Dmn",C330,"Length")</f>
        <v>1</v>
      </c>
      <c r="H330" t="str" cm="1">
        <f t="array" ref="H330">GetValue("Dmn",C330,"Decimals")</f>
        <v/>
      </c>
      <c r="I330" t="str" cm="1">
        <f t="array" ref="I330">GetDataType(F330,G330,H330)</f>
        <v>CHAR(1)</v>
      </c>
    </row>
    <row r="331" spans="1:9" x14ac:dyDescent="0.3">
      <c r="A331">
        <v>10</v>
      </c>
      <c r="B331" t="str" cm="1">
        <f t="array" ref="B331">GetValue("Eng",A331,"Name")</f>
        <v>DB2</v>
      </c>
      <c r="C331">
        <f t="shared" si="9"/>
        <v>33</v>
      </c>
      <c r="D331" t="str" cm="1">
        <f t="array" ref="D331">GetValue("Dmn",C331,"Name")</f>
        <v>Money</v>
      </c>
      <c r="E331" cm="1">
        <f t="array" ref="E331">GetValue("Dmn",C331,"TypeId")</f>
        <v>9</v>
      </c>
      <c r="F331" t="str" cm="1">
        <f t="array" ref="F331">GetValue("EngTyp",A331&amp;";"&amp;E331,"Name")</f>
        <v>DECIMAL</v>
      </c>
      <c r="G331" cm="1">
        <f t="array" ref="G331">GetValue("Dmn",C331,"Length")</f>
        <v>19</v>
      </c>
      <c r="H331" cm="1">
        <f t="array" ref="H331">GetValue("Dmn",C331,"Decimals")</f>
        <v>2</v>
      </c>
      <c r="I331" t="str" cm="1">
        <f t="array" ref="I331">GetDataType(F331,G331,H331)</f>
        <v>DECIMAL(19, 2)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G20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3.6640625" bestFit="1" customWidth="1"/>
    <col min="2" max="2" width="7.44140625" bestFit="1" customWidth="1"/>
    <col min="3" max="3" width="11.77734375" bestFit="1" customWidth="1"/>
    <col min="4" max="4" width="17.33203125" bestFit="1" customWidth="1"/>
    <col min="5" max="5" width="18.5546875" bestFit="1" customWidth="1"/>
    <col min="6" max="6" width="20.21875" bestFit="1" customWidth="1"/>
    <col min="7" max="7" width="18.5546875" style="18" bestFit="1" customWidth="1"/>
  </cols>
  <sheetData>
    <row r="1" spans="1:7" s="1" customFormat="1" x14ac:dyDescent="0.3">
      <c r="A1" s="1" t="s">
        <v>726</v>
      </c>
      <c r="B1" s="1" t="s">
        <v>817</v>
      </c>
      <c r="C1" s="1" t="s">
        <v>618</v>
      </c>
      <c r="D1" s="14" t="s">
        <v>1</v>
      </c>
      <c r="E1" s="14" t="s">
        <v>71</v>
      </c>
      <c r="F1" s="14" t="s">
        <v>591</v>
      </c>
      <c r="G1" s="16" t="s">
        <v>466</v>
      </c>
    </row>
    <row r="2" spans="1:7" x14ac:dyDescent="0.3">
      <c r="A2">
        <f>ROW(A2)-1</f>
        <v>1</v>
      </c>
      <c r="B2">
        <v>1</v>
      </c>
      <c r="C2" t="str" cm="1">
        <f t="array" ref="C2">GetValue("Cli",B2,"Name")</f>
        <v>SoftLab</v>
      </c>
      <c r="D2" t="s">
        <v>588</v>
      </c>
      <c r="E2" t="s">
        <v>589</v>
      </c>
      <c r="F2" t="s">
        <v>644</v>
      </c>
      <c r="G2" s="17" t="s">
        <v>660</v>
      </c>
    </row>
    <row r="3" spans="1:7" x14ac:dyDescent="0.3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563</v>
      </c>
      <c r="E3" t="s">
        <v>566</v>
      </c>
      <c r="F3" t="s">
        <v>645</v>
      </c>
      <c r="G3" s="18" t="s">
        <v>658</v>
      </c>
    </row>
    <row r="4" spans="1:7" x14ac:dyDescent="0.3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564</v>
      </c>
      <c r="E4" t="s">
        <v>567</v>
      </c>
      <c r="F4" t="s">
        <v>646</v>
      </c>
      <c r="G4" s="18" t="s">
        <v>659</v>
      </c>
    </row>
    <row r="5" spans="1:7" x14ac:dyDescent="0.3">
      <c r="A5">
        <f>ROW(A5)-1</f>
        <v>4</v>
      </c>
      <c r="B5">
        <v>1</v>
      </c>
      <c r="C5" t="str" cm="1">
        <f t="array" ref="C5">GetValue("Cli",B5,"Name")</f>
        <v>SoftLab</v>
      </c>
      <c r="D5" t="s">
        <v>632</v>
      </c>
      <c r="E5" t="s">
        <v>633</v>
      </c>
      <c r="F5" t="s">
        <v>647</v>
      </c>
      <c r="G5" s="18" t="s">
        <v>661</v>
      </c>
    </row>
    <row r="6" spans="1:7" x14ac:dyDescent="0.3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576</v>
      </c>
      <c r="E6" t="s">
        <v>577</v>
      </c>
      <c r="F6" t="s">
        <v>648</v>
      </c>
      <c r="G6" s="18" t="s">
        <v>662</v>
      </c>
    </row>
    <row r="7" spans="1:7" x14ac:dyDescent="0.3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578</v>
      </c>
      <c r="E7" t="s">
        <v>579</v>
      </c>
      <c r="F7" t="s">
        <v>579</v>
      </c>
      <c r="G7" s="17" t="s">
        <v>663</v>
      </c>
    </row>
    <row r="8" spans="1:7" x14ac:dyDescent="0.3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580</v>
      </c>
      <c r="E8" t="s">
        <v>581</v>
      </c>
      <c r="F8" t="s">
        <v>581</v>
      </c>
      <c r="G8" s="17" t="s">
        <v>664</v>
      </c>
    </row>
    <row r="9" spans="1:7" x14ac:dyDescent="0.3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582</v>
      </c>
      <c r="E9" t="s">
        <v>665</v>
      </c>
      <c r="F9" t="s">
        <v>666</v>
      </c>
      <c r="G9" s="18" t="s">
        <v>667</v>
      </c>
    </row>
    <row r="10" spans="1:7" x14ac:dyDescent="0.3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583</v>
      </c>
      <c r="E10" t="s">
        <v>670</v>
      </c>
      <c r="F10" t="s">
        <v>669</v>
      </c>
      <c r="G10" s="18" t="s">
        <v>668</v>
      </c>
    </row>
    <row r="11" spans="1:7" x14ac:dyDescent="0.3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584</v>
      </c>
      <c r="E11" t="s">
        <v>627</v>
      </c>
      <c r="F11" t="s">
        <v>649</v>
      </c>
      <c r="G11" s="18" t="s">
        <v>657</v>
      </c>
    </row>
    <row r="12" spans="1:7" x14ac:dyDescent="0.3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585</v>
      </c>
      <c r="E12" t="s">
        <v>586</v>
      </c>
      <c r="F12" t="s">
        <v>672</v>
      </c>
      <c r="G12" s="18" t="s">
        <v>671</v>
      </c>
    </row>
    <row r="13" spans="1:7" x14ac:dyDescent="0.3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621</v>
      </c>
      <c r="E13" t="s">
        <v>624</v>
      </c>
      <c r="F13" t="s">
        <v>650</v>
      </c>
      <c r="G13" s="18" t="s">
        <v>677</v>
      </c>
    </row>
    <row r="14" spans="1:7" x14ac:dyDescent="0.3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637</v>
      </c>
      <c r="E14" t="s">
        <v>625</v>
      </c>
      <c r="F14" t="s">
        <v>651</v>
      </c>
      <c r="G14" s="18" t="s">
        <v>673</v>
      </c>
    </row>
    <row r="15" spans="1:7" x14ac:dyDescent="0.3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638</v>
      </c>
      <c r="E15" t="s">
        <v>626</v>
      </c>
      <c r="F15" t="s">
        <v>652</v>
      </c>
      <c r="G15" s="18" t="s">
        <v>674</v>
      </c>
    </row>
    <row r="16" spans="1:7" x14ac:dyDescent="0.3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639</v>
      </c>
      <c r="E16" t="s">
        <v>642</v>
      </c>
      <c r="F16" s="15" t="s">
        <v>653</v>
      </c>
      <c r="G16" s="18" t="s">
        <v>675</v>
      </c>
    </row>
    <row r="17" spans="1:7" x14ac:dyDescent="0.3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640</v>
      </c>
      <c r="E17" t="s">
        <v>643</v>
      </c>
      <c r="F17" s="15" t="s">
        <v>654</v>
      </c>
      <c r="G17" s="18" t="s">
        <v>676</v>
      </c>
    </row>
    <row r="18" spans="1:7" x14ac:dyDescent="0.3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622</v>
      </c>
      <c r="E18" t="s">
        <v>628</v>
      </c>
      <c r="F18" t="s">
        <v>655</v>
      </c>
      <c r="G18" s="18" t="s">
        <v>679</v>
      </c>
    </row>
    <row r="19" spans="1:7" x14ac:dyDescent="0.3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641</v>
      </c>
      <c r="E19" t="s">
        <v>629</v>
      </c>
      <c r="F19" t="s">
        <v>656</v>
      </c>
      <c r="G19" s="18" t="s">
        <v>678</v>
      </c>
    </row>
    <row r="20" spans="1:7" x14ac:dyDescent="0.3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623</v>
      </c>
      <c r="E20" t="s">
        <v>579</v>
      </c>
      <c r="F20" t="s">
        <v>579</v>
      </c>
      <c r="G20" s="17" t="s">
        <v>663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D15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10.21875" bestFit="1" customWidth="1"/>
    <col min="2" max="2" width="13.6640625" bestFit="1" customWidth="1"/>
    <col min="3" max="3" width="8.21875" bestFit="1" customWidth="1"/>
    <col min="4" max="4" width="12" bestFit="1" customWidth="1"/>
  </cols>
  <sheetData>
    <row r="1" spans="1:4" s="1" customFormat="1" x14ac:dyDescent="0.3">
      <c r="A1" s="1" t="s">
        <v>730</v>
      </c>
      <c r="B1" s="1" t="s">
        <v>308</v>
      </c>
      <c r="C1" s="1" t="s">
        <v>737</v>
      </c>
      <c r="D1" s="1" t="s">
        <v>303</v>
      </c>
    </row>
    <row r="2" spans="1:4" x14ac:dyDescent="0.3">
      <c r="A2">
        <v>16</v>
      </c>
      <c r="B2" t="str" cm="1">
        <f t="array" ref="B2">GetValue("Dmn",A2,"Name")</f>
        <v>RAIZ CNPJ</v>
      </c>
      <c r="C2">
        <v>1</v>
      </c>
      <c r="D2" t="str" cm="1">
        <f t="array" ref="D2">GetValue("Msk",C2,"Name")</f>
        <v>RAIZ CNPJ</v>
      </c>
    </row>
    <row r="3" spans="1:4" x14ac:dyDescent="0.3">
      <c r="A3">
        <v>17</v>
      </c>
      <c r="B3" t="str" cm="1">
        <f t="array" ref="B3">GetValue("Dmn",A3,"Name")</f>
        <v>CPF</v>
      </c>
      <c r="C3">
        <v>2</v>
      </c>
      <c r="D3" t="str" cm="1">
        <f t="array" ref="D3">GetValue("Msk",C3,"Name")</f>
        <v>CPF</v>
      </c>
    </row>
    <row r="4" spans="1:4" x14ac:dyDescent="0.3">
      <c r="A4">
        <v>18</v>
      </c>
      <c r="B4" t="str" cm="1">
        <f t="array" ref="B4">GetValue("Dmn",A4,"Name")</f>
        <v>CNPJ</v>
      </c>
      <c r="C4">
        <v>3</v>
      </c>
      <c r="D4" t="str" cm="1">
        <f t="array" ref="D4">GetValue("Msk",C4,"Name")</f>
        <v>CNPJ</v>
      </c>
    </row>
    <row r="5" spans="1:4" x14ac:dyDescent="0.3">
      <c r="A5">
        <v>18</v>
      </c>
      <c r="B5" t="str" cm="1">
        <f t="array" ref="B5">GetValue("Dmn",A5,"Name")</f>
        <v>CNPJ</v>
      </c>
      <c r="C5">
        <v>3</v>
      </c>
      <c r="D5" t="str" cm="1">
        <f t="array" ref="D5">GetValue("Msk",C5,"Name")</f>
        <v>CNPJ</v>
      </c>
    </row>
    <row r="6" spans="1:4" x14ac:dyDescent="0.3">
      <c r="A6">
        <v>19</v>
      </c>
      <c r="B6" t="str" cm="1">
        <f t="array" ref="B6">GetValue("Dmn",A6,"Name")</f>
        <v>RAIZ/CPF/CNPJ</v>
      </c>
      <c r="C6">
        <v>1</v>
      </c>
      <c r="D6" t="str" cm="1">
        <f t="array" ref="D6">GetValue("Msk",C6,"Name")</f>
        <v>RAIZ CNPJ</v>
      </c>
    </row>
    <row r="7" spans="1:4" x14ac:dyDescent="0.3">
      <c r="A7">
        <v>19</v>
      </c>
      <c r="B7" t="str" cm="1">
        <f t="array" ref="B7">GetValue("Dmn",A7,"Name")</f>
        <v>RAIZ/CPF/CNPJ</v>
      </c>
      <c r="C7">
        <v>2</v>
      </c>
      <c r="D7" t="str" cm="1">
        <f t="array" ref="D7">GetValue("Msk",C7,"Name")</f>
        <v>CPF</v>
      </c>
    </row>
    <row r="8" spans="1:4" x14ac:dyDescent="0.3">
      <c r="A8">
        <v>19</v>
      </c>
      <c r="B8" t="str" cm="1">
        <f t="array" ref="B8">GetValue("Dmn",A8,"Name")</f>
        <v>RAIZ/CPF/CNPJ</v>
      </c>
      <c r="C8">
        <v>3</v>
      </c>
      <c r="D8" t="str" cm="1">
        <f t="array" ref="D8">GetValue("Msk",C8,"Name")</f>
        <v>CNPJ</v>
      </c>
    </row>
    <row r="9" spans="1:4" x14ac:dyDescent="0.3">
      <c r="A9">
        <v>20</v>
      </c>
      <c r="B9" t="str" cm="1">
        <f t="array" ref="B9">GetValue("Dmn",A9,"Name")</f>
        <v>CAEPF</v>
      </c>
      <c r="C9">
        <v>4</v>
      </c>
      <c r="D9" t="str" cm="1">
        <f t="array" ref="D9">GetValue("Msk",C9,"Name")</f>
        <v>CAEPF</v>
      </c>
    </row>
    <row r="10" spans="1:4" x14ac:dyDescent="0.3">
      <c r="A10">
        <v>21</v>
      </c>
      <c r="B10" t="str" cm="1">
        <f t="array" ref="B10">GetValue("Dmn",A10,"Name")</f>
        <v>CREDIT CARD</v>
      </c>
      <c r="C10">
        <v>5</v>
      </c>
      <c r="D10" t="str" cm="1">
        <f t="array" ref="D10">GetValue("Msk",C10,"Name")</f>
        <v>CREDIT CARD</v>
      </c>
    </row>
    <row r="11" spans="1:4" x14ac:dyDescent="0.3">
      <c r="A11">
        <v>22</v>
      </c>
      <c r="B11" t="str" cm="1">
        <f t="array" ref="B11">GetValue("Dmn",A11,"Name")</f>
        <v>RENAVAM</v>
      </c>
      <c r="C11">
        <v>6</v>
      </c>
      <c r="D11" t="str" cm="1">
        <f t="array" ref="D11">GetValue("Msk",C11,"Name")</f>
        <v>RENAVAM</v>
      </c>
    </row>
    <row r="12" spans="1:4" x14ac:dyDescent="0.3">
      <c r="A12">
        <v>23</v>
      </c>
      <c r="B12" t="str" cm="1">
        <f t="array" ref="B12">GetValue("Dmn",A12,"Name")</f>
        <v>EAN-8</v>
      </c>
      <c r="C12">
        <v>7</v>
      </c>
      <c r="D12" t="str" cm="1">
        <f t="array" ref="D12">GetValue("Msk",C12,"Name")</f>
        <v>EAN-8</v>
      </c>
    </row>
    <row r="13" spans="1:4" x14ac:dyDescent="0.3">
      <c r="A13">
        <v>24</v>
      </c>
      <c r="B13" t="str" cm="1">
        <f t="array" ref="B13">GetValue("Dmn",A13,"Name")</f>
        <v>EAN-13</v>
      </c>
      <c r="C13">
        <v>8</v>
      </c>
      <c r="D13" t="str" cm="1">
        <f t="array" ref="D13">GetValue("Msk",C13,"Name")</f>
        <v>EAN-13</v>
      </c>
    </row>
    <row r="14" spans="1:4" x14ac:dyDescent="0.3">
      <c r="A14">
        <v>25</v>
      </c>
      <c r="B14" t="str" cm="1">
        <f t="array" ref="B14">GetValue("Dmn",A14,"Name")</f>
        <v>ISBN-10</v>
      </c>
      <c r="C14">
        <v>9</v>
      </c>
      <c r="D14" t="str" cm="1">
        <f t="array" ref="D14">GetValue("Msk",C14,"Name")</f>
        <v>ISBN-10</v>
      </c>
    </row>
    <row r="15" spans="1:4" x14ac:dyDescent="0.3">
      <c r="A15">
        <v>26</v>
      </c>
      <c r="B15" t="str" cm="1">
        <f t="array" ref="B15">GetValue("Dmn",A15,"Name")</f>
        <v>ISBN-13</v>
      </c>
      <c r="C15">
        <v>10</v>
      </c>
      <c r="D15" t="str" cm="1">
        <f t="array" ref="D15">GetValue("Msk",C15,"Name")</f>
        <v>ISBN-13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6D2B-3474-4E39-A6F4-3502E3B70816}">
  <sheetPr codeName="Planilha21"/>
  <dimension ref="A1:G14"/>
  <sheetViews>
    <sheetView workbookViewId="0">
      <pane ySplit="1" topLeftCell="A2" activePane="bottomLeft" state="frozen"/>
      <selection pane="bottomLeft" sqref="A1:XFD1048576"/>
    </sheetView>
  </sheetViews>
  <sheetFormatPr defaultColWidth="8.5546875" defaultRowHeight="14.4" x14ac:dyDescent="0.3"/>
  <cols>
    <col min="1" max="1" width="3.6640625" bestFit="1" customWidth="1"/>
    <col min="2" max="2" width="7.44140625" bestFit="1" customWidth="1"/>
    <col min="3" max="3" width="11.77734375" bestFit="1" customWidth="1"/>
    <col min="4" max="4" width="12" bestFit="1" customWidth="1"/>
    <col min="5" max="5" width="7.5546875" bestFit="1" customWidth="1"/>
    <col min="6" max="6" width="25.77734375" bestFit="1" customWidth="1"/>
    <col min="7" max="7" width="19.33203125" style="13" bestFit="1" customWidth="1"/>
  </cols>
  <sheetData>
    <row r="1" spans="1:7" s="10" customFormat="1" x14ac:dyDescent="0.3">
      <c r="A1" s="8" t="s">
        <v>726</v>
      </c>
      <c r="B1" s="8" t="s">
        <v>817</v>
      </c>
      <c r="C1" s="8" t="s">
        <v>618</v>
      </c>
      <c r="D1" s="8" t="s">
        <v>1</v>
      </c>
      <c r="E1" s="8" t="s">
        <v>568</v>
      </c>
      <c r="F1" s="8" t="s">
        <v>569</v>
      </c>
      <c r="G1" s="9" t="s">
        <v>570</v>
      </c>
    </row>
    <row r="2" spans="1:7" x14ac:dyDescent="0.3">
      <c r="A2">
        <f t="shared" ref="A2:A7" si="0">ROW(A2)-1</f>
        <v>1</v>
      </c>
      <c r="B2">
        <v>1</v>
      </c>
      <c r="C2" t="str" cm="1">
        <f t="array" ref="C2">GetValue("Cli",B2,"Name")</f>
        <v>SoftLab</v>
      </c>
      <c r="D2" s="11" t="s">
        <v>572</v>
      </c>
      <c r="E2" s="11">
        <v>11</v>
      </c>
      <c r="F2" s="11" t="s">
        <v>631</v>
      </c>
      <c r="G2" s="12">
        <v>0</v>
      </c>
    </row>
    <row r="3" spans="1:7" x14ac:dyDescent="0.3">
      <c r="A3">
        <f t="shared" si="0"/>
        <v>2</v>
      </c>
      <c r="B3">
        <v>1</v>
      </c>
      <c r="C3" t="str" cm="1">
        <f t="array" ref="C3">GetValue("Cli",B3,"Name")</f>
        <v>SoftLab</v>
      </c>
      <c r="D3" s="11" t="s">
        <v>573</v>
      </c>
      <c r="E3" s="11">
        <v>11</v>
      </c>
      <c r="F3" s="11" t="s">
        <v>630</v>
      </c>
      <c r="G3" s="12">
        <v>0</v>
      </c>
    </row>
    <row r="4" spans="1:7" x14ac:dyDescent="0.3">
      <c r="A4">
        <f t="shared" si="0"/>
        <v>3</v>
      </c>
      <c r="B4">
        <v>1</v>
      </c>
      <c r="C4" t="str" cm="1">
        <f t="array" ref="C4">GetValue("Cli",B4,"Name")</f>
        <v>SoftLab</v>
      </c>
      <c r="D4" s="11" t="s">
        <v>574</v>
      </c>
      <c r="E4" s="11">
        <v>11</v>
      </c>
      <c r="F4" s="11" t="s">
        <v>595</v>
      </c>
      <c r="G4" s="12">
        <v>0</v>
      </c>
    </row>
    <row r="5" spans="1:7" x14ac:dyDescent="0.3">
      <c r="A5">
        <f t="shared" si="0"/>
        <v>4</v>
      </c>
      <c r="B5">
        <v>1</v>
      </c>
      <c r="C5" t="str" cm="1">
        <f t="array" ref="C5">GetValue("Cli",B5,"Name")</f>
        <v>SoftLab</v>
      </c>
      <c r="D5" s="11" t="s">
        <v>575</v>
      </c>
      <c r="E5" s="11">
        <v>11</v>
      </c>
      <c r="F5" s="11" t="s">
        <v>596</v>
      </c>
      <c r="G5" s="12">
        <v>0</v>
      </c>
    </row>
    <row r="6" spans="1:7" x14ac:dyDescent="0.3">
      <c r="A6">
        <f t="shared" si="0"/>
        <v>5</v>
      </c>
      <c r="B6">
        <v>1</v>
      </c>
      <c r="C6" t="str" cm="1">
        <f t="array" ref="C6">GetValue("Cli",B6,"Name")</f>
        <v>SoftLab</v>
      </c>
      <c r="D6" s="11" t="s">
        <v>634</v>
      </c>
      <c r="E6" s="11">
        <v>11</v>
      </c>
      <c r="F6" s="11" t="s">
        <v>595</v>
      </c>
      <c r="G6" s="12">
        <v>0</v>
      </c>
    </row>
    <row r="7" spans="1:7" x14ac:dyDescent="0.3">
      <c r="A7">
        <f t="shared" si="0"/>
        <v>6</v>
      </c>
      <c r="B7">
        <v>1</v>
      </c>
      <c r="C7" t="str" cm="1">
        <f t="array" ref="C7">GetValue("Cli",B7,"Name")</f>
        <v>SoftLab</v>
      </c>
      <c r="D7" s="11" t="s">
        <v>635</v>
      </c>
      <c r="E7" s="11">
        <v>11</v>
      </c>
      <c r="F7" s="11" t="s">
        <v>596</v>
      </c>
      <c r="G7" s="12">
        <v>0</v>
      </c>
    </row>
    <row r="8" spans="1:7" x14ac:dyDescent="0.3">
      <c r="A8">
        <f t="shared" ref="A8:A14" si="1">ROW(A8)-1</f>
        <v>7</v>
      </c>
      <c r="B8">
        <v>1</v>
      </c>
      <c r="C8" t="str" cm="1">
        <f t="array" ref="C8">GetValue("Cli",B8,"Name")</f>
        <v>SoftLab</v>
      </c>
      <c r="D8" s="11" t="s">
        <v>576</v>
      </c>
      <c r="E8" s="11">
        <v>10</v>
      </c>
      <c r="F8" s="11" t="s">
        <v>597</v>
      </c>
      <c r="G8" s="13">
        <v>0</v>
      </c>
    </row>
    <row r="9" spans="1:7" x14ac:dyDescent="0.3">
      <c r="A9">
        <f t="shared" si="1"/>
        <v>8</v>
      </c>
      <c r="B9">
        <v>1</v>
      </c>
      <c r="C9" t="str" cm="1">
        <f t="array" ref="C9">GetValue("Cli",B9,"Name")</f>
        <v>SoftLab</v>
      </c>
      <c r="D9" s="11" t="s">
        <v>578</v>
      </c>
      <c r="E9" s="11">
        <v>11</v>
      </c>
      <c r="F9" s="11" t="s">
        <v>598</v>
      </c>
      <c r="G9" s="13">
        <v>0</v>
      </c>
    </row>
    <row r="10" spans="1:7" x14ac:dyDescent="0.3">
      <c r="A10">
        <f t="shared" si="1"/>
        <v>9</v>
      </c>
      <c r="B10">
        <v>1</v>
      </c>
      <c r="C10" t="str" cm="1">
        <f t="array" ref="C10">GetValue("Cli",B10,"Name")</f>
        <v>SoftLab</v>
      </c>
      <c r="D10" t="s">
        <v>580</v>
      </c>
      <c r="E10" s="11">
        <v>10</v>
      </c>
      <c r="F10" t="s">
        <v>636</v>
      </c>
      <c r="G10" s="13">
        <v>0</v>
      </c>
    </row>
    <row r="11" spans="1:7" x14ac:dyDescent="0.3">
      <c r="A11">
        <f t="shared" si="1"/>
        <v>10</v>
      </c>
      <c r="B11">
        <v>1</v>
      </c>
      <c r="C11" t="str" cm="1">
        <f t="array" ref="C11">GetValue("Cli",B11,"Name")</f>
        <v>SoftLab</v>
      </c>
      <c r="D11" t="s">
        <v>582</v>
      </c>
      <c r="E11" s="11">
        <v>10</v>
      </c>
      <c r="F11" t="s">
        <v>599</v>
      </c>
      <c r="G11" s="13">
        <v>0</v>
      </c>
    </row>
    <row r="12" spans="1:7" x14ac:dyDescent="0.3">
      <c r="A12">
        <f t="shared" si="1"/>
        <v>11</v>
      </c>
      <c r="B12">
        <v>1</v>
      </c>
      <c r="C12" t="str" cm="1">
        <f t="array" ref="C12">GetValue("Cli",B12,"Name")</f>
        <v>SoftLab</v>
      </c>
      <c r="D12" t="s">
        <v>583</v>
      </c>
      <c r="E12" s="11">
        <v>11</v>
      </c>
      <c r="F12" s="11" t="s">
        <v>600</v>
      </c>
      <c r="G12" s="13" t="s">
        <v>571</v>
      </c>
    </row>
    <row r="13" spans="1:7" x14ac:dyDescent="0.3">
      <c r="A13">
        <f t="shared" si="1"/>
        <v>12</v>
      </c>
      <c r="B13">
        <v>1</v>
      </c>
      <c r="C13" t="str" cm="1">
        <f t="array" ref="C13">GetValue("Cli",B13,"Name")</f>
        <v>SoftLab</v>
      </c>
      <c r="D13" t="s">
        <v>584</v>
      </c>
      <c r="E13" s="11">
        <v>10</v>
      </c>
      <c r="F13" t="s">
        <v>599</v>
      </c>
      <c r="G13" s="13">
        <v>0</v>
      </c>
    </row>
    <row r="14" spans="1:7" x14ac:dyDescent="0.3">
      <c r="A14">
        <f t="shared" si="1"/>
        <v>13</v>
      </c>
      <c r="B14">
        <v>1</v>
      </c>
      <c r="C14" t="str" cm="1">
        <f t="array" ref="C14">GetValue("Cli",B14,"Name")</f>
        <v>SoftLab</v>
      </c>
      <c r="D14" t="s">
        <v>585</v>
      </c>
      <c r="E14" s="11">
        <v>11</v>
      </c>
      <c r="F14" t="s">
        <v>601</v>
      </c>
      <c r="G14" s="13" t="s">
        <v>571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09C-BA82-4E60-9EFC-C8C4058FD93C}">
  <sheetPr codeName="Planilha22"/>
  <dimension ref="A1:D14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8.21875" bestFit="1" customWidth="1"/>
    <col min="2" max="2" width="12" bestFit="1" customWidth="1"/>
    <col min="3" max="3" width="7.44140625" bestFit="1" customWidth="1"/>
    <col min="4" max="4" width="12" bestFit="1" customWidth="1"/>
  </cols>
  <sheetData>
    <row r="1" spans="1:4" s="1" customFormat="1" x14ac:dyDescent="0.3">
      <c r="A1" s="1" t="s">
        <v>737</v>
      </c>
      <c r="B1" s="1" t="s">
        <v>303</v>
      </c>
      <c r="C1" s="1" t="s">
        <v>736</v>
      </c>
      <c r="D1" s="1" t="s">
        <v>587</v>
      </c>
    </row>
    <row r="2" spans="1:4" x14ac:dyDescent="0.3">
      <c r="A2">
        <v>2</v>
      </c>
      <c r="B2" t="str" cm="1">
        <f t="array" ref="B2">GetValue("Msk",A2,"Name")</f>
        <v>CPF</v>
      </c>
      <c r="C2">
        <v>1</v>
      </c>
      <c r="D2" t="str" cm="1">
        <f t="array" ref="D2">GetValue("Dig",C2,"Name")</f>
        <v>CPF 1</v>
      </c>
    </row>
    <row r="3" spans="1:4" x14ac:dyDescent="0.3">
      <c r="A3">
        <v>2</v>
      </c>
      <c r="B3" t="str" cm="1">
        <f t="array" ref="B3">GetValue("Msk",A3,"Name")</f>
        <v>CPF</v>
      </c>
      <c r="C3">
        <v>2</v>
      </c>
      <c r="D3" t="str" cm="1">
        <f t="array" ref="D3">GetValue("Dig",C3,"Name")</f>
        <v>CPF 2</v>
      </c>
    </row>
    <row r="4" spans="1:4" x14ac:dyDescent="0.3">
      <c r="A4">
        <v>3</v>
      </c>
      <c r="B4" t="str" cm="1">
        <f t="array" ref="B4">GetValue("Msk",A4,"Name")</f>
        <v>CNPJ</v>
      </c>
      <c r="C4">
        <v>3</v>
      </c>
      <c r="D4" t="str" cm="1">
        <f t="array" ref="D4">GetValue("Dig",C4,"Name")</f>
        <v>CNPJ 1</v>
      </c>
    </row>
    <row r="5" spans="1:4" x14ac:dyDescent="0.3">
      <c r="A5">
        <v>3</v>
      </c>
      <c r="B5" t="str" cm="1">
        <f t="array" ref="B5">GetValue("Msk",A5,"Name")</f>
        <v>CNPJ</v>
      </c>
      <c r="C5">
        <v>4</v>
      </c>
      <c r="D5" t="str" cm="1">
        <f t="array" ref="D5">GetValue("Dig",C5,"Name")</f>
        <v>CNPJ 2</v>
      </c>
    </row>
    <row r="6" spans="1:4" x14ac:dyDescent="0.3">
      <c r="A6">
        <v>4</v>
      </c>
      <c r="B6" t="str" cm="1">
        <f t="array" ref="B6">GetValue("Msk",A6,"Name")</f>
        <v>CAEPF</v>
      </c>
      <c r="C6">
        <v>5</v>
      </c>
      <c r="D6" t="str" cm="1">
        <f t="array" ref="D6">GetValue("Dig",C6,"Name")</f>
        <v>CAEPF 1</v>
      </c>
    </row>
    <row r="7" spans="1:4" x14ac:dyDescent="0.3">
      <c r="A7">
        <v>4</v>
      </c>
      <c r="B7" t="str" cm="1">
        <f t="array" ref="B7">GetValue("Msk",A7,"Name")</f>
        <v>CAEPF</v>
      </c>
      <c r="C7">
        <v>6</v>
      </c>
      <c r="D7" t="str" cm="1">
        <f t="array" ref="D7">GetValue("Dig",C7,"Name")</f>
        <v>CAEPF 2</v>
      </c>
    </row>
    <row r="8" spans="1:4" x14ac:dyDescent="0.3">
      <c r="A8">
        <v>5</v>
      </c>
      <c r="B8" t="str" cm="1">
        <f t="array" ref="B8">GetValue("Msk",A8,"Name")</f>
        <v>CREDIT CARD</v>
      </c>
      <c r="C8">
        <v>7</v>
      </c>
      <c r="D8" t="str" cm="1">
        <f t="array" ref="D8">GetValue("Dig",C8,"Name")</f>
        <v>CREDIT CARD</v>
      </c>
    </row>
    <row r="9" spans="1:4" x14ac:dyDescent="0.3">
      <c r="A9">
        <v>6</v>
      </c>
      <c r="B9" t="str" cm="1">
        <f t="array" ref="B9">GetValue("Msk",A9,"Name")</f>
        <v>RENAVAM</v>
      </c>
      <c r="C9">
        <v>8</v>
      </c>
      <c r="D9" t="str" cm="1">
        <f t="array" ref="D9">GetValue("Dig",C9,"Name")</f>
        <v>RENAVAM</v>
      </c>
    </row>
    <row r="10" spans="1:4" x14ac:dyDescent="0.3">
      <c r="A10">
        <v>7</v>
      </c>
      <c r="B10" t="str" cm="1">
        <f t="array" ref="B10">GetValue("Msk",A10,"Name")</f>
        <v>EAN-8</v>
      </c>
      <c r="C10">
        <v>9</v>
      </c>
      <c r="D10" t="str" cm="1">
        <f t="array" ref="D10">GetValue("Dig",C10,"Name")</f>
        <v>EAN-8</v>
      </c>
    </row>
    <row r="11" spans="1:4" x14ac:dyDescent="0.3">
      <c r="A11">
        <v>8</v>
      </c>
      <c r="B11" t="str" cm="1">
        <f t="array" ref="B11">GetValue("Msk",A11,"Name")</f>
        <v>EAN-13</v>
      </c>
      <c r="C11">
        <v>10</v>
      </c>
      <c r="D11" t="str" cm="1">
        <f t="array" ref="D11">GetValue("Dig",C11,"Name")</f>
        <v>EAN-13</v>
      </c>
    </row>
    <row r="12" spans="1:4" x14ac:dyDescent="0.3">
      <c r="A12">
        <v>9</v>
      </c>
      <c r="B12" t="str" cm="1">
        <f t="array" ref="B12">GetValue("Msk",A12,"Name")</f>
        <v>ISBN-10</v>
      </c>
      <c r="C12">
        <v>11</v>
      </c>
      <c r="D12" t="str" cm="1">
        <f t="array" ref="D12">GetValue("Dig",C12,"Name")</f>
        <v>ISBN-10</v>
      </c>
    </row>
    <row r="13" spans="1:4" x14ac:dyDescent="0.3">
      <c r="A13">
        <v>10</v>
      </c>
      <c r="B13" t="str" cm="1">
        <f t="array" ref="B13">GetValue("Msk",A13,"Name")</f>
        <v>ISBN-13</v>
      </c>
      <c r="C13">
        <v>12</v>
      </c>
      <c r="D13" t="str" cm="1">
        <f t="array" ref="D13">GetValue("Dig",C13,"Name")</f>
        <v>ISBN-13</v>
      </c>
    </row>
    <row r="14" spans="1:4" x14ac:dyDescent="0.3">
      <c r="A14">
        <v>11</v>
      </c>
      <c r="B14" t="str" cm="1">
        <f t="array" ref="B14">GetValue("Msk",A14,"Name")</f>
        <v>ISSN</v>
      </c>
      <c r="C14">
        <v>13</v>
      </c>
      <c r="D14" t="str" cm="1">
        <f t="array" ref="D14">GetValue("Dig",C14,"Name")</f>
        <v>ISSN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G11" sqref="G11"/>
    </sheetView>
  </sheetViews>
  <sheetFormatPr defaultRowHeight="14.4" x14ac:dyDescent="0.3"/>
  <cols>
    <col min="1" max="1" width="3.6640625" bestFit="1" customWidth="1"/>
    <col min="2" max="2" width="7.44140625" bestFit="1" customWidth="1"/>
    <col min="3" max="3" width="11.77734375" bestFit="1" customWidth="1"/>
    <col min="4" max="5" width="6.44140625" bestFit="1" customWidth="1"/>
    <col min="6" max="6" width="12.33203125" bestFit="1" customWidth="1"/>
    <col min="7" max="7" width="37" bestFit="1" customWidth="1"/>
  </cols>
  <sheetData>
    <row r="1" spans="1:7" s="1" customFormat="1" x14ac:dyDescent="0.3">
      <c r="A1" s="1" t="s">
        <v>726</v>
      </c>
      <c r="B1" s="1" t="s">
        <v>817</v>
      </c>
      <c r="C1" s="1" t="s">
        <v>618</v>
      </c>
      <c r="D1" s="1" t="s">
        <v>1</v>
      </c>
      <c r="E1" s="1" t="s">
        <v>110</v>
      </c>
      <c r="F1" s="1" t="s">
        <v>73</v>
      </c>
      <c r="G1" s="1" t="s">
        <v>590</v>
      </c>
    </row>
    <row r="2" spans="1:7" x14ac:dyDescent="0.3">
      <c r="A2">
        <f>ROW(A2)-1</f>
        <v>1</v>
      </c>
      <c r="B2">
        <v>1</v>
      </c>
      <c r="C2" t="str" cm="1">
        <f t="array" ref="C2">GetValue("Cli",B2,"Name")</f>
        <v>SoftLab</v>
      </c>
      <c r="D2" t="s">
        <v>345</v>
      </c>
      <c r="E2" t="s">
        <v>345</v>
      </c>
      <c r="F2" t="s">
        <v>346</v>
      </c>
      <c r="G2" t="s">
        <v>437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D4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11.44140625" bestFit="1" customWidth="1"/>
    <col min="2" max="2" width="14.88671875" bestFit="1" customWidth="1"/>
    <col min="3" max="3" width="11.88671875" bestFit="1" customWidth="1"/>
    <col min="4" max="4" width="137.77734375" bestFit="1" customWidth="1"/>
  </cols>
  <sheetData>
    <row r="1" spans="1:4" s="1" customFormat="1" x14ac:dyDescent="0.3">
      <c r="A1" s="1" t="s">
        <v>738</v>
      </c>
      <c r="B1" s="1" t="s">
        <v>306</v>
      </c>
      <c r="C1" s="1" t="s">
        <v>818</v>
      </c>
      <c r="D1" s="1" t="s">
        <v>449</v>
      </c>
    </row>
    <row r="2" spans="1:4" x14ac:dyDescent="0.3">
      <c r="A2">
        <v>1</v>
      </c>
      <c r="B2" t="str" cm="1">
        <f t="array" ref="B2">GetValue("Db",A2,"Name")</f>
        <v>crudex</v>
      </c>
      <c r="C2" t="s">
        <v>450</v>
      </c>
      <c r="D2" t="s">
        <v>460</v>
      </c>
    </row>
    <row r="3" spans="1:4" x14ac:dyDescent="0.3">
      <c r="A3">
        <v>1</v>
      </c>
      <c r="B3" t="str" cm="1">
        <f t="array" ref="B3">GetValue("Db",A3,"Name")</f>
        <v>crudex</v>
      </c>
      <c r="C3" t="s">
        <v>516</v>
      </c>
      <c r="D3" t="s">
        <v>460</v>
      </c>
    </row>
    <row r="4" spans="1:4" x14ac:dyDescent="0.3">
      <c r="A4">
        <v>1</v>
      </c>
      <c r="B4" t="str" cm="1">
        <f t="array" ref="B4">GetValue("Db",A4,"Name")</f>
        <v>crudex</v>
      </c>
      <c r="C4" t="s">
        <v>517</v>
      </c>
      <c r="D4" t="s">
        <v>460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.6640625" bestFit="1" customWidth="1"/>
    <col min="2" max="2" width="10.44140625" bestFit="1" customWidth="1"/>
    <col min="3" max="3" width="14.88671875" bestFit="1" customWidth="1"/>
    <col min="4" max="4" width="5.77734375" bestFit="1" customWidth="1"/>
    <col min="5" max="5" width="6.44140625" bestFit="1" customWidth="1"/>
    <col min="6" max="6" width="12.33203125" bestFit="1" customWidth="1"/>
    <col min="7" max="7" width="14.5546875" bestFit="1" customWidth="1"/>
    <col min="8" max="8" width="7.33203125" bestFit="1" customWidth="1"/>
  </cols>
  <sheetData>
    <row r="1" spans="1:8" s="1" customFormat="1" x14ac:dyDescent="0.3">
      <c r="A1" s="1" t="s">
        <v>726</v>
      </c>
      <c r="B1" s="1" t="s">
        <v>112</v>
      </c>
      <c r="C1" s="1" t="s">
        <v>306</v>
      </c>
      <c r="D1" s="1" t="s">
        <v>619</v>
      </c>
      <c r="E1" s="1" t="s">
        <v>1</v>
      </c>
      <c r="F1" s="1" t="s">
        <v>73</v>
      </c>
      <c r="G1" s="1" t="s">
        <v>75</v>
      </c>
      <c r="H1" s="1" t="s">
        <v>320</v>
      </c>
    </row>
    <row r="2" spans="1:8" x14ac:dyDescent="0.3">
      <c r="A2">
        <v>1</v>
      </c>
      <c r="B2">
        <v>1</v>
      </c>
      <c r="C2" t="e" cm="1">
        <f t="array" ref="C2">GetValue("Db",#REF!&amp;";"&amp;B2,"Name")</f>
        <v>#VALUE!</v>
      </c>
      <c r="D2" t="s">
        <v>620</v>
      </c>
      <c r="E2" t="s">
        <v>345</v>
      </c>
      <c r="F2" t="s">
        <v>346</v>
      </c>
      <c r="G2">
        <v>5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13"/>
  <sheetViews>
    <sheetView workbookViewId="0">
      <pane ySplit="1" topLeftCell="A2" activePane="bottomLeft" state="frozen"/>
      <selection pane="bottomLeft" activeCell="H7" sqref="H7"/>
    </sheetView>
  </sheetViews>
  <sheetFormatPr defaultColWidth="8.33203125" defaultRowHeight="14.4" x14ac:dyDescent="0.3"/>
  <cols>
    <col min="1" max="1" width="3.6640625" bestFit="1" customWidth="1"/>
    <col min="2" max="2" width="9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11.44140625" bestFit="1" customWidth="1"/>
    <col min="8" max="8" width="16.109375" bestFit="1" customWidth="1"/>
    <col min="9" max="9" width="13.33203125" bestFit="1" customWidth="1"/>
    <col min="10" max="10" width="19.33203125" bestFit="1" customWidth="1"/>
  </cols>
  <sheetData>
    <row r="1" spans="1:10" s="1" customFormat="1" x14ac:dyDescent="0.3">
      <c r="A1" s="1" t="s">
        <v>726</v>
      </c>
      <c r="B1" s="1" t="s">
        <v>76</v>
      </c>
      <c r="C1" s="1" t="s">
        <v>305</v>
      </c>
      <c r="D1" s="1" t="s">
        <v>77</v>
      </c>
      <c r="E1" s="1" t="s">
        <v>78</v>
      </c>
      <c r="F1" s="1" t="s">
        <v>79</v>
      </c>
      <c r="G1" s="1" t="s">
        <v>805</v>
      </c>
      <c r="H1" s="1" t="s">
        <v>808</v>
      </c>
      <c r="I1" s="1" t="s">
        <v>81</v>
      </c>
      <c r="J1" s="1" t="s">
        <v>328</v>
      </c>
    </row>
    <row r="2" spans="1:10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82</v>
      </c>
      <c r="F2" t="s">
        <v>82</v>
      </c>
      <c r="J2" t="str" cm="1">
        <f t="array" ref="J2">GetValue("Mnu",I2,"Caption")</f>
        <v/>
      </c>
    </row>
    <row r="3" spans="1:10" x14ac:dyDescent="0.3">
      <c r="A3">
        <f t="shared" ref="A3:A13" si="0"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85</v>
      </c>
      <c r="F3" t="s">
        <v>86</v>
      </c>
      <c r="G3" t="s">
        <v>811</v>
      </c>
      <c r="H3" t="s">
        <v>118</v>
      </c>
      <c r="I3">
        <v>1</v>
      </c>
      <c r="J3" t="str" cm="1">
        <f t="array" ref="J3">GetValue("Mnu",I3,"Caption")</f>
        <v>Cadastros</v>
      </c>
    </row>
    <row r="4" spans="1:10" x14ac:dyDescent="0.3">
      <c r="A4">
        <f t="shared" si="0"/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87</v>
      </c>
      <c r="F4" t="s">
        <v>88</v>
      </c>
      <c r="G4" t="s">
        <v>811</v>
      </c>
      <c r="H4" t="s">
        <v>122</v>
      </c>
      <c r="I4">
        <v>1</v>
      </c>
      <c r="J4" t="str" cm="1">
        <f t="array" ref="J4">GetValue("Mnu",I4,"Caption")</f>
        <v>Cadastros</v>
      </c>
    </row>
    <row r="5" spans="1:10" x14ac:dyDescent="0.3">
      <c r="A5">
        <f t="shared" si="0"/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</v>
      </c>
      <c r="F5" t="s">
        <v>90</v>
      </c>
      <c r="G5" t="s">
        <v>811</v>
      </c>
      <c r="H5" t="s">
        <v>89</v>
      </c>
      <c r="I5">
        <v>1</v>
      </c>
      <c r="J5" t="str" cm="1">
        <f t="array" ref="J5">GetValue("Mnu",I5,"Caption")</f>
        <v>Cadastros</v>
      </c>
    </row>
    <row r="6" spans="1:10" x14ac:dyDescent="0.3">
      <c r="A6">
        <f t="shared" si="0"/>
        <v>5</v>
      </c>
      <c r="B6">
        <v>1</v>
      </c>
      <c r="C6" t="str" cm="1">
        <f t="array" ref="C6">GetValue("Sys",B6,"Name")</f>
        <v>crudex</v>
      </c>
      <c r="D6">
        <v>25</v>
      </c>
      <c r="E6" t="s">
        <v>91</v>
      </c>
      <c r="F6" t="s">
        <v>92</v>
      </c>
      <c r="G6" t="s">
        <v>811</v>
      </c>
      <c r="H6" t="s">
        <v>117</v>
      </c>
      <c r="I6">
        <v>3</v>
      </c>
      <c r="J6" t="str" cm="1">
        <f t="array" ref="J6">GetValue("Mnu",I6,"Caption")</f>
        <v>Tabelas</v>
      </c>
    </row>
    <row r="7" spans="1:10" x14ac:dyDescent="0.3">
      <c r="A7">
        <f t="shared" si="0"/>
        <v>6</v>
      </c>
      <c r="B7">
        <v>1</v>
      </c>
      <c r="C7" t="str" cm="1">
        <f t="array" ref="C7">GetValue("Sys",B7,"Name")</f>
        <v>crudex</v>
      </c>
      <c r="D7">
        <v>30</v>
      </c>
      <c r="E7" t="s">
        <v>93</v>
      </c>
      <c r="F7" t="s">
        <v>94</v>
      </c>
      <c r="G7" t="s">
        <v>811</v>
      </c>
      <c r="H7" t="s">
        <v>121</v>
      </c>
      <c r="I7">
        <v>3</v>
      </c>
      <c r="J7" t="str" cm="1">
        <f t="array" ref="J7">GetValue("Mnu",I7,"Caption")</f>
        <v>Tabelas</v>
      </c>
    </row>
    <row r="8" spans="1:10" x14ac:dyDescent="0.3">
      <c r="A8">
        <f t="shared" si="0"/>
        <v>7</v>
      </c>
      <c r="B8">
        <v>1</v>
      </c>
      <c r="C8" t="str" cm="1">
        <f t="array" ref="C8">GetValue("Sys",B8,"Name")</f>
        <v>crudex</v>
      </c>
      <c r="D8">
        <v>35</v>
      </c>
      <c r="E8" t="s">
        <v>95</v>
      </c>
      <c r="F8" t="s">
        <v>96</v>
      </c>
      <c r="G8" t="s">
        <v>811</v>
      </c>
      <c r="H8" t="s">
        <v>123</v>
      </c>
      <c r="I8">
        <v>6</v>
      </c>
      <c r="J8" t="str" cm="1">
        <f t="array" ref="J8">GetValue("Mnu",I8,"Caption")</f>
        <v>Banco de Dados</v>
      </c>
    </row>
    <row r="9" spans="1:10" x14ac:dyDescent="0.3">
      <c r="A9">
        <f>ROW(A9)-1</f>
        <v>8</v>
      </c>
      <c r="B9">
        <v>1</v>
      </c>
      <c r="C9" t="str" cm="1">
        <f t="array" ref="C9">GetValue("Sys",B9,"Name")</f>
        <v>crudex</v>
      </c>
      <c r="D9">
        <v>40</v>
      </c>
      <c r="E9" t="s">
        <v>83</v>
      </c>
      <c r="F9" t="s">
        <v>84</v>
      </c>
      <c r="G9" t="s">
        <v>811</v>
      </c>
      <c r="H9" t="s">
        <v>114</v>
      </c>
      <c r="I9">
        <v>6</v>
      </c>
      <c r="J9" t="str" cm="1">
        <f t="array" ref="J9">GetValue("Mnu",I9,"Caption")</f>
        <v>Banco de Dados</v>
      </c>
    </row>
    <row r="10" spans="1:10" x14ac:dyDescent="0.3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45</v>
      </c>
      <c r="E10" t="s">
        <v>97</v>
      </c>
      <c r="F10" t="s">
        <v>98</v>
      </c>
      <c r="J10" t="str" cm="1">
        <f t="array" ref="J10">GetValue("Mnu",I10,"Caption")</f>
        <v/>
      </c>
    </row>
    <row r="11" spans="1:10" x14ac:dyDescent="0.3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50</v>
      </c>
      <c r="E11" t="s">
        <v>99</v>
      </c>
      <c r="F11" t="s">
        <v>100</v>
      </c>
      <c r="G11" t="s">
        <v>811</v>
      </c>
      <c r="H11" t="s">
        <v>809</v>
      </c>
      <c r="I11">
        <v>9</v>
      </c>
      <c r="J11" t="str" cm="1">
        <f t="array" ref="J11">GetValue("Mnu",I11,"Caption")</f>
        <v>Associações</v>
      </c>
    </row>
    <row r="12" spans="1:10" x14ac:dyDescent="0.3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55</v>
      </c>
      <c r="E12" t="s">
        <v>101</v>
      </c>
      <c r="F12" t="s">
        <v>102</v>
      </c>
      <c r="G12" t="s">
        <v>811</v>
      </c>
      <c r="H12" t="s">
        <v>119</v>
      </c>
      <c r="I12">
        <v>9</v>
      </c>
      <c r="J12" t="str" cm="1">
        <f t="array" ref="J12">GetValue("Mnu",I12,"Caption")</f>
        <v>Associações</v>
      </c>
    </row>
    <row r="13" spans="1:10" x14ac:dyDescent="0.3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60</v>
      </c>
      <c r="E13" t="s">
        <v>103</v>
      </c>
      <c r="F13" t="s">
        <v>104</v>
      </c>
      <c r="G13" t="s">
        <v>812</v>
      </c>
      <c r="H13" t="s">
        <v>810</v>
      </c>
      <c r="J13" t="str" cm="1">
        <f t="array" ref="J13">GetValue("Mnu",I13,"Caption")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H3"/>
  <sheetViews>
    <sheetView workbookViewId="0">
      <pane ySplit="1" topLeftCell="A14" activePane="bottomLeft" state="frozen"/>
      <selection pane="bottomLeft" activeCell="F9" sqref="F9"/>
    </sheetView>
  </sheetViews>
  <sheetFormatPr defaultColWidth="8.33203125" defaultRowHeight="14.4" x14ac:dyDescent="0.3"/>
  <cols>
    <col min="1" max="1" width="3.6640625" bestFit="1" customWidth="1"/>
    <col min="2" max="2" width="8.44140625" bestFit="1" customWidth="1"/>
    <col min="3" max="3" width="11.77734375" bestFit="1" customWidth="1"/>
    <col min="4" max="4" width="7.109375" bestFit="1" customWidth="1"/>
    <col min="5" max="5" width="9" bestFit="1" customWidth="1"/>
    <col min="6" max="6" width="20.109375" bestFit="1" customWidth="1"/>
    <col min="7" max="7" width="10.77734375" bestFit="1" customWidth="1"/>
    <col min="8" max="8" width="11.77734375" bestFit="1" customWidth="1"/>
  </cols>
  <sheetData>
    <row r="1" spans="1:8" s="1" customFormat="1" x14ac:dyDescent="0.3">
      <c r="A1" s="1" t="s">
        <v>726</v>
      </c>
      <c r="B1" s="1" t="s">
        <v>817</v>
      </c>
      <c r="C1" s="1" t="s">
        <v>618</v>
      </c>
      <c r="D1" s="1" t="s">
        <v>1</v>
      </c>
      <c r="E1" s="1" t="s">
        <v>105</v>
      </c>
      <c r="F1" s="1" t="s">
        <v>106</v>
      </c>
      <c r="G1" s="1" t="s">
        <v>107</v>
      </c>
      <c r="H1" s="1" t="s">
        <v>28</v>
      </c>
    </row>
    <row r="2" spans="1:8" x14ac:dyDescent="0.3">
      <c r="A2">
        <f>ROW(A2)-1</f>
        <v>1</v>
      </c>
      <c r="B2">
        <v>1</v>
      </c>
      <c r="C2" t="str" cm="1">
        <f t="array" ref="C2">GetValue("Cli",B2,"Name")</f>
        <v>SoftLab</v>
      </c>
      <c r="D2" t="s">
        <v>290</v>
      </c>
      <c r="E2" t="s">
        <v>290</v>
      </c>
      <c r="F2" t="s">
        <v>291</v>
      </c>
      <c r="G2">
        <v>0</v>
      </c>
      <c r="H2" t="b">
        <v>1</v>
      </c>
    </row>
    <row r="3" spans="1:8" x14ac:dyDescent="0.3">
      <c r="A3">
        <f>ROW(A3)-1</f>
        <v>2</v>
      </c>
      <c r="B3">
        <v>1</v>
      </c>
      <c r="C3" t="str" cm="1">
        <f t="array" ref="C3">GetValue("Cli",B3,"Name")</f>
        <v>SoftLab</v>
      </c>
      <c r="D3" t="s">
        <v>298</v>
      </c>
      <c r="E3" t="s">
        <v>108</v>
      </c>
      <c r="F3" t="s">
        <v>299</v>
      </c>
      <c r="G3">
        <v>0</v>
      </c>
      <c r="H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D3"/>
  <sheetViews>
    <sheetView workbookViewId="0">
      <pane ySplit="1" topLeftCell="A2" activePane="bottomLeft" state="frozen"/>
      <selection pane="bottomLeft" activeCell="E1" sqref="E1"/>
    </sheetView>
  </sheetViews>
  <sheetFormatPr defaultColWidth="8.6640625" defaultRowHeight="14.4" x14ac:dyDescent="0.3"/>
  <cols>
    <col min="1" max="1" width="9.77734375" bestFit="1" customWidth="1"/>
    <col min="2" max="2" width="13.21875" bestFit="1" customWidth="1"/>
    <col min="3" max="3" width="7.44140625" bestFit="1" customWidth="1"/>
    <col min="4" max="4" width="10.77734375" bestFit="1" customWidth="1"/>
  </cols>
  <sheetData>
    <row r="1" spans="1:4" s="1" customFormat="1" x14ac:dyDescent="0.3">
      <c r="A1" s="1" t="s">
        <v>740</v>
      </c>
      <c r="B1" s="1" t="s">
        <v>305</v>
      </c>
      <c r="C1" s="1" t="s">
        <v>819</v>
      </c>
      <c r="D1" s="1" t="s">
        <v>304</v>
      </c>
    </row>
    <row r="2" spans="1:4" x14ac:dyDescent="0.3">
      <c r="A2">
        <v>1</v>
      </c>
      <c r="B2" t="str" cm="1">
        <f t="array" ref="B2">GetValue("Sys",A2,"Name")</f>
        <v>crudex</v>
      </c>
      <c r="C2">
        <v>1</v>
      </c>
      <c r="D2" t="str" cm="1">
        <f t="array" ref="D2">GetValue("Usr",C2,"Name")</f>
        <v>adm</v>
      </c>
    </row>
    <row r="3" spans="1:4" x14ac:dyDescent="0.3">
      <c r="A3">
        <v>1</v>
      </c>
      <c r="B3" t="str" cm="1">
        <f t="array" ref="B3">GetValue("Sys",A3,"Name")</f>
        <v>crudex</v>
      </c>
      <c r="C3">
        <v>2</v>
      </c>
      <c r="D3" t="str" cm="1">
        <f t="array" ref="D3">GetValue("Usr",C3,"Name")</f>
        <v>labrego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F29"/>
  <sheetViews>
    <sheetView zoomScale="85" zoomScaleNormal="85"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3.6640625" bestFit="1" customWidth="1"/>
    <col min="2" max="2" width="10.77734375" bestFit="1" customWidth="1"/>
    <col min="3" max="3" width="15.5546875" bestFit="1" customWidth="1"/>
    <col min="4" max="4" width="21.6640625" bestFit="1" customWidth="1"/>
    <col min="5" max="5" width="8.33203125" bestFit="1" customWidth="1"/>
    <col min="6" max="6" width="38.109375" bestFit="1" customWidth="1"/>
  </cols>
  <sheetData>
    <row r="1" spans="1:6" s="1" customFormat="1" x14ac:dyDescent="0.3">
      <c r="A1" s="1" t="s">
        <v>726</v>
      </c>
      <c r="B1" s="1" t="s">
        <v>112</v>
      </c>
      <c r="C1" s="1" t="s">
        <v>306</v>
      </c>
      <c r="D1" s="1" t="s">
        <v>1</v>
      </c>
      <c r="E1" s="1" t="s">
        <v>110</v>
      </c>
      <c r="F1" s="1" t="s">
        <v>73</v>
      </c>
    </row>
    <row r="2" spans="1:6" x14ac:dyDescent="0.3">
      <c r="A2">
        <f>ROW(A2)-1</f>
        <v>1</v>
      </c>
      <c r="B2">
        <v>1</v>
      </c>
      <c r="C2" t="str" cm="1">
        <f t="array" ref="C2">GetValue("Db",B2,"Name")</f>
        <v>crudex</v>
      </c>
      <c r="D2" t="s">
        <v>686</v>
      </c>
      <c r="E2" t="s">
        <v>694</v>
      </c>
      <c r="F2" t="s">
        <v>702</v>
      </c>
    </row>
    <row r="3" spans="1:6" x14ac:dyDescent="0.3">
      <c r="A3">
        <f>ROW(A3)-1</f>
        <v>2</v>
      </c>
      <c r="B3">
        <v>1</v>
      </c>
      <c r="C3" t="str" cm="1">
        <f t="array" ref="C3">GetValue("Db",B3,"Name")</f>
        <v>crudex</v>
      </c>
      <c r="D3" t="s">
        <v>126</v>
      </c>
      <c r="E3" t="s">
        <v>602</v>
      </c>
      <c r="F3" t="s">
        <v>703</v>
      </c>
    </row>
    <row r="4" spans="1:6" x14ac:dyDescent="0.3">
      <c r="A4">
        <f>ROW(A4)-1</f>
        <v>3</v>
      </c>
      <c r="B4">
        <v>1</v>
      </c>
      <c r="C4" t="str" cm="1">
        <f t="array" ref="C4">GetValue("Db",B4,"Name")</f>
        <v>crudex</v>
      </c>
      <c r="D4" t="s">
        <v>114</v>
      </c>
      <c r="E4" t="s">
        <v>603</v>
      </c>
      <c r="F4" t="s">
        <v>83</v>
      </c>
    </row>
    <row r="5" spans="1:6" x14ac:dyDescent="0.3">
      <c r="A5">
        <f>ROW(A5)-1</f>
        <v>4</v>
      </c>
      <c r="B5">
        <v>1</v>
      </c>
      <c r="C5" t="str" cm="1">
        <f t="array" ref="C5">GetValue("Db",B5,"Name")</f>
        <v>crudex</v>
      </c>
      <c r="D5" t="s">
        <v>687</v>
      </c>
      <c r="E5" t="s">
        <v>695</v>
      </c>
      <c r="F5" t="s">
        <v>704</v>
      </c>
    </row>
    <row r="6" spans="1:6" x14ac:dyDescent="0.3">
      <c r="A6">
        <f t="shared" ref="A6:A10" si="0">ROW(A6)-1</f>
        <v>5</v>
      </c>
      <c r="B6">
        <v>1</v>
      </c>
      <c r="C6" t="str" cm="1">
        <f t="array" ref="C6">GetValue("Db",B6,"Name")</f>
        <v>crudex</v>
      </c>
      <c r="D6" t="s">
        <v>685</v>
      </c>
      <c r="E6" t="s">
        <v>693</v>
      </c>
      <c r="F6" t="s">
        <v>701</v>
      </c>
    </row>
    <row r="7" spans="1:6" x14ac:dyDescent="0.3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115</v>
      </c>
      <c r="E7" t="s">
        <v>605</v>
      </c>
      <c r="F7" t="s">
        <v>376</v>
      </c>
    </row>
    <row r="8" spans="1:6" x14ac:dyDescent="0.3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743</v>
      </c>
      <c r="E8" t="s">
        <v>744</v>
      </c>
      <c r="F8" t="s">
        <v>745</v>
      </c>
    </row>
    <row r="9" spans="1:6" x14ac:dyDescent="0.3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116</v>
      </c>
      <c r="E9" t="s">
        <v>604</v>
      </c>
      <c r="F9" t="s">
        <v>705</v>
      </c>
    </row>
    <row r="10" spans="1:6" x14ac:dyDescent="0.3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688</v>
      </c>
      <c r="E10" t="s">
        <v>696</v>
      </c>
      <c r="F10" t="s">
        <v>706</v>
      </c>
    </row>
    <row r="11" spans="1:6" x14ac:dyDescent="0.3">
      <c r="A11">
        <f t="shared" ref="A11:A26" si="1">ROW(A11)-1</f>
        <v>10</v>
      </c>
      <c r="B11">
        <v>1</v>
      </c>
      <c r="C11" t="str" cm="1">
        <f t="array" ref="C11">GetValue("Db",B11,"Name")</f>
        <v>crudex</v>
      </c>
      <c r="D11" t="s">
        <v>689</v>
      </c>
      <c r="E11" t="s">
        <v>697</v>
      </c>
      <c r="F11" t="s">
        <v>707</v>
      </c>
    </row>
    <row r="12" spans="1:6" x14ac:dyDescent="0.3">
      <c r="A12">
        <f t="shared" si="1"/>
        <v>11</v>
      </c>
      <c r="B12">
        <v>1</v>
      </c>
      <c r="C12" t="str" cm="1">
        <f t="array" ref="C12">GetValue("Db",B12,"Name")</f>
        <v>crudex</v>
      </c>
      <c r="D12" t="s">
        <v>690</v>
      </c>
      <c r="E12" t="s">
        <v>698</v>
      </c>
      <c r="F12" t="s">
        <v>708</v>
      </c>
    </row>
    <row r="13" spans="1:6" x14ac:dyDescent="0.3">
      <c r="A13">
        <f t="shared" si="1"/>
        <v>12</v>
      </c>
      <c r="B13">
        <v>1</v>
      </c>
      <c r="C13" t="str" cm="1">
        <f t="array" ref="C13">GetValue("Db",B13,"Name")</f>
        <v>crudex</v>
      </c>
      <c r="D13" t="s">
        <v>121</v>
      </c>
      <c r="E13" t="s">
        <v>610</v>
      </c>
      <c r="F13" t="s">
        <v>709</v>
      </c>
    </row>
    <row r="14" spans="1:6" x14ac:dyDescent="0.3">
      <c r="A14">
        <f t="shared" si="1"/>
        <v>13</v>
      </c>
      <c r="B14">
        <v>1</v>
      </c>
      <c r="C14" t="str" cm="1">
        <f t="array" ref="C14">GetValue("Db",B14,"Name")</f>
        <v>crudex</v>
      </c>
      <c r="D14" t="s">
        <v>691</v>
      </c>
      <c r="E14" t="s">
        <v>746</v>
      </c>
      <c r="F14" t="s">
        <v>710</v>
      </c>
    </row>
    <row r="15" spans="1:6" x14ac:dyDescent="0.3">
      <c r="A15">
        <f t="shared" si="1"/>
        <v>14</v>
      </c>
      <c r="B15">
        <v>1</v>
      </c>
      <c r="C15" t="str" cm="1">
        <f t="array" ref="C15">GetValue("Db",B15,"Name")</f>
        <v>crudex</v>
      </c>
      <c r="D15" t="s">
        <v>117</v>
      </c>
      <c r="E15" t="s">
        <v>606</v>
      </c>
      <c r="F15" t="s">
        <v>91</v>
      </c>
    </row>
    <row r="16" spans="1:6" x14ac:dyDescent="0.3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89</v>
      </c>
      <c r="E16" t="s">
        <v>607</v>
      </c>
      <c r="F16" t="s">
        <v>89</v>
      </c>
    </row>
    <row r="17" spans="1:6" x14ac:dyDescent="0.3">
      <c r="A17">
        <f>ROW(A17)-1</f>
        <v>16</v>
      </c>
      <c r="B17">
        <v>1</v>
      </c>
      <c r="C17" t="str" cm="1">
        <f t="array" ref="C17">GetValue("Db",B17,"Name")</f>
        <v>crudex</v>
      </c>
      <c r="D17" t="s">
        <v>119</v>
      </c>
      <c r="E17" t="s">
        <v>609</v>
      </c>
      <c r="F17" t="s">
        <v>120</v>
      </c>
    </row>
    <row r="18" spans="1:6" x14ac:dyDescent="0.3">
      <c r="A18">
        <f t="shared" si="1"/>
        <v>17</v>
      </c>
      <c r="B18">
        <v>1</v>
      </c>
      <c r="C18" t="str" cm="1">
        <f t="array" ref="C18">GetValue("Db",B18,"Name")</f>
        <v>crudex</v>
      </c>
      <c r="D18" t="s">
        <v>122</v>
      </c>
      <c r="E18" t="s">
        <v>611</v>
      </c>
      <c r="F18" t="s">
        <v>87</v>
      </c>
    </row>
    <row r="19" spans="1:6" x14ac:dyDescent="0.3">
      <c r="A19">
        <f t="shared" si="1"/>
        <v>18</v>
      </c>
      <c r="B19">
        <v>1</v>
      </c>
      <c r="C19" t="str" cm="1">
        <f t="array" ref="C19">GetValue("Db",B19,"Name")</f>
        <v>crudex</v>
      </c>
      <c r="D19" t="s">
        <v>123</v>
      </c>
      <c r="E19" t="s">
        <v>612</v>
      </c>
      <c r="F19" t="s">
        <v>375</v>
      </c>
    </row>
    <row r="20" spans="1:6" x14ac:dyDescent="0.3">
      <c r="A20">
        <f>ROW(A20)-1</f>
        <v>19</v>
      </c>
      <c r="B20">
        <v>1</v>
      </c>
      <c r="C20" t="str" cm="1">
        <f t="array" ref="C20">GetValue("Db",B20,"Name")</f>
        <v>crudex</v>
      </c>
      <c r="D20" t="s">
        <v>124</v>
      </c>
      <c r="E20" t="s">
        <v>613</v>
      </c>
      <c r="F20" t="s">
        <v>711</v>
      </c>
    </row>
    <row r="21" spans="1:6" x14ac:dyDescent="0.3">
      <c r="A21">
        <f>ROW(A21)-1</f>
        <v>20</v>
      </c>
      <c r="B21">
        <v>1</v>
      </c>
      <c r="C21" t="str" cm="1">
        <f t="array" ref="C21">GetValue("Db",B21,"Name")</f>
        <v>crudex</v>
      </c>
      <c r="D21" t="s">
        <v>284</v>
      </c>
      <c r="E21" t="s">
        <v>699</v>
      </c>
      <c r="F21" t="s">
        <v>125</v>
      </c>
    </row>
    <row r="22" spans="1:6" x14ac:dyDescent="0.3">
      <c r="A22">
        <f t="shared" si="1"/>
        <v>21</v>
      </c>
      <c r="B22">
        <v>1</v>
      </c>
      <c r="C22" t="str" cm="1">
        <f t="array" ref="C22">GetValue("Db",B22,"Name")</f>
        <v>crudex</v>
      </c>
      <c r="D22" t="s">
        <v>118</v>
      </c>
      <c r="E22" t="s">
        <v>608</v>
      </c>
      <c r="F22" t="s">
        <v>85</v>
      </c>
    </row>
    <row r="23" spans="1:6" x14ac:dyDescent="0.3">
      <c r="A23">
        <f t="shared" si="1"/>
        <v>22</v>
      </c>
      <c r="B23">
        <v>1</v>
      </c>
      <c r="C23" t="str" cm="1">
        <f t="array" ref="C23">GetValue("Db",B23,"Name")</f>
        <v>crudex</v>
      </c>
      <c r="D23" t="s">
        <v>436</v>
      </c>
      <c r="E23" t="s">
        <v>617</v>
      </c>
      <c r="F23" t="s">
        <v>715</v>
      </c>
    </row>
    <row r="24" spans="1:6" x14ac:dyDescent="0.3">
      <c r="A24">
        <f t="shared" si="1"/>
        <v>23</v>
      </c>
      <c r="B24">
        <v>1</v>
      </c>
      <c r="C24" t="str" cm="1">
        <f t="array" ref="C24">GetValue("Db",B24,"Name")</f>
        <v>crudex</v>
      </c>
      <c r="D24" t="s">
        <v>692</v>
      </c>
      <c r="E24" t="s">
        <v>700</v>
      </c>
      <c r="F24" t="s">
        <v>716</v>
      </c>
    </row>
    <row r="25" spans="1:6" x14ac:dyDescent="0.3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797</v>
      </c>
      <c r="E25" t="s">
        <v>796</v>
      </c>
      <c r="F25" t="s">
        <v>802</v>
      </c>
    </row>
    <row r="26" spans="1:6" x14ac:dyDescent="0.3">
      <c r="A26">
        <f t="shared" si="1"/>
        <v>25</v>
      </c>
      <c r="B26">
        <v>1</v>
      </c>
      <c r="C26" t="str" cm="1">
        <f t="array" ref="C26">GetValue("Db",B26,"Name")</f>
        <v>crudex</v>
      </c>
      <c r="D26" t="s">
        <v>800</v>
      </c>
      <c r="E26" t="s">
        <v>801</v>
      </c>
      <c r="F26" t="s">
        <v>816</v>
      </c>
    </row>
    <row r="27" spans="1:6" x14ac:dyDescent="0.3">
      <c r="A27">
        <f>ROW(A27)-1</f>
        <v>26</v>
      </c>
      <c r="B27">
        <v>1</v>
      </c>
      <c r="C27" t="str" cm="1">
        <f t="array" ref="C27">GetValue("Db",B27,"Name")</f>
        <v>crudex</v>
      </c>
      <c r="D27" t="s">
        <v>440</v>
      </c>
      <c r="E27" t="s">
        <v>614</v>
      </c>
      <c r="F27" t="s">
        <v>712</v>
      </c>
    </row>
    <row r="28" spans="1:6" x14ac:dyDescent="0.3">
      <c r="A28">
        <f>ROW(A28)-1</f>
        <v>27</v>
      </c>
      <c r="B28">
        <v>1</v>
      </c>
      <c r="C28" t="str" cm="1">
        <f t="array" ref="C28">GetValue("Db",B28,"Name")</f>
        <v>crudex</v>
      </c>
      <c r="D28" t="s">
        <v>377</v>
      </c>
      <c r="E28" t="s">
        <v>615</v>
      </c>
      <c r="F28" t="s">
        <v>713</v>
      </c>
    </row>
    <row r="29" spans="1:6" x14ac:dyDescent="0.3">
      <c r="A29">
        <f>ROW(A29)-1</f>
        <v>28</v>
      </c>
      <c r="B29">
        <v>1</v>
      </c>
      <c r="C29" t="str" cm="1">
        <f t="array" ref="C29">GetValue("Db",B29,"Name")</f>
        <v>crudex</v>
      </c>
      <c r="D29" t="s">
        <v>381</v>
      </c>
      <c r="E29" t="s">
        <v>616</v>
      </c>
      <c r="F29" t="s">
        <v>714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41"/>
  <sheetViews>
    <sheetView zoomScaleNormal="100" workbookViewId="0">
      <pane ySplit="1" topLeftCell="A2" activePane="bottomLeft" state="frozen"/>
      <selection pane="bottomLeft" sqref="A1:F1048576"/>
    </sheetView>
  </sheetViews>
  <sheetFormatPr defaultRowHeight="14.4" x14ac:dyDescent="0.3"/>
  <cols>
    <col min="1" max="1" width="8.44140625" bestFit="1" customWidth="1"/>
    <col min="2" max="2" width="11.77734375" bestFit="1" customWidth="1"/>
    <col min="3" max="3" width="11.44140625" bestFit="1" customWidth="1"/>
    <col min="4" max="4" width="14.88671875" bestFit="1" customWidth="1"/>
    <col min="5" max="5" width="8.21875" bestFit="1" customWidth="1"/>
    <col min="6" max="6" width="20.77734375" bestFit="1" customWidth="1"/>
    <col min="7" max="7" width="10.44140625" bestFit="1" customWidth="1"/>
    <col min="8" max="8" width="4" customWidth="1"/>
    <col min="9" max="10" width="9.21875" bestFit="1" customWidth="1"/>
    <col min="11" max="11" width="13.6640625" bestFit="1" customWidth="1"/>
    <col min="12" max="12" width="14.6640625" bestFit="1" customWidth="1"/>
    <col min="13" max="13" width="12.21875" bestFit="1" customWidth="1"/>
    <col min="14" max="14" width="17" bestFit="1" customWidth="1"/>
    <col min="15" max="15" width="32.44140625" bestFit="1" customWidth="1"/>
    <col min="16" max="17" width="21.44140625" bestFit="1" customWidth="1"/>
    <col min="18" max="18" width="7.109375" style="2" bestFit="1" customWidth="1"/>
    <col min="19" max="19" width="9.21875" style="21" bestFit="1" customWidth="1"/>
    <col min="20" max="20" width="9.5546875" style="2" bestFit="1" customWidth="1"/>
    <col min="21" max="21" width="11.88671875" bestFit="1" customWidth="1"/>
    <col min="22" max="22" width="15.21875" bestFit="1" customWidth="1"/>
    <col min="23" max="27" width="11.77734375" bestFit="1" customWidth="1"/>
    <col min="28" max="28" width="9.44140625" bestFit="1" customWidth="1"/>
  </cols>
  <sheetData>
    <row r="1" spans="1:28" s="1" customFormat="1" x14ac:dyDescent="0.3">
      <c r="A1" s="1" t="s">
        <v>729</v>
      </c>
      <c r="B1" s="1" t="s">
        <v>618</v>
      </c>
      <c r="C1" s="1" t="s">
        <v>738</v>
      </c>
      <c r="D1" s="1" t="s">
        <v>306</v>
      </c>
      <c r="E1" s="1" t="s">
        <v>739</v>
      </c>
      <c r="F1" s="1" t="s">
        <v>307</v>
      </c>
      <c r="G1" s="1" t="s">
        <v>359</v>
      </c>
      <c r="H1" s="1" t="s">
        <v>726</v>
      </c>
      <c r="I1" s="1" t="s">
        <v>77</v>
      </c>
      <c r="J1" s="1" t="s">
        <v>128</v>
      </c>
      <c r="K1" s="1" t="s">
        <v>308</v>
      </c>
      <c r="L1" s="1" t="s">
        <v>301</v>
      </c>
      <c r="M1" s="1" t="s">
        <v>324</v>
      </c>
      <c r="N1" s="1" t="s">
        <v>1</v>
      </c>
      <c r="O1" s="1" t="s">
        <v>73</v>
      </c>
      <c r="P1" s="1" t="s">
        <v>130</v>
      </c>
      <c r="Q1" s="1" t="s">
        <v>78</v>
      </c>
      <c r="R1" s="19" t="s">
        <v>61</v>
      </c>
      <c r="S1" s="20" t="s">
        <v>21</v>
      </c>
      <c r="T1" s="19" t="s">
        <v>22</v>
      </c>
      <c r="U1" s="1" t="s">
        <v>131</v>
      </c>
      <c r="V1" s="1" t="s">
        <v>132</v>
      </c>
      <c r="W1" s="1" t="s">
        <v>133</v>
      </c>
      <c r="X1" s="1" t="s">
        <v>135</v>
      </c>
      <c r="Y1" s="1" t="s">
        <v>136</v>
      </c>
      <c r="Z1" s="1" t="s">
        <v>331</v>
      </c>
      <c r="AA1" s="1" t="s">
        <v>137</v>
      </c>
      <c r="AB1" s="1" t="s">
        <v>357</v>
      </c>
    </row>
    <row r="2" spans="1:28" x14ac:dyDescent="0.3">
      <c r="A2">
        <v>1</v>
      </c>
      <c r="B2" t="s">
        <v>735</v>
      </c>
      <c r="C2">
        <v>1</v>
      </c>
      <c r="D2" s="15" t="e" cm="1">
        <f t="array" ref="D2">GetValue("Db",A2&amp;";"&amp;C2,"Name")</f>
        <v>#VALUE!</v>
      </c>
      <c r="E2" s="15">
        <v>1</v>
      </c>
      <c r="F2" s="15" t="str" cm="1">
        <f t="array" ref="F2">GetValue("Tbl",A2&amp;";"&amp;C2&amp;";"&amp;E2,"Name")</f>
        <v>Engines</v>
      </c>
      <c r="G2" s="15" t="str" cm="1">
        <f t="array" ref="G2">GetValue("Tbl",A2&amp;";"&amp;C2&amp;";"&amp;E2,"Alias")</f>
        <v>Eng</v>
      </c>
      <c r="H2">
        <f t="shared" ref="H2:H13" si="0">ROW(H2)-1</f>
        <v>1</v>
      </c>
      <c r="I2">
        <v>5</v>
      </c>
      <c r="J2">
        <v>5</v>
      </c>
      <c r="K2" t="e" cm="1">
        <f t="array" ref="K2">GetValue("Dmn",A2&amp;";"&amp;J2,"Name")</f>
        <v>#VALUE!</v>
      </c>
      <c r="L2" t="e" cm="1">
        <f t="array" ref="L2">GetValue("Dmn",A2&amp;";"&amp;J2,"#CategoryName")</f>
        <v>#VALUE!</v>
      </c>
      <c r="M2" t="e" cm="1">
        <f t="array" ref="M2">GetValue("EngDmn",A2&amp;";"&amp;1&amp;";"&amp;J2,"DataType")</f>
        <v>#VALUE!</v>
      </c>
      <c r="N2" t="s">
        <v>0</v>
      </c>
      <c r="O2" t="s">
        <v>259</v>
      </c>
      <c r="P2" t="s">
        <v>143</v>
      </c>
      <c r="Q2" t="s">
        <v>143</v>
      </c>
      <c r="S2" s="21">
        <v>1</v>
      </c>
      <c r="U2" t="b">
        <v>1</v>
      </c>
      <c r="V2" t="b">
        <v>1</v>
      </c>
      <c r="W2" t="b">
        <v>1</v>
      </c>
      <c r="X2" t="b">
        <v>1</v>
      </c>
      <c r="Y2" t="b">
        <v>0</v>
      </c>
      <c r="Z2" t="b">
        <v>0</v>
      </c>
      <c r="AB2" t="b">
        <v>0</v>
      </c>
    </row>
    <row r="3" spans="1:28" x14ac:dyDescent="0.3">
      <c r="A3">
        <v>1</v>
      </c>
      <c r="B3" t="s">
        <v>735</v>
      </c>
      <c r="C3">
        <v>1</v>
      </c>
      <c r="D3" s="15" t="e" cm="1">
        <f t="array" ref="D3">GetValue("Db",A3&amp;";"&amp;C3,"Name")</f>
        <v>#VALUE!</v>
      </c>
      <c r="E3" s="15">
        <v>1</v>
      </c>
      <c r="F3" s="15" t="str" cm="1">
        <f t="array" ref="F3">GetValue("Tbl",A3&amp;";"&amp;C3&amp;";"&amp;E3,"Name")</f>
        <v>Engines</v>
      </c>
      <c r="G3" s="15" t="str" cm="1">
        <f t="array" ref="G3">GetValue("Tbl",A3&amp;";"&amp;C3&amp;";"&amp;E3,"Alias")</f>
        <v>Eng</v>
      </c>
      <c r="H3">
        <f t="shared" si="0"/>
        <v>2</v>
      </c>
      <c r="I3">
        <f>I2+5</f>
        <v>10</v>
      </c>
      <c r="J3">
        <v>9</v>
      </c>
      <c r="K3" t="e" cm="1">
        <f t="array" ref="K3">GetValue("Dmn",A3&amp;";"&amp;J3,"Name")</f>
        <v>#VALUE!</v>
      </c>
      <c r="L3" t="e" cm="1">
        <f t="array" ref="L3">GetValue("Dmn",A3&amp;";"&amp;J3,"#CategoryName")</f>
        <v>#VALUE!</v>
      </c>
      <c r="M3" t="e" cm="1">
        <f t="array" ref="M3">GetValue("EngDmn",A3&amp;";"&amp;1&amp;";"&amp;J3,"DataType")</f>
        <v>#VALUE!</v>
      </c>
      <c r="N3" t="s">
        <v>1</v>
      </c>
      <c r="O3" t="s">
        <v>260</v>
      </c>
      <c r="P3" t="s">
        <v>141</v>
      </c>
      <c r="Q3" t="s">
        <v>141</v>
      </c>
      <c r="S3" s="21" t="s">
        <v>30</v>
      </c>
      <c r="U3" t="b">
        <v>0</v>
      </c>
      <c r="W3" t="b">
        <v>1</v>
      </c>
      <c r="X3" t="b">
        <v>1</v>
      </c>
      <c r="Y3" t="b">
        <v>1</v>
      </c>
      <c r="Z3" t="b">
        <v>1</v>
      </c>
      <c r="AA3" t="b">
        <v>0</v>
      </c>
    </row>
    <row r="4" spans="1:28" x14ac:dyDescent="0.3">
      <c r="A4">
        <v>1</v>
      </c>
      <c r="B4" t="s">
        <v>735</v>
      </c>
      <c r="C4">
        <v>1</v>
      </c>
      <c r="D4" s="15" t="e" cm="1">
        <f t="array" ref="D4">GetValue("Db",A4&amp;";"&amp;C4,"Name")</f>
        <v>#VALUE!</v>
      </c>
      <c r="E4" s="15">
        <v>1</v>
      </c>
      <c r="F4" s="15" t="str" cm="1">
        <f t="array" ref="F4">GetValue("Tbl",A4&amp;";"&amp;C4&amp;";"&amp;E4,"Name")</f>
        <v>Engines</v>
      </c>
      <c r="G4" s="15" t="str" cm="1">
        <f t="array" ref="G4">GetValue("Tbl",A4&amp;";"&amp;C4&amp;";"&amp;E4,"Alias")</f>
        <v>Eng</v>
      </c>
      <c r="H4">
        <f t="shared" si="0"/>
        <v>3</v>
      </c>
      <c r="I4">
        <f t="shared" ref="I4:I12" si="1">I3+5</f>
        <v>15</v>
      </c>
      <c r="J4">
        <v>19</v>
      </c>
      <c r="K4" t="e" cm="1">
        <f t="array" ref="K4">GetValue("Dmn",A4&amp;";"&amp;J4,"Name")</f>
        <v>#VALUE!</v>
      </c>
      <c r="L4" t="e" cm="1">
        <f t="array" ref="L4">GetValue("Dmn",A4&amp;";"&amp;J4,"#CategoryName")</f>
        <v>#VALUE!</v>
      </c>
      <c r="M4" t="e" cm="1">
        <f t="array" ref="M4">GetValue("EngDmn",A4&amp;";"&amp;1&amp;";"&amp;J4,"DataType")</f>
        <v>#VALUE!</v>
      </c>
      <c r="N4" t="s">
        <v>2</v>
      </c>
      <c r="O4" t="s">
        <v>261</v>
      </c>
      <c r="P4" t="s">
        <v>262</v>
      </c>
      <c r="Q4" t="s">
        <v>262</v>
      </c>
      <c r="S4" s="2" t="s">
        <v>30</v>
      </c>
      <c r="U4" t="b">
        <v>0</v>
      </c>
      <c r="W4" t="b">
        <v>0</v>
      </c>
      <c r="X4" t="b">
        <v>0</v>
      </c>
      <c r="Y4" t="b">
        <v>1</v>
      </c>
      <c r="Z4" t="b">
        <v>1</v>
      </c>
      <c r="AA4" t="b">
        <v>0</v>
      </c>
    </row>
    <row r="5" spans="1:28" x14ac:dyDescent="0.3">
      <c r="A5">
        <v>1</v>
      </c>
      <c r="B5" t="s">
        <v>735</v>
      </c>
      <c r="C5">
        <v>1</v>
      </c>
      <c r="D5" s="15" t="e" cm="1">
        <f t="array" ref="D5">GetValue("Db",A5&amp;";"&amp;C5,"Name")</f>
        <v>#VALUE!</v>
      </c>
      <c r="E5" s="15">
        <v>1</v>
      </c>
      <c r="F5" s="15" t="str" cm="1">
        <f t="array" ref="F5">GetValue("Tbl",A5&amp;";"&amp;C5&amp;";"&amp;E5,"Name")</f>
        <v>Engines</v>
      </c>
      <c r="G5" s="15" t="str" cm="1">
        <f t="array" ref="G5">GetValue("Tbl",A5&amp;";"&amp;C5&amp;";"&amp;E5,"Alias")</f>
        <v>Eng</v>
      </c>
      <c r="H5">
        <f t="shared" si="0"/>
        <v>4</v>
      </c>
      <c r="I5">
        <f t="shared" si="1"/>
        <v>20</v>
      </c>
      <c r="J5">
        <v>20</v>
      </c>
      <c r="K5" t="e" cm="1">
        <f t="array" ref="K5">GetValue("Dmn",A5&amp;";"&amp;J5,"Name")</f>
        <v>#VALUE!</v>
      </c>
      <c r="L5" t="e" cm="1">
        <f t="array" ref="L5">GetValue("Dmn",A5&amp;";"&amp;J5,"#CategoryName")</f>
        <v>#VALUE!</v>
      </c>
      <c r="M5" t="e" cm="1">
        <f t="array" ref="M5">GetValue("EngDmn",A5&amp;";"&amp;1&amp;";"&amp;J5,"DataType")</f>
        <v>#VALUE!</v>
      </c>
      <c r="N5" t="s">
        <v>3</v>
      </c>
      <c r="O5" t="s">
        <v>263</v>
      </c>
      <c r="P5" t="s">
        <v>264</v>
      </c>
      <c r="Q5" t="s">
        <v>264</v>
      </c>
      <c r="S5" s="2" t="s">
        <v>30</v>
      </c>
      <c r="U5" t="b">
        <v>0</v>
      </c>
      <c r="W5" t="b">
        <v>0</v>
      </c>
      <c r="X5" t="b">
        <v>0</v>
      </c>
      <c r="Y5" t="b">
        <v>1</v>
      </c>
      <c r="Z5" t="b">
        <v>1</v>
      </c>
      <c r="AA5" t="b">
        <v>0</v>
      </c>
    </row>
    <row r="6" spans="1:28" x14ac:dyDescent="0.3">
      <c r="A6">
        <v>1</v>
      </c>
      <c r="B6" t="s">
        <v>735</v>
      </c>
      <c r="C6">
        <v>1</v>
      </c>
      <c r="D6" s="15" t="e" cm="1">
        <f t="array" ref="D6">GetValue("Db",A6&amp;";"&amp;C6,"Name")</f>
        <v>#VALUE!</v>
      </c>
      <c r="E6" s="15">
        <v>1</v>
      </c>
      <c r="F6" s="15" t="str" cm="1">
        <f t="array" ref="F6">GetValue("Tbl",A6&amp;";"&amp;C6&amp;";"&amp;E6,"Name")</f>
        <v>Engines</v>
      </c>
      <c r="G6" s="15" t="str" cm="1">
        <f t="array" ref="G6">GetValue("Tbl",A6&amp;";"&amp;C6&amp;";"&amp;E6,"Alias")</f>
        <v>Eng</v>
      </c>
      <c r="H6">
        <f t="shared" si="0"/>
        <v>5</v>
      </c>
      <c r="I6">
        <f t="shared" si="1"/>
        <v>25</v>
      </c>
      <c r="J6">
        <v>6</v>
      </c>
      <c r="K6" t="e" cm="1">
        <f t="array" ref="K6">GetValue("Dmn",A6&amp;";"&amp;J6,"Name")</f>
        <v>#VALUE!</v>
      </c>
      <c r="L6" t="e" cm="1">
        <f t="array" ref="L6">GetValue("Dmn",A6&amp;";"&amp;J6,"#CategoryName")</f>
        <v>#VALUE!</v>
      </c>
      <c r="M6" t="e" cm="1">
        <f t="array" ref="M6">GetValue("EngDmn",A6&amp;";"&amp;1&amp;";"&amp;J6,"DataType")</f>
        <v>#VALUE!</v>
      </c>
      <c r="N6" t="s">
        <v>4</v>
      </c>
      <c r="O6" t="s">
        <v>355</v>
      </c>
      <c r="P6" t="s">
        <v>265</v>
      </c>
      <c r="Q6" t="s">
        <v>265</v>
      </c>
      <c r="S6" s="2" t="s">
        <v>30</v>
      </c>
      <c r="W6" t="b">
        <v>1</v>
      </c>
      <c r="X6" t="b">
        <v>1</v>
      </c>
      <c r="Y6" t="b">
        <v>1</v>
      </c>
      <c r="Z6" t="b">
        <v>1</v>
      </c>
    </row>
    <row r="7" spans="1:28" x14ac:dyDescent="0.3">
      <c r="A7">
        <v>1</v>
      </c>
      <c r="B7" t="s">
        <v>735</v>
      </c>
      <c r="C7">
        <v>1</v>
      </c>
      <c r="D7" s="15" t="e" cm="1">
        <f t="array" ref="D7">GetValue("Db",A7&amp;";"&amp;C7,"Name")</f>
        <v>#VALUE!</v>
      </c>
      <c r="E7" s="15">
        <v>1</v>
      </c>
      <c r="F7" s="15" t="str" cm="1">
        <f t="array" ref="F7">GetValue("Tbl",A7&amp;";"&amp;C7&amp;";"&amp;E7,"Name")</f>
        <v>Engines</v>
      </c>
      <c r="G7" s="15" t="str" cm="1">
        <f t="array" ref="G7">GetValue("Tbl",A7&amp;";"&amp;C7&amp;";"&amp;E7,"Alias")</f>
        <v>Eng</v>
      </c>
      <c r="H7">
        <f t="shared" si="0"/>
        <v>6</v>
      </c>
      <c r="I7">
        <f t="shared" si="1"/>
        <v>30</v>
      </c>
      <c r="J7">
        <v>6</v>
      </c>
      <c r="K7" t="e" cm="1">
        <f t="array" ref="K7">GetValue("Dmn",A7&amp;";"&amp;J7,"Name")</f>
        <v>#VALUE!</v>
      </c>
      <c r="L7" t="e" cm="1">
        <f t="array" ref="L7">GetValue("Dmn",A7&amp;";"&amp;J7,"#CategoryName")</f>
        <v>#VALUE!</v>
      </c>
      <c r="M7" t="e" cm="1">
        <f t="array" ref="M7">GetValue("EngDmn",A7&amp;";"&amp;1&amp;";"&amp;J7,"DataType")</f>
        <v>#VALUE!</v>
      </c>
      <c r="N7" t="s">
        <v>5</v>
      </c>
      <c r="O7" t="s">
        <v>354</v>
      </c>
      <c r="P7" t="s">
        <v>266</v>
      </c>
      <c r="Q7" t="s">
        <v>266</v>
      </c>
      <c r="S7" s="2" t="s">
        <v>30</v>
      </c>
      <c r="W7" t="b">
        <v>1</v>
      </c>
      <c r="X7" t="b">
        <v>1</v>
      </c>
      <c r="Y7" t="b">
        <v>1</v>
      </c>
      <c r="Z7" t="b">
        <v>1</v>
      </c>
    </row>
    <row r="8" spans="1:28" x14ac:dyDescent="0.3">
      <c r="A8">
        <v>1</v>
      </c>
      <c r="B8" t="s">
        <v>735</v>
      </c>
      <c r="C8">
        <v>1</v>
      </c>
      <c r="D8" s="15" t="e" cm="1">
        <f t="array" ref="D8">GetValue("Db",A8&amp;";"&amp;C8,"Name")</f>
        <v>#VALUE!</v>
      </c>
      <c r="E8" s="15">
        <v>1</v>
      </c>
      <c r="F8" s="15" t="str" cm="1">
        <f t="array" ref="F8">GetValue("Tbl",A8&amp;";"&amp;C8&amp;";"&amp;E8,"Name")</f>
        <v>Engines</v>
      </c>
      <c r="G8" s="15" t="str" cm="1">
        <f t="array" ref="G8">GetValue("Tbl",A8&amp;";"&amp;C8&amp;";"&amp;E8,"Alias")</f>
        <v>Eng</v>
      </c>
      <c r="H8">
        <f t="shared" si="0"/>
        <v>7</v>
      </c>
      <c r="I8">
        <f t="shared" si="1"/>
        <v>35</v>
      </c>
      <c r="J8">
        <v>6</v>
      </c>
      <c r="K8" t="e" cm="1">
        <f t="array" ref="K8">GetValue("Dmn",A8&amp;";"&amp;J8,"Name")</f>
        <v>#VALUE!</v>
      </c>
      <c r="L8" t="e" cm="1">
        <f t="array" ref="L8">GetValue("Dmn",A8&amp;";"&amp;J8,"#CategoryName")</f>
        <v>#VALUE!</v>
      </c>
      <c r="M8" t="e" cm="1">
        <f t="array" ref="M8">GetValue("EngDmn",A8&amp;";"&amp;1&amp;";"&amp;J8,"DataType")</f>
        <v>#VALUE!</v>
      </c>
      <c r="N8" t="s">
        <v>6</v>
      </c>
      <c r="O8" t="s">
        <v>353</v>
      </c>
      <c r="P8" t="s">
        <v>267</v>
      </c>
      <c r="Q8" t="s">
        <v>267</v>
      </c>
      <c r="S8" s="2" t="s">
        <v>30</v>
      </c>
      <c r="W8" t="b">
        <v>1</v>
      </c>
      <c r="X8" t="b">
        <v>1</v>
      </c>
      <c r="Y8" t="b">
        <v>1</v>
      </c>
      <c r="Z8" t="b">
        <v>1</v>
      </c>
    </row>
    <row r="9" spans="1:28" x14ac:dyDescent="0.3">
      <c r="A9">
        <v>1</v>
      </c>
      <c r="B9" t="s">
        <v>735</v>
      </c>
      <c r="C9">
        <v>1</v>
      </c>
      <c r="D9" s="15" t="e" cm="1">
        <f t="array" ref="D9">GetValue("Db",A9&amp;";"&amp;C9,"Name")</f>
        <v>#VALUE!</v>
      </c>
      <c r="E9" s="15">
        <v>1</v>
      </c>
      <c r="F9" s="15" t="str" cm="1">
        <f t="array" ref="F9">GetValue("Tbl",A9&amp;";"&amp;C9&amp;";"&amp;E9,"Name")</f>
        <v>Engines</v>
      </c>
      <c r="G9" s="15" t="str" cm="1">
        <f t="array" ref="G9">GetValue("Tbl",A9&amp;";"&amp;C9&amp;";"&amp;E9,"Alias")</f>
        <v>Eng</v>
      </c>
      <c r="H9">
        <f t="shared" si="0"/>
        <v>8</v>
      </c>
      <c r="I9">
        <f t="shared" si="1"/>
        <v>40</v>
      </c>
      <c r="J9">
        <v>6</v>
      </c>
      <c r="K9" t="e" cm="1">
        <f t="array" ref="K9">GetValue("Dmn",A9&amp;";"&amp;J9,"Name")</f>
        <v>#VALUE!</v>
      </c>
      <c r="L9" t="e" cm="1">
        <f t="array" ref="L9">GetValue("Dmn",A9&amp;";"&amp;J9,"#CategoryName")</f>
        <v>#VALUE!</v>
      </c>
      <c r="M9" t="e" cm="1">
        <f t="array" ref="M9">GetValue("EngDmn",A9&amp;";"&amp;1&amp;";"&amp;J9,"DataType")</f>
        <v>#VALUE!</v>
      </c>
      <c r="N9" t="s">
        <v>7</v>
      </c>
      <c r="O9" t="s">
        <v>352</v>
      </c>
      <c r="P9" t="s">
        <v>268</v>
      </c>
      <c r="Q9" t="s">
        <v>268</v>
      </c>
      <c r="S9" s="2" t="s">
        <v>30</v>
      </c>
      <c r="W9" t="b">
        <v>1</v>
      </c>
      <c r="X9" t="b">
        <v>1</v>
      </c>
      <c r="Y9" t="b">
        <v>1</v>
      </c>
      <c r="Z9" t="b">
        <v>1</v>
      </c>
    </row>
    <row r="10" spans="1:28" x14ac:dyDescent="0.3">
      <c r="A10">
        <v>1</v>
      </c>
      <c r="B10" t="s">
        <v>735</v>
      </c>
      <c r="C10">
        <v>1</v>
      </c>
      <c r="D10" s="15" t="e" cm="1">
        <f t="array" ref="D10">GetValue("Db",A10&amp;";"&amp;C10,"Name")</f>
        <v>#VALUE!</v>
      </c>
      <c r="E10" s="15">
        <v>1</v>
      </c>
      <c r="F10" s="15" t="str" cm="1">
        <f t="array" ref="F10">GetValue("Tbl",A10&amp;";"&amp;C10&amp;";"&amp;E10,"Name")</f>
        <v>Engines</v>
      </c>
      <c r="G10" s="15" t="str" cm="1">
        <f t="array" ref="G10">GetValue("Tbl",A10&amp;";"&amp;C10&amp;";"&amp;E10,"Alias")</f>
        <v>Eng</v>
      </c>
      <c r="H10">
        <f t="shared" si="0"/>
        <v>9</v>
      </c>
      <c r="I10">
        <f t="shared" si="1"/>
        <v>45</v>
      </c>
      <c r="J10">
        <v>6</v>
      </c>
      <c r="K10" t="e" cm="1">
        <f t="array" ref="K10">GetValue("Dmn",A10&amp;";"&amp;J10,"Name")</f>
        <v>#VALUE!</v>
      </c>
      <c r="L10" t="e" cm="1">
        <f t="array" ref="L10">GetValue("Dmn",A10&amp;";"&amp;J10,"#CategoryName")</f>
        <v>#VALUE!</v>
      </c>
      <c r="M10" t="e" cm="1">
        <f t="array" ref="M10">GetValue("EngDmn",A10&amp;";"&amp;1&amp;";"&amp;J10,"DataType")</f>
        <v>#VALUE!</v>
      </c>
      <c r="N10" t="s">
        <v>8</v>
      </c>
      <c r="O10" t="s">
        <v>351</v>
      </c>
      <c r="P10" t="s">
        <v>269</v>
      </c>
      <c r="Q10" t="s">
        <v>269</v>
      </c>
      <c r="S10" s="2" t="s">
        <v>30</v>
      </c>
      <c r="W10" t="b">
        <v>1</v>
      </c>
      <c r="X10" t="b">
        <v>1</v>
      </c>
      <c r="Y10" t="b">
        <v>1</v>
      </c>
      <c r="Z10" t="b">
        <v>1</v>
      </c>
    </row>
    <row r="11" spans="1:28" x14ac:dyDescent="0.3">
      <c r="A11">
        <v>1</v>
      </c>
      <c r="B11" t="s">
        <v>735</v>
      </c>
      <c r="C11">
        <v>1</v>
      </c>
      <c r="D11" s="15" t="e" cm="1">
        <f t="array" ref="D11">GetValue("Db",A11&amp;";"&amp;C11,"Name")</f>
        <v>#VALUE!</v>
      </c>
      <c r="E11" s="15">
        <v>1</v>
      </c>
      <c r="F11" s="15" t="str" cm="1">
        <f t="array" ref="F11">GetValue("Tbl",A11&amp;";"&amp;C11&amp;";"&amp;E11,"Name")</f>
        <v>Engines</v>
      </c>
      <c r="G11" s="15" t="str" cm="1">
        <f t="array" ref="G11">GetValue("Tbl",A11&amp;";"&amp;C11&amp;";"&amp;E11,"Alias")</f>
        <v>Eng</v>
      </c>
      <c r="H11">
        <f t="shared" si="0"/>
        <v>10</v>
      </c>
      <c r="I11">
        <f t="shared" si="1"/>
        <v>50</v>
      </c>
      <c r="J11">
        <v>6</v>
      </c>
      <c r="K11" t="e" cm="1">
        <f t="array" ref="K11">GetValue("Dmn",A11&amp;";"&amp;J11,"Name")</f>
        <v>#VALUE!</v>
      </c>
      <c r="L11" t="e" cm="1">
        <f t="array" ref="L11">GetValue("Dmn",A11&amp;";"&amp;J11,"#CategoryName")</f>
        <v>#VALUE!</v>
      </c>
      <c r="M11" t="e" cm="1">
        <f t="array" ref="M11">GetValue("EngDmn",A11&amp;";"&amp;1&amp;";"&amp;J11,"DataType")</f>
        <v>#VALUE!</v>
      </c>
      <c r="N11" t="s">
        <v>9</v>
      </c>
      <c r="O11" t="s">
        <v>350</v>
      </c>
      <c r="P11" t="s">
        <v>270</v>
      </c>
      <c r="Q11" t="s">
        <v>270</v>
      </c>
      <c r="S11" s="2" t="s">
        <v>30</v>
      </c>
      <c r="W11" t="b">
        <v>1</v>
      </c>
      <c r="X11" t="b">
        <v>1</v>
      </c>
      <c r="Y11" t="b">
        <v>1</v>
      </c>
      <c r="Z11" t="b">
        <v>1</v>
      </c>
    </row>
    <row r="12" spans="1:28" x14ac:dyDescent="0.3">
      <c r="A12">
        <v>1</v>
      </c>
      <c r="B12" t="s">
        <v>735</v>
      </c>
      <c r="C12">
        <v>1</v>
      </c>
      <c r="D12" s="15" t="e" cm="1">
        <f t="array" ref="D12">GetValue("Db",A12&amp;";"&amp;C12,"Name")</f>
        <v>#VALUE!</v>
      </c>
      <c r="E12" s="15">
        <v>1</v>
      </c>
      <c r="F12" s="15" t="str" cm="1">
        <f t="array" ref="F12">GetValue("Tbl",A12&amp;";"&amp;C12&amp;";"&amp;E12,"Name")</f>
        <v>Engines</v>
      </c>
      <c r="G12" s="15" t="str" cm="1">
        <f t="array" ref="G12">GetValue("Tbl",A12&amp;";"&amp;C12&amp;";"&amp;E12,"Alias")</f>
        <v>Eng</v>
      </c>
      <c r="H12">
        <f t="shared" si="0"/>
        <v>11</v>
      </c>
      <c r="I12">
        <f t="shared" si="1"/>
        <v>55</v>
      </c>
      <c r="J12">
        <v>6</v>
      </c>
      <c r="K12" t="e" cm="1">
        <f t="array" ref="K12">GetValue("Dmn",A12&amp;";"&amp;J12,"Name")</f>
        <v>#VALUE!</v>
      </c>
      <c r="L12" t="e" cm="1">
        <f t="array" ref="L12">GetValue("Dmn",A12&amp;";"&amp;J12,"#CategoryName")</f>
        <v>#VALUE!</v>
      </c>
      <c r="M12" t="e" cm="1">
        <f t="array" ref="M12">GetValue("EngDmn",A12&amp;";"&amp;1&amp;";"&amp;J12,"DataType")</f>
        <v>#VALUE!</v>
      </c>
      <c r="N12" t="s">
        <v>347</v>
      </c>
      <c r="O12" t="s">
        <v>349</v>
      </c>
      <c r="P12" t="s">
        <v>348</v>
      </c>
      <c r="Q12" t="s">
        <v>348</v>
      </c>
      <c r="S12" s="2" t="s">
        <v>30</v>
      </c>
      <c r="W12" t="b">
        <v>1</v>
      </c>
      <c r="X12" t="b">
        <v>1</v>
      </c>
      <c r="Y12" t="b">
        <v>1</v>
      </c>
      <c r="Z12" t="b">
        <v>1</v>
      </c>
    </row>
    <row r="13" spans="1:28" x14ac:dyDescent="0.3">
      <c r="A13">
        <v>1</v>
      </c>
      <c r="B13" t="s">
        <v>735</v>
      </c>
      <c r="C13">
        <v>1</v>
      </c>
      <c r="D13" s="15" t="e" cm="1">
        <f t="array" ref="D13">GetValue("Db",A13&amp;";"&amp;C13,"Name")</f>
        <v>#VALUE!</v>
      </c>
      <c r="E13">
        <v>2</v>
      </c>
      <c r="F13" s="15" t="str" cm="1">
        <f t="array" ref="F13">GetValue("Tbl",A13&amp;";"&amp;C13&amp;";"&amp;E13,"Name")</f>
        <v>Categories</v>
      </c>
      <c r="G13" s="15" t="str" cm="1">
        <f t="array" ref="G13">GetValue("Tbl",A13&amp;";"&amp;C13&amp;";"&amp;E13,"Alias")</f>
        <v>Cat</v>
      </c>
      <c r="H13">
        <f t="shared" si="0"/>
        <v>12</v>
      </c>
      <c r="I13">
        <v>5</v>
      </c>
      <c r="J13">
        <v>5</v>
      </c>
      <c r="K13" t="e" cm="1">
        <f t="array" ref="K13">GetValue("Dmn",A13&amp;";"&amp;J13,"Name")</f>
        <v>#VALUE!</v>
      </c>
      <c r="L13" t="e" cm="1">
        <f t="array" ref="L13">GetValue("Dmn",A13&amp;";"&amp;J13,"#CategoryName")</f>
        <v>#VALUE!</v>
      </c>
      <c r="M13" t="e" cm="1">
        <f t="array" ref="M13">GetValue("EngDmn",A13&amp;";"&amp;1&amp;";"&amp;J13,"DataType")</f>
        <v>#VALUE!</v>
      </c>
      <c r="N13" t="s">
        <v>0</v>
      </c>
      <c r="O13" t="s">
        <v>138</v>
      </c>
      <c r="P13" t="s">
        <v>139</v>
      </c>
      <c r="Q13" t="s">
        <v>139</v>
      </c>
      <c r="S13" s="2">
        <v>1</v>
      </c>
      <c r="U13" t="b">
        <v>1</v>
      </c>
      <c r="V13" t="b">
        <v>1</v>
      </c>
      <c r="W13" t="b">
        <v>1</v>
      </c>
      <c r="X13" t="b">
        <v>1</v>
      </c>
      <c r="Y13" t="b">
        <v>0</v>
      </c>
      <c r="Z13" t="b">
        <v>0</v>
      </c>
      <c r="AB13" t="b">
        <v>0</v>
      </c>
    </row>
    <row r="14" spans="1:28" x14ac:dyDescent="0.3">
      <c r="A14">
        <v>1</v>
      </c>
      <c r="B14" t="s">
        <v>735</v>
      </c>
      <c r="C14">
        <v>1</v>
      </c>
      <c r="D14" s="15" t="e" cm="1">
        <f t="array" ref="D14">GetValue("Db",A14&amp;";"&amp;C14,"Name")</f>
        <v>#VALUE!</v>
      </c>
      <c r="E14">
        <v>2</v>
      </c>
      <c r="F14" s="15" t="str" cm="1">
        <f t="array" ref="F14">GetValue("Tbl",A14&amp;";"&amp;C14&amp;";"&amp;E14,"Name")</f>
        <v>Categories</v>
      </c>
      <c r="G14" s="15" t="str" cm="1">
        <f t="array" ref="G14">GetValue("Tbl",A14&amp;";"&amp;C14&amp;";"&amp;E14,"Alias")</f>
        <v>Cat</v>
      </c>
      <c r="H14">
        <f>ROW(H14)-1</f>
        <v>13</v>
      </c>
      <c r="I14">
        <f>I13+5</f>
        <v>10</v>
      </c>
      <c r="J14">
        <v>5</v>
      </c>
      <c r="K14" t="e" cm="1">
        <f t="array" ref="K14">GetValue("Dmn",A14&amp;";"&amp;J14,"Name")</f>
        <v>#VALUE!</v>
      </c>
      <c r="L14" t="e" cm="1">
        <f t="array" ref="L14">GetValue("Dmn",A14&amp;";"&amp;J14,"#CategoryName")</f>
        <v>#VALUE!</v>
      </c>
      <c r="M14" t="e" cm="1">
        <f t="array" ref="M14">GetValue("EngDmn",A14&amp;";"&amp;1&amp;";"&amp;J14,"DataType")</f>
        <v>#VALUE!</v>
      </c>
      <c r="N14" t="s">
        <v>20</v>
      </c>
      <c r="O14" t="s">
        <v>142</v>
      </c>
      <c r="P14" t="s">
        <v>143</v>
      </c>
      <c r="Q14" t="s">
        <v>143</v>
      </c>
      <c r="S14" s="2" t="s">
        <v>30</v>
      </c>
      <c r="U14" t="b">
        <v>0</v>
      </c>
      <c r="W14" t="b">
        <v>1</v>
      </c>
      <c r="X14" t="b">
        <v>0</v>
      </c>
      <c r="Y14" t="b">
        <v>1</v>
      </c>
      <c r="Z14" t="b">
        <v>1</v>
      </c>
      <c r="AA14" t="b">
        <v>0</v>
      </c>
    </row>
    <row r="15" spans="1:28" x14ac:dyDescent="0.3">
      <c r="A15">
        <v>1</v>
      </c>
      <c r="B15" t="s">
        <v>735</v>
      </c>
      <c r="C15">
        <v>1</v>
      </c>
      <c r="D15" s="15" t="e" cm="1">
        <f t="array" ref="D15">GetValue("Db",A15&amp;";"&amp;C15,"Name")</f>
        <v>#VALUE!</v>
      </c>
      <c r="E15">
        <v>2</v>
      </c>
      <c r="F15" s="15" t="str" cm="1">
        <f t="array" ref="F15">GetValue("Tbl",A15&amp;";"&amp;C15&amp;";"&amp;E15,"Name")</f>
        <v>Categories</v>
      </c>
      <c r="G15" s="15" t="str" cm="1">
        <f t="array" ref="G15">GetValue("Tbl",A15&amp;";"&amp;C15&amp;";"&amp;E15,"Alias")</f>
        <v>Cat</v>
      </c>
      <c r="H15">
        <f t="shared" ref="H15:H79" si="2">ROW(H15)-1</f>
        <v>14</v>
      </c>
      <c r="I15">
        <f t="shared" ref="I15:I27" si="3">I14+5</f>
        <v>15</v>
      </c>
      <c r="J15">
        <v>9</v>
      </c>
      <c r="K15" t="e" cm="1">
        <f t="array" ref="K15">GetValue("Dmn",A15&amp;";"&amp;J15,"Name")</f>
        <v>#VALUE!</v>
      </c>
      <c r="L15" t="e" cm="1">
        <f t="array" ref="L15">GetValue("Dmn",A15&amp;";"&amp;J15,"#CategoryName")</f>
        <v>#VALUE!</v>
      </c>
      <c r="M15" t="e" cm="1">
        <f t="array" ref="M15">GetValue("EngDmn",A15&amp;";"&amp;1&amp;";"&amp;J15,"DataType")</f>
        <v>#VALUE!</v>
      </c>
      <c r="N15" t="s">
        <v>1</v>
      </c>
      <c r="O15" t="s">
        <v>140</v>
      </c>
      <c r="P15" t="s">
        <v>141</v>
      </c>
      <c r="Q15" t="s">
        <v>141</v>
      </c>
      <c r="S15" s="2" t="s">
        <v>30</v>
      </c>
      <c r="U15" t="b">
        <v>0</v>
      </c>
      <c r="W15" t="b">
        <v>1</v>
      </c>
      <c r="X15" t="b">
        <v>1</v>
      </c>
      <c r="Y15" t="b">
        <v>1</v>
      </c>
      <c r="Z15" t="b">
        <v>1</v>
      </c>
      <c r="AA15" t="b">
        <v>0</v>
      </c>
    </row>
    <row r="16" spans="1:28" x14ac:dyDescent="0.3">
      <c r="A16">
        <v>1</v>
      </c>
      <c r="B16" t="s">
        <v>735</v>
      </c>
      <c r="C16">
        <v>1</v>
      </c>
      <c r="D16" s="15" t="e" cm="1">
        <f t="array" ref="D16">GetValue("Db",A16&amp;";"&amp;C16,"Name")</f>
        <v>#VALUE!</v>
      </c>
      <c r="E16">
        <v>2</v>
      </c>
      <c r="F16" s="15" t="str" cm="1">
        <f t="array" ref="F16">GetValue("Tbl",A16&amp;";"&amp;C16&amp;";"&amp;E16,"Name")</f>
        <v>Categories</v>
      </c>
      <c r="G16" s="15" t="str" cm="1">
        <f t="array" ref="G16">GetValue("Tbl",A16&amp;";"&amp;C16&amp;";"&amp;E16,"Alias")</f>
        <v>Cat</v>
      </c>
      <c r="H16">
        <f t="shared" si="2"/>
        <v>15</v>
      </c>
      <c r="I16">
        <f t="shared" si="3"/>
        <v>20</v>
      </c>
      <c r="J16">
        <v>2</v>
      </c>
      <c r="K16" t="e" cm="1">
        <f t="array" ref="K16">GetValue("Dmn",A16&amp;";"&amp;J16,"Name")</f>
        <v>#VALUE!</v>
      </c>
      <c r="L16" t="e" cm="1">
        <f t="array" ref="L16">GetValue("Dmn",A16&amp;";"&amp;J16,"#CategoryName")</f>
        <v>#VALUE!</v>
      </c>
      <c r="M16" t="e" cm="1">
        <f t="array" ref="M16">GetValue("EngDmn",A16&amp;";"&amp;1&amp;";"&amp;J16,"DataType")</f>
        <v>#VALUE!</v>
      </c>
      <c r="N16" t="s">
        <v>343</v>
      </c>
      <c r="O16" t="s">
        <v>344</v>
      </c>
      <c r="P16" t="s">
        <v>344</v>
      </c>
      <c r="Q16" t="s">
        <v>344</v>
      </c>
      <c r="S16" s="2">
        <v>1</v>
      </c>
      <c r="U16" t="b">
        <v>0</v>
      </c>
      <c r="V16" t="b">
        <v>0</v>
      </c>
      <c r="W16" t="b">
        <v>0</v>
      </c>
      <c r="X16" t="b">
        <v>0</v>
      </c>
      <c r="Y16" t="b">
        <v>1</v>
      </c>
      <c r="Z16" t="b">
        <v>0</v>
      </c>
      <c r="AB16" t="b">
        <v>0</v>
      </c>
    </row>
    <row r="17" spans="1:28" x14ac:dyDescent="0.3">
      <c r="A17">
        <v>1</v>
      </c>
      <c r="B17" t="s">
        <v>735</v>
      </c>
      <c r="C17">
        <v>1</v>
      </c>
      <c r="D17" s="15" t="e" cm="1">
        <f t="array" ref="D17">GetValue("Db",A17&amp;";"&amp;C17,"Name")</f>
        <v>#VALUE!</v>
      </c>
      <c r="E17">
        <v>2</v>
      </c>
      <c r="F17" s="15" t="str" cm="1">
        <f t="array" ref="F17">GetValue("Tbl",A17&amp;";"&amp;C17&amp;";"&amp;E17,"Name")</f>
        <v>Categories</v>
      </c>
      <c r="G17" s="15" t="str" cm="1">
        <f t="array" ref="G17">GetValue("Tbl",A17&amp;";"&amp;C17&amp;";"&amp;E17,"Alias")</f>
        <v>Cat</v>
      </c>
      <c r="H17">
        <f t="shared" si="2"/>
        <v>16</v>
      </c>
      <c r="I17">
        <f t="shared" si="3"/>
        <v>25</v>
      </c>
      <c r="J17">
        <v>17</v>
      </c>
      <c r="K17" t="e" cm="1">
        <f t="array" ref="K17">GetValue("Dmn",A17&amp;";"&amp;J17,"Name")</f>
        <v>#VALUE!</v>
      </c>
      <c r="L17" t="e" cm="1">
        <f t="array" ref="L17">GetValue("Dmn",A17&amp;";"&amp;J17,"#CategoryName")</f>
        <v>#VALUE!</v>
      </c>
      <c r="M17" t="e" cm="1">
        <f t="array" ref="M17">GetValue("EngDmn",A17&amp;";"&amp;1&amp;";"&amp;J17,"DataType")</f>
        <v>#VALUE!</v>
      </c>
      <c r="N17" t="s">
        <v>21</v>
      </c>
      <c r="O17" t="s">
        <v>144</v>
      </c>
      <c r="P17" t="s">
        <v>145</v>
      </c>
      <c r="Q17" t="s">
        <v>145</v>
      </c>
      <c r="S17" s="2" t="s">
        <v>30</v>
      </c>
      <c r="W17" t="b">
        <v>0</v>
      </c>
      <c r="X17" t="b">
        <v>0</v>
      </c>
      <c r="Y17" t="b">
        <v>1</v>
      </c>
      <c r="Z17" t="b">
        <v>1</v>
      </c>
    </row>
    <row r="18" spans="1:28" x14ac:dyDescent="0.3">
      <c r="A18">
        <v>1</v>
      </c>
      <c r="B18" t="s">
        <v>735</v>
      </c>
      <c r="C18">
        <v>1</v>
      </c>
      <c r="D18" s="15" t="e" cm="1">
        <f t="array" ref="D18">GetValue("Db",A18&amp;";"&amp;C18,"Name")</f>
        <v>#VALUE!</v>
      </c>
      <c r="E18">
        <v>2</v>
      </c>
      <c r="F18" s="15" t="str" cm="1">
        <f t="array" ref="F18">GetValue("Tbl",A18&amp;";"&amp;C18&amp;";"&amp;E18,"Name")</f>
        <v>Categories</v>
      </c>
      <c r="G18" s="15" t="str" cm="1">
        <f t="array" ref="G18">GetValue("Tbl",A18&amp;";"&amp;C18&amp;";"&amp;E18,"Alias")</f>
        <v>Cat</v>
      </c>
      <c r="H18">
        <f t="shared" si="2"/>
        <v>17</v>
      </c>
      <c r="I18">
        <f t="shared" si="3"/>
        <v>30</v>
      </c>
      <c r="J18">
        <v>17</v>
      </c>
      <c r="K18" t="e" cm="1">
        <f t="array" ref="K18">GetValue("Dmn",A18&amp;";"&amp;J18,"Name")</f>
        <v>#VALUE!</v>
      </c>
      <c r="L18" t="e" cm="1">
        <f t="array" ref="L18">GetValue("Dmn",A18&amp;";"&amp;J18,"#CategoryName")</f>
        <v>#VALUE!</v>
      </c>
      <c r="M18" t="e" cm="1">
        <f t="array" ref="M18">GetValue("EngDmn",A18&amp;";"&amp;1&amp;";"&amp;J18,"DataType")</f>
        <v>#VALUE!</v>
      </c>
      <c r="N18" t="s">
        <v>22</v>
      </c>
      <c r="O18" t="s">
        <v>146</v>
      </c>
      <c r="P18" t="s">
        <v>147</v>
      </c>
      <c r="Q18" t="s">
        <v>147</v>
      </c>
      <c r="S18" s="2" t="s">
        <v>30</v>
      </c>
      <c r="W18" t="b">
        <v>0</v>
      </c>
      <c r="X18" t="b">
        <v>0</v>
      </c>
      <c r="Y18" t="b">
        <v>1</v>
      </c>
      <c r="Z18" t="b">
        <v>1</v>
      </c>
    </row>
    <row r="19" spans="1:28" x14ac:dyDescent="0.3">
      <c r="A19">
        <v>1</v>
      </c>
      <c r="B19" t="s">
        <v>735</v>
      </c>
      <c r="C19">
        <v>1</v>
      </c>
      <c r="D19" s="15" t="e" cm="1">
        <f t="array" ref="D19">GetValue("Db",A19&amp;";"&amp;C19,"Name")</f>
        <v>#VALUE!</v>
      </c>
      <c r="E19">
        <v>2</v>
      </c>
      <c r="F19" s="15" t="str" cm="1">
        <f t="array" ref="F19">GetValue("Tbl",A19&amp;";"&amp;C19&amp;";"&amp;E19,"Name")</f>
        <v>Categories</v>
      </c>
      <c r="G19" s="15" t="str" cm="1">
        <f t="array" ref="G19">GetValue("Tbl",A19&amp;";"&amp;C19&amp;";"&amp;E19,"Alias")</f>
        <v>Cat</v>
      </c>
      <c r="H19">
        <f t="shared" si="2"/>
        <v>18</v>
      </c>
      <c r="I19">
        <f t="shared" si="3"/>
        <v>35</v>
      </c>
      <c r="J19">
        <v>6</v>
      </c>
      <c r="K19" t="e" cm="1">
        <f t="array" ref="K19">GetValue("Dmn",A19&amp;";"&amp;J19,"Name")</f>
        <v>#VALUE!</v>
      </c>
      <c r="L19" t="e" cm="1">
        <f t="array" ref="L19">GetValue("Dmn",A19&amp;";"&amp;J19,"#CategoryName")</f>
        <v>#VALUE!</v>
      </c>
      <c r="M19" t="e" cm="1">
        <f t="array" ref="M19">GetValue("EngDmn",A19&amp;";"&amp;1&amp;";"&amp;J19,"DataType")</f>
        <v>#VALUE!</v>
      </c>
      <c r="N19" t="s">
        <v>23</v>
      </c>
      <c r="O19" t="s">
        <v>148</v>
      </c>
      <c r="P19" t="s">
        <v>149</v>
      </c>
      <c r="Q19" t="s">
        <v>149</v>
      </c>
      <c r="S19" s="2" t="s">
        <v>30</v>
      </c>
      <c r="W19" t="b">
        <v>1</v>
      </c>
      <c r="X19" t="b">
        <v>1</v>
      </c>
      <c r="Y19" t="b">
        <v>1</v>
      </c>
      <c r="Z19" t="b">
        <v>1</v>
      </c>
    </row>
    <row r="20" spans="1:28" x14ac:dyDescent="0.3">
      <c r="A20">
        <v>1</v>
      </c>
      <c r="B20" t="s">
        <v>735</v>
      </c>
      <c r="C20">
        <v>1</v>
      </c>
      <c r="D20" s="15" t="e" cm="1">
        <f t="array" ref="D20">GetValue("Db",A20&amp;";"&amp;C20,"Name")</f>
        <v>#VALUE!</v>
      </c>
      <c r="E20">
        <v>2</v>
      </c>
      <c r="F20" s="15" t="str" cm="1">
        <f t="array" ref="F20">GetValue("Tbl",A20&amp;";"&amp;C20&amp;";"&amp;E20,"Name")</f>
        <v>Categories</v>
      </c>
      <c r="G20" s="15" t="str" cm="1">
        <f t="array" ref="G20">GetValue("Tbl",A20&amp;";"&amp;C20&amp;";"&amp;E20,"Alias")</f>
        <v>Cat</v>
      </c>
      <c r="H20">
        <f t="shared" si="2"/>
        <v>19</v>
      </c>
      <c r="I20">
        <f t="shared" si="3"/>
        <v>40</v>
      </c>
      <c r="J20">
        <v>6</v>
      </c>
      <c r="K20" t="e" cm="1">
        <f t="array" ref="K20">GetValue("Dmn",A20&amp;";"&amp;J20,"Name")</f>
        <v>#VALUE!</v>
      </c>
      <c r="L20" t="e" cm="1">
        <f t="array" ref="L20">GetValue("Dmn",A20&amp;";"&amp;J20,"#CategoryName")</f>
        <v>#VALUE!</v>
      </c>
      <c r="M20" t="e" cm="1">
        <f t="array" ref="M20">GetValue("EngDmn",A20&amp;";"&amp;1&amp;";"&amp;J20,"DataType")</f>
        <v>#VALUE!</v>
      </c>
      <c r="N20" t="s">
        <v>24</v>
      </c>
      <c r="O20" t="s">
        <v>150</v>
      </c>
      <c r="P20" t="s">
        <v>151</v>
      </c>
      <c r="Q20" t="s">
        <v>151</v>
      </c>
      <c r="S20" s="2" t="s">
        <v>30</v>
      </c>
      <c r="W20" t="b">
        <v>1</v>
      </c>
      <c r="X20" t="b">
        <v>1</v>
      </c>
      <c r="Y20" t="b">
        <v>1</v>
      </c>
      <c r="Z20" t="b">
        <v>1</v>
      </c>
    </row>
    <row r="21" spans="1:28" x14ac:dyDescent="0.3">
      <c r="A21">
        <v>1</v>
      </c>
      <c r="B21" t="s">
        <v>735</v>
      </c>
      <c r="C21">
        <v>1</v>
      </c>
      <c r="D21" s="15" t="e" cm="1">
        <f t="array" ref="D21">GetValue("Db",A21&amp;";"&amp;C21,"Name")</f>
        <v>#VALUE!</v>
      </c>
      <c r="E21">
        <v>2</v>
      </c>
      <c r="F21" s="15" t="str" cm="1">
        <f t="array" ref="F21">GetValue("Tbl",A21&amp;";"&amp;C21&amp;";"&amp;E21,"Name")</f>
        <v>Categories</v>
      </c>
      <c r="G21" s="15" t="str" cm="1">
        <f t="array" ref="G21">GetValue("Tbl",A21&amp;";"&amp;C21&amp;";"&amp;E21,"Alias")</f>
        <v>Cat</v>
      </c>
      <c r="H21">
        <f t="shared" si="2"/>
        <v>20</v>
      </c>
      <c r="I21">
        <f t="shared" si="3"/>
        <v>45</v>
      </c>
      <c r="J21">
        <v>6</v>
      </c>
      <c r="K21" t="e" cm="1">
        <f t="array" ref="K21">GetValue("Dmn",A21&amp;";"&amp;J21,"Name")</f>
        <v>#VALUE!</v>
      </c>
      <c r="L21" t="e" cm="1">
        <f t="array" ref="L21">GetValue("Dmn",A21&amp;";"&amp;J21,"#CategoryName")</f>
        <v>#VALUE!</v>
      </c>
      <c r="M21" t="e" cm="1">
        <f t="array" ref="M21">GetValue("EngDmn",A21&amp;";"&amp;1&amp;";"&amp;J21,"DataType")</f>
        <v>#VALUE!</v>
      </c>
      <c r="N21" t="s">
        <v>25</v>
      </c>
      <c r="O21" t="s">
        <v>152</v>
      </c>
      <c r="P21" t="s">
        <v>153</v>
      </c>
      <c r="Q21" t="s">
        <v>153</v>
      </c>
      <c r="S21" s="2" t="s">
        <v>30</v>
      </c>
      <c r="W21" t="b">
        <v>1</v>
      </c>
      <c r="X21" t="b">
        <v>1</v>
      </c>
      <c r="Y21" t="b">
        <v>1</v>
      </c>
      <c r="Z21" t="b">
        <v>1</v>
      </c>
    </row>
    <row r="22" spans="1:28" x14ac:dyDescent="0.3">
      <c r="A22">
        <v>1</v>
      </c>
      <c r="B22" t="s">
        <v>735</v>
      </c>
      <c r="C22">
        <v>1</v>
      </c>
      <c r="D22" s="15" t="e" cm="1">
        <f t="array" ref="D22">GetValue("Db",A22&amp;";"&amp;C22,"Name")</f>
        <v>#VALUE!</v>
      </c>
      <c r="E22">
        <v>2</v>
      </c>
      <c r="F22" s="15" t="str" cm="1">
        <f t="array" ref="F22">GetValue("Tbl",A22&amp;";"&amp;C22&amp;";"&amp;E22,"Name")</f>
        <v>Categories</v>
      </c>
      <c r="G22" s="15" t="str" cm="1">
        <f t="array" ref="G22">GetValue("Tbl",A22&amp;";"&amp;C22&amp;";"&amp;E22,"Alias")</f>
        <v>Cat</v>
      </c>
      <c r="H22">
        <f t="shared" si="2"/>
        <v>21</v>
      </c>
      <c r="I22">
        <f t="shared" si="3"/>
        <v>50</v>
      </c>
      <c r="J22">
        <v>6</v>
      </c>
      <c r="K22" t="e" cm="1">
        <f t="array" ref="K22">GetValue("Dmn",A22&amp;";"&amp;J22,"Name")</f>
        <v>#VALUE!</v>
      </c>
      <c r="L22" t="e" cm="1">
        <f t="array" ref="L22">GetValue("Dmn",A22&amp;";"&amp;J22,"#CategoryName")</f>
        <v>#VALUE!</v>
      </c>
      <c r="M22" t="e" cm="1">
        <f t="array" ref="M22">GetValue("EngDmn",A22&amp;";"&amp;1&amp;";"&amp;J22,"DataType")</f>
        <v>#VALUE!</v>
      </c>
      <c r="N22" t="s">
        <v>26</v>
      </c>
      <c r="O22" t="s">
        <v>154</v>
      </c>
      <c r="P22" t="s">
        <v>155</v>
      </c>
      <c r="Q22" t="s">
        <v>155</v>
      </c>
      <c r="S22" s="2" t="s">
        <v>30</v>
      </c>
      <c r="W22" t="b">
        <v>1</v>
      </c>
      <c r="X22" t="b">
        <v>1</v>
      </c>
      <c r="Y22" t="b">
        <v>1</v>
      </c>
      <c r="Z22" t="b">
        <v>1</v>
      </c>
    </row>
    <row r="23" spans="1:28" x14ac:dyDescent="0.3">
      <c r="A23">
        <v>1</v>
      </c>
      <c r="B23" t="s">
        <v>735</v>
      </c>
      <c r="C23">
        <v>1</v>
      </c>
      <c r="D23" s="15" t="e" cm="1">
        <f t="array" ref="D23">GetValue("Db",A23&amp;";"&amp;C23,"Name")</f>
        <v>#VALUE!</v>
      </c>
      <c r="E23">
        <v>2</v>
      </c>
      <c r="F23" s="15" t="str" cm="1">
        <f t="array" ref="F23">GetValue("Tbl",A23&amp;";"&amp;C23&amp;";"&amp;E23,"Name")</f>
        <v>Categories</v>
      </c>
      <c r="G23" s="15" t="str" cm="1">
        <f t="array" ref="G23">GetValue("Tbl",A23&amp;";"&amp;C23&amp;";"&amp;E23,"Alias")</f>
        <v>Cat</v>
      </c>
      <c r="H23">
        <f t="shared" si="2"/>
        <v>22</v>
      </c>
      <c r="I23">
        <f t="shared" si="3"/>
        <v>55</v>
      </c>
      <c r="J23">
        <v>6</v>
      </c>
      <c r="K23" t="e" cm="1">
        <f t="array" ref="K23">GetValue("Dmn",A23&amp;";"&amp;J23,"Name")</f>
        <v>#VALUE!</v>
      </c>
      <c r="L23" t="e" cm="1">
        <f t="array" ref="L23">GetValue("Dmn",A23&amp;";"&amp;J23,"#CategoryName")</f>
        <v>#VALUE!</v>
      </c>
      <c r="M23" t="e" cm="1">
        <f t="array" ref="M23">GetValue("EngDmn",A23&amp;";"&amp;1&amp;";"&amp;J23,"DataType")</f>
        <v>#VALUE!</v>
      </c>
      <c r="N23" t="s">
        <v>27</v>
      </c>
      <c r="O23" t="s">
        <v>156</v>
      </c>
      <c r="P23" t="s">
        <v>157</v>
      </c>
      <c r="Q23" t="s">
        <v>157</v>
      </c>
      <c r="S23" s="2" t="s">
        <v>30</v>
      </c>
      <c r="W23" t="b">
        <v>1</v>
      </c>
      <c r="X23" t="b">
        <v>1</v>
      </c>
      <c r="Y23" t="b">
        <v>1</v>
      </c>
      <c r="Z23" t="b">
        <v>1</v>
      </c>
    </row>
    <row r="24" spans="1:28" x14ac:dyDescent="0.3">
      <c r="A24">
        <v>1</v>
      </c>
      <c r="B24" t="s">
        <v>735</v>
      </c>
      <c r="C24">
        <v>1</v>
      </c>
      <c r="D24" s="15" t="e" cm="1">
        <f t="array" ref="D24">GetValue("Db",A24&amp;";"&amp;C24,"Name")</f>
        <v>#VALUE!</v>
      </c>
      <c r="E24">
        <v>2</v>
      </c>
      <c r="F24" s="15" t="str" cm="1">
        <f t="array" ref="F24">GetValue("Tbl",A24&amp;";"&amp;C24&amp;";"&amp;E24,"Name")</f>
        <v>Categories</v>
      </c>
      <c r="G24" s="15" t="str" cm="1">
        <f t="array" ref="G24">GetValue("Tbl",A24&amp;";"&amp;C24&amp;";"&amp;E24,"Alias")</f>
        <v>Cat</v>
      </c>
      <c r="H24">
        <f t="shared" si="2"/>
        <v>23</v>
      </c>
      <c r="I24">
        <f t="shared" si="3"/>
        <v>60</v>
      </c>
      <c r="J24">
        <v>6</v>
      </c>
      <c r="K24" t="e" cm="1">
        <f t="array" ref="K24">GetValue("Dmn",A24&amp;";"&amp;J24,"Name")</f>
        <v>#VALUE!</v>
      </c>
      <c r="L24" t="e" cm="1">
        <f t="array" ref="L24">GetValue("Dmn",A24&amp;";"&amp;J24,"#CategoryName")</f>
        <v>#VALUE!</v>
      </c>
      <c r="M24" t="e" cm="1">
        <f t="array" ref="M24">GetValue("EngDmn",A24&amp;";"&amp;1&amp;";"&amp;J24,"DataType")</f>
        <v>#VALUE!</v>
      </c>
      <c r="N24" t="s">
        <v>330</v>
      </c>
      <c r="O24" t="s">
        <v>332</v>
      </c>
      <c r="P24" t="s">
        <v>333</v>
      </c>
      <c r="Q24" t="s">
        <v>333</v>
      </c>
      <c r="S24" s="2" t="s">
        <v>30</v>
      </c>
      <c r="W24" t="b">
        <v>1</v>
      </c>
      <c r="X24" t="b">
        <v>1</v>
      </c>
      <c r="Y24" t="b">
        <v>1</v>
      </c>
      <c r="Z24" t="b">
        <v>1</v>
      </c>
    </row>
    <row r="25" spans="1:28" x14ac:dyDescent="0.3">
      <c r="A25">
        <v>1</v>
      </c>
      <c r="B25" t="s">
        <v>735</v>
      </c>
      <c r="C25">
        <v>1</v>
      </c>
      <c r="D25" s="15" t="e" cm="1">
        <f t="array" ref="D25">GetValue("Db",A25&amp;";"&amp;C25,"Name")</f>
        <v>#VALUE!</v>
      </c>
      <c r="E25">
        <v>2</v>
      </c>
      <c r="F25" s="15" t="str" cm="1">
        <f t="array" ref="F25">GetValue("Tbl",A25&amp;";"&amp;C25&amp;";"&amp;E25,"Name")</f>
        <v>Categories</v>
      </c>
      <c r="G25" s="15" t="str" cm="1">
        <f t="array" ref="G25">GetValue("Tbl",A25&amp;";"&amp;C25&amp;";"&amp;E25,"Alias")</f>
        <v>Cat</v>
      </c>
      <c r="H25">
        <f t="shared" si="2"/>
        <v>24</v>
      </c>
      <c r="I25">
        <f t="shared" si="3"/>
        <v>65</v>
      </c>
      <c r="J25">
        <v>6</v>
      </c>
      <c r="K25" t="e" cm="1">
        <f t="array" ref="K25">GetValue("Dmn",A25&amp;";"&amp;J25,"Name")</f>
        <v>#VALUE!</v>
      </c>
      <c r="L25" t="e" cm="1">
        <f t="array" ref="L25">GetValue("Dmn",A25&amp;";"&amp;J25,"#CategoryName")</f>
        <v>#VALUE!</v>
      </c>
      <c r="M25" t="e" cm="1">
        <f t="array" ref="M25">GetValue("EngDmn",A25&amp;";"&amp;1&amp;";"&amp;J25,"DataType")</f>
        <v>#VALUE!</v>
      </c>
      <c r="N25" t="s">
        <v>282</v>
      </c>
      <c r="O25" t="s">
        <v>285</v>
      </c>
      <c r="P25" t="s">
        <v>286</v>
      </c>
      <c r="Q25" t="s">
        <v>286</v>
      </c>
      <c r="S25" s="2" t="s">
        <v>30</v>
      </c>
      <c r="W25" t="b">
        <v>1</v>
      </c>
      <c r="X25" t="b">
        <v>1</v>
      </c>
      <c r="Y25" t="b">
        <v>1</v>
      </c>
      <c r="Z25" t="b">
        <v>0</v>
      </c>
    </row>
    <row r="26" spans="1:28" x14ac:dyDescent="0.3">
      <c r="A26">
        <v>1</v>
      </c>
      <c r="B26" t="s">
        <v>735</v>
      </c>
      <c r="C26">
        <v>1</v>
      </c>
      <c r="D26" s="15" t="e" cm="1">
        <f t="array" ref="D26">GetValue("Db",A26&amp;";"&amp;C26,"Name")</f>
        <v>#VALUE!</v>
      </c>
      <c r="E26">
        <v>2</v>
      </c>
      <c r="F26" s="15" t="str" cm="1">
        <f t="array" ref="F26">GetValue("Tbl",A26&amp;";"&amp;C26&amp;";"&amp;E26,"Name")</f>
        <v>Categories</v>
      </c>
      <c r="G26" s="15" t="str" cm="1">
        <f t="array" ref="G26">GetValue("Tbl",A26&amp;";"&amp;C26&amp;";"&amp;E26,"Alias")</f>
        <v>Cat</v>
      </c>
      <c r="H26">
        <f t="shared" si="2"/>
        <v>25</v>
      </c>
      <c r="I26">
        <f t="shared" si="3"/>
        <v>70</v>
      </c>
      <c r="J26">
        <v>6</v>
      </c>
      <c r="K26" t="e" cm="1">
        <f t="array" ref="K26">GetValue("Dmn",A26&amp;";"&amp;J26,"Name")</f>
        <v>#VALUE!</v>
      </c>
      <c r="L26" t="e" cm="1">
        <f t="array" ref="L26">GetValue("Dmn",A26&amp;";"&amp;J26,"#CategoryName")</f>
        <v>#VALUE!</v>
      </c>
      <c r="M26" t="e" cm="1">
        <f t="array" ref="M26">GetValue("EngDmn",A26&amp;";"&amp;1&amp;";"&amp;J26,"DataType")</f>
        <v>#VALUE!</v>
      </c>
      <c r="N26" t="s">
        <v>438</v>
      </c>
      <c r="O26" t="s">
        <v>439</v>
      </c>
      <c r="P26" t="s">
        <v>439</v>
      </c>
      <c r="Q26" t="s">
        <v>439</v>
      </c>
      <c r="S26" s="2" t="s">
        <v>30</v>
      </c>
      <c r="W26" t="b">
        <v>1</v>
      </c>
      <c r="X26" t="b">
        <v>1</v>
      </c>
      <c r="Y26" t="b">
        <v>1</v>
      </c>
      <c r="Z26" t="b">
        <v>0</v>
      </c>
    </row>
    <row r="27" spans="1:28" x14ac:dyDescent="0.3">
      <c r="A27">
        <v>1</v>
      </c>
      <c r="B27" t="s">
        <v>735</v>
      </c>
      <c r="C27">
        <v>1</v>
      </c>
      <c r="D27" s="15" t="e" cm="1">
        <f t="array" ref="D27">GetValue("Db",A27&amp;";"&amp;C27,"Name")</f>
        <v>#VALUE!</v>
      </c>
      <c r="E27">
        <v>2</v>
      </c>
      <c r="F27" s="15" t="str" cm="1">
        <f t="array" ref="F27">GetValue("Tbl",A27&amp;";"&amp;C27&amp;";"&amp;E27,"Name")</f>
        <v>Categories</v>
      </c>
      <c r="G27" s="15" t="str" cm="1">
        <f t="array" ref="G27">GetValue("Tbl",A27&amp;";"&amp;C27&amp;";"&amp;E27,"Alias")</f>
        <v>Cat</v>
      </c>
      <c r="H27">
        <f t="shared" si="2"/>
        <v>26</v>
      </c>
      <c r="I27">
        <f t="shared" si="3"/>
        <v>75</v>
      </c>
      <c r="J27">
        <v>6</v>
      </c>
      <c r="K27" t="e" cm="1">
        <f t="array" ref="K27">GetValue("Dmn",A27&amp;";"&amp;J27,"Name")</f>
        <v>#VALUE!</v>
      </c>
      <c r="L27" t="e" cm="1">
        <f t="array" ref="L27">GetValue("Dmn",A27&amp;";"&amp;J27,"#CategoryName")</f>
        <v>#VALUE!</v>
      </c>
      <c r="M27" t="e" cm="1">
        <f t="array" ref="M27">GetValue("EngDmn",A27&amp;";"&amp;1&amp;";"&amp;J27,"DataType")</f>
        <v>#VALUE!</v>
      </c>
      <c r="N27" t="s">
        <v>28</v>
      </c>
      <c r="O27" t="s">
        <v>158</v>
      </c>
      <c r="P27" t="s">
        <v>159</v>
      </c>
      <c r="Q27" t="s">
        <v>159</v>
      </c>
      <c r="S27" s="2" t="s">
        <v>30</v>
      </c>
      <c r="W27" t="b">
        <v>1</v>
      </c>
      <c r="X27" t="b">
        <v>1</v>
      </c>
      <c r="Y27" t="b">
        <v>1</v>
      </c>
      <c r="Z27" t="b">
        <v>0</v>
      </c>
    </row>
    <row r="28" spans="1:28" x14ac:dyDescent="0.3">
      <c r="A28">
        <v>1</v>
      </c>
      <c r="B28" t="s">
        <v>735</v>
      </c>
      <c r="C28">
        <v>1</v>
      </c>
      <c r="D28" s="15" t="e" cm="1">
        <f t="array" ref="D28">GetValue("Db",A28&amp;";"&amp;C28,"Name")</f>
        <v>#VALUE!</v>
      </c>
      <c r="E28">
        <v>3</v>
      </c>
      <c r="F28" s="15" t="str" cm="1">
        <f t="array" ref="F28">GetValue("Tbl",A28&amp;";"&amp;C28&amp;";"&amp;E28,"Name")</f>
        <v>Types</v>
      </c>
      <c r="G28" s="15" t="str" cm="1">
        <f t="array" ref="G28">GetValue("Tbl",A28&amp;";"&amp;C28&amp;";"&amp;E28,"Alias")</f>
        <v>Typ</v>
      </c>
      <c r="H28">
        <f>ROW(H28)-1</f>
        <v>27</v>
      </c>
      <c r="I28">
        <v>5</v>
      </c>
      <c r="J28">
        <v>1</v>
      </c>
      <c r="K28" t="e" cm="1">
        <f t="array" ref="K28">GetValue("Dmn",A28&amp;";"&amp;J28,"Name")</f>
        <v>#VALUE!</v>
      </c>
      <c r="L28" t="e" cm="1">
        <f t="array" ref="L28">GetValue("Dmn",A28&amp;";"&amp;J28,"#CategoryName")</f>
        <v>#VALUE!</v>
      </c>
      <c r="M28" t="e" cm="1">
        <f t="array" ref="M28">GetValue("EngDmn",A28&amp;";"&amp;1&amp;";"&amp;J28,"DataType")</f>
        <v>#VALUE!</v>
      </c>
      <c r="N28" t="s">
        <v>0</v>
      </c>
      <c r="O28" t="s">
        <v>173</v>
      </c>
      <c r="P28" t="s">
        <v>139</v>
      </c>
      <c r="Q28" t="s">
        <v>139</v>
      </c>
      <c r="S28" s="2" t="s">
        <v>30</v>
      </c>
      <c r="U28" t="b">
        <v>1</v>
      </c>
      <c r="V28" t="b">
        <v>1</v>
      </c>
      <c r="W28" t="b">
        <v>1</v>
      </c>
      <c r="X28" t="b">
        <v>1</v>
      </c>
      <c r="Y28" t="b">
        <v>0</v>
      </c>
      <c r="Z28" t="b">
        <v>0</v>
      </c>
      <c r="AB28" t="b">
        <v>0</v>
      </c>
    </row>
    <row r="29" spans="1:28" x14ac:dyDescent="0.3">
      <c r="A29">
        <v>1</v>
      </c>
      <c r="B29" t="s">
        <v>735</v>
      </c>
      <c r="C29">
        <v>1</v>
      </c>
      <c r="D29" s="15" t="e" cm="1">
        <f t="array" ref="D29">GetValue("Db",A29&amp;";"&amp;C29,"Name")</f>
        <v>#VALUE!</v>
      </c>
      <c r="E29">
        <v>3</v>
      </c>
      <c r="F29" s="15" t="str" cm="1">
        <f t="array" ref="F29">GetValue("Tbl",A29&amp;";"&amp;C29&amp;";"&amp;E29,"Name")</f>
        <v>Types</v>
      </c>
      <c r="G29" s="15" t="str" cm="1">
        <f t="array" ref="G29">GetValue("Tbl",A29&amp;";"&amp;C29&amp;";"&amp;E29,"Alias")</f>
        <v>Typ</v>
      </c>
      <c r="H29">
        <f>ROW(H29)-1</f>
        <v>28</v>
      </c>
      <c r="I29">
        <f>I28+5</f>
        <v>10</v>
      </c>
      <c r="J29">
        <v>9</v>
      </c>
      <c r="K29" t="e" cm="1">
        <f t="array" ref="K29">GetValue("Dmn",A29&amp;";"&amp;J29,"Name")</f>
        <v>#VALUE!</v>
      </c>
      <c r="L29" t="e" cm="1">
        <f t="array" ref="L29">GetValue("Dmn",A29&amp;";"&amp;J29,"#CategoryName")</f>
        <v>#VALUE!</v>
      </c>
      <c r="M29" t="e" cm="1">
        <f t="array" ref="M29">GetValue("EngDmn",A29&amp;";"&amp;1&amp;";"&amp;J29,"DataType")</f>
        <v>#VALUE!</v>
      </c>
      <c r="N29" t="s">
        <v>1</v>
      </c>
      <c r="O29" t="s">
        <v>174</v>
      </c>
      <c r="P29" t="s">
        <v>141</v>
      </c>
      <c r="Q29" t="s">
        <v>141</v>
      </c>
      <c r="S29" s="2" t="s">
        <v>30</v>
      </c>
      <c r="U29" t="b">
        <v>0</v>
      </c>
      <c r="W29" t="b">
        <v>1</v>
      </c>
      <c r="X29" t="b">
        <v>1</v>
      </c>
      <c r="Y29" t="b">
        <v>1</v>
      </c>
      <c r="Z29" t="b">
        <v>1</v>
      </c>
    </row>
    <row r="30" spans="1:28" x14ac:dyDescent="0.3">
      <c r="A30">
        <v>1</v>
      </c>
      <c r="B30" t="s">
        <v>735</v>
      </c>
      <c r="C30">
        <v>1</v>
      </c>
      <c r="D30" s="15" t="e" cm="1">
        <f t="array" ref="D30">GetValue("Db",A30&amp;";"&amp;C30,"Name")</f>
        <v>#VALUE!</v>
      </c>
      <c r="E30">
        <v>3</v>
      </c>
      <c r="F30" s="15" t="str" cm="1">
        <f t="array" ref="F30">GetValue("Tbl",A30&amp;";"&amp;C30&amp;";"&amp;E30,"Name")</f>
        <v>Types</v>
      </c>
      <c r="G30" s="15" t="str" cm="1">
        <f t="array" ref="G30">GetValue("Tbl",A30&amp;";"&amp;C30&amp;";"&amp;E30,"Alias")</f>
        <v>Typ</v>
      </c>
      <c r="H30">
        <f>ROW(H30)-1</f>
        <v>29</v>
      </c>
      <c r="I30">
        <f>I29+5</f>
        <v>15</v>
      </c>
      <c r="J30">
        <v>12</v>
      </c>
      <c r="K30" t="e" cm="1">
        <f t="array" ref="K30">GetValue("Dmn",A30&amp;";"&amp;J30,"Name")</f>
        <v>#VALUE!</v>
      </c>
      <c r="L30" t="e" cm="1">
        <f t="array" ref="L30">GetValue("Dmn",A30&amp;";"&amp;J30,"#CategoryName")</f>
        <v>#VALUE!</v>
      </c>
      <c r="M30" t="e" cm="1">
        <f t="array" ref="M30">GetValue("EngDmn",A30&amp;";"&amp;1&amp;";"&amp;J30,"DataType")</f>
        <v>#VALUE!</v>
      </c>
      <c r="N30" t="s">
        <v>71</v>
      </c>
      <c r="O30" t="s">
        <v>175</v>
      </c>
      <c r="P30" t="s">
        <v>164</v>
      </c>
      <c r="Q30" t="s">
        <v>164</v>
      </c>
      <c r="S30" s="2" t="s">
        <v>30</v>
      </c>
      <c r="U30" t="b">
        <v>0</v>
      </c>
      <c r="W30" t="b">
        <v>1</v>
      </c>
      <c r="Y30" t="b">
        <v>1</v>
      </c>
      <c r="Z30" t="b">
        <v>0</v>
      </c>
    </row>
    <row r="31" spans="1:28" x14ac:dyDescent="0.3">
      <c r="A31">
        <v>1</v>
      </c>
      <c r="B31" t="s">
        <v>735</v>
      </c>
      <c r="C31">
        <v>1</v>
      </c>
      <c r="D31" s="15" t="e" cm="1">
        <f t="array" ref="D31">GetValue("Db",A31&amp;";"&amp;C31,"Name")</f>
        <v>#VALUE!</v>
      </c>
      <c r="E31">
        <v>4</v>
      </c>
      <c r="F31" s="15" t="str" cm="1">
        <f t="array" ref="F31">GetValue("Tbl",A31&amp;";"&amp;C31&amp;";"&amp;E31,"Name")</f>
        <v>EnginesTypes</v>
      </c>
      <c r="G31" s="15" t="str" cm="1">
        <f t="array" ref="G31">GetValue("Tbl",A31&amp;";"&amp;C31&amp;";"&amp;E31,"Alias")</f>
        <v>EngTyp</v>
      </c>
      <c r="H31">
        <f t="shared" si="2"/>
        <v>30</v>
      </c>
      <c r="I31">
        <v>5</v>
      </c>
      <c r="J31">
        <v>1</v>
      </c>
      <c r="K31" t="e" cm="1">
        <f t="array" ref="K31">GetValue("Dmn",A31&amp;";"&amp;J31,"Name")</f>
        <v>#VALUE!</v>
      </c>
      <c r="L31" t="e" cm="1">
        <f t="array" ref="L31">GetValue("Dmn",A31&amp;";"&amp;J31,"#CategoryName")</f>
        <v>#VALUE!</v>
      </c>
      <c r="M31" t="e" cm="1">
        <f t="array" ref="M31">GetValue("EngDmn",A31&amp;";"&amp;1&amp;";"&amp;J31,"DataType")</f>
        <v>#VALUE!</v>
      </c>
      <c r="N31" t="s">
        <v>0</v>
      </c>
      <c r="O31" t="s">
        <v>160</v>
      </c>
      <c r="P31" t="s">
        <v>139</v>
      </c>
      <c r="Q31" t="s">
        <v>139</v>
      </c>
      <c r="S31" s="21">
        <v>1</v>
      </c>
      <c r="T31" s="21"/>
      <c r="U31" t="b">
        <v>1</v>
      </c>
      <c r="V31" t="b">
        <v>1</v>
      </c>
      <c r="W31" t="b">
        <v>1</v>
      </c>
      <c r="X31" t="b">
        <v>1</v>
      </c>
      <c r="Y31" t="b">
        <v>0</v>
      </c>
      <c r="Z31" t="b">
        <v>0</v>
      </c>
      <c r="AB31" t="b">
        <v>0</v>
      </c>
    </row>
    <row r="32" spans="1:28" x14ac:dyDescent="0.3">
      <c r="A32">
        <v>1</v>
      </c>
      <c r="B32" t="s">
        <v>735</v>
      </c>
      <c r="C32">
        <v>1</v>
      </c>
      <c r="D32" s="15" t="e" cm="1">
        <f t="array" ref="D32">GetValue("Db",A32&amp;";"&amp;C32,"Name")</f>
        <v>#VALUE!</v>
      </c>
      <c r="E32">
        <v>4</v>
      </c>
      <c r="F32" s="15" t="str" cm="1">
        <f t="array" ref="F32">GetValue("Tbl",A32&amp;";"&amp;C32&amp;";"&amp;E32,"Name")</f>
        <v>EnginesTypes</v>
      </c>
      <c r="G32" s="15" t="str" cm="1">
        <f t="array" ref="G32">GetValue("Tbl",A32&amp;";"&amp;C32&amp;";"&amp;E32,"Alias")</f>
        <v>EngTyp</v>
      </c>
      <c r="H32">
        <f t="shared" si="2"/>
        <v>31</v>
      </c>
      <c r="I32">
        <f t="shared" ref="I32:I41" si="4">I31+5</f>
        <v>10</v>
      </c>
      <c r="J32">
        <v>5</v>
      </c>
      <c r="K32" t="e" cm="1">
        <f t="array" ref="K32">GetValue("Dmn",A32&amp;";"&amp;J32,"Name")</f>
        <v>#VALUE!</v>
      </c>
      <c r="L32" t="e" cm="1">
        <f t="array" ref="L32">GetValue("Dmn",A32&amp;";"&amp;J32,"#CategoryName")</f>
        <v>#VALUE!</v>
      </c>
      <c r="M32" t="e" cm="1">
        <f t="array" ref="M32">GetValue("EngDmn",A32&amp;";"&amp;1&amp;";"&amp;J32,"DataType")</f>
        <v>#VALUE!</v>
      </c>
      <c r="N32" t="s">
        <v>57</v>
      </c>
      <c r="O32" t="s">
        <v>161</v>
      </c>
      <c r="P32" t="s">
        <v>162</v>
      </c>
      <c r="Q32" t="s">
        <v>162</v>
      </c>
      <c r="S32" s="21">
        <v>1</v>
      </c>
      <c r="U32" t="b">
        <v>0</v>
      </c>
      <c r="V32" t="b">
        <v>0</v>
      </c>
      <c r="W32" t="b">
        <v>1</v>
      </c>
      <c r="X32" t="b">
        <v>1</v>
      </c>
      <c r="Y32" t="b">
        <v>1</v>
      </c>
      <c r="Z32" t="b">
        <v>1</v>
      </c>
      <c r="AB32" t="b">
        <v>0</v>
      </c>
    </row>
    <row r="33" spans="1:28" x14ac:dyDescent="0.3">
      <c r="A33">
        <v>1</v>
      </c>
      <c r="B33" t="s">
        <v>735</v>
      </c>
      <c r="C33">
        <v>1</v>
      </c>
      <c r="D33" s="15" t="e" cm="1">
        <f t="array" ref="D33">GetValue("Db",A33&amp;";"&amp;C33,"Name")</f>
        <v>#VALUE!</v>
      </c>
      <c r="E33">
        <v>4</v>
      </c>
      <c r="F33" s="15" t="str" cm="1">
        <f t="array" ref="F33">GetValue("Tbl",A33&amp;";"&amp;C33&amp;";"&amp;E33,"Name")</f>
        <v>EnginesTypes</v>
      </c>
      <c r="G33" s="15" t="str" cm="1">
        <f t="array" ref="G33">GetValue("Tbl",A33&amp;";"&amp;C33&amp;";"&amp;E33,"Alias")</f>
        <v>EngTyp</v>
      </c>
      <c r="H33">
        <f t="shared" si="2"/>
        <v>32</v>
      </c>
      <c r="I33">
        <f t="shared" si="4"/>
        <v>15</v>
      </c>
      <c r="J33">
        <v>1</v>
      </c>
      <c r="K33" t="e" cm="1">
        <f t="array" ref="K33">GetValue("Dmn",A33&amp;";"&amp;J33,"Name")</f>
        <v>#VALUE!</v>
      </c>
      <c r="L33" t="e" cm="1">
        <f t="array" ref="L33">GetValue("Dmn",A33&amp;";"&amp;J33,"#CategoryName")</f>
        <v>#VALUE!</v>
      </c>
      <c r="M33" t="e" cm="1">
        <f t="array" ref="M33">GetValue("EngDmn",A33&amp;";"&amp;1&amp;";"&amp;J33,"DataType")</f>
        <v>#VALUE!</v>
      </c>
      <c r="N33" t="s">
        <v>58</v>
      </c>
      <c r="O33" t="s">
        <v>163</v>
      </c>
      <c r="P33" t="s">
        <v>164</v>
      </c>
      <c r="Q33" t="s">
        <v>164</v>
      </c>
      <c r="S33" s="21" t="s">
        <v>30</v>
      </c>
      <c r="U33" t="b">
        <v>0</v>
      </c>
      <c r="W33" t="b">
        <v>0</v>
      </c>
      <c r="X33" t="b">
        <v>1</v>
      </c>
      <c r="Y33" t="b">
        <v>1</v>
      </c>
      <c r="Z33" t="b">
        <v>1</v>
      </c>
    </row>
    <row r="34" spans="1:28" x14ac:dyDescent="0.3">
      <c r="A34">
        <v>1</v>
      </c>
      <c r="B34" t="s">
        <v>735</v>
      </c>
      <c r="C34">
        <v>1</v>
      </c>
      <c r="D34" s="15" t="e" cm="1">
        <f t="array" ref="D34">GetValue("Db",A34&amp;";"&amp;C34,"Name")</f>
        <v>#VALUE!</v>
      </c>
      <c r="E34">
        <v>4</v>
      </c>
      <c r="F34" s="15" t="str" cm="1">
        <f t="array" ref="F34">GetValue("Tbl",A34&amp;";"&amp;C34&amp;";"&amp;E34,"Name")</f>
        <v>EnginesTypes</v>
      </c>
      <c r="G34" s="15" t="str" cm="1">
        <f t="array" ref="G34">GetValue("Tbl",A34&amp;";"&amp;C34&amp;";"&amp;E34,"Alias")</f>
        <v>EngTyp</v>
      </c>
      <c r="H34">
        <f t="shared" si="2"/>
        <v>33</v>
      </c>
      <c r="I34">
        <f t="shared" si="4"/>
        <v>20</v>
      </c>
      <c r="J34">
        <v>9</v>
      </c>
      <c r="K34" t="e" cm="1">
        <f t="array" ref="K34">GetValue("Dmn",A34&amp;";"&amp;J34,"Name")</f>
        <v>#VALUE!</v>
      </c>
      <c r="L34" t="e" cm="1">
        <f t="array" ref="L34">GetValue("Dmn",A34&amp;";"&amp;J34,"#CategoryName")</f>
        <v>#VALUE!</v>
      </c>
      <c r="M34" t="e" cm="1">
        <f t="array" ref="M34">GetValue("EngDmn",A34&amp;";"&amp;1&amp;";"&amp;J34,"DataType")</f>
        <v>#VALUE!</v>
      </c>
      <c r="N34" t="s">
        <v>1</v>
      </c>
      <c r="O34" t="s">
        <v>165</v>
      </c>
      <c r="P34" t="s">
        <v>141</v>
      </c>
      <c r="Q34" t="s">
        <v>141</v>
      </c>
      <c r="S34" s="21" t="s">
        <v>30</v>
      </c>
      <c r="U34" t="b">
        <v>0</v>
      </c>
      <c r="W34" t="b">
        <v>1</v>
      </c>
      <c r="X34" t="b">
        <v>1</v>
      </c>
      <c r="Y34" t="b">
        <v>1</v>
      </c>
      <c r="Z34" t="b">
        <v>1</v>
      </c>
    </row>
    <row r="35" spans="1:28" x14ac:dyDescent="0.3">
      <c r="A35">
        <v>1</v>
      </c>
      <c r="B35" t="s">
        <v>735</v>
      </c>
      <c r="C35">
        <v>1</v>
      </c>
      <c r="D35" s="15" t="e" cm="1">
        <f t="array" ref="D35">GetValue("Db",A35&amp;";"&amp;C35,"Name")</f>
        <v>#VALUE!</v>
      </c>
      <c r="E35">
        <v>4</v>
      </c>
      <c r="F35" s="15" t="str" cm="1">
        <f t="array" ref="F35">GetValue("Tbl",A35&amp;";"&amp;C35&amp;";"&amp;E35,"Name")</f>
        <v>EnginesTypes</v>
      </c>
      <c r="G35" s="15" t="str" cm="1">
        <f t="array" ref="G35">GetValue("Tbl",A35&amp;";"&amp;C35&amp;";"&amp;E35,"Alias")</f>
        <v>EngTyp</v>
      </c>
      <c r="H35">
        <f t="shared" si="2"/>
        <v>34</v>
      </c>
      <c r="I35">
        <f t="shared" si="4"/>
        <v>25</v>
      </c>
      <c r="J35">
        <v>4</v>
      </c>
      <c r="K35" t="e" cm="1">
        <f t="array" ref="K35">GetValue("Dmn",A35&amp;";"&amp;J35,"Name")</f>
        <v>#VALUE!</v>
      </c>
      <c r="L35" t="e" cm="1">
        <f t="array" ref="L35">GetValue("Dmn",A35&amp;";"&amp;J35,"#CategoryName")</f>
        <v>#VALUE!</v>
      </c>
      <c r="M35" t="e" cm="1">
        <f t="array" ref="M35">GetValue("EngDmn",A35&amp;";"&amp;1&amp;";"&amp;J35,"DataType")</f>
        <v>#VALUE!</v>
      </c>
      <c r="N35" t="s">
        <v>59</v>
      </c>
      <c r="O35" t="s">
        <v>166</v>
      </c>
      <c r="P35" t="s">
        <v>167</v>
      </c>
      <c r="Q35" t="s">
        <v>167</v>
      </c>
      <c r="S35" s="21">
        <v>0</v>
      </c>
      <c r="U35" t="b">
        <v>0</v>
      </c>
      <c r="V35" t="b">
        <v>0</v>
      </c>
      <c r="W35" t="b">
        <v>0</v>
      </c>
      <c r="X35" t="b">
        <v>0</v>
      </c>
      <c r="Y35" t="b">
        <v>1</v>
      </c>
      <c r="Z35" t="b">
        <v>1</v>
      </c>
      <c r="AB35" t="b">
        <v>0</v>
      </c>
    </row>
    <row r="36" spans="1:28" x14ac:dyDescent="0.3">
      <c r="A36">
        <v>1</v>
      </c>
      <c r="B36" t="s">
        <v>735</v>
      </c>
      <c r="C36">
        <v>1</v>
      </c>
      <c r="D36" s="15" t="e" cm="1">
        <f t="array" ref="D36">GetValue("Db",A36&amp;";"&amp;C36,"Name")</f>
        <v>#VALUE!</v>
      </c>
      <c r="E36">
        <v>4</v>
      </c>
      <c r="F36" s="15" t="str" cm="1">
        <f t="array" ref="F36">GetValue("Tbl",A36&amp;";"&amp;C36&amp;";"&amp;E36,"Name")</f>
        <v>EnginesTypes</v>
      </c>
      <c r="G36" s="15" t="str" cm="1">
        <f t="array" ref="G36">GetValue("Tbl",A36&amp;";"&amp;C36&amp;";"&amp;E36,"Alias")</f>
        <v>EngTyp</v>
      </c>
      <c r="H36">
        <f t="shared" si="2"/>
        <v>35</v>
      </c>
      <c r="I36">
        <f t="shared" si="4"/>
        <v>30</v>
      </c>
      <c r="J36">
        <v>5</v>
      </c>
      <c r="K36" t="e" cm="1">
        <f t="array" ref="K36">GetValue("Dmn",A36&amp;";"&amp;J36,"Name")</f>
        <v>#VALUE!</v>
      </c>
      <c r="L36" t="e" cm="1">
        <f t="array" ref="L36">GetValue("Dmn",A36&amp;";"&amp;J36,"#CategoryName")</f>
        <v>#VALUE!</v>
      </c>
      <c r="M36" t="e" cm="1">
        <f t="array" ref="M36">GetValue("EngDmn",A36&amp;";"&amp;1&amp;";"&amp;J36,"DataType")</f>
        <v>#VALUE!</v>
      </c>
      <c r="N36" t="s">
        <v>60</v>
      </c>
      <c r="O36" t="s">
        <v>168</v>
      </c>
      <c r="P36" t="s">
        <v>169</v>
      </c>
      <c r="Q36" t="s">
        <v>169</v>
      </c>
      <c r="S36" s="21">
        <v>0</v>
      </c>
      <c r="U36" t="b">
        <v>0</v>
      </c>
      <c r="V36" t="b">
        <v>0</v>
      </c>
      <c r="W36" t="b">
        <v>0</v>
      </c>
      <c r="X36" t="b">
        <v>0</v>
      </c>
      <c r="Y36" t="b">
        <v>1</v>
      </c>
      <c r="Z36" t="b">
        <v>1</v>
      </c>
      <c r="AB36" t="b">
        <v>0</v>
      </c>
    </row>
    <row r="37" spans="1:28" x14ac:dyDescent="0.3">
      <c r="A37">
        <v>1</v>
      </c>
      <c r="B37" t="s">
        <v>735</v>
      </c>
      <c r="C37">
        <v>1</v>
      </c>
      <c r="D37" s="15" t="e" cm="1">
        <f t="array" ref="D37">GetValue("Db",A37&amp;";"&amp;C37,"Name")</f>
        <v>#VALUE!</v>
      </c>
      <c r="E37">
        <v>4</v>
      </c>
      <c r="F37" s="15" t="str" cm="1">
        <f t="array" ref="F37">GetValue("Tbl",A37&amp;";"&amp;C37&amp;";"&amp;E37,"Name")</f>
        <v>EnginesTypes</v>
      </c>
      <c r="G37" s="15" t="str" cm="1">
        <f t="array" ref="G37">GetValue("Tbl",A37&amp;";"&amp;C37&amp;";"&amp;E37,"Alias")</f>
        <v>EngTyp</v>
      </c>
      <c r="H37">
        <f>ROW(H37)-1</f>
        <v>36</v>
      </c>
      <c r="I37">
        <f t="shared" si="4"/>
        <v>35</v>
      </c>
      <c r="J37">
        <v>12</v>
      </c>
      <c r="K37" t="e" cm="1">
        <f t="array" ref="K37">GetValue("Dmn",A37&amp;";"&amp;J37,"Name")</f>
        <v>#VALUE!</v>
      </c>
      <c r="L37" t="e" cm="1">
        <f t="array" ref="L37">GetValue("Dmn",A37&amp;";"&amp;J37,"#CategoryName")</f>
        <v>#VALUE!</v>
      </c>
      <c r="M37" t="e" cm="1">
        <f t="array" ref="M37">GetValue("EngDmn",A37&amp;";"&amp;1&amp;";"&amp;J37,"DataType")</f>
        <v>#VALUE!</v>
      </c>
      <c r="N37" t="s">
        <v>289</v>
      </c>
      <c r="O37" t="s">
        <v>288</v>
      </c>
      <c r="P37" t="s">
        <v>288</v>
      </c>
      <c r="Q37" t="s">
        <v>288</v>
      </c>
      <c r="S37" s="21" t="s">
        <v>30</v>
      </c>
      <c r="W37" t="b">
        <v>0</v>
      </c>
      <c r="X37" t="b">
        <v>1</v>
      </c>
      <c r="Y37" t="b">
        <v>1</v>
      </c>
      <c r="Z37" t="b">
        <v>1</v>
      </c>
    </row>
    <row r="38" spans="1:28" x14ac:dyDescent="0.3">
      <c r="A38">
        <v>1</v>
      </c>
      <c r="B38" t="s">
        <v>735</v>
      </c>
      <c r="C38">
        <v>1</v>
      </c>
      <c r="D38" s="15" t="e" cm="1">
        <f t="array" ref="D38">GetValue("Db",A38&amp;";"&amp;C38,"Name")</f>
        <v>#VALUE!</v>
      </c>
      <c r="E38">
        <v>4</v>
      </c>
      <c r="F38" s="15" t="str" cm="1">
        <f t="array" ref="F38">GetValue("Tbl",A38&amp;";"&amp;C38&amp;";"&amp;E38,"Name")</f>
        <v>EnginesTypes</v>
      </c>
      <c r="G38" s="15" t="str" cm="1">
        <f t="array" ref="G38">GetValue("Tbl",A38&amp;";"&amp;C38&amp;";"&amp;E38,"Alias")</f>
        <v>EngTyp</v>
      </c>
      <c r="H38">
        <f t="shared" si="2"/>
        <v>37</v>
      </c>
      <c r="I38">
        <f t="shared" si="4"/>
        <v>40</v>
      </c>
      <c r="J38">
        <v>17</v>
      </c>
      <c r="K38" t="e" cm="1">
        <f t="array" ref="K38">GetValue("Dmn",A38&amp;";"&amp;J38,"Name")</f>
        <v>#VALUE!</v>
      </c>
      <c r="L38" t="e" cm="1">
        <f t="array" ref="L38">GetValue("Dmn",A38&amp;";"&amp;J38,"#CategoryName")</f>
        <v>#VALUE!</v>
      </c>
      <c r="M38" t="e" cm="1">
        <f t="array" ref="M38">GetValue("EngDmn",A38&amp;";"&amp;1&amp;";"&amp;J38,"DataType")</f>
        <v>#VALUE!</v>
      </c>
      <c r="N38" t="s">
        <v>61</v>
      </c>
      <c r="O38" t="s">
        <v>172</v>
      </c>
      <c r="P38" t="s">
        <v>232</v>
      </c>
      <c r="Q38" t="s">
        <v>232</v>
      </c>
      <c r="S38" s="21" t="s">
        <v>30</v>
      </c>
      <c r="W38" t="b">
        <v>0</v>
      </c>
      <c r="Y38" t="b">
        <v>1</v>
      </c>
      <c r="Z38" t="b">
        <v>0</v>
      </c>
    </row>
    <row r="39" spans="1:28" x14ac:dyDescent="0.3">
      <c r="A39">
        <v>1</v>
      </c>
      <c r="B39" t="s">
        <v>735</v>
      </c>
      <c r="C39">
        <v>1</v>
      </c>
      <c r="D39" s="15" t="e" cm="1">
        <f t="array" ref="D39">GetValue("Db",A39&amp;";"&amp;C39,"Name")</f>
        <v>#VALUE!</v>
      </c>
      <c r="E39">
        <v>4</v>
      </c>
      <c r="F39" s="15" t="str" cm="1">
        <f t="array" ref="F39">GetValue("Tbl",A39&amp;";"&amp;C39&amp;";"&amp;E39,"Name")</f>
        <v>EnginesTypes</v>
      </c>
      <c r="G39" s="15" t="str" cm="1">
        <f t="array" ref="G39">GetValue("Tbl",A39&amp;";"&amp;C39&amp;";"&amp;E39,"Alias")</f>
        <v>EngTyp</v>
      </c>
      <c r="H39">
        <f t="shared" si="2"/>
        <v>38</v>
      </c>
      <c r="I39">
        <f t="shared" si="4"/>
        <v>45</v>
      </c>
      <c r="J39">
        <v>17</v>
      </c>
      <c r="K39" t="e" cm="1">
        <f t="array" ref="K39">GetValue("Dmn",A39&amp;";"&amp;J39,"Name")</f>
        <v>#VALUE!</v>
      </c>
      <c r="L39" t="e" cm="1">
        <f t="array" ref="L39">GetValue("Dmn",A39&amp;";"&amp;J39,"#CategoryName")</f>
        <v>#VALUE!</v>
      </c>
      <c r="M39" t="e" cm="1">
        <f t="array" ref="M39">GetValue("EngDmn",A39&amp;";"&amp;1&amp;";"&amp;J39,"DataType")</f>
        <v>#VALUE!</v>
      </c>
      <c r="N39" t="s">
        <v>21</v>
      </c>
      <c r="O39" t="s">
        <v>170</v>
      </c>
      <c r="P39" t="s">
        <v>145</v>
      </c>
      <c r="Q39" t="s">
        <v>145</v>
      </c>
      <c r="S39" s="21" t="s">
        <v>30</v>
      </c>
      <c r="W39" t="b">
        <v>0</v>
      </c>
      <c r="Y39" t="b">
        <v>1</v>
      </c>
      <c r="Z39" t="b">
        <v>0</v>
      </c>
    </row>
    <row r="40" spans="1:28" x14ac:dyDescent="0.3">
      <c r="A40">
        <v>1</v>
      </c>
      <c r="B40" t="s">
        <v>735</v>
      </c>
      <c r="C40">
        <v>1</v>
      </c>
      <c r="D40" s="15" t="e" cm="1">
        <f t="array" ref="D40">GetValue("Db",A40&amp;";"&amp;C40,"Name")</f>
        <v>#VALUE!</v>
      </c>
      <c r="E40">
        <v>4</v>
      </c>
      <c r="F40" s="15" t="str" cm="1">
        <f t="array" ref="F40">GetValue("Tbl",A40&amp;";"&amp;C40&amp;";"&amp;E40,"Name")</f>
        <v>EnginesTypes</v>
      </c>
      <c r="G40" s="15" t="str" cm="1">
        <f t="array" ref="G40">GetValue("Tbl",A40&amp;";"&amp;C40&amp;";"&amp;E40,"Alias")</f>
        <v>EngTyp</v>
      </c>
      <c r="H40">
        <f t="shared" si="2"/>
        <v>39</v>
      </c>
      <c r="I40">
        <f t="shared" si="4"/>
        <v>50</v>
      </c>
      <c r="J40">
        <v>17</v>
      </c>
      <c r="K40" t="e" cm="1">
        <f t="array" ref="K40">GetValue("Dmn",A40&amp;";"&amp;J40,"Name")</f>
        <v>#VALUE!</v>
      </c>
      <c r="L40" t="e" cm="1">
        <f t="array" ref="L40">GetValue("Dmn",A40&amp;";"&amp;J40,"#CategoryName")</f>
        <v>#VALUE!</v>
      </c>
      <c r="M40" t="e" cm="1">
        <f t="array" ref="M40">GetValue("EngDmn",A40&amp;";"&amp;1&amp;";"&amp;J40,"DataType")</f>
        <v>#VALUE!</v>
      </c>
      <c r="N40" t="s">
        <v>22</v>
      </c>
      <c r="O40" t="s">
        <v>171</v>
      </c>
      <c r="P40" t="s">
        <v>147</v>
      </c>
      <c r="Q40" t="s">
        <v>147</v>
      </c>
      <c r="S40" s="21" t="s">
        <v>30</v>
      </c>
      <c r="W40" t="b">
        <v>0</v>
      </c>
      <c r="Y40" t="b">
        <v>1</v>
      </c>
      <c r="Z40" t="b">
        <v>0</v>
      </c>
    </row>
    <row r="41" spans="1:28" x14ac:dyDescent="0.3">
      <c r="A41">
        <v>1</v>
      </c>
      <c r="B41" t="s">
        <v>735</v>
      </c>
      <c r="C41">
        <v>1</v>
      </c>
      <c r="D41" s="15" t="e" cm="1">
        <f t="array" ref="D41">GetValue("Db",A41&amp;";"&amp;C41,"Name")</f>
        <v>#VALUE!</v>
      </c>
      <c r="E41">
        <v>4</v>
      </c>
      <c r="F41" s="15" t="str" cm="1">
        <f t="array" ref="F41">GetValue("Tbl",A41&amp;";"&amp;C41&amp;";"&amp;E41,"Name")</f>
        <v>EnginesTypes</v>
      </c>
      <c r="G41" s="15" t="str" cm="1">
        <f t="array" ref="G41">GetValue("Tbl",A41&amp;";"&amp;C41&amp;";"&amp;E41,"Alias")</f>
        <v>EngTyp</v>
      </c>
      <c r="H41">
        <f t="shared" si="2"/>
        <v>40</v>
      </c>
      <c r="I41">
        <f t="shared" si="4"/>
        <v>55</v>
      </c>
      <c r="J41">
        <v>18</v>
      </c>
      <c r="K41" t="e" cm="1">
        <f t="array" ref="K41">GetValue("Dmn",A41&amp;";"&amp;J41,"Name")</f>
        <v>#VALUE!</v>
      </c>
      <c r="L41" t="e" cm="1">
        <f t="array" ref="L41">GetValue("Dmn",A41&amp;";"&amp;J41,"#CategoryName")</f>
        <v>#VALUE!</v>
      </c>
      <c r="M41" t="e" cm="1">
        <f t="array" ref="M41">GetValue("EngDmn",A41&amp;";"&amp;1&amp;";"&amp;J41,"DataType")</f>
        <v>#VALUE!</v>
      </c>
      <c r="N41" t="s">
        <v>283</v>
      </c>
      <c r="O41" t="s">
        <v>325</v>
      </c>
      <c r="P41" t="s">
        <v>287</v>
      </c>
      <c r="Q41" t="s">
        <v>287</v>
      </c>
      <c r="S41" s="21" t="s">
        <v>30</v>
      </c>
      <c r="W41" t="b">
        <v>0</v>
      </c>
      <c r="X41" t="b">
        <v>1</v>
      </c>
      <c r="Y41" t="b">
        <v>1</v>
      </c>
      <c r="Z41" t="b">
        <v>1</v>
      </c>
    </row>
    <row r="42" spans="1:28" x14ac:dyDescent="0.3">
      <c r="A42">
        <v>1</v>
      </c>
      <c r="B42" t="s">
        <v>735</v>
      </c>
      <c r="C42">
        <v>1</v>
      </c>
      <c r="D42" s="15" t="e" cm="1">
        <f t="array" ref="D42">GetValue("Db",A42&amp;";"&amp;C42,"Name")</f>
        <v>#VALUE!</v>
      </c>
      <c r="E42">
        <v>5</v>
      </c>
      <c r="F42" s="15" t="str" cm="1">
        <f t="array" ref="F42">GetValue("Tbl",A42&amp;";"&amp;C42&amp;";"&amp;E42,"Name")</f>
        <v>Clients</v>
      </c>
      <c r="G42" s="15" t="str" cm="1">
        <f t="array" ref="G42">GetValue("Tbl",A42&amp;";"&amp;C42&amp;";"&amp;E42,"Alias")</f>
        <v>Cli</v>
      </c>
      <c r="H42">
        <f t="shared" si="2"/>
        <v>41</v>
      </c>
      <c r="I42">
        <v>5</v>
      </c>
      <c r="J42">
        <v>1</v>
      </c>
      <c r="K42" t="e" cm="1">
        <f t="array" ref="K42">GetValue("Dmn",A42&amp;";"&amp;J42,"Name")</f>
        <v>#VALUE!</v>
      </c>
      <c r="L42" t="e" cm="1">
        <f t="array" ref="L42">GetValue("Dmn",A42&amp;";"&amp;J42,"#CategoryName")</f>
        <v>#VALUE!</v>
      </c>
      <c r="M42" t="e" cm="1">
        <f t="array" ref="M42">GetValue("EngDmn",A42&amp;";"&amp;1&amp;";"&amp;J42,"DataType")</f>
        <v>#VALUE!</v>
      </c>
      <c r="N42" t="s">
        <v>0</v>
      </c>
      <c r="O42" t="s">
        <v>176</v>
      </c>
      <c r="P42" t="s">
        <v>139</v>
      </c>
      <c r="Q42" t="s">
        <v>139</v>
      </c>
      <c r="S42" s="2">
        <v>1</v>
      </c>
      <c r="U42" t="b">
        <v>1</v>
      </c>
      <c r="V42" t="b">
        <v>1</v>
      </c>
      <c r="W42" t="b">
        <v>1</v>
      </c>
      <c r="X42" t="b">
        <v>1</v>
      </c>
      <c r="Y42" t="b">
        <v>0</v>
      </c>
      <c r="Z42" t="b">
        <v>0</v>
      </c>
      <c r="AB42" t="b">
        <v>0</v>
      </c>
    </row>
    <row r="43" spans="1:28" x14ac:dyDescent="0.3">
      <c r="A43">
        <v>1</v>
      </c>
      <c r="B43" t="s">
        <v>735</v>
      </c>
      <c r="C43">
        <v>1</v>
      </c>
      <c r="D43" s="15" t="e" cm="1">
        <f t="array" ref="D43">GetValue("Db",A43&amp;";"&amp;C43,"Name")</f>
        <v>#VALUE!</v>
      </c>
      <c r="E43">
        <v>5</v>
      </c>
      <c r="F43" s="15" t="str" cm="1">
        <f t="array" ref="F43">GetValue("Tbl",A43&amp;";"&amp;C43&amp;";"&amp;E43,"Name")</f>
        <v>Clients</v>
      </c>
      <c r="G43" s="15" t="str" cm="1">
        <f t="array" ref="G43">GetValue("Tbl",A43&amp;";"&amp;C43&amp;";"&amp;E43,"Alias")</f>
        <v>Cli</v>
      </c>
      <c r="H43">
        <f t="shared" si="2"/>
        <v>42</v>
      </c>
      <c r="I43">
        <f>I42+5</f>
        <v>10</v>
      </c>
      <c r="J43">
        <v>9</v>
      </c>
      <c r="K43" t="e" cm="1">
        <f t="array" ref="K43">GetValue("Dmn",A43&amp;";"&amp;J43,"Name")</f>
        <v>#VALUE!</v>
      </c>
      <c r="L43" t="e" cm="1">
        <f t="array" ref="L43">GetValue("Dmn",A43&amp;";"&amp;J43,"#CategoryName")</f>
        <v>#VALUE!</v>
      </c>
      <c r="M43" t="e" cm="1">
        <f t="array" ref="M43">GetValue("EngDmn",A43&amp;";"&amp;1&amp;";"&amp;J43,"DataType")</f>
        <v>#VALUE!</v>
      </c>
      <c r="N43" t="s">
        <v>1</v>
      </c>
      <c r="O43" t="s">
        <v>177</v>
      </c>
      <c r="P43" t="s">
        <v>141</v>
      </c>
      <c r="Q43" t="s">
        <v>141</v>
      </c>
      <c r="S43" s="2" t="s">
        <v>30</v>
      </c>
      <c r="U43" t="b">
        <v>0</v>
      </c>
      <c r="W43" t="b">
        <v>1</v>
      </c>
      <c r="X43" t="b">
        <v>1</v>
      </c>
      <c r="Y43" t="b">
        <v>1</v>
      </c>
      <c r="Z43" t="b">
        <v>1</v>
      </c>
      <c r="AA43" t="b">
        <v>0</v>
      </c>
    </row>
    <row r="44" spans="1:28" x14ac:dyDescent="0.3">
      <c r="A44">
        <v>1</v>
      </c>
      <c r="B44" t="s">
        <v>735</v>
      </c>
      <c r="C44">
        <v>1</v>
      </c>
      <c r="D44" s="15" t="e" cm="1">
        <f t="array" ref="D44">GetValue("Db",A44&amp;";"&amp;C44,"Name")</f>
        <v>#VALUE!</v>
      </c>
      <c r="E44">
        <v>5</v>
      </c>
      <c r="F44" s="15" t="str" cm="1">
        <f t="array" ref="F44">GetValue("Tbl",A44&amp;";"&amp;C44&amp;";"&amp;E44,"Name")</f>
        <v>Clients</v>
      </c>
      <c r="G44" s="15" t="str" cm="1">
        <f t="array" ref="G44">GetValue("Tbl",A44&amp;";"&amp;C44&amp;";"&amp;E44,"Alias")</f>
        <v>Cli</v>
      </c>
      <c r="H44">
        <f t="shared" si="2"/>
        <v>43</v>
      </c>
      <c r="I44">
        <f>I43+5</f>
        <v>15</v>
      </c>
      <c r="J44">
        <v>10</v>
      </c>
      <c r="K44" t="e" cm="1">
        <f t="array" ref="K44">GetValue("Dmn",A44&amp;";"&amp;J44,"Name")</f>
        <v>#VALUE!</v>
      </c>
      <c r="L44" t="e" cm="1">
        <f t="array" ref="L44">GetValue("Dmn",A44&amp;";"&amp;J44,"#CategoryName")</f>
        <v>#VALUE!</v>
      </c>
      <c r="M44" t="e" cm="1">
        <f t="array" ref="M44">GetValue("EngDmn",A44&amp;";"&amp;1&amp;";"&amp;J44,"DataType")</f>
        <v>#VALUE!</v>
      </c>
      <c r="N44" t="s">
        <v>73</v>
      </c>
      <c r="O44" t="s">
        <v>178</v>
      </c>
      <c r="P44" t="s">
        <v>179</v>
      </c>
      <c r="Q44" t="s">
        <v>179</v>
      </c>
      <c r="S44" s="2" t="s">
        <v>30</v>
      </c>
      <c r="U44" t="b">
        <v>0</v>
      </c>
      <c r="W44" t="b">
        <v>1</v>
      </c>
      <c r="X44" t="b">
        <v>0</v>
      </c>
      <c r="Y44" t="b">
        <v>1</v>
      </c>
      <c r="Z44" t="b">
        <v>1</v>
      </c>
      <c r="AA44" t="b">
        <v>0</v>
      </c>
    </row>
    <row r="45" spans="1:28" x14ac:dyDescent="0.3">
      <c r="A45">
        <v>1</v>
      </c>
      <c r="B45" t="s">
        <v>735</v>
      </c>
      <c r="C45">
        <v>1</v>
      </c>
      <c r="D45" s="15" t="e" cm="1">
        <f t="array" ref="D45">GetValue("Db",A45&amp;";"&amp;C45,"Name")</f>
        <v>#VALUE!</v>
      </c>
      <c r="E45">
        <v>5</v>
      </c>
      <c r="F45" s="15" t="str" cm="1">
        <f t="array" ref="F45">GetValue("Tbl",A45&amp;";"&amp;C45&amp;";"&amp;E45,"Name")</f>
        <v>Clients</v>
      </c>
      <c r="G45" s="15" t="str" cm="1">
        <f t="array" ref="G45">GetValue("Tbl",A45&amp;";"&amp;C45&amp;";"&amp;E45,"Alias")</f>
        <v>Cli</v>
      </c>
      <c r="H45">
        <f t="shared" si="2"/>
        <v>44</v>
      </c>
      <c r="I45">
        <f>I44+5</f>
        <v>20</v>
      </c>
      <c r="J45">
        <v>7</v>
      </c>
      <c r="K45" t="e" cm="1">
        <f t="array" ref="K45">GetValue("Dmn",A45&amp;";"&amp;J45,"Name")</f>
        <v>#VALUE!</v>
      </c>
      <c r="L45" t="e" cm="1">
        <f t="array" ref="L45">GetValue("Dmn",A45&amp;";"&amp;J45,"#CategoryName")</f>
        <v>#VALUE!</v>
      </c>
      <c r="M45" t="e" cm="1">
        <f t="array" ref="M45">GetValue("EngDmn",A45&amp;";"&amp;1&amp;";"&amp;J45,"DataType")</f>
        <v>#VALUE!</v>
      </c>
      <c r="N45" t="s">
        <v>74</v>
      </c>
      <c r="O45" t="s">
        <v>180</v>
      </c>
      <c r="P45" t="s">
        <v>181</v>
      </c>
      <c r="Q45" t="s">
        <v>181</v>
      </c>
      <c r="S45" s="2" t="s">
        <v>30</v>
      </c>
      <c r="U45" t="b">
        <v>0</v>
      </c>
      <c r="W45" t="b">
        <v>1</v>
      </c>
      <c r="X45" t="b">
        <v>1</v>
      </c>
      <c r="Y45" t="b">
        <v>1</v>
      </c>
      <c r="Z45" t="b">
        <v>1</v>
      </c>
      <c r="AA45" t="b">
        <v>0</v>
      </c>
    </row>
    <row r="46" spans="1:28" x14ac:dyDescent="0.3">
      <c r="A46">
        <v>1</v>
      </c>
      <c r="B46" t="s">
        <v>735</v>
      </c>
      <c r="C46">
        <v>1</v>
      </c>
      <c r="D46" s="15" t="e" cm="1">
        <f t="array" ref="D46">GetValue("Db",A46&amp;";"&amp;C46,"Name")</f>
        <v>#VALUE!</v>
      </c>
      <c r="E46">
        <v>5</v>
      </c>
      <c r="F46" s="15" t="str" cm="1">
        <f t="array" ref="F46">GetValue("Tbl",A46&amp;";"&amp;C46&amp;";"&amp;E46,"Name")</f>
        <v>Clients</v>
      </c>
      <c r="G46" s="15" t="str" cm="1">
        <f t="array" ref="G46">GetValue("Tbl",A46&amp;";"&amp;C46&amp;";"&amp;E46,"Alias")</f>
        <v>Cli</v>
      </c>
      <c r="H46">
        <f t="shared" si="2"/>
        <v>45</v>
      </c>
      <c r="I46">
        <f>I45+5</f>
        <v>25</v>
      </c>
      <c r="J46">
        <v>5</v>
      </c>
      <c r="K46" t="e" cm="1">
        <f t="array" ref="K46">GetValue("Dmn",A46&amp;";"&amp;J46,"Name")</f>
        <v>#VALUE!</v>
      </c>
      <c r="L46" t="e" cm="1">
        <f t="array" ref="L46">GetValue("Dmn",A46&amp;";"&amp;J46,"#CategoryName")</f>
        <v>#VALUE!</v>
      </c>
      <c r="M46" t="e" cm="1">
        <f t="array" ref="M46">GetValue("EngDmn",A46&amp;";"&amp;1&amp;";"&amp;J46,"DataType")</f>
        <v>#VALUE!</v>
      </c>
      <c r="N46" t="s">
        <v>75</v>
      </c>
      <c r="O46" t="s">
        <v>182</v>
      </c>
      <c r="P46" t="s">
        <v>183</v>
      </c>
      <c r="Q46" t="s">
        <v>183</v>
      </c>
      <c r="R46" s="2">
        <v>5</v>
      </c>
      <c r="S46" s="2">
        <v>1</v>
      </c>
      <c r="U46" t="b">
        <v>0</v>
      </c>
      <c r="V46" t="b">
        <v>0</v>
      </c>
      <c r="W46" t="b">
        <v>1</v>
      </c>
      <c r="X46" t="b">
        <v>0</v>
      </c>
      <c r="Y46" t="b">
        <v>1</v>
      </c>
      <c r="Z46" t="b">
        <v>1</v>
      </c>
      <c r="AB46" t="b">
        <v>0</v>
      </c>
    </row>
    <row r="47" spans="1:28" x14ac:dyDescent="0.3">
      <c r="A47">
        <v>1</v>
      </c>
      <c r="B47" t="s">
        <v>735</v>
      </c>
      <c r="C47">
        <v>1</v>
      </c>
      <c r="D47" s="15" t="e" cm="1">
        <f t="array" ref="D47">GetValue("Db",A47&amp;";"&amp;C47,"Name")</f>
        <v>#VALUE!</v>
      </c>
      <c r="E47">
        <v>5</v>
      </c>
      <c r="F47" s="15" t="str" cm="1">
        <f t="array" ref="F47">GetValue("Tbl",A47&amp;";"&amp;C47&amp;";"&amp;E47,"Name")</f>
        <v>Clients</v>
      </c>
      <c r="G47" s="15" t="str" cm="1">
        <f t="array" ref="G47">GetValue("Tbl",A47&amp;";"&amp;C47&amp;";"&amp;E47,"Alias")</f>
        <v>Cli</v>
      </c>
      <c r="H47">
        <f t="shared" si="2"/>
        <v>46</v>
      </c>
      <c r="I47">
        <f>I46+5</f>
        <v>30</v>
      </c>
      <c r="J47">
        <v>6</v>
      </c>
      <c r="K47" t="e" cm="1">
        <f t="array" ref="K47">GetValue("Dmn",A47&amp;";"&amp;J47,"Name")</f>
        <v>#VALUE!</v>
      </c>
      <c r="L47" t="e" cm="1">
        <f t="array" ref="L47">GetValue("Dmn",A47&amp;";"&amp;J47,"#CategoryName")</f>
        <v>#VALUE!</v>
      </c>
      <c r="M47" t="e" cm="1">
        <f t="array" ref="M47">GetValue("EngDmn",A47&amp;";"&amp;1&amp;";"&amp;J47,"DataType")</f>
        <v>#VALUE!</v>
      </c>
      <c r="N47" t="s">
        <v>320</v>
      </c>
      <c r="O47" t="s">
        <v>321</v>
      </c>
      <c r="P47" t="s">
        <v>322</v>
      </c>
      <c r="Q47" t="s">
        <v>322</v>
      </c>
      <c r="S47" s="2"/>
      <c r="W47" t="b">
        <v>1</v>
      </c>
      <c r="X47" t="b">
        <v>0</v>
      </c>
      <c r="Y47" t="b">
        <v>1</v>
      </c>
      <c r="Z47" t="b">
        <v>0</v>
      </c>
    </row>
    <row r="48" spans="1:28" x14ac:dyDescent="0.3">
      <c r="A48">
        <v>1</v>
      </c>
      <c r="B48" t="s">
        <v>735</v>
      </c>
      <c r="C48">
        <v>1</v>
      </c>
      <c r="D48" s="15" t="e" cm="1">
        <f t="array" ref="D48">GetValue("Db",A48&amp;";"&amp;C48,"Name")</f>
        <v>#VALUE!</v>
      </c>
      <c r="E48">
        <v>6</v>
      </c>
      <c r="F48" s="15" t="str" cm="1">
        <f t="array" ref="F48">GetValue("Tbl",A48&amp;";"&amp;C48&amp;";"&amp;E48,"Name")</f>
        <v>Domains</v>
      </c>
      <c r="G48" s="15" t="str" cm="1">
        <f t="array" ref="G48">GetValue("Tbl",A48&amp;";"&amp;C48&amp;";"&amp;E48,"Alias")</f>
        <v>Dmn</v>
      </c>
      <c r="H48">
        <f t="shared" si="2"/>
        <v>47</v>
      </c>
      <c r="I48">
        <v>5</v>
      </c>
      <c r="J48">
        <v>1</v>
      </c>
      <c r="K48" t="e" cm="1">
        <f t="array" ref="K48">GetValue("Dmn",A48&amp;";"&amp;J48,"Name")</f>
        <v>#VALUE!</v>
      </c>
      <c r="L48" t="e" cm="1">
        <f t="array" ref="L48">GetValue("Dmn",A48&amp;";"&amp;J48,"#CategoryName")</f>
        <v>#VALUE!</v>
      </c>
      <c r="M48" t="e" cm="1">
        <f t="array" ref="M48">GetValue("EngDmn",A48&amp;";"&amp;1&amp;";"&amp;J48,"DataType")</f>
        <v>#VALUE!</v>
      </c>
      <c r="N48" t="s">
        <v>0</v>
      </c>
      <c r="O48" t="s">
        <v>184</v>
      </c>
      <c r="P48" t="s">
        <v>139</v>
      </c>
      <c r="Q48" t="s">
        <v>139</v>
      </c>
      <c r="S48" s="21">
        <v>1</v>
      </c>
      <c r="T48" s="21"/>
      <c r="U48" t="b">
        <v>1</v>
      </c>
      <c r="V48" t="b">
        <v>1</v>
      </c>
      <c r="W48" t="b">
        <v>1</v>
      </c>
      <c r="X48" t="b">
        <v>1</v>
      </c>
      <c r="Y48" t="b">
        <v>0</v>
      </c>
      <c r="Z48" t="b">
        <v>0</v>
      </c>
      <c r="AB48" t="b">
        <v>0</v>
      </c>
    </row>
    <row r="49" spans="1:28" x14ac:dyDescent="0.3">
      <c r="A49">
        <v>1</v>
      </c>
      <c r="B49" t="s">
        <v>735</v>
      </c>
      <c r="C49">
        <v>1</v>
      </c>
      <c r="D49" s="15" t="e" cm="1">
        <f t="array" ref="D49">GetValue("Db",A49&amp;";"&amp;C49,"Name")</f>
        <v>#VALUE!</v>
      </c>
      <c r="E49">
        <v>6</v>
      </c>
      <c r="F49" s="15" t="str" cm="1">
        <f t="array" ref="F49">GetValue("Tbl",A49&amp;";"&amp;C49&amp;";"&amp;E49,"Name")</f>
        <v>Domains</v>
      </c>
      <c r="G49" s="15" t="str" cm="1">
        <f t="array" ref="G49">GetValue("Tbl",A49&amp;";"&amp;C49&amp;";"&amp;E49,"Alias")</f>
        <v>Dmn</v>
      </c>
      <c r="H49">
        <f t="shared" si="2"/>
        <v>48</v>
      </c>
      <c r="I49">
        <f t="shared" ref="I49:I54" si="5">I48+5</f>
        <v>10</v>
      </c>
      <c r="J49">
        <v>1</v>
      </c>
      <c r="K49" t="e" cm="1">
        <f t="array" ref="K49">GetValue("Dmn",A49&amp;";"&amp;J49,"Name")</f>
        <v>#VALUE!</v>
      </c>
      <c r="L49" t="e" cm="1">
        <f t="array" ref="L49">GetValue("Dmn",A49&amp;";"&amp;J49,"#CategoryName")</f>
        <v>#VALUE!</v>
      </c>
      <c r="M49" t="e" cm="1">
        <f t="array" ref="M49">GetValue("EngDmn",A49&amp;";"&amp;1&amp;";"&amp;J49,"DataType")</f>
        <v>#VALUE!</v>
      </c>
      <c r="N49" t="s">
        <v>76</v>
      </c>
      <c r="O49" t="s">
        <v>185</v>
      </c>
      <c r="P49" t="s">
        <v>186</v>
      </c>
      <c r="Q49" t="s">
        <v>186</v>
      </c>
      <c r="S49" s="21">
        <v>1</v>
      </c>
      <c r="U49" t="b">
        <v>0</v>
      </c>
      <c r="V49" t="b">
        <v>0</v>
      </c>
      <c r="W49" t="b">
        <v>1</v>
      </c>
      <c r="X49" t="b">
        <v>1</v>
      </c>
      <c r="Y49" t="b">
        <v>1</v>
      </c>
      <c r="Z49" t="b">
        <v>1</v>
      </c>
      <c r="AB49" t="b">
        <v>0</v>
      </c>
    </row>
    <row r="50" spans="1:28" x14ac:dyDescent="0.3">
      <c r="A50">
        <v>1</v>
      </c>
      <c r="B50" t="s">
        <v>735</v>
      </c>
      <c r="C50">
        <v>1</v>
      </c>
      <c r="D50" s="15" t="e" cm="1">
        <f t="array" ref="D50">GetValue("Db",A50&amp;";"&amp;C50,"Name")</f>
        <v>#VALUE!</v>
      </c>
      <c r="E50">
        <v>6</v>
      </c>
      <c r="F50" s="15" t="str" cm="1">
        <f t="array" ref="F50">GetValue("Tbl",A50&amp;";"&amp;C50&amp;";"&amp;E50,"Name")</f>
        <v>Domains</v>
      </c>
      <c r="G50" s="15" t="str" cm="1">
        <f t="array" ref="G50">GetValue("Tbl",A50&amp;";"&amp;C50&amp;";"&amp;E50,"Alias")</f>
        <v>Dmn</v>
      </c>
      <c r="H50">
        <f t="shared" si="2"/>
        <v>49</v>
      </c>
      <c r="I50">
        <f t="shared" si="5"/>
        <v>15</v>
      </c>
      <c r="J50">
        <v>4</v>
      </c>
      <c r="K50" t="e" cm="1">
        <f t="array" ref="K50">GetValue("Dmn",A50&amp;";"&amp;J50,"Name")</f>
        <v>#VALUE!</v>
      </c>
      <c r="L50" t="e" cm="1">
        <f t="array" ref="L50">GetValue("Dmn",A50&amp;";"&amp;J50,"#CategoryName")</f>
        <v>#VALUE!</v>
      </c>
      <c r="M50" t="e" cm="1">
        <f t="array" ref="M50">GetValue("EngDmn",A50&amp;";"&amp;1&amp;";"&amp;J50,"DataType")</f>
        <v>#VALUE!</v>
      </c>
      <c r="N50" t="s">
        <v>77</v>
      </c>
      <c r="O50" t="s">
        <v>187</v>
      </c>
      <c r="P50" t="s">
        <v>188</v>
      </c>
      <c r="Q50" t="s">
        <v>188</v>
      </c>
      <c r="S50" s="21">
        <v>1</v>
      </c>
      <c r="U50" t="b">
        <v>0</v>
      </c>
      <c r="V50" t="b">
        <v>0</v>
      </c>
      <c r="W50" t="b">
        <v>1</v>
      </c>
      <c r="X50" t="b">
        <v>0</v>
      </c>
      <c r="Y50" t="b">
        <v>1</v>
      </c>
      <c r="Z50" t="b">
        <v>1</v>
      </c>
      <c r="AB50" t="b">
        <v>0</v>
      </c>
    </row>
    <row r="51" spans="1:28" x14ac:dyDescent="0.3">
      <c r="A51">
        <v>1</v>
      </c>
      <c r="B51" t="s">
        <v>735</v>
      </c>
      <c r="C51">
        <v>1</v>
      </c>
      <c r="D51" s="15" t="e" cm="1">
        <f t="array" ref="D51">GetValue("Db",A51&amp;";"&amp;C51,"Name")</f>
        <v>#VALUE!</v>
      </c>
      <c r="E51">
        <v>6</v>
      </c>
      <c r="F51" s="15" t="str" cm="1">
        <f t="array" ref="F51">GetValue("Tbl",A51&amp;";"&amp;C51&amp;";"&amp;E51,"Name")</f>
        <v>Domains</v>
      </c>
      <c r="G51" s="15" t="str" cm="1">
        <f t="array" ref="G51">GetValue("Tbl",A51&amp;";"&amp;C51&amp;";"&amp;E51,"Alias")</f>
        <v>Dmn</v>
      </c>
      <c r="H51">
        <f t="shared" si="2"/>
        <v>50</v>
      </c>
      <c r="I51">
        <f t="shared" si="5"/>
        <v>20</v>
      </c>
      <c r="J51">
        <v>8</v>
      </c>
      <c r="K51" t="e" cm="1">
        <f t="array" ref="K51">GetValue("Dmn",A51&amp;";"&amp;J51,"Name")</f>
        <v>#VALUE!</v>
      </c>
      <c r="L51" t="e" cm="1">
        <f t="array" ref="L51">GetValue("Dmn",A51&amp;";"&amp;J51,"#CategoryName")</f>
        <v>#VALUE!</v>
      </c>
      <c r="M51" t="e" cm="1">
        <f t="array" ref="M51">GetValue("EngDmn",A51&amp;";"&amp;1&amp;";"&amp;J51,"DataType")</f>
        <v>#VALUE!</v>
      </c>
      <c r="N51" t="s">
        <v>78</v>
      </c>
      <c r="O51" t="s">
        <v>189</v>
      </c>
      <c r="P51" t="s">
        <v>190</v>
      </c>
      <c r="Q51" t="s">
        <v>190</v>
      </c>
      <c r="S51" s="21" t="s">
        <v>30</v>
      </c>
      <c r="U51" t="b">
        <v>0</v>
      </c>
      <c r="W51" t="b">
        <v>1</v>
      </c>
      <c r="X51" t="b">
        <v>1</v>
      </c>
      <c r="Y51" t="b">
        <v>1</v>
      </c>
      <c r="Z51" t="b">
        <v>1</v>
      </c>
      <c r="AA51" t="b">
        <v>0</v>
      </c>
    </row>
    <row r="52" spans="1:28" x14ac:dyDescent="0.3">
      <c r="A52">
        <v>1</v>
      </c>
      <c r="B52" t="s">
        <v>735</v>
      </c>
      <c r="C52">
        <v>1</v>
      </c>
      <c r="D52" s="15" t="e" cm="1">
        <f t="array" ref="D52">GetValue("Db",A52&amp;";"&amp;C52,"Name")</f>
        <v>#VALUE!</v>
      </c>
      <c r="E52">
        <v>6</v>
      </c>
      <c r="F52" s="15" t="str" cm="1">
        <f t="array" ref="F52">GetValue("Tbl",A52&amp;";"&amp;C52&amp;";"&amp;E52,"Name")</f>
        <v>Domains</v>
      </c>
      <c r="G52" s="15" t="str" cm="1">
        <f t="array" ref="G52">GetValue("Tbl",A52&amp;";"&amp;C52&amp;";"&amp;E52,"Alias")</f>
        <v>Dmn</v>
      </c>
      <c r="H52">
        <f t="shared" si="2"/>
        <v>51</v>
      </c>
      <c r="I52">
        <f t="shared" si="5"/>
        <v>25</v>
      </c>
      <c r="J52">
        <v>10</v>
      </c>
      <c r="K52" t="e" cm="1">
        <f t="array" ref="K52">GetValue("Dmn",A52&amp;";"&amp;J52,"Name")</f>
        <v>#VALUE!</v>
      </c>
      <c r="L52" t="e" cm="1">
        <f t="array" ref="L52">GetValue("Dmn",A52&amp;";"&amp;J52,"#CategoryName")</f>
        <v>#VALUE!</v>
      </c>
      <c r="M52" t="e" cm="1">
        <f t="array" ref="M52">GetValue("EngDmn",A52&amp;";"&amp;1&amp;";"&amp;J52,"DataType")</f>
        <v>#VALUE!</v>
      </c>
      <c r="N52" t="s">
        <v>79</v>
      </c>
      <c r="O52" t="s">
        <v>191</v>
      </c>
      <c r="P52" t="s">
        <v>192</v>
      </c>
      <c r="Q52" t="s">
        <v>192</v>
      </c>
      <c r="S52" s="21" t="s">
        <v>30</v>
      </c>
      <c r="U52" t="b">
        <v>0</v>
      </c>
      <c r="W52" t="b">
        <v>1</v>
      </c>
      <c r="X52" t="b">
        <v>0</v>
      </c>
      <c r="Y52" t="b">
        <v>1</v>
      </c>
      <c r="Z52" t="b">
        <v>1</v>
      </c>
      <c r="AA52" t="b">
        <v>0</v>
      </c>
    </row>
    <row r="53" spans="1:28" x14ac:dyDescent="0.3">
      <c r="A53">
        <v>1</v>
      </c>
      <c r="B53" t="s">
        <v>735</v>
      </c>
      <c r="C53">
        <v>1</v>
      </c>
      <c r="D53" s="15" t="e" cm="1">
        <f t="array" ref="D53">GetValue("Db",A53&amp;";"&amp;C53,"Name")</f>
        <v>#VALUE!</v>
      </c>
      <c r="E53">
        <v>6</v>
      </c>
      <c r="F53" s="15" t="str" cm="1">
        <f t="array" ref="F53">GetValue("Tbl",A53&amp;";"&amp;C53&amp;";"&amp;E53,"Name")</f>
        <v>Domains</v>
      </c>
      <c r="G53" s="15" t="str" cm="1">
        <f t="array" ref="G53">GetValue("Tbl",A53&amp;";"&amp;C53&amp;";"&amp;E53,"Alias")</f>
        <v>Dmn</v>
      </c>
      <c r="H53">
        <f t="shared" si="2"/>
        <v>52</v>
      </c>
      <c r="I53">
        <f t="shared" si="5"/>
        <v>30</v>
      </c>
      <c r="J53">
        <v>10</v>
      </c>
      <c r="K53" t="e" cm="1">
        <f t="array" ref="K53">GetValue("Dmn",A53&amp;";"&amp;J53,"Name")</f>
        <v>#VALUE!</v>
      </c>
      <c r="L53" t="e" cm="1">
        <f t="array" ref="L53">GetValue("Dmn",A53&amp;";"&amp;J53,"#CategoryName")</f>
        <v>#VALUE!</v>
      </c>
      <c r="M53" t="e" cm="1">
        <f t="array" ref="M53">GetValue("EngDmn",A53&amp;";"&amp;1&amp;";"&amp;J53,"DataType")</f>
        <v>#VALUE!</v>
      </c>
      <c r="N53" t="s">
        <v>80</v>
      </c>
      <c r="O53" t="s">
        <v>193</v>
      </c>
      <c r="P53" t="s">
        <v>194</v>
      </c>
      <c r="Q53" t="s">
        <v>194</v>
      </c>
      <c r="S53" s="21" t="s">
        <v>30</v>
      </c>
      <c r="U53" t="b">
        <v>0</v>
      </c>
      <c r="W53" t="b">
        <v>0</v>
      </c>
      <c r="X53" t="b">
        <v>0</v>
      </c>
      <c r="Y53" t="b">
        <v>1</v>
      </c>
      <c r="Z53" t="b">
        <v>1</v>
      </c>
      <c r="AA53" t="b">
        <v>0</v>
      </c>
    </row>
    <row r="54" spans="1:28" x14ac:dyDescent="0.3">
      <c r="A54">
        <v>1</v>
      </c>
      <c r="B54" t="s">
        <v>735</v>
      </c>
      <c r="C54">
        <v>1</v>
      </c>
      <c r="D54" s="15" t="e" cm="1">
        <f t="array" ref="D54">GetValue("Db",A54&amp;";"&amp;C54,"Name")</f>
        <v>#VALUE!</v>
      </c>
      <c r="E54">
        <v>6</v>
      </c>
      <c r="F54" s="15" t="str" cm="1">
        <f t="array" ref="F54">GetValue("Tbl",A54&amp;";"&amp;C54&amp;";"&amp;E54,"Name")</f>
        <v>Domains</v>
      </c>
      <c r="G54" s="15" t="str" cm="1">
        <f t="array" ref="G54">GetValue("Tbl",A54&amp;";"&amp;C54&amp;";"&amp;E54,"Alias")</f>
        <v>Dmn</v>
      </c>
      <c r="H54">
        <f t="shared" si="2"/>
        <v>53</v>
      </c>
      <c r="I54">
        <f t="shared" si="5"/>
        <v>35</v>
      </c>
      <c r="J54">
        <v>1</v>
      </c>
      <c r="K54" t="e" cm="1">
        <f t="array" ref="K54">GetValue("Dmn",A54&amp;";"&amp;J54,"Name")</f>
        <v>#VALUE!</v>
      </c>
      <c r="L54" t="e" cm="1">
        <f t="array" ref="L54">GetValue("Dmn",A54&amp;";"&amp;J54,"#CategoryName")</f>
        <v>#VALUE!</v>
      </c>
      <c r="M54" t="e" cm="1">
        <f t="array" ref="M54">GetValue("EngDmn",A54&amp;";"&amp;1&amp;";"&amp;J54,"DataType")</f>
        <v>#VALUE!</v>
      </c>
      <c r="N54" t="s">
        <v>81</v>
      </c>
      <c r="O54" t="s">
        <v>195</v>
      </c>
      <c r="P54" t="s">
        <v>196</v>
      </c>
      <c r="Q54" t="s">
        <v>196</v>
      </c>
      <c r="S54" s="21">
        <v>1</v>
      </c>
      <c r="U54" t="b">
        <v>0</v>
      </c>
      <c r="V54" t="b">
        <v>0</v>
      </c>
      <c r="W54" t="b">
        <v>0</v>
      </c>
      <c r="X54" t="b">
        <v>0</v>
      </c>
      <c r="Y54" t="b">
        <v>1</v>
      </c>
      <c r="Z54" t="b">
        <v>0</v>
      </c>
      <c r="AB54" t="b">
        <v>0</v>
      </c>
    </row>
    <row r="55" spans="1:28" x14ac:dyDescent="0.3">
      <c r="A55">
        <v>1</v>
      </c>
      <c r="B55" t="s">
        <v>735</v>
      </c>
      <c r="C55">
        <v>1</v>
      </c>
      <c r="D55" s="15" t="e" cm="1">
        <f t="array" ref="D55">GetValue("Db",A55&amp;";"&amp;C55,"Name")</f>
        <v>#VALUE!</v>
      </c>
      <c r="E55">
        <v>7</v>
      </c>
      <c r="F55" s="15" t="str" cm="1">
        <f t="array" ref="F55">GetValue("Tbl",A55&amp;";"&amp;C55&amp;";"&amp;E55,"Name")</f>
        <v>EnginesDomains</v>
      </c>
      <c r="G55" s="15" t="str" cm="1">
        <f t="array" ref="G55">GetValue("Tbl",A55&amp;";"&amp;C55&amp;";"&amp;E55,"Alias")</f>
        <v>EngDmn</v>
      </c>
      <c r="H55">
        <f t="shared" si="2"/>
        <v>54</v>
      </c>
      <c r="I55">
        <v>5</v>
      </c>
      <c r="J55">
        <v>1</v>
      </c>
      <c r="K55" t="e" cm="1">
        <f t="array" ref="K55">GetValue("Dmn",A55&amp;";"&amp;J55,"Name")</f>
        <v>#VALUE!</v>
      </c>
      <c r="L55" t="e" cm="1">
        <f t="array" ref="L55">GetValue("Dmn",A55&amp;";"&amp;J55,"#CategoryName")</f>
        <v>#VALUE!</v>
      </c>
      <c r="M55" t="e" cm="1">
        <f t="array" ref="M55">GetValue("EngDmn",A55&amp;";"&amp;1&amp;";"&amp;J55,"DataType")</f>
        <v>#VALUE!</v>
      </c>
      <c r="N55" t="s">
        <v>0</v>
      </c>
      <c r="O55" t="s">
        <v>197</v>
      </c>
      <c r="P55" t="s">
        <v>139</v>
      </c>
      <c r="Q55" t="s">
        <v>139</v>
      </c>
      <c r="S55" s="2">
        <v>1</v>
      </c>
      <c r="U55" t="b">
        <v>1</v>
      </c>
      <c r="V55" t="b">
        <v>1</v>
      </c>
      <c r="W55" t="b">
        <v>1</v>
      </c>
      <c r="X55" t="b">
        <v>1</v>
      </c>
      <c r="Y55" t="b">
        <v>0</v>
      </c>
      <c r="Z55" t="b">
        <v>0</v>
      </c>
      <c r="AB55" t="b">
        <v>0</v>
      </c>
    </row>
    <row r="56" spans="1:28" x14ac:dyDescent="0.3">
      <c r="A56">
        <v>1</v>
      </c>
      <c r="B56" t="s">
        <v>735</v>
      </c>
      <c r="C56">
        <v>1</v>
      </c>
      <c r="D56" s="15" t="e" cm="1">
        <f t="array" ref="D56">GetValue("Db",A56&amp;";"&amp;C56,"Name")</f>
        <v>#VALUE!</v>
      </c>
      <c r="E56">
        <v>7</v>
      </c>
      <c r="F56" s="15" t="str" cm="1">
        <f t="array" ref="F56">GetValue("Tbl",A56&amp;";"&amp;C56&amp;";"&amp;E56,"Name")</f>
        <v>EnginesDomains</v>
      </c>
      <c r="G56" s="15" t="str" cm="1">
        <f t="array" ref="G56">GetValue("Tbl",A56&amp;";"&amp;C56&amp;";"&amp;E56,"Alias")</f>
        <v>EngDmn</v>
      </c>
      <c r="H56">
        <f t="shared" si="2"/>
        <v>55</v>
      </c>
      <c r="I56">
        <f>I55+5</f>
        <v>10</v>
      </c>
      <c r="J56">
        <v>9</v>
      </c>
      <c r="K56" t="e" cm="1">
        <f t="array" ref="K56">GetValue("Dmn",A56&amp;";"&amp;J56,"Name")</f>
        <v>#VALUE!</v>
      </c>
      <c r="L56" t="e" cm="1">
        <f t="array" ref="L56">GetValue("Dmn",A56&amp;";"&amp;J56,"#CategoryName")</f>
        <v>#VALUE!</v>
      </c>
      <c r="M56" t="e" cm="1">
        <f t="array" ref="M56">GetValue("EngDmn",A56&amp;";"&amp;1&amp;";"&amp;J56,"DataType")</f>
        <v>#VALUE!</v>
      </c>
      <c r="N56" t="s">
        <v>1</v>
      </c>
      <c r="O56" t="s">
        <v>198</v>
      </c>
      <c r="P56" t="s">
        <v>141</v>
      </c>
      <c r="Q56" t="s">
        <v>141</v>
      </c>
      <c r="S56" s="2" t="s">
        <v>30</v>
      </c>
      <c r="U56" t="b">
        <v>0</v>
      </c>
      <c r="W56" t="b">
        <v>1</v>
      </c>
      <c r="X56" t="b">
        <v>1</v>
      </c>
      <c r="Y56" t="b">
        <v>1</v>
      </c>
      <c r="Z56" t="b">
        <v>1</v>
      </c>
      <c r="AA56" t="b">
        <v>0</v>
      </c>
    </row>
    <row r="57" spans="1:28" x14ac:dyDescent="0.3">
      <c r="A57">
        <v>1</v>
      </c>
      <c r="B57" t="s">
        <v>735</v>
      </c>
      <c r="C57">
        <v>1</v>
      </c>
      <c r="D57" s="15" t="e" cm="1">
        <f t="array" ref="D57">GetValue("Db",A57&amp;";"&amp;C57,"Name")</f>
        <v>#VALUE!</v>
      </c>
      <c r="E57">
        <v>7</v>
      </c>
      <c r="F57" s="15" t="str" cm="1">
        <f t="array" ref="F57">GetValue("Tbl",A57&amp;";"&amp;C57&amp;";"&amp;E57,"Name")</f>
        <v>EnginesDomains</v>
      </c>
      <c r="G57" s="15" t="str" cm="1">
        <f t="array" ref="G57">GetValue("Tbl",A57&amp;";"&amp;C57&amp;";"&amp;E57,"Alias")</f>
        <v>EngDmn</v>
      </c>
      <c r="H57">
        <f t="shared" si="2"/>
        <v>56</v>
      </c>
      <c r="I57">
        <f>I56+5</f>
        <v>15</v>
      </c>
      <c r="J57">
        <v>11</v>
      </c>
      <c r="K57" t="e" cm="1">
        <f t="array" ref="K57">GetValue("Dmn",A57&amp;";"&amp;J57,"Name")</f>
        <v>#VALUE!</v>
      </c>
      <c r="L57" t="e" cm="1">
        <f t="array" ref="L57">GetValue("Dmn",A57&amp;";"&amp;J57,"#CategoryName")</f>
        <v>#VALUE!</v>
      </c>
      <c r="M57" t="e" cm="1">
        <f t="array" ref="M57">GetValue("EngDmn",A57&amp;";"&amp;1&amp;";"&amp;J57,"DataType")</f>
        <v>#VALUE!</v>
      </c>
      <c r="N57" t="s">
        <v>105</v>
      </c>
      <c r="O57" t="s">
        <v>199</v>
      </c>
      <c r="P57" t="s">
        <v>200</v>
      </c>
      <c r="Q57" t="s">
        <v>200</v>
      </c>
      <c r="S57" s="2" t="s">
        <v>30</v>
      </c>
      <c r="U57" t="b">
        <v>0</v>
      </c>
      <c r="W57" t="b">
        <v>1</v>
      </c>
      <c r="X57" t="b">
        <v>0</v>
      </c>
      <c r="Y57" t="b">
        <v>1</v>
      </c>
      <c r="Z57" t="b">
        <v>0</v>
      </c>
      <c r="AA57" t="b">
        <v>1</v>
      </c>
    </row>
    <row r="58" spans="1:28" x14ac:dyDescent="0.3">
      <c r="A58">
        <v>1</v>
      </c>
      <c r="B58" t="s">
        <v>735</v>
      </c>
      <c r="C58">
        <v>1</v>
      </c>
      <c r="D58" s="15" t="e" cm="1">
        <f t="array" ref="D58">GetValue("Db",A58&amp;";"&amp;C58,"Name")</f>
        <v>#VALUE!</v>
      </c>
      <c r="E58">
        <v>7</v>
      </c>
      <c r="F58" s="15" t="str" cm="1">
        <f t="array" ref="F58">GetValue("Tbl",A58&amp;";"&amp;C58&amp;";"&amp;E58,"Name")</f>
        <v>EnginesDomains</v>
      </c>
      <c r="G58" s="15" t="str" cm="1">
        <f t="array" ref="G58">GetValue("Tbl",A58&amp;";"&amp;C58&amp;";"&amp;E58,"Alias")</f>
        <v>EngDmn</v>
      </c>
      <c r="H58">
        <f t="shared" si="2"/>
        <v>57</v>
      </c>
      <c r="I58">
        <f>I57+5</f>
        <v>20</v>
      </c>
      <c r="J58">
        <v>10</v>
      </c>
      <c r="K58" t="e" cm="1">
        <f t="array" ref="K58">GetValue("Dmn",A58&amp;";"&amp;J58,"Name")</f>
        <v>#VALUE!</v>
      </c>
      <c r="L58" t="e" cm="1">
        <f t="array" ref="L58">GetValue("Dmn",A58&amp;";"&amp;J58,"#CategoryName")</f>
        <v>#VALUE!</v>
      </c>
      <c r="M58" t="e" cm="1">
        <f t="array" ref="M58">GetValue("EngDmn",A58&amp;";"&amp;1&amp;";"&amp;J58,"DataType")</f>
        <v>#VALUE!</v>
      </c>
      <c r="N58" t="s">
        <v>106</v>
      </c>
      <c r="O58" t="s">
        <v>201</v>
      </c>
      <c r="P58" t="s">
        <v>202</v>
      </c>
      <c r="Q58" t="s">
        <v>202</v>
      </c>
      <c r="S58" s="2" t="s">
        <v>30</v>
      </c>
      <c r="U58" t="b">
        <v>0</v>
      </c>
      <c r="W58" t="b">
        <v>1</v>
      </c>
      <c r="X58" t="b">
        <v>1</v>
      </c>
      <c r="Y58" t="b">
        <v>1</v>
      </c>
      <c r="Z58" t="b">
        <v>1</v>
      </c>
      <c r="AA58" t="b">
        <v>0</v>
      </c>
    </row>
    <row r="59" spans="1:28" x14ac:dyDescent="0.3">
      <c r="A59">
        <v>1</v>
      </c>
      <c r="B59" t="s">
        <v>735</v>
      </c>
      <c r="C59">
        <v>1</v>
      </c>
      <c r="D59" s="15" t="e" cm="1">
        <f t="array" ref="D59">GetValue("Db",A59&amp;";"&amp;C59,"Name")</f>
        <v>#VALUE!</v>
      </c>
      <c r="E59">
        <v>7</v>
      </c>
      <c r="F59" s="15" t="str" cm="1">
        <f t="array" ref="F59">GetValue("Tbl",A59&amp;";"&amp;C59&amp;";"&amp;E59,"Name")</f>
        <v>EnginesDomains</v>
      </c>
      <c r="G59" s="15" t="str" cm="1">
        <f t="array" ref="G59">GetValue("Tbl",A59&amp;";"&amp;C59&amp;";"&amp;E59,"Alias")</f>
        <v>EngDmn</v>
      </c>
      <c r="H59">
        <f t="shared" si="2"/>
        <v>58</v>
      </c>
      <c r="I59">
        <f>I58+5</f>
        <v>25</v>
      </c>
      <c r="J59">
        <v>5</v>
      </c>
      <c r="K59" t="e" cm="1">
        <f t="array" ref="K59">GetValue("Dmn",A59&amp;";"&amp;J59,"Name")</f>
        <v>#VALUE!</v>
      </c>
      <c r="L59" t="e" cm="1">
        <f t="array" ref="L59">GetValue("Dmn",A59&amp;";"&amp;J59,"#CategoryName")</f>
        <v>#VALUE!</v>
      </c>
      <c r="M59" t="e" cm="1">
        <f t="array" ref="M59">GetValue("EngDmn",A59&amp;";"&amp;1&amp;";"&amp;J59,"DataType")</f>
        <v>#VALUE!</v>
      </c>
      <c r="N59" t="s">
        <v>107</v>
      </c>
      <c r="O59" t="s">
        <v>203</v>
      </c>
      <c r="P59" t="s">
        <v>203</v>
      </c>
      <c r="Q59" t="s">
        <v>203</v>
      </c>
      <c r="R59" s="2">
        <v>0</v>
      </c>
      <c r="S59" s="2">
        <v>0</v>
      </c>
      <c r="U59" t="b">
        <v>0</v>
      </c>
      <c r="V59" t="b">
        <v>0</v>
      </c>
      <c r="W59" t="b">
        <v>1</v>
      </c>
      <c r="X59" t="b">
        <v>0</v>
      </c>
      <c r="Y59" t="b">
        <v>1</v>
      </c>
      <c r="Z59" t="b">
        <v>1</v>
      </c>
      <c r="AB59" t="b">
        <v>0</v>
      </c>
    </row>
    <row r="60" spans="1:28" x14ac:dyDescent="0.3">
      <c r="A60">
        <v>1</v>
      </c>
      <c r="B60" t="s">
        <v>735</v>
      </c>
      <c r="C60">
        <v>1</v>
      </c>
      <c r="D60" s="15" t="e" cm="1">
        <f t="array" ref="D60">GetValue("Db",A60&amp;";"&amp;C60,"Name")</f>
        <v>#VALUE!</v>
      </c>
      <c r="E60">
        <v>7</v>
      </c>
      <c r="F60" s="15" t="str" cm="1">
        <f t="array" ref="F60">GetValue("Tbl",A60&amp;";"&amp;C60&amp;";"&amp;E60,"Name")</f>
        <v>EnginesDomains</v>
      </c>
      <c r="G60" s="15" t="str" cm="1">
        <f t="array" ref="G60">GetValue("Tbl",A60&amp;";"&amp;C60&amp;";"&amp;E60,"Alias")</f>
        <v>EngDmn</v>
      </c>
      <c r="H60">
        <f t="shared" si="2"/>
        <v>59</v>
      </c>
      <c r="I60">
        <f>I59+5</f>
        <v>30</v>
      </c>
      <c r="J60">
        <v>6</v>
      </c>
      <c r="K60" t="e" cm="1">
        <f t="array" ref="K60">GetValue("Dmn",A60&amp;";"&amp;J60,"Name")</f>
        <v>#VALUE!</v>
      </c>
      <c r="L60" t="e" cm="1">
        <f t="array" ref="L60">GetValue("Dmn",A60&amp;";"&amp;J60,"#CategoryName")</f>
        <v>#VALUE!</v>
      </c>
      <c r="M60" t="e" cm="1">
        <f t="array" ref="M60">GetValue("EngDmn",A60&amp;";"&amp;1&amp;";"&amp;J60,"DataType")</f>
        <v>#VALUE!</v>
      </c>
      <c r="N60" t="s">
        <v>28</v>
      </c>
      <c r="O60" t="s">
        <v>204</v>
      </c>
      <c r="P60" t="s">
        <v>204</v>
      </c>
      <c r="Q60" t="s">
        <v>204</v>
      </c>
      <c r="S60" s="2" t="s">
        <v>30</v>
      </c>
      <c r="U60" t="b">
        <v>0</v>
      </c>
      <c r="W60" t="b">
        <v>1</v>
      </c>
      <c r="X60" t="b">
        <v>1</v>
      </c>
      <c r="Y60" t="b">
        <v>1</v>
      </c>
      <c r="Z60" t="b">
        <v>1</v>
      </c>
    </row>
    <row r="61" spans="1:28" x14ac:dyDescent="0.3">
      <c r="A61">
        <v>1</v>
      </c>
      <c r="B61" t="s">
        <v>735</v>
      </c>
      <c r="C61">
        <v>1</v>
      </c>
      <c r="D61" s="15" t="e" cm="1">
        <f t="array" ref="D61">GetValue("Db",A61&amp;";"&amp;C61,"Name")</f>
        <v>#VALUE!</v>
      </c>
      <c r="E61">
        <v>8</v>
      </c>
      <c r="F61" s="15" t="str" cm="1">
        <f t="array" ref="F61">GetValue("Tbl",A61&amp;";"&amp;C61&amp;";"&amp;E61,"Name")</f>
        <v>Masks</v>
      </c>
      <c r="G61" s="15" t="str" cm="1">
        <f t="array" ref="G61">GetValue("Tbl",A61&amp;";"&amp;C61&amp;";"&amp;E61,"Alias")</f>
        <v>Msk</v>
      </c>
      <c r="H61">
        <f t="shared" si="2"/>
        <v>60</v>
      </c>
      <c r="I61">
        <v>5</v>
      </c>
      <c r="J61">
        <v>1</v>
      </c>
      <c r="K61" t="e" cm="1">
        <f t="array" ref="K61">GetValue("Dmn",A61&amp;";"&amp;J61,"Name")</f>
        <v>#VALUE!</v>
      </c>
      <c r="L61" t="e" cm="1">
        <f t="array" ref="L61">GetValue("Dmn",A61&amp;";"&amp;J61,"#CategoryName")</f>
        <v>#VALUE!</v>
      </c>
      <c r="M61" t="e" cm="1">
        <f t="array" ref="M61">GetValue("EngDmn",A61&amp;";"&amp;1&amp;";"&amp;J61,"DataType")</f>
        <v>#VALUE!</v>
      </c>
      <c r="N61" t="s">
        <v>0</v>
      </c>
      <c r="O61" t="s">
        <v>205</v>
      </c>
      <c r="P61" t="s">
        <v>186</v>
      </c>
      <c r="Q61" t="s">
        <v>186</v>
      </c>
      <c r="S61" s="21">
        <v>1</v>
      </c>
      <c r="T61" s="21"/>
      <c r="U61" t="b">
        <v>1</v>
      </c>
      <c r="V61" t="b">
        <v>1</v>
      </c>
      <c r="W61" t="b">
        <v>1</v>
      </c>
      <c r="X61" t="b">
        <v>1</v>
      </c>
      <c r="Y61" t="b">
        <v>0</v>
      </c>
      <c r="Z61" t="b">
        <v>0</v>
      </c>
      <c r="AB61" t="b">
        <v>0</v>
      </c>
    </row>
    <row r="62" spans="1:28" x14ac:dyDescent="0.3">
      <c r="A62">
        <v>1</v>
      </c>
      <c r="B62" t="s">
        <v>735</v>
      </c>
      <c r="C62">
        <v>1</v>
      </c>
      <c r="D62" s="15" t="e" cm="1">
        <f t="array" ref="D62">GetValue("Db",A62&amp;";"&amp;C62,"Name")</f>
        <v>#VALUE!</v>
      </c>
      <c r="E62">
        <v>8</v>
      </c>
      <c r="F62" s="15" t="str" cm="1">
        <f t="array" ref="F62">GetValue("Tbl",A62&amp;";"&amp;C62&amp;";"&amp;E62,"Name")</f>
        <v>Masks</v>
      </c>
      <c r="G62" s="15" t="str" cm="1">
        <f t="array" ref="G62">GetValue("Tbl",A62&amp;";"&amp;C62&amp;";"&amp;E62,"Alias")</f>
        <v>Msk</v>
      </c>
      <c r="H62">
        <f t="shared" si="2"/>
        <v>61</v>
      </c>
      <c r="I62">
        <f>I61+5</f>
        <v>10</v>
      </c>
      <c r="J62">
        <v>1</v>
      </c>
      <c r="K62" t="e" cm="1">
        <f t="array" ref="K62">GetValue("Dmn",A62&amp;";"&amp;J62,"Name")</f>
        <v>#VALUE!</v>
      </c>
      <c r="L62" t="e" cm="1">
        <f t="array" ref="L62">GetValue("Dmn",A62&amp;";"&amp;J62,"#CategoryName")</f>
        <v>#VALUE!</v>
      </c>
      <c r="M62" t="e" cm="1">
        <f t="array" ref="M62">GetValue("EngDmn",A62&amp;";"&amp;1&amp;";"&amp;J62,"DataType")</f>
        <v>#VALUE!</v>
      </c>
      <c r="N62" t="s">
        <v>76</v>
      </c>
      <c r="O62" t="s">
        <v>176</v>
      </c>
      <c r="P62" t="s">
        <v>139</v>
      </c>
      <c r="Q62" t="s">
        <v>139</v>
      </c>
      <c r="S62" s="21">
        <v>1</v>
      </c>
      <c r="T62" s="21"/>
      <c r="U62" t="b">
        <v>0</v>
      </c>
      <c r="V62" t="b">
        <v>0</v>
      </c>
      <c r="W62" t="b">
        <v>1</v>
      </c>
      <c r="X62" t="b">
        <v>1</v>
      </c>
      <c r="Y62" t="b">
        <v>1</v>
      </c>
      <c r="Z62" t="b">
        <v>1</v>
      </c>
      <c r="AB62" t="b">
        <v>0</v>
      </c>
    </row>
    <row r="63" spans="1:28" x14ac:dyDescent="0.3">
      <c r="A63">
        <v>1</v>
      </c>
      <c r="B63" t="s">
        <v>735</v>
      </c>
      <c r="C63">
        <v>1</v>
      </c>
      <c r="D63" s="15" t="e" cm="1">
        <f t="array" ref="D63">GetValue("Db",A63&amp;";"&amp;C63,"Name")</f>
        <v>#VALUE!</v>
      </c>
      <c r="E63">
        <v>8</v>
      </c>
      <c r="F63" s="15" t="str" cm="1">
        <f t="array" ref="F63">GetValue("Tbl",A63&amp;";"&amp;C63&amp;";"&amp;E63,"Name")</f>
        <v>Masks</v>
      </c>
      <c r="G63" s="15" t="str" cm="1">
        <f t="array" ref="G63">GetValue("Tbl",A63&amp;";"&amp;C63&amp;";"&amp;E63,"Alias")</f>
        <v>Msk</v>
      </c>
      <c r="H63">
        <f t="shared" si="2"/>
        <v>62</v>
      </c>
      <c r="I63">
        <f>I62+5</f>
        <v>15</v>
      </c>
      <c r="J63">
        <v>1</v>
      </c>
      <c r="K63" t="e" cm="1">
        <f t="array" ref="K63">GetValue("Dmn",A63&amp;";"&amp;J63,"Name")</f>
        <v>#VALUE!</v>
      </c>
      <c r="L63" t="e" cm="1">
        <f t="array" ref="L63">GetValue("Dmn",A63&amp;";"&amp;J63,"#CategoryName")</f>
        <v>#VALUE!</v>
      </c>
      <c r="M63" t="e" cm="1">
        <f t="array" ref="M63">GetValue("EngDmn",A63&amp;";"&amp;1&amp;";"&amp;J63,"DataType")</f>
        <v>#VALUE!</v>
      </c>
      <c r="N63" t="s">
        <v>109</v>
      </c>
      <c r="O63" t="s">
        <v>197</v>
      </c>
      <c r="P63" t="s">
        <v>206</v>
      </c>
      <c r="Q63" t="s">
        <v>206</v>
      </c>
      <c r="S63" s="21">
        <v>1</v>
      </c>
      <c r="T63" s="21"/>
      <c r="U63" t="b">
        <v>0</v>
      </c>
      <c r="V63" t="b">
        <v>0</v>
      </c>
      <c r="W63" t="b">
        <v>1</v>
      </c>
      <c r="X63" t="b">
        <v>1</v>
      </c>
      <c r="Y63" t="b">
        <v>1</v>
      </c>
      <c r="Z63" t="b">
        <v>1</v>
      </c>
      <c r="AB63" t="b">
        <v>0</v>
      </c>
    </row>
    <row r="64" spans="1:28" x14ac:dyDescent="0.3">
      <c r="A64">
        <v>1</v>
      </c>
      <c r="B64" t="s">
        <v>735</v>
      </c>
      <c r="C64">
        <v>1</v>
      </c>
      <c r="D64" s="15" t="e" cm="1">
        <f t="array" ref="D64">GetValue("Db",A64&amp;";"&amp;C64,"Name")</f>
        <v>#VALUE!</v>
      </c>
      <c r="E64">
        <v>8</v>
      </c>
      <c r="F64" s="15" t="str" cm="1">
        <f t="array" ref="F64">GetValue("Tbl",A64&amp;";"&amp;C64&amp;";"&amp;E64,"Name")</f>
        <v>Masks</v>
      </c>
      <c r="G64" s="15" t="str" cm="1">
        <f t="array" ref="G64">GetValue("Tbl",A64&amp;";"&amp;C64&amp;";"&amp;E64,"Alias")</f>
        <v>Msk</v>
      </c>
      <c r="H64">
        <f t="shared" si="2"/>
        <v>63</v>
      </c>
      <c r="I64">
        <f>I63+5</f>
        <v>20</v>
      </c>
      <c r="J64">
        <v>10</v>
      </c>
      <c r="K64" t="e" cm="1">
        <f t="array" ref="K64">GetValue("Dmn",A64&amp;";"&amp;J64,"Name")</f>
        <v>#VALUE!</v>
      </c>
      <c r="L64" t="e" cm="1">
        <f t="array" ref="L64">GetValue("Dmn",A64&amp;";"&amp;J64,"#CategoryName")</f>
        <v>#VALUE!</v>
      </c>
      <c r="M64" t="e" cm="1">
        <f t="array" ref="M64">GetValue("EngDmn",A64&amp;";"&amp;1&amp;";"&amp;J64,"DataType")</f>
        <v>#VALUE!</v>
      </c>
      <c r="N64" t="s">
        <v>1</v>
      </c>
      <c r="O64" t="s">
        <v>369</v>
      </c>
      <c r="P64" t="s">
        <v>141</v>
      </c>
      <c r="Q64" t="s">
        <v>141</v>
      </c>
      <c r="T64" s="21"/>
      <c r="U64" t="b">
        <v>0</v>
      </c>
      <c r="W64" t="b">
        <v>1</v>
      </c>
      <c r="X64" t="b">
        <v>1</v>
      </c>
      <c r="Y64" t="b">
        <v>1</v>
      </c>
      <c r="Z64" t="b">
        <v>1</v>
      </c>
      <c r="AA64" t="b">
        <v>0</v>
      </c>
    </row>
    <row r="65" spans="1:28" x14ac:dyDescent="0.3">
      <c r="A65">
        <v>1</v>
      </c>
      <c r="B65" t="s">
        <v>735</v>
      </c>
      <c r="C65">
        <v>1</v>
      </c>
      <c r="D65" s="15" t="e" cm="1">
        <f t="array" ref="D65">GetValue("Db",A65&amp;";"&amp;C65,"Name")</f>
        <v>#VALUE!</v>
      </c>
      <c r="E65">
        <v>10</v>
      </c>
      <c r="F65" s="15" t="str" cm="1">
        <f t="array" ref="F65">GetValue("Tbl",A65&amp;";"&amp;C65&amp;";"&amp;E65,"Name")</f>
        <v>Digits</v>
      </c>
      <c r="G65" s="15" t="str" cm="1">
        <f t="array" ref="G65">GetValue("Tbl",A65&amp;";"&amp;C65&amp;";"&amp;E65,"Alias")</f>
        <v>Dig</v>
      </c>
      <c r="H65">
        <f t="shared" si="2"/>
        <v>64</v>
      </c>
      <c r="I65">
        <v>5</v>
      </c>
      <c r="J65">
        <v>1</v>
      </c>
      <c r="K65" t="e" cm="1">
        <f t="array" ref="K65">GetValue("Dmn",A65&amp;";"&amp;J65,"Name")</f>
        <v>#VALUE!</v>
      </c>
      <c r="L65" t="e" cm="1">
        <f t="array" ref="L65">GetValue("Dmn",A65&amp;";"&amp;J65,"#CategoryName")</f>
        <v>#VALUE!</v>
      </c>
      <c r="M65" t="e" cm="1">
        <f t="array" ref="M65">GetValue("EngDmn",A65&amp;";"&amp;1&amp;";"&amp;J65,"DataType")</f>
        <v>#VALUE!</v>
      </c>
      <c r="N65" t="s">
        <v>0</v>
      </c>
      <c r="O65" t="s">
        <v>207</v>
      </c>
      <c r="P65" t="s">
        <v>139</v>
      </c>
      <c r="Q65" t="s">
        <v>139</v>
      </c>
      <c r="S65" s="21">
        <v>1</v>
      </c>
      <c r="T65" s="21"/>
      <c r="U65" t="b">
        <v>1</v>
      </c>
      <c r="V65" t="b">
        <v>1</v>
      </c>
      <c r="W65" t="b">
        <v>1</v>
      </c>
      <c r="X65" t="b">
        <v>1</v>
      </c>
      <c r="Y65" t="b">
        <v>0</v>
      </c>
      <c r="Z65" t="b">
        <v>0</v>
      </c>
      <c r="AB65" t="b">
        <v>0</v>
      </c>
    </row>
    <row r="66" spans="1:28" x14ac:dyDescent="0.3">
      <c r="A66">
        <v>1</v>
      </c>
      <c r="B66" t="s">
        <v>735</v>
      </c>
      <c r="C66">
        <v>1</v>
      </c>
      <c r="D66" s="15" t="e" cm="1">
        <f t="array" ref="D66">GetValue("Db",A66&amp;";"&amp;C66,"Name")</f>
        <v>#VALUE!</v>
      </c>
      <c r="E66">
        <v>10</v>
      </c>
      <c r="F66" s="15" t="str" cm="1">
        <f t="array" ref="F66">GetValue("Tbl",A66&amp;";"&amp;C66&amp;";"&amp;E66,"Name")</f>
        <v>Digits</v>
      </c>
      <c r="G66" s="15" t="str" cm="1">
        <f t="array" ref="G66">GetValue("Tbl",A66&amp;";"&amp;C66&amp;";"&amp;E66,"Alias")</f>
        <v>Dig</v>
      </c>
      <c r="H66">
        <f t="shared" si="2"/>
        <v>65</v>
      </c>
      <c r="I66">
        <f>I65+5</f>
        <v>10</v>
      </c>
      <c r="J66">
        <v>1</v>
      </c>
      <c r="K66" t="e" cm="1">
        <f t="array" ref="K66">GetValue("Dmn",A66&amp;";"&amp;J66,"Name")</f>
        <v>#VALUE!</v>
      </c>
      <c r="L66" t="e" cm="1">
        <f t="array" ref="L66">GetValue("Dmn",A66&amp;";"&amp;J66,"#CategoryName")</f>
        <v>#VALUE!</v>
      </c>
      <c r="M66" t="e" cm="1">
        <f t="array" ref="M66">GetValue("EngDmn",A66&amp;";"&amp;1&amp;";"&amp;J66,"DataType")</f>
        <v>#VALUE!</v>
      </c>
      <c r="N66" t="s">
        <v>396</v>
      </c>
      <c r="O66" t="s">
        <v>397</v>
      </c>
      <c r="P66" t="s">
        <v>398</v>
      </c>
      <c r="Q66" t="s">
        <v>398</v>
      </c>
      <c r="S66" s="21">
        <v>1</v>
      </c>
      <c r="T66" s="21"/>
      <c r="U66" t="b">
        <v>0</v>
      </c>
      <c r="V66" t="b">
        <v>0</v>
      </c>
      <c r="W66" t="b">
        <v>1</v>
      </c>
      <c r="X66" t="b">
        <v>1</v>
      </c>
      <c r="Y66" t="b">
        <v>1</v>
      </c>
      <c r="Z66" t="b">
        <v>1</v>
      </c>
      <c r="AB66" t="b">
        <v>0</v>
      </c>
    </row>
    <row r="67" spans="1:28" x14ac:dyDescent="0.3">
      <c r="A67">
        <v>1</v>
      </c>
      <c r="B67" t="s">
        <v>735</v>
      </c>
      <c r="C67">
        <v>1</v>
      </c>
      <c r="D67" s="15" t="e" cm="1">
        <f t="array" ref="D67">GetValue("Db",A67&amp;";"&amp;C67,"Name")</f>
        <v>#VALUE!</v>
      </c>
      <c r="E67">
        <v>10</v>
      </c>
      <c r="F67" s="15" t="str" cm="1">
        <f t="array" ref="F67">GetValue("Tbl",A67&amp;";"&amp;C67&amp;";"&amp;E67,"Name")</f>
        <v>Digits</v>
      </c>
      <c r="G67" s="15" t="str" cm="1">
        <f t="array" ref="G67">GetValue("Tbl",A67&amp;";"&amp;C67&amp;";"&amp;E67,"Alias")</f>
        <v>Dig</v>
      </c>
      <c r="H67">
        <f t="shared" si="2"/>
        <v>66</v>
      </c>
      <c r="I67">
        <f t="shared" ref="I67:I72" si="6">I66+5</f>
        <v>15</v>
      </c>
      <c r="J67">
        <v>9</v>
      </c>
      <c r="K67" t="e" cm="1">
        <f t="array" ref="K67">GetValue("Dmn",A67&amp;";"&amp;J67,"Name")</f>
        <v>#VALUE!</v>
      </c>
      <c r="L67" t="e" cm="1">
        <f t="array" ref="L67">GetValue("Dmn",A67&amp;";"&amp;J67,"#CategoryName")</f>
        <v>#VALUE!</v>
      </c>
      <c r="M67" t="e" cm="1">
        <f t="array" ref="M67">GetValue("EngDmn",A67&amp;";"&amp;1&amp;";"&amp;J67,"DataType")</f>
        <v>#VALUE!</v>
      </c>
      <c r="N67" t="s">
        <v>1</v>
      </c>
      <c r="O67" t="s">
        <v>208</v>
      </c>
      <c r="P67" t="s">
        <v>141</v>
      </c>
      <c r="Q67" t="s">
        <v>141</v>
      </c>
      <c r="S67" s="21" t="s">
        <v>30</v>
      </c>
      <c r="T67" s="21"/>
      <c r="U67" t="b">
        <v>0</v>
      </c>
      <c r="W67" t="b">
        <v>1</v>
      </c>
      <c r="X67" t="b">
        <v>1</v>
      </c>
      <c r="Y67" t="b">
        <v>1</v>
      </c>
      <c r="Z67" t="b">
        <v>1</v>
      </c>
      <c r="AA67" t="b">
        <v>0</v>
      </c>
    </row>
    <row r="68" spans="1:28" x14ac:dyDescent="0.3">
      <c r="A68">
        <v>1</v>
      </c>
      <c r="B68" t="s">
        <v>735</v>
      </c>
      <c r="C68">
        <v>1</v>
      </c>
      <c r="D68" s="15" t="e" cm="1">
        <f t="array" ref="D68">GetValue("Db",A68&amp;";"&amp;C68,"Name")</f>
        <v>#VALUE!</v>
      </c>
      <c r="E68">
        <v>10</v>
      </c>
      <c r="F68" s="15" t="str" cm="1">
        <f t="array" ref="F68">GetValue("Tbl",A68&amp;";"&amp;C68&amp;";"&amp;E68,"Name")</f>
        <v>Digits</v>
      </c>
      <c r="G68" s="15" t="str" cm="1">
        <f t="array" ref="G68">GetValue("Tbl",A68&amp;";"&amp;C68&amp;";"&amp;E68,"Alias")</f>
        <v>Dig</v>
      </c>
      <c r="H68">
        <f>ROW(H68)-1</f>
        <v>67</v>
      </c>
      <c r="I68">
        <f t="shared" si="6"/>
        <v>20</v>
      </c>
      <c r="J68">
        <v>9</v>
      </c>
      <c r="K68" t="e" cm="1">
        <f t="array" ref="K68">GetValue("Dmn",A68&amp;";"&amp;J68,"Name")</f>
        <v>#VALUE!</v>
      </c>
      <c r="L68" t="e" cm="1">
        <f t="array" ref="L68">GetValue("Dmn",A68&amp;";"&amp;J68,"#CategoryName")</f>
        <v>#VALUE!</v>
      </c>
      <c r="M68" t="e" cm="1">
        <f t="array" ref="M68">GetValue("EngDmn",A68&amp;";"&amp;1&amp;";"&amp;J68,"DataType")</f>
        <v>#VALUE!</v>
      </c>
      <c r="N68" t="s">
        <v>110</v>
      </c>
      <c r="O68" t="s">
        <v>210</v>
      </c>
      <c r="P68" t="s">
        <v>110</v>
      </c>
      <c r="Q68" t="s">
        <v>110</v>
      </c>
      <c r="S68" s="21" t="s">
        <v>30</v>
      </c>
      <c r="T68" s="21"/>
      <c r="U68" t="b">
        <v>0</v>
      </c>
      <c r="W68" t="b">
        <v>1</v>
      </c>
      <c r="X68" t="b">
        <v>1</v>
      </c>
      <c r="Y68" t="b">
        <v>1</v>
      </c>
      <c r="Z68" t="b">
        <v>1</v>
      </c>
      <c r="AA68" t="b">
        <v>0</v>
      </c>
    </row>
    <row r="69" spans="1:28" x14ac:dyDescent="0.3">
      <c r="A69">
        <v>1</v>
      </c>
      <c r="B69" t="s">
        <v>735</v>
      </c>
      <c r="C69">
        <v>1</v>
      </c>
      <c r="D69" s="15" t="e" cm="1">
        <f t="array" ref="D69">GetValue("Db",A69&amp;";"&amp;C69,"Name")</f>
        <v>#VALUE!</v>
      </c>
      <c r="E69">
        <v>10</v>
      </c>
      <c r="F69" s="15" t="str" cm="1">
        <f t="array" ref="F69">GetValue("Tbl",A69&amp;";"&amp;C69&amp;";"&amp;E69,"Name")</f>
        <v>Digits</v>
      </c>
      <c r="G69" s="15" t="str" cm="1">
        <f t="array" ref="G69">GetValue("Tbl",A69&amp;";"&amp;C69&amp;";"&amp;E69,"Alias")</f>
        <v>Dig</v>
      </c>
      <c r="H69">
        <f t="shared" si="2"/>
        <v>68</v>
      </c>
      <c r="I69">
        <f t="shared" si="6"/>
        <v>25</v>
      </c>
      <c r="J69">
        <v>10</v>
      </c>
      <c r="K69" t="e" cm="1">
        <f t="array" ref="K69">GetValue("Dmn",A69&amp;";"&amp;J69,"Name")</f>
        <v>#VALUE!</v>
      </c>
      <c r="L69" t="e" cm="1">
        <f t="array" ref="L69">GetValue("Dmn",A69&amp;";"&amp;J69,"#CategoryName")</f>
        <v>#VALUE!</v>
      </c>
      <c r="M69" t="e" cm="1">
        <f t="array" ref="M69">GetValue("EngDmn",A69&amp;";"&amp;1&amp;";"&amp;J69,"DataType")</f>
        <v>#VALUE!</v>
      </c>
      <c r="N69" t="s">
        <v>73</v>
      </c>
      <c r="O69" t="s">
        <v>209</v>
      </c>
      <c r="P69" t="s">
        <v>179</v>
      </c>
      <c r="Q69" t="s">
        <v>179</v>
      </c>
      <c r="S69" s="21" t="s">
        <v>30</v>
      </c>
      <c r="T69" s="21"/>
      <c r="U69" t="b">
        <v>0</v>
      </c>
      <c r="W69" t="b">
        <v>1</v>
      </c>
      <c r="X69" t="b">
        <v>0</v>
      </c>
      <c r="Y69" t="b">
        <v>1</v>
      </c>
      <c r="Z69" t="b">
        <v>1</v>
      </c>
      <c r="AA69" t="b">
        <v>0</v>
      </c>
    </row>
    <row r="70" spans="1:28" x14ac:dyDescent="0.3">
      <c r="A70">
        <v>1</v>
      </c>
      <c r="B70" t="s">
        <v>735</v>
      </c>
      <c r="C70">
        <v>1</v>
      </c>
      <c r="D70" s="15" t="e" cm="1">
        <f t="array" ref="D70">GetValue("Db",A70&amp;";"&amp;C70,"Name")</f>
        <v>#VALUE!</v>
      </c>
      <c r="E70">
        <v>10</v>
      </c>
      <c r="F70" s="15" t="str" cm="1">
        <f t="array" ref="F70">GetValue("Tbl",A70&amp;";"&amp;C70&amp;";"&amp;E70,"Name")</f>
        <v>Digits</v>
      </c>
      <c r="G70" s="15" t="str" cm="1">
        <f t="array" ref="G70">GetValue("Tbl",A70&amp;";"&amp;C70&amp;";"&amp;E70,"Alias")</f>
        <v>Dig</v>
      </c>
      <c r="H70">
        <f t="shared" si="2"/>
        <v>69</v>
      </c>
      <c r="I70">
        <f t="shared" si="6"/>
        <v>30</v>
      </c>
      <c r="J70">
        <v>11</v>
      </c>
      <c r="K70" t="e" cm="1">
        <f t="array" ref="K70">GetValue("Dmn",A70&amp;";"&amp;J70,"Name")</f>
        <v>#VALUE!</v>
      </c>
      <c r="L70" t="e" cm="1">
        <f t="array" ref="L70">GetValue("Dmn",A70&amp;";"&amp;J70,"#CategoryName")</f>
        <v>#VALUE!</v>
      </c>
      <c r="M70" t="e" cm="1">
        <f t="array" ref="M70">GetValue("EngDmn",A70&amp;";"&amp;1&amp;";"&amp;J70,"DataType")</f>
        <v>#VALUE!</v>
      </c>
      <c r="N70" t="s">
        <v>111</v>
      </c>
      <c r="O70" t="s">
        <v>211</v>
      </c>
      <c r="P70" t="s">
        <v>212</v>
      </c>
      <c r="Q70" t="s">
        <v>212</v>
      </c>
      <c r="S70" s="21" t="s">
        <v>30</v>
      </c>
      <c r="T70" s="21"/>
      <c r="U70" t="b">
        <v>0</v>
      </c>
      <c r="W70" t="b">
        <v>0</v>
      </c>
      <c r="X70" t="b">
        <v>0</v>
      </c>
      <c r="Y70" t="b">
        <v>1</v>
      </c>
      <c r="Z70" t="b">
        <v>0</v>
      </c>
      <c r="AA70" t="b">
        <v>1</v>
      </c>
    </row>
    <row r="71" spans="1:28" x14ac:dyDescent="0.3">
      <c r="A71">
        <v>1</v>
      </c>
      <c r="B71" t="s">
        <v>735</v>
      </c>
      <c r="C71">
        <v>1</v>
      </c>
      <c r="D71" s="15" t="e" cm="1">
        <f t="array" ref="D71">GetValue("Db",A71&amp;";"&amp;C71,"Name")</f>
        <v>#VALUE!</v>
      </c>
      <c r="E71">
        <v>10</v>
      </c>
      <c r="F71" s="15" t="str" cm="1">
        <f t="array" ref="F71">GetValue("Tbl",A71&amp;";"&amp;C71&amp;";"&amp;E71,"Name")</f>
        <v>Digits</v>
      </c>
      <c r="G71" s="15" t="str" cm="1">
        <f t="array" ref="G71">GetValue("Tbl",A71&amp;";"&amp;C71&amp;";"&amp;E71,"Alias")</f>
        <v>Dig</v>
      </c>
      <c r="H71">
        <f>ROW(H71)-1</f>
        <v>70</v>
      </c>
      <c r="I71">
        <f t="shared" si="6"/>
        <v>35</v>
      </c>
      <c r="J71">
        <v>6</v>
      </c>
      <c r="K71" t="e" cm="1">
        <f t="array" ref="K71">GetValue("Dmn",A71&amp;";"&amp;J71,"Name")</f>
        <v>#VALUE!</v>
      </c>
      <c r="L71" t="e" cm="1">
        <f t="array" ref="L71">GetValue("Dmn",A71&amp;";"&amp;J71,"#CategoryName")</f>
        <v>#VALUE!</v>
      </c>
      <c r="M71" t="e" cm="1">
        <f t="array" ref="M71">GetValue("EngDmn",A71&amp;";"&amp;1&amp;";"&amp;J71,"DataType")</f>
        <v>#VALUE!</v>
      </c>
      <c r="N71" t="s">
        <v>378</v>
      </c>
      <c r="O71" t="s">
        <v>401</v>
      </c>
      <c r="P71" t="s">
        <v>402</v>
      </c>
      <c r="Q71" t="s">
        <v>402</v>
      </c>
      <c r="T71" s="21"/>
      <c r="W71" t="b">
        <v>1</v>
      </c>
      <c r="X71" t="b">
        <v>0</v>
      </c>
      <c r="Y71" t="b">
        <v>1</v>
      </c>
      <c r="Z71" t="b">
        <v>1</v>
      </c>
    </row>
    <row r="72" spans="1:28" x14ac:dyDescent="0.3">
      <c r="A72">
        <v>1</v>
      </c>
      <c r="B72" t="s">
        <v>735</v>
      </c>
      <c r="C72">
        <v>1</v>
      </c>
      <c r="D72" s="15" t="e" cm="1">
        <f t="array" ref="D72">GetValue("Db",A72&amp;";"&amp;C72,"Name")</f>
        <v>#VALUE!</v>
      </c>
      <c r="E72">
        <v>10</v>
      </c>
      <c r="F72" s="15" t="str" cm="1">
        <f t="array" ref="F72">GetValue("Tbl",A72&amp;";"&amp;C72&amp;";"&amp;E72,"Name")</f>
        <v>Digits</v>
      </c>
      <c r="G72" s="15" t="str" cm="1">
        <f t="array" ref="G72">GetValue("Tbl",A72&amp;";"&amp;C72&amp;";"&amp;E72,"Alias")</f>
        <v>Dig</v>
      </c>
      <c r="H72">
        <f t="shared" si="2"/>
        <v>71</v>
      </c>
      <c r="I72">
        <f t="shared" si="6"/>
        <v>40</v>
      </c>
      <c r="J72">
        <v>1</v>
      </c>
      <c r="K72" t="e" cm="1">
        <f t="array" ref="K72">GetValue("Dmn",A72&amp;";"&amp;J72,"Name")</f>
        <v>#VALUE!</v>
      </c>
      <c r="L72" t="e" cm="1">
        <f t="array" ref="L72">GetValue("Dmn",A72&amp;";"&amp;J72,"#CategoryName")</f>
        <v>#VALUE!</v>
      </c>
      <c r="M72" t="e" cm="1">
        <f t="array" ref="M72">GetValue("EngDmn",A72&amp;";"&amp;1&amp;";"&amp;J72,"DataType")</f>
        <v>#VALUE!</v>
      </c>
      <c r="N72" t="s">
        <v>395</v>
      </c>
      <c r="O72" t="s">
        <v>400</v>
      </c>
      <c r="P72" t="s">
        <v>399</v>
      </c>
      <c r="Q72" t="s">
        <v>399</v>
      </c>
      <c r="R72" s="2">
        <v>0</v>
      </c>
      <c r="S72" s="21">
        <v>0</v>
      </c>
      <c r="T72" s="21"/>
      <c r="U72" t="b">
        <v>0</v>
      </c>
      <c r="V72" t="b">
        <v>0</v>
      </c>
      <c r="W72" t="b">
        <v>1</v>
      </c>
      <c r="X72" t="b">
        <v>0</v>
      </c>
      <c r="Y72" t="b">
        <v>0</v>
      </c>
      <c r="Z72" t="b">
        <v>0</v>
      </c>
      <c r="AB72" t="b">
        <v>0</v>
      </c>
    </row>
    <row r="73" spans="1:28" x14ac:dyDescent="0.3">
      <c r="A73">
        <v>1</v>
      </c>
      <c r="B73" t="s">
        <v>735</v>
      </c>
      <c r="C73">
        <v>1</v>
      </c>
      <c r="D73" s="15" t="e" cm="1">
        <f t="array" ref="D73">GetValue("Db",A73&amp;";"&amp;C73,"Name")</f>
        <v>#VALUE!</v>
      </c>
      <c r="E73">
        <v>11</v>
      </c>
      <c r="F73" s="15" t="str" cm="1">
        <f t="array" ref="F73">GetValue("Tbl",A73&amp;";"&amp;C73&amp;";"&amp;E73,"Name")</f>
        <v>MasksDigits</v>
      </c>
      <c r="G73" s="15" t="str" cm="1">
        <f t="array" ref="G73">GetValue("Tbl",A73&amp;";"&amp;C73&amp;";"&amp;E73,"Alias")</f>
        <v>MskDig</v>
      </c>
      <c r="H73">
        <f t="shared" si="2"/>
        <v>72</v>
      </c>
      <c r="I73">
        <v>5</v>
      </c>
      <c r="J73">
        <v>1</v>
      </c>
      <c r="K73" t="e" cm="1">
        <f t="array" ref="K73">GetValue("Dmn",A73&amp;";"&amp;J73,"Name")</f>
        <v>#VALUE!</v>
      </c>
      <c r="L73" t="e" cm="1">
        <f t="array" ref="L73">GetValue("Dmn",A73&amp;";"&amp;J73,"#CategoryName")</f>
        <v>#VALUE!</v>
      </c>
      <c r="M73" t="e" cm="1">
        <f t="array" ref="M73">GetValue("EngDmn",A73&amp;";"&amp;1&amp;";"&amp;J73,"DataType")</f>
        <v>#VALUE!</v>
      </c>
      <c r="N73" t="s">
        <v>0</v>
      </c>
      <c r="O73" t="s">
        <v>213</v>
      </c>
      <c r="P73" t="s">
        <v>139</v>
      </c>
      <c r="Q73" t="s">
        <v>139</v>
      </c>
      <c r="S73" s="2">
        <v>1</v>
      </c>
      <c r="U73" t="b">
        <v>1</v>
      </c>
      <c r="V73" t="b">
        <v>1</v>
      </c>
      <c r="W73" t="b">
        <v>1</v>
      </c>
      <c r="X73" t="b">
        <v>1</v>
      </c>
      <c r="Y73" t="b">
        <v>0</v>
      </c>
      <c r="Z73" t="b">
        <v>0</v>
      </c>
      <c r="AB73" t="b">
        <v>0</v>
      </c>
    </row>
    <row r="74" spans="1:28" x14ac:dyDescent="0.3">
      <c r="A74">
        <v>1</v>
      </c>
      <c r="B74" t="s">
        <v>735</v>
      </c>
      <c r="C74">
        <v>1</v>
      </c>
      <c r="D74" s="15" t="e" cm="1">
        <f t="array" ref="D74">GetValue("Db",A74&amp;";"&amp;C74,"Name")</f>
        <v>#VALUE!</v>
      </c>
      <c r="E74">
        <v>11</v>
      </c>
      <c r="F74" s="15" t="str" cm="1">
        <f t="array" ref="F74">GetValue("Tbl",A74&amp;";"&amp;C74&amp;";"&amp;E74,"Name")</f>
        <v>MasksDigits</v>
      </c>
      <c r="G74" s="15" t="str" cm="1">
        <f t="array" ref="G74">GetValue("Tbl",A74&amp;";"&amp;C74&amp;";"&amp;E74,"Alias")</f>
        <v>MskDig</v>
      </c>
      <c r="H74">
        <f t="shared" si="2"/>
        <v>73</v>
      </c>
      <c r="I74">
        <f>I73+5</f>
        <v>10</v>
      </c>
      <c r="J74">
        <v>1</v>
      </c>
      <c r="K74" t="e" cm="1">
        <f t="array" ref="K74">GetValue("Dmn",A74&amp;";"&amp;J74,"Name")</f>
        <v>#VALUE!</v>
      </c>
      <c r="L74" t="e" cm="1">
        <f t="array" ref="L74">GetValue("Dmn",A74&amp;";"&amp;J74,"#CategoryName")</f>
        <v>#VALUE!</v>
      </c>
      <c r="M74" t="e" cm="1">
        <f t="array" ref="M74">GetValue("EngDmn",A74&amp;";"&amp;1&amp;";"&amp;J74,"DataType")</f>
        <v>#VALUE!</v>
      </c>
      <c r="N74" t="s">
        <v>76</v>
      </c>
      <c r="O74" t="s">
        <v>176</v>
      </c>
      <c r="P74" t="s">
        <v>186</v>
      </c>
      <c r="Q74" t="s">
        <v>186</v>
      </c>
      <c r="S74" s="2">
        <v>1</v>
      </c>
      <c r="U74" t="b">
        <v>0</v>
      </c>
      <c r="V74" t="b">
        <v>0</v>
      </c>
      <c r="W74" t="b">
        <v>1</v>
      </c>
      <c r="X74" t="b">
        <v>1</v>
      </c>
      <c r="Y74" t="b">
        <v>1</v>
      </c>
      <c r="Z74" t="b">
        <v>1</v>
      </c>
      <c r="AB74" t="b">
        <v>0</v>
      </c>
    </row>
    <row r="75" spans="1:28" x14ac:dyDescent="0.3">
      <c r="A75">
        <v>1</v>
      </c>
      <c r="B75" t="s">
        <v>735</v>
      </c>
      <c r="C75">
        <v>1</v>
      </c>
      <c r="D75" s="15" t="e" cm="1">
        <f t="array" ref="D75">GetValue("Db",A75&amp;";"&amp;C75,"Name")</f>
        <v>#VALUE!</v>
      </c>
      <c r="E75">
        <v>11</v>
      </c>
      <c r="F75" s="15" t="str" cm="1">
        <f t="array" ref="F75">GetValue("Tbl",A75&amp;";"&amp;C75&amp;";"&amp;E75,"Name")</f>
        <v>MasksDigits</v>
      </c>
      <c r="G75" s="15" t="str" cm="1">
        <f t="array" ref="G75">GetValue("Tbl",A75&amp;";"&amp;C75&amp;";"&amp;E75,"Alias")</f>
        <v>MskDig</v>
      </c>
      <c r="H75">
        <f t="shared" si="2"/>
        <v>74</v>
      </c>
      <c r="I75">
        <f>I74+5</f>
        <v>15</v>
      </c>
      <c r="J75">
        <v>1</v>
      </c>
      <c r="K75" t="e" cm="1">
        <f t="array" ref="K75">GetValue("Dmn",A75&amp;";"&amp;J75,"Name")</f>
        <v>#VALUE!</v>
      </c>
      <c r="L75" t="e" cm="1">
        <f t="array" ref="L75">GetValue("Dmn",A75&amp;";"&amp;J75,"#CategoryName")</f>
        <v>#VALUE!</v>
      </c>
      <c r="M75" t="e" cm="1">
        <f t="array" ref="M75">GetValue("EngDmn",A75&amp;";"&amp;1&amp;";"&amp;J75,"DataType")</f>
        <v>#VALUE!</v>
      </c>
      <c r="N75" t="s">
        <v>112</v>
      </c>
      <c r="O75" t="s">
        <v>207</v>
      </c>
      <c r="P75" t="s">
        <v>214</v>
      </c>
      <c r="Q75" t="s">
        <v>214</v>
      </c>
      <c r="S75" s="2">
        <v>1</v>
      </c>
      <c r="U75" t="b">
        <v>0</v>
      </c>
      <c r="V75" t="b">
        <v>0</v>
      </c>
      <c r="W75" t="b">
        <v>1</v>
      </c>
      <c r="X75" t="b">
        <v>1</v>
      </c>
      <c r="Y75" t="b">
        <v>1</v>
      </c>
      <c r="Z75" t="b">
        <v>1</v>
      </c>
      <c r="AB75" t="b">
        <v>0</v>
      </c>
    </row>
    <row r="76" spans="1:28" x14ac:dyDescent="0.3">
      <c r="A76">
        <v>1</v>
      </c>
      <c r="B76" t="s">
        <v>735</v>
      </c>
      <c r="C76">
        <v>1</v>
      </c>
      <c r="D76" s="15" t="e" cm="1">
        <f t="array" ref="D76">GetValue("Db",A76&amp;";"&amp;C76,"Name")</f>
        <v>#VALUE!</v>
      </c>
      <c r="E76">
        <v>11</v>
      </c>
      <c r="F76" s="15" t="str" cm="1">
        <f t="array" ref="F76">GetValue("Tbl",A76&amp;";"&amp;C76&amp;";"&amp;E76,"Name")</f>
        <v>MasksDigits</v>
      </c>
      <c r="G76" s="15" t="str" cm="1">
        <f t="array" ref="G76">GetValue("Tbl",A76&amp;";"&amp;C76&amp;";"&amp;E76,"Alias")</f>
        <v>MskDig</v>
      </c>
      <c r="H76">
        <f t="shared" si="2"/>
        <v>75</v>
      </c>
      <c r="I76">
        <f>I75+5</f>
        <v>20</v>
      </c>
      <c r="J76">
        <v>10</v>
      </c>
      <c r="K76" t="e" cm="1">
        <f t="array" ref="K76">GetValue("Dmn",A76&amp;";"&amp;J76,"Name")</f>
        <v>#VALUE!</v>
      </c>
      <c r="L76" t="e" cm="1">
        <f t="array" ref="L76">GetValue("Dmn",A76&amp;";"&amp;J76,"#CategoryName")</f>
        <v>#VALUE!</v>
      </c>
      <c r="M76" t="e" cm="1">
        <f t="array" ref="M76">GetValue("EngDmn",A76&amp;";"&amp;1&amp;";"&amp;J76,"DataType")</f>
        <v>#VALUE!</v>
      </c>
      <c r="N76" t="s">
        <v>1</v>
      </c>
      <c r="O76" t="s">
        <v>372</v>
      </c>
      <c r="P76" t="s">
        <v>141</v>
      </c>
      <c r="Q76" t="s">
        <v>141</v>
      </c>
      <c r="S76" s="2"/>
      <c r="U76" t="b">
        <v>0</v>
      </c>
      <c r="W76" t="b">
        <v>1</v>
      </c>
      <c r="X76" t="b">
        <v>1</v>
      </c>
      <c r="Y76" t="b">
        <v>1</v>
      </c>
      <c r="Z76" t="b">
        <v>1</v>
      </c>
      <c r="AA76" t="b">
        <v>0</v>
      </c>
    </row>
    <row r="77" spans="1:28" x14ac:dyDescent="0.3">
      <c r="A77">
        <v>1</v>
      </c>
      <c r="B77" t="s">
        <v>735</v>
      </c>
      <c r="C77">
        <v>1</v>
      </c>
      <c r="D77" s="15" t="e" cm="1">
        <f t="array" ref="D77">GetValue("Db",A77&amp;";"&amp;C77,"Name")</f>
        <v>#VALUE!</v>
      </c>
      <c r="E77">
        <v>12</v>
      </c>
      <c r="F77" s="15" t="str" cm="1">
        <f t="array" ref="F77">GetValue("Tbl",A77&amp;";"&amp;C77&amp;";"&amp;E77,"Name")</f>
        <v>Environments</v>
      </c>
      <c r="G77" s="15" t="str" cm="1">
        <f t="array" ref="G77">GetValue("Tbl",A77&amp;";"&amp;C77&amp;";"&amp;E77,"Alias")</f>
        <v>Env</v>
      </c>
      <c r="H77">
        <f t="shared" si="2"/>
        <v>76</v>
      </c>
      <c r="I77">
        <v>5</v>
      </c>
      <c r="J77">
        <v>1</v>
      </c>
      <c r="K77" t="e" cm="1">
        <f t="array" ref="K77">GetValue("Dmn",A77&amp;";"&amp;J77,"Name")</f>
        <v>#VALUE!</v>
      </c>
      <c r="L77" t="e" cm="1">
        <f t="array" ref="L77">GetValue("Dmn",A77&amp;";"&amp;J77,"#CategoryName")</f>
        <v>#VALUE!</v>
      </c>
      <c r="M77" t="e" cm="1">
        <f t="array" ref="M77">GetValue("EngDmn",A77&amp;";"&amp;1&amp;";"&amp;J77,"DataType")</f>
        <v>#VALUE!</v>
      </c>
      <c r="N77" t="s">
        <v>0</v>
      </c>
      <c r="O77" t="s">
        <v>215</v>
      </c>
      <c r="P77" t="s">
        <v>139</v>
      </c>
      <c r="Q77" t="s">
        <v>139</v>
      </c>
      <c r="S77" s="21">
        <v>1</v>
      </c>
      <c r="T77" s="21"/>
      <c r="U77" t="b">
        <v>1</v>
      </c>
      <c r="V77" t="b">
        <v>1</v>
      </c>
      <c r="W77" t="b">
        <v>1</v>
      </c>
      <c r="X77" t="b">
        <v>1</v>
      </c>
      <c r="Y77" t="b">
        <v>0</v>
      </c>
      <c r="Z77" t="b">
        <v>0</v>
      </c>
      <c r="AB77" t="b">
        <v>0</v>
      </c>
    </row>
    <row r="78" spans="1:28" x14ac:dyDescent="0.3">
      <c r="A78">
        <v>1</v>
      </c>
      <c r="B78" t="s">
        <v>735</v>
      </c>
      <c r="C78">
        <v>1</v>
      </c>
      <c r="D78" s="15" t="e" cm="1">
        <f t="array" ref="D78">GetValue("Db",A78&amp;";"&amp;C78,"Name")</f>
        <v>#VALUE!</v>
      </c>
      <c r="E78">
        <v>12</v>
      </c>
      <c r="F78" s="15" t="str" cm="1">
        <f t="array" ref="F78">GetValue("Tbl",A78&amp;";"&amp;C78&amp;";"&amp;E78,"Name")</f>
        <v>Environments</v>
      </c>
      <c r="G78" s="15" t="str" cm="1">
        <f t="array" ref="G78">GetValue("Tbl",A78&amp;";"&amp;C78&amp;";"&amp;E78,"Alias")</f>
        <v>Env</v>
      </c>
      <c r="H78">
        <f t="shared" si="2"/>
        <v>77</v>
      </c>
      <c r="I78">
        <f t="shared" ref="I78" si="7">I77+5</f>
        <v>10</v>
      </c>
      <c r="J78">
        <v>9</v>
      </c>
      <c r="K78" t="e" cm="1">
        <f t="array" ref="K78">GetValue("Dmn",A78&amp;";"&amp;J78,"Name")</f>
        <v>#VALUE!</v>
      </c>
      <c r="L78" t="e" cm="1">
        <f t="array" ref="L78">GetValue("Dmn",A78&amp;";"&amp;J78,"#CategoryName")</f>
        <v>#VALUE!</v>
      </c>
      <c r="M78" t="e" cm="1">
        <f t="array" ref="M78">GetValue("EngDmn",A78&amp;";"&amp;1&amp;";"&amp;J78,"DataType")</f>
        <v>#VALUE!</v>
      </c>
      <c r="N78" t="s">
        <v>1</v>
      </c>
      <c r="O78" t="s">
        <v>216</v>
      </c>
      <c r="P78" t="s">
        <v>141</v>
      </c>
      <c r="Q78" t="s">
        <v>141</v>
      </c>
      <c r="S78" s="21" t="s">
        <v>30</v>
      </c>
      <c r="T78" s="21"/>
      <c r="U78" t="b">
        <v>0</v>
      </c>
      <c r="W78" t="b">
        <v>1</v>
      </c>
      <c r="X78" t="b">
        <v>1</v>
      </c>
      <c r="Y78" t="b">
        <v>1</v>
      </c>
      <c r="Z78" t="b">
        <v>1</v>
      </c>
      <c r="AA78" t="b">
        <v>0</v>
      </c>
    </row>
    <row r="79" spans="1:28" x14ac:dyDescent="0.3">
      <c r="A79">
        <v>1</v>
      </c>
      <c r="B79" t="s">
        <v>735</v>
      </c>
      <c r="C79">
        <v>1</v>
      </c>
      <c r="D79" s="15" t="e" cm="1">
        <f t="array" ref="D79">GetValue("Db",A79&amp;";"&amp;C79,"Name")</f>
        <v>#VALUE!</v>
      </c>
      <c r="E79">
        <v>12</v>
      </c>
      <c r="F79" s="15" t="str" cm="1">
        <f t="array" ref="F79">GetValue("Tbl",A79&amp;";"&amp;C79&amp;";"&amp;E79,"Name")</f>
        <v>Environments</v>
      </c>
      <c r="G79" s="15" t="str" cm="1">
        <f t="array" ref="G79">GetValue("Tbl",A79&amp;";"&amp;C79&amp;";"&amp;E79,"Alias")</f>
        <v>Env</v>
      </c>
      <c r="H79">
        <f t="shared" si="2"/>
        <v>78</v>
      </c>
      <c r="I79">
        <f t="shared" ref="I79:I83" si="8">I78+5</f>
        <v>15</v>
      </c>
      <c r="J79">
        <v>9</v>
      </c>
      <c r="K79" t="e" cm="1">
        <f t="array" ref="K79">GetValue("Dmn",A79&amp;";"&amp;J79,"Name")</f>
        <v>#VALUE!</v>
      </c>
      <c r="L79" t="e" cm="1">
        <f t="array" ref="L79">GetValue("Dmn",A79&amp;";"&amp;J79,"#CategoryName")</f>
        <v>#VALUE!</v>
      </c>
      <c r="M79" t="e" cm="1">
        <f t="array" ref="M79">GetValue("EngDmn",A79&amp;";"&amp;1&amp;";"&amp;J79,"DataType")</f>
        <v>#VALUE!</v>
      </c>
      <c r="N79" t="s">
        <v>110</v>
      </c>
      <c r="O79" t="s">
        <v>217</v>
      </c>
      <c r="P79" t="s">
        <v>110</v>
      </c>
      <c r="Q79" t="s">
        <v>110</v>
      </c>
      <c r="S79" s="21" t="s">
        <v>30</v>
      </c>
      <c r="T79" s="21"/>
      <c r="U79" t="b">
        <v>0</v>
      </c>
      <c r="W79" t="b">
        <v>1</v>
      </c>
      <c r="X79" t="b">
        <v>1</v>
      </c>
      <c r="Y79" t="b">
        <v>1</v>
      </c>
      <c r="Z79" t="b">
        <v>1</v>
      </c>
      <c r="AA79" t="b">
        <v>0</v>
      </c>
    </row>
    <row r="80" spans="1:28" x14ac:dyDescent="0.3">
      <c r="A80">
        <v>1</v>
      </c>
      <c r="B80" t="s">
        <v>735</v>
      </c>
      <c r="C80">
        <v>1</v>
      </c>
      <c r="D80" s="15" t="e" cm="1">
        <f t="array" ref="D80">GetValue("Db",A80&amp;";"&amp;C80,"Name")</f>
        <v>#VALUE!</v>
      </c>
      <c r="E80">
        <v>12</v>
      </c>
      <c r="F80" s="15" t="str" cm="1">
        <f t="array" ref="F80">GetValue("Tbl",A80&amp;";"&amp;C80&amp;";"&amp;E80,"Name")</f>
        <v>Environments</v>
      </c>
      <c r="G80" s="15" t="str" cm="1">
        <f t="array" ref="G80">GetValue("Tbl",A80&amp;";"&amp;C80&amp;";"&amp;E80,"Alias")</f>
        <v>Env</v>
      </c>
      <c r="H80">
        <f t="shared" ref="H80:H141" si="9">ROW(H80)-1</f>
        <v>79</v>
      </c>
      <c r="I80">
        <f t="shared" si="8"/>
        <v>20</v>
      </c>
      <c r="J80">
        <v>10</v>
      </c>
      <c r="K80" t="e" cm="1">
        <f t="array" ref="K80">GetValue("Dmn",A80&amp;";"&amp;J80,"Name")</f>
        <v>#VALUE!</v>
      </c>
      <c r="L80" t="e" cm="1">
        <f t="array" ref="L80">GetValue("Dmn",A80&amp;";"&amp;J80,"#CategoryName")</f>
        <v>#VALUE!</v>
      </c>
      <c r="M80" t="e" cm="1">
        <f t="array" ref="M80">GetValue("EngDmn",A80&amp;";"&amp;1&amp;";"&amp;J80,"DataType")</f>
        <v>#VALUE!</v>
      </c>
      <c r="N80" t="s">
        <v>73</v>
      </c>
      <c r="O80" t="s">
        <v>218</v>
      </c>
      <c r="P80" t="s">
        <v>179</v>
      </c>
      <c r="Q80" t="s">
        <v>179</v>
      </c>
      <c r="S80" s="21" t="s">
        <v>30</v>
      </c>
      <c r="T80" s="21"/>
      <c r="U80" t="b">
        <v>0</v>
      </c>
      <c r="W80" t="b">
        <v>1</v>
      </c>
      <c r="X80" t="b">
        <v>0</v>
      </c>
      <c r="Y80" t="b">
        <v>1</v>
      </c>
      <c r="Z80" t="b">
        <v>1</v>
      </c>
      <c r="AA80" t="b">
        <v>0</v>
      </c>
    </row>
    <row r="81" spans="1:28" x14ac:dyDescent="0.3">
      <c r="A81">
        <v>1</v>
      </c>
      <c r="B81" t="s">
        <v>735</v>
      </c>
      <c r="C81">
        <v>1</v>
      </c>
      <c r="D81" s="15" t="e" cm="1">
        <f t="array" ref="D81">GetValue("Db",A81&amp;";"&amp;C81,"Name")</f>
        <v>#VALUE!</v>
      </c>
      <c r="E81">
        <v>12</v>
      </c>
      <c r="F81" s="15" t="str" cm="1">
        <f t="array" ref="F81">GetValue("Tbl",A81&amp;";"&amp;C81&amp;";"&amp;E81,"Name")</f>
        <v>Environments</v>
      </c>
      <c r="G81" s="15" t="str" cm="1">
        <f t="array" ref="G81">GetValue("Tbl",A81&amp;";"&amp;C81&amp;";"&amp;E81,"Alias")</f>
        <v>Env</v>
      </c>
      <c r="H81">
        <f t="shared" si="9"/>
        <v>80</v>
      </c>
      <c r="I81">
        <f t="shared" si="8"/>
        <v>25</v>
      </c>
      <c r="J81">
        <v>1</v>
      </c>
      <c r="K81" t="e" cm="1">
        <f t="array" ref="K81">GetValue("Dmn",A81&amp;";"&amp;J81,"Name")</f>
        <v>#VALUE!</v>
      </c>
      <c r="L81" t="e" cm="1">
        <f t="array" ref="L81">GetValue("Dmn",A81&amp;";"&amp;J81,"#CategoryName")</f>
        <v>#VALUE!</v>
      </c>
      <c r="M81" t="e" cm="1">
        <f t="array" ref="M81">GetValue("EngDmn",A81&amp;";"&amp;1&amp;";"&amp;J81,"DataType")</f>
        <v>#VALUE!</v>
      </c>
      <c r="N81" t="s">
        <v>113</v>
      </c>
      <c r="O81" t="s">
        <v>327</v>
      </c>
      <c r="P81" t="s">
        <v>326</v>
      </c>
      <c r="Q81" t="s">
        <v>326</v>
      </c>
      <c r="S81" s="21">
        <v>0</v>
      </c>
      <c r="T81" s="21"/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B81" t="b">
        <v>0</v>
      </c>
    </row>
    <row r="82" spans="1:28" x14ac:dyDescent="0.3">
      <c r="A82">
        <v>1</v>
      </c>
      <c r="B82" t="s">
        <v>735</v>
      </c>
      <c r="C82">
        <v>1</v>
      </c>
      <c r="D82" s="15" t="e" cm="1">
        <f t="array" ref="D82">GetValue("Db",A82&amp;";"&amp;C82,"Name")</f>
        <v>#VALUE!</v>
      </c>
      <c r="E82">
        <v>12</v>
      </c>
      <c r="F82" s="15" t="str" cm="1">
        <f t="array" ref="F82">GetValue("Tbl",A82&amp;";"&amp;C82&amp;";"&amp;E82,"Name")</f>
        <v>Environments</v>
      </c>
      <c r="G82" s="15" t="str" cm="1">
        <f t="array" ref="G82">GetValue("Tbl",A82&amp;";"&amp;C82&amp;";"&amp;E82,"Alias")</f>
        <v>Env</v>
      </c>
      <c r="H82">
        <f t="shared" si="9"/>
        <v>81</v>
      </c>
      <c r="I82">
        <f t="shared" si="8"/>
        <v>30</v>
      </c>
      <c r="J82">
        <v>6</v>
      </c>
      <c r="K82" t="e" cm="1">
        <f t="array" ref="K82">GetValue("Dmn",A82&amp;";"&amp;J82,"Name")</f>
        <v>#VALUE!</v>
      </c>
      <c r="L82" t="e" cm="1">
        <f t="array" ref="L82">GetValue("Dmn",A82&amp;";"&amp;J82,"#CategoryName")</f>
        <v>#VALUE!</v>
      </c>
      <c r="M82" t="e" cm="1">
        <f t="array" ref="M82">GetValue("EngDmn",A82&amp;";"&amp;1&amp;";"&amp;J82,"DataType")</f>
        <v>#VALUE!</v>
      </c>
      <c r="N82" t="s">
        <v>378</v>
      </c>
      <c r="O82" t="s">
        <v>380</v>
      </c>
      <c r="P82" t="s">
        <v>379</v>
      </c>
      <c r="Q82" t="s">
        <v>379</v>
      </c>
      <c r="S82" s="21" t="s">
        <v>30</v>
      </c>
      <c r="T82" s="21"/>
      <c r="U82" t="b">
        <v>0</v>
      </c>
      <c r="W82" t="b">
        <v>1</v>
      </c>
      <c r="X82" t="b">
        <v>1</v>
      </c>
      <c r="Y82" t="b">
        <v>1</v>
      </c>
      <c r="Z82" t="b">
        <v>1</v>
      </c>
    </row>
    <row r="83" spans="1:28" x14ac:dyDescent="0.3">
      <c r="A83">
        <v>1</v>
      </c>
      <c r="B83" t="s">
        <v>735</v>
      </c>
      <c r="C83">
        <v>1</v>
      </c>
      <c r="D83" s="15" t="e" cm="1">
        <f t="array" ref="D83">GetValue("Db",A83&amp;";"&amp;C83,"Name")</f>
        <v>#VALUE!</v>
      </c>
      <c r="E83">
        <v>12</v>
      </c>
      <c r="F83" s="15" t="str" cm="1">
        <f t="array" ref="F83">GetValue("Tbl",A83&amp;";"&amp;C83&amp;";"&amp;E83,"Name")</f>
        <v>Environments</v>
      </c>
      <c r="G83" s="15" t="str" cm="1">
        <f t="array" ref="G83">GetValue("Tbl",A83&amp;";"&amp;C83&amp;";"&amp;E83,"Alias")</f>
        <v>Env</v>
      </c>
      <c r="H83">
        <f t="shared" si="9"/>
        <v>82</v>
      </c>
      <c r="I83">
        <f t="shared" si="8"/>
        <v>35</v>
      </c>
      <c r="J83">
        <v>1</v>
      </c>
      <c r="K83" t="e" cm="1">
        <f t="array" ref="K83">GetValue("Dmn",A83&amp;";"&amp;J83,"Name")</f>
        <v>#VALUE!</v>
      </c>
      <c r="L83" t="e" cm="1">
        <f t="array" ref="L83">GetValue("Dmn",A83&amp;";"&amp;J83,"#CategoryName")</f>
        <v>#VALUE!</v>
      </c>
      <c r="M83" t="e" cm="1">
        <f t="array" ref="M83">GetValue("EngDmn",A83&amp;";"&amp;1&amp;";"&amp;J83,"DataType")</f>
        <v>#VALUE!</v>
      </c>
      <c r="N83" t="s">
        <v>318</v>
      </c>
      <c r="O83" t="s">
        <v>319</v>
      </c>
      <c r="P83" t="s">
        <v>319</v>
      </c>
      <c r="Q83" t="s">
        <v>319</v>
      </c>
      <c r="R83" s="2">
        <v>0</v>
      </c>
      <c r="S83" s="21">
        <v>0</v>
      </c>
      <c r="T83" s="21"/>
      <c r="U83" t="b">
        <v>0</v>
      </c>
      <c r="V83" t="b">
        <v>0</v>
      </c>
      <c r="W83" t="b">
        <v>1</v>
      </c>
      <c r="X83" t="b">
        <v>0</v>
      </c>
      <c r="Y83" t="b">
        <v>0</v>
      </c>
      <c r="Z83" t="b">
        <v>0</v>
      </c>
      <c r="AB83" t="b">
        <v>0</v>
      </c>
    </row>
    <row r="84" spans="1:28" x14ac:dyDescent="0.3">
      <c r="A84">
        <v>1</v>
      </c>
      <c r="B84" t="s">
        <v>735</v>
      </c>
      <c r="C84">
        <v>1</v>
      </c>
      <c r="D84" s="15" t="e" cm="1">
        <f t="array" ref="D84">GetValue("Db",A84&amp;";"&amp;C84,"Name")</f>
        <v>#VALUE!</v>
      </c>
      <c r="E84">
        <v>13</v>
      </c>
      <c r="F84" s="15" t="str" cm="1">
        <f t="array" ref="F84">GetValue("Tbl",A84&amp;";"&amp;C84&amp;";"&amp;E84,"Name")</f>
        <v>Databases</v>
      </c>
      <c r="G84" s="15" t="str" cm="1">
        <f t="array" ref="G84">GetValue("Tbl",A84&amp;";"&amp;C84&amp;";"&amp;E84,"Alias")</f>
        <v>Db</v>
      </c>
      <c r="H84">
        <f t="shared" si="9"/>
        <v>83</v>
      </c>
      <c r="I84">
        <v>5</v>
      </c>
      <c r="J84">
        <v>1</v>
      </c>
      <c r="K84" t="e" cm="1">
        <f t="array" ref="K84">GetValue("Dmn",A84&amp;";"&amp;J84,"Name")</f>
        <v>#VALUE!</v>
      </c>
      <c r="L84" t="e" cm="1">
        <f t="array" ref="L84">GetValue("Dmn",A84&amp;";"&amp;J84,"#CategoryName")</f>
        <v>#VALUE!</v>
      </c>
      <c r="M84" t="e" cm="1">
        <f t="array" ref="M84">GetValue("EngDmn",A84&amp;";"&amp;1&amp;";"&amp;J84,"DataType")</f>
        <v>#VALUE!</v>
      </c>
      <c r="N84" t="s">
        <v>0</v>
      </c>
      <c r="O84" t="s">
        <v>293</v>
      </c>
      <c r="P84" t="s">
        <v>139</v>
      </c>
      <c r="Q84" t="s">
        <v>139</v>
      </c>
      <c r="S84" s="2">
        <v>1</v>
      </c>
      <c r="U84" t="b">
        <v>1</v>
      </c>
      <c r="V84" t="b">
        <v>1</v>
      </c>
      <c r="W84" t="b">
        <v>1</v>
      </c>
      <c r="X84" t="b">
        <v>1</v>
      </c>
      <c r="Y84" t="b">
        <v>0</v>
      </c>
      <c r="Z84" t="b">
        <v>0</v>
      </c>
      <c r="AB84" t="b">
        <v>0</v>
      </c>
    </row>
    <row r="85" spans="1:28" x14ac:dyDescent="0.3">
      <c r="A85">
        <v>1</v>
      </c>
      <c r="B85" t="s">
        <v>735</v>
      </c>
      <c r="C85">
        <v>1</v>
      </c>
      <c r="D85" s="15" t="e" cm="1">
        <f t="array" ref="D85">GetValue("Db",A85&amp;";"&amp;C85,"Name")</f>
        <v>#VALUE!</v>
      </c>
      <c r="E85">
        <v>13</v>
      </c>
      <c r="F85" s="15" t="str" cm="1">
        <f t="array" ref="F85">GetValue("Tbl",A85&amp;";"&amp;C85&amp;";"&amp;E85,"Name")</f>
        <v>Databases</v>
      </c>
      <c r="G85" s="15" t="str" cm="1">
        <f t="array" ref="G85">GetValue("Tbl",A85&amp;";"&amp;C85&amp;";"&amp;E85,"Alias")</f>
        <v>Db</v>
      </c>
      <c r="H85">
        <f t="shared" si="9"/>
        <v>84</v>
      </c>
      <c r="I85">
        <f>I84+5</f>
        <v>10</v>
      </c>
      <c r="J85">
        <v>1</v>
      </c>
      <c r="K85" t="e" cm="1">
        <f t="array" ref="K85">GetValue("Dmn",A85&amp;";"&amp;J85,"Name")</f>
        <v>#VALUE!</v>
      </c>
      <c r="L85" t="e" cm="1">
        <f t="array" ref="L85">GetValue("Dmn",A85&amp;";"&amp;J85,"#CategoryName")</f>
        <v>#VALUE!</v>
      </c>
      <c r="M85" t="e" cm="1">
        <f t="array" ref="M85">GetValue("EngDmn",A85&amp;";"&amp;1&amp;";"&amp;J85,"DataType")</f>
        <v>#VALUE!</v>
      </c>
      <c r="N85" t="s">
        <v>112</v>
      </c>
      <c r="O85" t="s">
        <v>207</v>
      </c>
      <c r="P85" t="s">
        <v>186</v>
      </c>
      <c r="Q85" t="s">
        <v>186</v>
      </c>
      <c r="S85" s="2">
        <v>1</v>
      </c>
      <c r="U85" t="b">
        <v>0</v>
      </c>
      <c r="V85" t="b">
        <v>0</v>
      </c>
      <c r="W85" t="b">
        <v>1</v>
      </c>
      <c r="X85" t="b">
        <v>1</v>
      </c>
      <c r="Y85" t="b">
        <v>1</v>
      </c>
      <c r="Z85" t="b">
        <v>1</v>
      </c>
      <c r="AB85" t="b">
        <v>0</v>
      </c>
    </row>
    <row r="86" spans="1:28" x14ac:dyDescent="0.3">
      <c r="A86">
        <v>1</v>
      </c>
      <c r="B86" t="s">
        <v>735</v>
      </c>
      <c r="C86">
        <v>1</v>
      </c>
      <c r="D86" s="15" t="e" cm="1">
        <f t="array" ref="D86">GetValue("Db",A86&amp;";"&amp;C86,"Name")</f>
        <v>#VALUE!</v>
      </c>
      <c r="E86">
        <v>13</v>
      </c>
      <c r="F86" s="15" t="str" cm="1">
        <f t="array" ref="F86">GetValue("Tbl",A86&amp;";"&amp;C86&amp;";"&amp;E86,"Name")</f>
        <v>Databases</v>
      </c>
      <c r="G86" s="15" t="str" cm="1">
        <f t="array" ref="G86">GetValue("Tbl",A86&amp;";"&amp;C86&amp;";"&amp;E86,"Alias")</f>
        <v>Db</v>
      </c>
      <c r="H86">
        <f t="shared" si="9"/>
        <v>85</v>
      </c>
      <c r="I86">
        <f>I85+5</f>
        <v>15</v>
      </c>
      <c r="J86">
        <v>1</v>
      </c>
      <c r="K86" t="e" cm="1">
        <f t="array" ref="K86">GetValue("Dmn",A86&amp;";"&amp;J86,"Name")</f>
        <v>#VALUE!</v>
      </c>
      <c r="L86" t="e" cm="1">
        <f t="array" ref="L86">GetValue("Dmn",A86&amp;";"&amp;J86,"#CategoryName")</f>
        <v>#VALUE!</v>
      </c>
      <c r="M86" t="e" cm="1">
        <f t="array" ref="M86">GetValue("EngDmn",A86&amp;";"&amp;1&amp;";"&amp;J86,"DataType")</f>
        <v>#VALUE!</v>
      </c>
      <c r="N86" t="s">
        <v>127</v>
      </c>
      <c r="O86" t="s">
        <v>215</v>
      </c>
      <c r="P86" t="s">
        <v>214</v>
      </c>
      <c r="Q86" t="s">
        <v>214</v>
      </c>
      <c r="S86" s="2">
        <v>1</v>
      </c>
      <c r="U86" t="b">
        <v>0</v>
      </c>
      <c r="V86" t="b">
        <v>0</v>
      </c>
      <c r="W86" t="b">
        <v>1</v>
      </c>
      <c r="X86" t="b">
        <v>1</v>
      </c>
      <c r="Y86" t="b">
        <v>1</v>
      </c>
      <c r="Z86" t="b">
        <v>1</v>
      </c>
      <c r="AB86" t="b">
        <v>0</v>
      </c>
    </row>
    <row r="87" spans="1:28" x14ac:dyDescent="0.3">
      <c r="A87">
        <v>1</v>
      </c>
      <c r="B87" t="s">
        <v>735</v>
      </c>
      <c r="C87">
        <v>1</v>
      </c>
      <c r="D87" s="15" t="e" cm="1">
        <f t="array" ref="D87">GetValue("Db",A87&amp;";"&amp;C87,"Name")</f>
        <v>#VALUE!</v>
      </c>
      <c r="E87">
        <v>13</v>
      </c>
      <c r="F87" s="15" t="str" cm="1">
        <f t="array" ref="F87">GetValue("Tbl",A87&amp;";"&amp;C87&amp;";"&amp;E87,"Name")</f>
        <v>Databases</v>
      </c>
      <c r="G87" s="15" t="str" cm="1">
        <f t="array" ref="G87">GetValue("Tbl",A87&amp;";"&amp;C87&amp;";"&amp;E87,"Alias")</f>
        <v>Db</v>
      </c>
      <c r="H87">
        <f t="shared" si="9"/>
        <v>86</v>
      </c>
      <c r="I87">
        <f>I86+5</f>
        <v>20</v>
      </c>
      <c r="J87">
        <v>10</v>
      </c>
      <c r="K87" t="e" cm="1">
        <f t="array" ref="K87">GetValue("Dmn",A87&amp;";"&amp;J87,"Name")</f>
        <v>#VALUE!</v>
      </c>
      <c r="L87" t="e" cm="1">
        <f t="array" ref="L87">GetValue("Dmn",A87&amp;";"&amp;J87,"#CategoryName")</f>
        <v>#VALUE!</v>
      </c>
      <c r="M87" t="e" cm="1">
        <f t="array" ref="M87">GetValue("EngDmn",A87&amp;";"&amp;1&amp;";"&amp;J87,"DataType")</f>
        <v>#VALUE!</v>
      </c>
      <c r="N87" t="s">
        <v>1</v>
      </c>
      <c r="O87" t="s">
        <v>373</v>
      </c>
      <c r="P87" t="s">
        <v>141</v>
      </c>
      <c r="Q87" t="s">
        <v>141</v>
      </c>
      <c r="S87" s="2"/>
      <c r="U87" t="b">
        <v>0</v>
      </c>
      <c r="W87" t="b">
        <v>1</v>
      </c>
      <c r="X87" t="b">
        <v>1</v>
      </c>
      <c r="Y87" t="b">
        <v>1</v>
      </c>
      <c r="Z87" t="b">
        <v>1</v>
      </c>
      <c r="AA87" t="b">
        <v>0</v>
      </c>
    </row>
    <row r="88" spans="1:28" x14ac:dyDescent="0.3">
      <c r="A88">
        <v>1</v>
      </c>
      <c r="B88" t="s">
        <v>735</v>
      </c>
      <c r="C88">
        <v>1</v>
      </c>
      <c r="D88" s="15" t="e" cm="1">
        <f t="array" ref="D88">GetValue("Db",A88&amp;";"&amp;C88,"Name")</f>
        <v>#VALUE!</v>
      </c>
      <c r="E88">
        <v>14</v>
      </c>
      <c r="F88" s="15" t="str" cm="1">
        <f t="array" ref="F88">GetValue("Tbl",A88&amp;";"&amp;C88&amp;";"&amp;E88,"Name")</f>
        <v>DatabasesEnvironments</v>
      </c>
      <c r="G88" s="15" t="str" cm="1">
        <f t="array" ref="G88">GetValue("Tbl",A88&amp;";"&amp;C88&amp;";"&amp;E88,"Alias")</f>
        <v>DbEnv</v>
      </c>
      <c r="H88">
        <f t="shared" si="9"/>
        <v>87</v>
      </c>
      <c r="I88">
        <v>5</v>
      </c>
      <c r="J88">
        <v>1</v>
      </c>
      <c r="K88" t="e" cm="1">
        <f t="array" ref="K88">GetValue("Dmn",A88&amp;";"&amp;J88,"Name")</f>
        <v>#VALUE!</v>
      </c>
      <c r="L88" t="e" cm="1">
        <f t="array" ref="L88">GetValue("Dmn",A88&amp;";"&amp;J88,"#CategoryName")</f>
        <v>#VALUE!</v>
      </c>
      <c r="M88" t="e" cm="1">
        <f t="array" ref="M88">GetValue("EngDmn",A88&amp;";"&amp;1&amp;";"&amp;J88,"DataType")</f>
        <v>#VALUE!</v>
      </c>
      <c r="N88" t="s">
        <v>0</v>
      </c>
      <c r="O88" t="s">
        <v>219</v>
      </c>
      <c r="P88" t="s">
        <v>139</v>
      </c>
      <c r="Q88" t="s">
        <v>139</v>
      </c>
      <c r="S88" s="21">
        <v>1</v>
      </c>
      <c r="T88" s="21"/>
      <c r="U88" t="b">
        <v>1</v>
      </c>
      <c r="V88" t="b">
        <v>1</v>
      </c>
      <c r="W88" t="b">
        <v>1</v>
      </c>
      <c r="X88" t="b">
        <v>1</v>
      </c>
      <c r="Y88" t="b">
        <v>0</v>
      </c>
      <c r="Z88" t="b">
        <v>0</v>
      </c>
      <c r="AB88" t="b">
        <v>0</v>
      </c>
    </row>
    <row r="89" spans="1:28" x14ac:dyDescent="0.3">
      <c r="A89">
        <v>1</v>
      </c>
      <c r="B89" t="s">
        <v>735</v>
      </c>
      <c r="C89">
        <v>1</v>
      </c>
      <c r="D89" s="15" t="e" cm="1">
        <f t="array" ref="D89">GetValue("Db",A89&amp;";"&amp;C89,"Name")</f>
        <v>#VALUE!</v>
      </c>
      <c r="E89">
        <v>14</v>
      </c>
      <c r="F89" s="15" t="str" cm="1">
        <f t="array" ref="F89">GetValue("Tbl",A89&amp;";"&amp;C89&amp;";"&amp;E89,"Name")</f>
        <v>DatabasesEnvironments</v>
      </c>
      <c r="G89" s="15" t="str" cm="1">
        <f t="array" ref="G89">GetValue("Tbl",A89&amp;";"&amp;C89&amp;";"&amp;E89,"Alias")</f>
        <v>DbEnv</v>
      </c>
      <c r="H89">
        <f t="shared" si="9"/>
        <v>88</v>
      </c>
      <c r="I89">
        <f t="shared" ref="I89:I109" si="10">I88+5</f>
        <v>10</v>
      </c>
      <c r="J89">
        <v>1</v>
      </c>
      <c r="K89" t="e" cm="1">
        <f t="array" ref="K89">GetValue("Dmn",A89&amp;";"&amp;J89,"Name")</f>
        <v>#VALUE!</v>
      </c>
      <c r="L89" t="e" cm="1">
        <f t="array" ref="L89">GetValue("Dmn",A89&amp;";"&amp;J89,"#CategoryName")</f>
        <v>#VALUE!</v>
      </c>
      <c r="M89" t="e" cm="1">
        <f t="array" ref="M89">GetValue("EngDmn",A89&amp;";"&amp;1&amp;";"&amp;J89,"DataType")</f>
        <v>#VALUE!</v>
      </c>
      <c r="N89" t="s">
        <v>127</v>
      </c>
      <c r="O89" t="s">
        <v>220</v>
      </c>
      <c r="P89" t="s">
        <v>220</v>
      </c>
      <c r="Q89" t="s">
        <v>220</v>
      </c>
      <c r="S89" s="21">
        <v>1</v>
      </c>
      <c r="T89" s="21"/>
      <c r="U89" t="b">
        <v>0</v>
      </c>
      <c r="V89" t="b">
        <v>0</v>
      </c>
      <c r="W89" t="b">
        <v>1</v>
      </c>
      <c r="X89" t="b">
        <v>1</v>
      </c>
      <c r="Y89" t="b">
        <v>1</v>
      </c>
      <c r="Z89" t="b">
        <v>1</v>
      </c>
      <c r="AB89" t="b">
        <v>0</v>
      </c>
    </row>
    <row r="90" spans="1:28" x14ac:dyDescent="0.3">
      <c r="A90">
        <v>1</v>
      </c>
      <c r="B90" t="s">
        <v>735</v>
      </c>
      <c r="C90">
        <v>1</v>
      </c>
      <c r="D90" s="15" t="e" cm="1">
        <f t="array" ref="D90">GetValue("Db",A90&amp;";"&amp;C90,"Name")</f>
        <v>#VALUE!</v>
      </c>
      <c r="E90">
        <v>14</v>
      </c>
      <c r="F90" s="15" t="str" cm="1">
        <f t="array" ref="F90">GetValue("Tbl",A90&amp;";"&amp;C90&amp;";"&amp;E90,"Name")</f>
        <v>DatabasesEnvironments</v>
      </c>
      <c r="G90" s="15" t="str" cm="1">
        <f t="array" ref="G90">GetValue("Tbl",A90&amp;";"&amp;C90&amp;";"&amp;E90,"Alias")</f>
        <v>DbEnv</v>
      </c>
      <c r="H90">
        <f t="shared" si="9"/>
        <v>89</v>
      </c>
      <c r="I90">
        <f t="shared" si="10"/>
        <v>15</v>
      </c>
      <c r="J90">
        <v>4</v>
      </c>
      <c r="K90" t="e" cm="1">
        <f t="array" ref="K90">GetValue("Dmn",A90&amp;";"&amp;J90,"Name")</f>
        <v>#VALUE!</v>
      </c>
      <c r="L90" t="e" cm="1">
        <f t="array" ref="L90">GetValue("Dmn",A90&amp;";"&amp;J90,"#CategoryName")</f>
        <v>#VALUE!</v>
      </c>
      <c r="M90" t="e" cm="1">
        <f t="array" ref="M90">GetValue("EngDmn",A90&amp;";"&amp;1&amp;";"&amp;J90,"DataType")</f>
        <v>#VALUE!</v>
      </c>
      <c r="N90" t="s">
        <v>77</v>
      </c>
      <c r="O90" t="s">
        <v>188</v>
      </c>
      <c r="P90" t="s">
        <v>188</v>
      </c>
      <c r="Q90" t="s">
        <v>188</v>
      </c>
      <c r="S90" s="21">
        <v>1</v>
      </c>
      <c r="T90" s="21"/>
      <c r="U90" t="b">
        <v>0</v>
      </c>
      <c r="V90" t="b">
        <v>0</v>
      </c>
      <c r="W90" t="b">
        <v>1</v>
      </c>
      <c r="X90" t="b">
        <v>0</v>
      </c>
      <c r="Y90" t="b">
        <v>1</v>
      </c>
      <c r="Z90" t="b">
        <v>1</v>
      </c>
      <c r="AB90" t="b">
        <v>0</v>
      </c>
    </row>
    <row r="91" spans="1:28" x14ac:dyDescent="0.3">
      <c r="A91">
        <v>1</v>
      </c>
      <c r="B91" t="s">
        <v>735</v>
      </c>
      <c r="C91">
        <v>1</v>
      </c>
      <c r="D91" s="15" t="e" cm="1">
        <f t="array" ref="D91">GetValue("Db",A91&amp;";"&amp;C91,"Name")</f>
        <v>#VALUE!</v>
      </c>
      <c r="E91">
        <v>14</v>
      </c>
      <c r="F91" s="15" t="str" cm="1">
        <f t="array" ref="F91">GetValue("Tbl",A91&amp;";"&amp;C91&amp;";"&amp;E91,"Name")</f>
        <v>DatabasesEnvironments</v>
      </c>
      <c r="G91" s="15" t="str" cm="1">
        <f t="array" ref="G91">GetValue("Tbl",A91&amp;";"&amp;C91&amp;";"&amp;E91,"Alias")</f>
        <v>DbEnv</v>
      </c>
      <c r="H91">
        <f t="shared" si="9"/>
        <v>90</v>
      </c>
      <c r="I91">
        <f t="shared" si="10"/>
        <v>20</v>
      </c>
      <c r="J91">
        <v>1</v>
      </c>
      <c r="K91" t="e" cm="1">
        <f t="array" ref="K91">GetValue("Dmn",A91&amp;";"&amp;J91,"Name")</f>
        <v>#VALUE!</v>
      </c>
      <c r="L91" t="e" cm="1">
        <f t="array" ref="L91">GetValue("Dmn",A91&amp;";"&amp;J91,"#CategoryName")</f>
        <v>#VALUE!</v>
      </c>
      <c r="M91" t="e" cm="1">
        <f t="array" ref="M91">GetValue("EngDmn",A91&amp;";"&amp;1&amp;";"&amp;J91,"DataType")</f>
        <v>#VALUE!</v>
      </c>
      <c r="N91" t="s">
        <v>128</v>
      </c>
      <c r="O91" t="s">
        <v>221</v>
      </c>
      <c r="P91" t="s">
        <v>222</v>
      </c>
      <c r="Q91" t="s">
        <v>222</v>
      </c>
      <c r="S91" s="21">
        <v>1</v>
      </c>
      <c r="T91" s="21"/>
      <c r="U91" t="b">
        <v>0</v>
      </c>
      <c r="V91" t="b">
        <v>0</v>
      </c>
      <c r="W91" t="b">
        <v>1</v>
      </c>
      <c r="X91" t="b">
        <v>1</v>
      </c>
      <c r="Y91" t="b">
        <v>1</v>
      </c>
      <c r="Z91" t="b">
        <v>1</v>
      </c>
      <c r="AB91" t="b">
        <v>0</v>
      </c>
    </row>
    <row r="92" spans="1:28" x14ac:dyDescent="0.3">
      <c r="A92">
        <v>1</v>
      </c>
      <c r="B92" t="s">
        <v>735</v>
      </c>
      <c r="C92">
        <v>1</v>
      </c>
      <c r="D92" s="15" t="e" cm="1">
        <f t="array" ref="D92">GetValue("Db",A92&amp;";"&amp;C92,"Name")</f>
        <v>#VALUE!</v>
      </c>
      <c r="E92">
        <v>14</v>
      </c>
      <c r="F92" s="15" t="str" cm="1">
        <f t="array" ref="F92">GetValue("Tbl",A92&amp;";"&amp;C92&amp;";"&amp;E92,"Name")</f>
        <v>DatabasesEnvironments</v>
      </c>
      <c r="G92" s="15" t="str" cm="1">
        <f t="array" ref="G92">GetValue("Tbl",A92&amp;";"&amp;C92&amp;";"&amp;E92,"Alias")</f>
        <v>DbEnv</v>
      </c>
      <c r="H92">
        <f t="shared" si="9"/>
        <v>91</v>
      </c>
      <c r="I92">
        <f t="shared" si="10"/>
        <v>25</v>
      </c>
      <c r="J92">
        <v>1</v>
      </c>
      <c r="K92" t="e" cm="1">
        <f t="array" ref="K92">GetValue("Dmn",A92&amp;";"&amp;J92,"Name")</f>
        <v>#VALUE!</v>
      </c>
      <c r="L92" t="e" cm="1">
        <f t="array" ref="L92">GetValue("Dmn",A92&amp;";"&amp;J92,"#CategoryName")</f>
        <v>#VALUE!</v>
      </c>
      <c r="M92" t="e" cm="1">
        <f t="array" ref="M92">GetValue("EngDmn",A92&amp;";"&amp;1&amp;";"&amp;J92,"DataType")</f>
        <v>#VALUE!</v>
      </c>
      <c r="N92" t="s">
        <v>129</v>
      </c>
      <c r="O92" t="s">
        <v>223</v>
      </c>
      <c r="P92" t="s">
        <v>224</v>
      </c>
      <c r="Q92" t="s">
        <v>224</v>
      </c>
      <c r="S92" s="21">
        <v>1</v>
      </c>
      <c r="T92" s="21"/>
      <c r="U92" t="b">
        <v>0</v>
      </c>
      <c r="V92" t="b">
        <v>0</v>
      </c>
      <c r="W92" t="b">
        <v>0</v>
      </c>
      <c r="X92" t="b">
        <v>1</v>
      </c>
      <c r="Y92" t="b">
        <v>1</v>
      </c>
      <c r="Z92" t="b">
        <v>1</v>
      </c>
      <c r="AB92" t="b">
        <v>0</v>
      </c>
    </row>
    <row r="93" spans="1:28" x14ac:dyDescent="0.3">
      <c r="A93">
        <v>1</v>
      </c>
      <c r="B93" t="s">
        <v>735</v>
      </c>
      <c r="C93">
        <v>1</v>
      </c>
      <c r="D93" s="15" t="e" cm="1">
        <f t="array" ref="D93">GetValue("Db",A93&amp;";"&amp;C93,"Name")</f>
        <v>#VALUE!</v>
      </c>
      <c r="E93">
        <v>14</v>
      </c>
      <c r="F93" s="15" t="str" cm="1">
        <f t="array" ref="F93">GetValue("Tbl",A93&amp;";"&amp;C93&amp;";"&amp;E93,"Name")</f>
        <v>DatabasesEnvironments</v>
      </c>
      <c r="G93" s="15" t="str" cm="1">
        <f t="array" ref="G93">GetValue("Tbl",A93&amp;";"&amp;C93&amp;";"&amp;E93,"Alias")</f>
        <v>DbEnv</v>
      </c>
      <c r="H93">
        <f t="shared" si="9"/>
        <v>92</v>
      </c>
      <c r="I93">
        <f t="shared" si="10"/>
        <v>30</v>
      </c>
      <c r="J93">
        <v>9</v>
      </c>
      <c r="K93" t="e" cm="1">
        <f t="array" ref="K93">GetValue("Dmn",A93&amp;";"&amp;J93,"Name")</f>
        <v>#VALUE!</v>
      </c>
      <c r="L93" t="e" cm="1">
        <f t="array" ref="L93">GetValue("Dmn",A93&amp;";"&amp;J93,"#CategoryName")</f>
        <v>#VALUE!</v>
      </c>
      <c r="M93" t="e" cm="1">
        <f t="array" ref="M93">GetValue("EngDmn",A93&amp;";"&amp;1&amp;";"&amp;J93,"DataType")</f>
        <v>#VALUE!</v>
      </c>
      <c r="N93" t="s">
        <v>1</v>
      </c>
      <c r="O93" t="s">
        <v>225</v>
      </c>
      <c r="P93" t="s">
        <v>141</v>
      </c>
      <c r="Q93" t="s">
        <v>141</v>
      </c>
      <c r="S93" s="21" t="s">
        <v>30</v>
      </c>
      <c r="T93" s="21"/>
      <c r="U93" t="b">
        <v>0</v>
      </c>
      <c r="W93" t="b">
        <v>1</v>
      </c>
      <c r="X93" t="b">
        <v>1</v>
      </c>
      <c r="Y93" t="b">
        <v>1</v>
      </c>
      <c r="Z93" t="b">
        <v>1</v>
      </c>
      <c r="AA93" t="b">
        <v>0</v>
      </c>
    </row>
    <row r="94" spans="1:28" x14ac:dyDescent="0.3">
      <c r="A94">
        <v>1</v>
      </c>
      <c r="B94" t="s">
        <v>735</v>
      </c>
      <c r="C94">
        <v>1</v>
      </c>
      <c r="D94" s="15" t="e" cm="1">
        <f t="array" ref="D94">GetValue("Db",A94&amp;";"&amp;C94,"Name")</f>
        <v>#VALUE!</v>
      </c>
      <c r="E94">
        <v>14</v>
      </c>
      <c r="F94" s="15" t="str" cm="1">
        <f t="array" ref="F94">GetValue("Tbl",A94&amp;";"&amp;C94&amp;";"&amp;E94,"Name")</f>
        <v>DatabasesEnvironments</v>
      </c>
      <c r="G94" s="15" t="str" cm="1">
        <f t="array" ref="G94">GetValue("Tbl",A94&amp;";"&amp;C94&amp;";"&amp;E94,"Alias")</f>
        <v>DbEnv</v>
      </c>
      <c r="H94">
        <f t="shared" si="9"/>
        <v>93</v>
      </c>
      <c r="I94">
        <f t="shared" si="10"/>
        <v>35</v>
      </c>
      <c r="J94">
        <v>9</v>
      </c>
      <c r="K94" t="e" cm="1">
        <f t="array" ref="K94">GetValue("Dmn",A94&amp;";"&amp;J94,"Name")</f>
        <v>#VALUE!</v>
      </c>
      <c r="L94" t="e" cm="1">
        <f t="array" ref="L94">GetValue("Dmn",A94&amp;";"&amp;J94,"#CategoryName")</f>
        <v>#VALUE!</v>
      </c>
      <c r="M94" t="e" cm="1">
        <f t="array" ref="M94">GetValue("EngDmn",A94&amp;";"&amp;1&amp;";"&amp;J94,"DataType")</f>
        <v>#VALUE!</v>
      </c>
      <c r="N94" t="s">
        <v>110</v>
      </c>
      <c r="O94" t="s">
        <v>389</v>
      </c>
      <c r="P94" t="s">
        <v>110</v>
      </c>
      <c r="Q94" t="s">
        <v>110</v>
      </c>
      <c r="S94" s="21" t="s">
        <v>30</v>
      </c>
      <c r="T94" s="21"/>
      <c r="U94" t="b">
        <v>0</v>
      </c>
      <c r="W94" t="b">
        <v>0</v>
      </c>
      <c r="X94" t="b">
        <v>1</v>
      </c>
      <c r="Y94" t="b">
        <v>1</v>
      </c>
      <c r="Z94" t="b">
        <v>0</v>
      </c>
      <c r="AA94" t="b">
        <v>0</v>
      </c>
    </row>
    <row r="95" spans="1:28" x14ac:dyDescent="0.3">
      <c r="A95">
        <v>1</v>
      </c>
      <c r="B95" t="s">
        <v>735</v>
      </c>
      <c r="C95">
        <v>1</v>
      </c>
      <c r="D95" s="15" t="e" cm="1">
        <f t="array" ref="D95">GetValue("Db",A95&amp;";"&amp;C95,"Name")</f>
        <v>#VALUE!</v>
      </c>
      <c r="E95">
        <v>14</v>
      </c>
      <c r="F95" s="15" t="str" cm="1">
        <f t="array" ref="F95">GetValue("Tbl",A95&amp;";"&amp;C95&amp;";"&amp;E95,"Name")</f>
        <v>DatabasesEnvironments</v>
      </c>
      <c r="G95" s="15" t="str" cm="1">
        <f t="array" ref="G95">GetValue("Tbl",A95&amp;";"&amp;C95&amp;";"&amp;E95,"Alias")</f>
        <v>DbEnv</v>
      </c>
      <c r="H95">
        <f t="shared" si="9"/>
        <v>94</v>
      </c>
      <c r="I95">
        <f t="shared" si="10"/>
        <v>40</v>
      </c>
      <c r="J95">
        <v>10</v>
      </c>
      <c r="K95" t="e" cm="1">
        <f t="array" ref="K95">GetValue("Dmn",A95&amp;";"&amp;J95,"Name")</f>
        <v>#VALUE!</v>
      </c>
      <c r="L95" t="e" cm="1">
        <f t="array" ref="L95">GetValue("Dmn",A95&amp;";"&amp;J95,"#CategoryName")</f>
        <v>#VALUE!</v>
      </c>
      <c r="M95" t="e" cm="1">
        <f t="array" ref="M95">GetValue("EngDmn",A95&amp;";"&amp;1&amp;";"&amp;J95,"DataType")</f>
        <v>#VALUE!</v>
      </c>
      <c r="N95" t="s">
        <v>73</v>
      </c>
      <c r="O95" t="s">
        <v>226</v>
      </c>
      <c r="P95" t="s">
        <v>179</v>
      </c>
      <c r="Q95" t="s">
        <v>179</v>
      </c>
      <c r="S95" s="21" t="s">
        <v>30</v>
      </c>
      <c r="T95" s="21"/>
      <c r="U95" t="b">
        <v>0</v>
      </c>
      <c r="W95" t="b">
        <v>1</v>
      </c>
      <c r="X95" t="b">
        <v>0</v>
      </c>
      <c r="Y95" t="b">
        <v>1</v>
      </c>
      <c r="Z95" t="b">
        <v>1</v>
      </c>
      <c r="AA95" t="b">
        <v>0</v>
      </c>
    </row>
    <row r="96" spans="1:28" x14ac:dyDescent="0.3">
      <c r="A96">
        <v>1</v>
      </c>
      <c r="B96" t="s">
        <v>735</v>
      </c>
      <c r="C96">
        <v>1</v>
      </c>
      <c r="D96" s="15" t="e" cm="1">
        <f t="array" ref="D96">GetValue("Db",A96&amp;";"&amp;C96,"Name")</f>
        <v>#VALUE!</v>
      </c>
      <c r="E96">
        <v>14</v>
      </c>
      <c r="F96" s="15" t="str" cm="1">
        <f t="array" ref="F96">GetValue("Tbl",A96&amp;";"&amp;C96&amp;";"&amp;E96,"Name")</f>
        <v>DatabasesEnvironments</v>
      </c>
      <c r="G96" s="15" t="str" cm="1">
        <f t="array" ref="G96">GetValue("Tbl",A96&amp;";"&amp;C96&amp;";"&amp;E96,"Alias")</f>
        <v>DbEnv</v>
      </c>
      <c r="H96">
        <f t="shared" si="9"/>
        <v>95</v>
      </c>
      <c r="I96">
        <f t="shared" si="10"/>
        <v>45</v>
      </c>
      <c r="J96">
        <v>9</v>
      </c>
      <c r="K96" t="e" cm="1">
        <f t="array" ref="K96">GetValue("Dmn",A96&amp;";"&amp;J96,"Name")</f>
        <v>#VALUE!</v>
      </c>
      <c r="L96" t="e" cm="1">
        <f t="array" ref="L96">GetValue("Dmn",A96&amp;";"&amp;J96,"#CategoryName")</f>
        <v>#VALUE!</v>
      </c>
      <c r="M96" t="e" cm="1">
        <f t="array" ref="M96">GetValue("EngDmn",A96&amp;";"&amp;1&amp;";"&amp;J96,"DataType")</f>
        <v>#VALUE!</v>
      </c>
      <c r="N96" t="s">
        <v>130</v>
      </c>
      <c r="O96" t="s">
        <v>227</v>
      </c>
      <c r="P96" t="s">
        <v>228</v>
      </c>
      <c r="Q96" t="s">
        <v>228</v>
      </c>
      <c r="S96" s="21" t="s">
        <v>30</v>
      </c>
      <c r="T96" s="21"/>
      <c r="U96" t="b">
        <v>0</v>
      </c>
      <c r="W96" t="b">
        <v>1</v>
      </c>
      <c r="X96" t="b">
        <v>0</v>
      </c>
      <c r="Y96" t="b">
        <v>1</v>
      </c>
      <c r="Z96" t="b">
        <v>1</v>
      </c>
      <c r="AA96" t="b">
        <v>0</v>
      </c>
    </row>
    <row r="97" spans="1:28" x14ac:dyDescent="0.3">
      <c r="A97">
        <v>1</v>
      </c>
      <c r="B97" t="s">
        <v>735</v>
      </c>
      <c r="C97">
        <v>1</v>
      </c>
      <c r="D97" s="15" t="e" cm="1">
        <f t="array" ref="D97">GetValue("Db",A97&amp;";"&amp;C97,"Name")</f>
        <v>#VALUE!</v>
      </c>
      <c r="E97">
        <v>14</v>
      </c>
      <c r="F97" s="15" t="str" cm="1">
        <f t="array" ref="F97">GetValue("Tbl",A97&amp;";"&amp;C97&amp;";"&amp;E97,"Name")</f>
        <v>DatabasesEnvironments</v>
      </c>
      <c r="G97" s="15" t="str" cm="1">
        <f t="array" ref="G97">GetValue("Tbl",A97&amp;";"&amp;C97&amp;";"&amp;E97,"Alias")</f>
        <v>DbEnv</v>
      </c>
      <c r="H97">
        <f t="shared" si="9"/>
        <v>96</v>
      </c>
      <c r="I97">
        <f t="shared" si="10"/>
        <v>50</v>
      </c>
      <c r="J97">
        <v>9</v>
      </c>
      <c r="K97" t="e" cm="1">
        <f t="array" ref="K97">GetValue("Dmn",A97&amp;";"&amp;J97,"Name")</f>
        <v>#VALUE!</v>
      </c>
      <c r="L97" t="e" cm="1">
        <f t="array" ref="L97">GetValue("Dmn",A97&amp;";"&amp;J97,"#CategoryName")</f>
        <v>#VALUE!</v>
      </c>
      <c r="M97" t="e" cm="1">
        <f t="array" ref="M97">GetValue("EngDmn",A97&amp;";"&amp;1&amp;";"&amp;J97,"DataType")</f>
        <v>#VALUE!</v>
      </c>
      <c r="N97" t="s">
        <v>78</v>
      </c>
      <c r="O97" t="s">
        <v>229</v>
      </c>
      <c r="P97" t="s">
        <v>230</v>
      </c>
      <c r="Q97" t="s">
        <v>230</v>
      </c>
      <c r="S97" s="21" t="s">
        <v>30</v>
      </c>
      <c r="T97" s="21"/>
      <c r="U97" t="b">
        <v>0</v>
      </c>
      <c r="W97" t="b">
        <v>1</v>
      </c>
      <c r="X97" t="b">
        <v>0</v>
      </c>
      <c r="Y97" t="b">
        <v>1</v>
      </c>
      <c r="Z97" t="b">
        <v>1</v>
      </c>
      <c r="AA97" t="b">
        <v>0</v>
      </c>
    </row>
    <row r="98" spans="1:28" x14ac:dyDescent="0.3">
      <c r="A98">
        <v>1</v>
      </c>
      <c r="B98" t="s">
        <v>735</v>
      </c>
      <c r="C98">
        <v>1</v>
      </c>
      <c r="D98" s="15" t="e" cm="1">
        <f t="array" ref="D98">GetValue("Db",A98&amp;";"&amp;C98,"Name")</f>
        <v>#VALUE!</v>
      </c>
      <c r="E98">
        <v>14</v>
      </c>
      <c r="F98" s="15" t="str" cm="1">
        <f t="array" ref="F98">GetValue("Tbl",A98&amp;";"&amp;C98&amp;";"&amp;E98,"Name")</f>
        <v>DatabasesEnvironments</v>
      </c>
      <c r="G98" s="15" t="str" cm="1">
        <f t="array" ref="G98">GetValue("Tbl",A98&amp;";"&amp;C98&amp;";"&amp;E98,"Alias")</f>
        <v>DbEnv</v>
      </c>
      <c r="H98">
        <f t="shared" si="9"/>
        <v>97</v>
      </c>
      <c r="I98">
        <f t="shared" si="10"/>
        <v>55</v>
      </c>
      <c r="J98">
        <v>17</v>
      </c>
      <c r="K98" t="e" cm="1">
        <f t="array" ref="K98">GetValue("Dmn",A98&amp;";"&amp;J98,"Name")</f>
        <v>#VALUE!</v>
      </c>
      <c r="L98" t="e" cm="1">
        <f t="array" ref="L98">GetValue("Dmn",A98&amp;";"&amp;J98,"#CategoryName")</f>
        <v>#VALUE!</v>
      </c>
      <c r="M98" t="e" cm="1">
        <f t="array" ref="M98">GetValue("EngDmn",A98&amp;";"&amp;1&amp;";"&amp;J98,"DataType")</f>
        <v>#VALUE!</v>
      </c>
      <c r="N98" t="s">
        <v>61</v>
      </c>
      <c r="O98" t="s">
        <v>231</v>
      </c>
      <c r="P98" t="s">
        <v>232</v>
      </c>
      <c r="Q98" t="s">
        <v>232</v>
      </c>
      <c r="S98" s="21" t="s">
        <v>30</v>
      </c>
      <c r="T98" s="21"/>
      <c r="W98" t="b">
        <v>0</v>
      </c>
      <c r="Y98" t="b">
        <v>1</v>
      </c>
      <c r="Z98" t="b">
        <v>0</v>
      </c>
    </row>
    <row r="99" spans="1:28" x14ac:dyDescent="0.3">
      <c r="A99">
        <v>1</v>
      </c>
      <c r="B99" t="s">
        <v>735</v>
      </c>
      <c r="C99">
        <v>1</v>
      </c>
      <c r="D99" s="15" t="e" cm="1">
        <f t="array" ref="D99">GetValue("Db",A99&amp;";"&amp;C99,"Name")</f>
        <v>#VALUE!</v>
      </c>
      <c r="E99">
        <v>14</v>
      </c>
      <c r="F99" s="15" t="str" cm="1">
        <f t="array" ref="F99">GetValue("Tbl",A99&amp;";"&amp;C99&amp;";"&amp;E99,"Name")</f>
        <v>DatabasesEnvironments</v>
      </c>
      <c r="G99" s="15" t="str" cm="1">
        <f t="array" ref="G99">GetValue("Tbl",A99&amp;";"&amp;C99&amp;";"&amp;E99,"Alias")</f>
        <v>DbEnv</v>
      </c>
      <c r="H99">
        <f t="shared" si="9"/>
        <v>98</v>
      </c>
      <c r="I99">
        <f t="shared" si="10"/>
        <v>60</v>
      </c>
      <c r="J99">
        <v>17</v>
      </c>
      <c r="K99" t="e" cm="1">
        <f t="array" ref="K99">GetValue("Dmn",A99&amp;";"&amp;J99,"Name")</f>
        <v>#VALUE!</v>
      </c>
      <c r="L99" t="e" cm="1">
        <f t="array" ref="L99">GetValue("Dmn",A99&amp;";"&amp;J99,"#CategoryName")</f>
        <v>#VALUE!</v>
      </c>
      <c r="M99" t="e" cm="1">
        <f t="array" ref="M99">GetValue("EngDmn",A99&amp;";"&amp;1&amp;";"&amp;J99,"DataType")</f>
        <v>#VALUE!</v>
      </c>
      <c r="N99" t="s">
        <v>21</v>
      </c>
      <c r="O99" t="s">
        <v>233</v>
      </c>
      <c r="P99" t="s">
        <v>145</v>
      </c>
      <c r="Q99" t="s">
        <v>145</v>
      </c>
      <c r="S99" s="21" t="s">
        <v>30</v>
      </c>
      <c r="T99" s="21"/>
      <c r="W99" t="b">
        <v>0</v>
      </c>
      <c r="Y99" t="b">
        <v>1</v>
      </c>
      <c r="Z99" t="b">
        <v>0</v>
      </c>
    </row>
    <row r="100" spans="1:28" x14ac:dyDescent="0.3">
      <c r="A100">
        <v>1</v>
      </c>
      <c r="B100" t="s">
        <v>735</v>
      </c>
      <c r="C100">
        <v>1</v>
      </c>
      <c r="D100" s="15" t="e" cm="1">
        <f t="array" ref="D100">GetValue("Db",A100&amp;";"&amp;C100,"Name")</f>
        <v>#VALUE!</v>
      </c>
      <c r="E100">
        <v>14</v>
      </c>
      <c r="F100" s="15" t="str" cm="1">
        <f t="array" ref="F100">GetValue("Tbl",A100&amp;";"&amp;C100&amp;";"&amp;E100,"Name")</f>
        <v>DatabasesEnvironments</v>
      </c>
      <c r="G100" s="15" t="str" cm="1">
        <f t="array" ref="G100">GetValue("Tbl",A100&amp;";"&amp;C100&amp;";"&amp;E100,"Alias")</f>
        <v>DbEnv</v>
      </c>
      <c r="H100">
        <f t="shared" si="9"/>
        <v>99</v>
      </c>
      <c r="I100">
        <f t="shared" si="10"/>
        <v>65</v>
      </c>
      <c r="J100">
        <v>17</v>
      </c>
      <c r="K100" t="e" cm="1">
        <f t="array" ref="K100">GetValue("Dmn",A100&amp;";"&amp;J100,"Name")</f>
        <v>#VALUE!</v>
      </c>
      <c r="L100" t="e" cm="1">
        <f t="array" ref="L100">GetValue("Dmn",A100&amp;";"&amp;J100,"#CategoryName")</f>
        <v>#VALUE!</v>
      </c>
      <c r="M100" t="e" cm="1">
        <f t="array" ref="M100">GetValue("EngDmn",A100&amp;";"&amp;1&amp;";"&amp;J100,"DataType")</f>
        <v>#VALUE!</v>
      </c>
      <c r="N100" t="s">
        <v>22</v>
      </c>
      <c r="O100" t="s">
        <v>234</v>
      </c>
      <c r="P100" t="s">
        <v>147</v>
      </c>
      <c r="Q100" t="s">
        <v>147</v>
      </c>
      <c r="S100" s="21" t="s">
        <v>30</v>
      </c>
      <c r="T100" s="21"/>
      <c r="W100" t="b">
        <v>0</v>
      </c>
      <c r="Y100" t="b">
        <v>1</v>
      </c>
      <c r="Z100" t="b">
        <v>0</v>
      </c>
    </row>
    <row r="101" spans="1:28" x14ac:dyDescent="0.3">
      <c r="A101">
        <v>1</v>
      </c>
      <c r="B101" t="s">
        <v>735</v>
      </c>
      <c r="C101">
        <v>1</v>
      </c>
      <c r="D101" s="15" t="e" cm="1">
        <f t="array" ref="D101">GetValue("Db",A101&amp;";"&amp;C101,"Name")</f>
        <v>#VALUE!</v>
      </c>
      <c r="E101">
        <v>14</v>
      </c>
      <c r="F101" s="15" t="str" cm="1">
        <f t="array" ref="F101">GetValue("Tbl",A101&amp;";"&amp;C101&amp;";"&amp;E101,"Name")</f>
        <v>DatabasesEnvironments</v>
      </c>
      <c r="G101" s="15" t="str" cm="1">
        <f t="array" ref="G101">GetValue("Tbl",A101&amp;";"&amp;C101&amp;";"&amp;E101,"Alias")</f>
        <v>DbEnv</v>
      </c>
      <c r="H101">
        <f t="shared" si="9"/>
        <v>100</v>
      </c>
      <c r="I101">
        <f t="shared" si="10"/>
        <v>70</v>
      </c>
      <c r="J101">
        <v>6</v>
      </c>
      <c r="K101" t="e" cm="1">
        <f t="array" ref="K101">GetValue("Dmn",A101&amp;";"&amp;J101,"Name")</f>
        <v>#VALUE!</v>
      </c>
      <c r="L101" t="e" cm="1">
        <f t="array" ref="L101">GetValue("Dmn",A101&amp;";"&amp;J101,"#CategoryName")</f>
        <v>#VALUE!</v>
      </c>
      <c r="M101" t="e" cm="1">
        <f t="array" ref="M101">GetValue("EngDmn",A101&amp;";"&amp;1&amp;";"&amp;J101,"DataType")</f>
        <v>#VALUE!</v>
      </c>
      <c r="N101" t="s">
        <v>131</v>
      </c>
      <c r="O101" t="s">
        <v>235</v>
      </c>
      <c r="P101" t="s">
        <v>335</v>
      </c>
      <c r="Q101" t="s">
        <v>335</v>
      </c>
      <c r="S101" s="21" t="s">
        <v>30</v>
      </c>
      <c r="T101" s="21"/>
      <c r="W101" t="b">
        <v>0</v>
      </c>
      <c r="Y101" t="b">
        <v>1</v>
      </c>
      <c r="Z101" t="b">
        <v>0</v>
      </c>
    </row>
    <row r="102" spans="1:28" x14ac:dyDescent="0.3">
      <c r="A102">
        <v>1</v>
      </c>
      <c r="B102" t="s">
        <v>735</v>
      </c>
      <c r="C102">
        <v>1</v>
      </c>
      <c r="D102" s="15" t="e" cm="1">
        <f t="array" ref="D102">GetValue("Db",A102&amp;";"&amp;C102,"Name")</f>
        <v>#VALUE!</v>
      </c>
      <c r="E102">
        <v>14</v>
      </c>
      <c r="F102" s="15" t="str" cm="1">
        <f t="array" ref="F102">GetValue("Tbl",A102&amp;";"&amp;C102&amp;";"&amp;E102,"Name")</f>
        <v>DatabasesEnvironments</v>
      </c>
      <c r="G102" s="15" t="str" cm="1">
        <f t="array" ref="G102">GetValue("Tbl",A102&amp;";"&amp;C102&amp;";"&amp;E102,"Alias")</f>
        <v>DbEnv</v>
      </c>
      <c r="H102">
        <f t="shared" si="9"/>
        <v>101</v>
      </c>
      <c r="I102">
        <f t="shared" si="10"/>
        <v>75</v>
      </c>
      <c r="J102">
        <v>6</v>
      </c>
      <c r="K102" t="e" cm="1">
        <f t="array" ref="K102">GetValue("Dmn",A102&amp;";"&amp;J102,"Name")</f>
        <v>#VALUE!</v>
      </c>
      <c r="L102" t="e" cm="1">
        <f t="array" ref="L102">GetValue("Dmn",A102&amp;";"&amp;J102,"#CategoryName")</f>
        <v>#VALUE!</v>
      </c>
      <c r="M102" t="e" cm="1">
        <f t="array" ref="M102">GetValue("EngDmn",A102&amp;";"&amp;1&amp;";"&amp;J102,"DataType")</f>
        <v>#VALUE!</v>
      </c>
      <c r="N102" t="s">
        <v>132</v>
      </c>
      <c r="O102" t="s">
        <v>236</v>
      </c>
      <c r="P102" t="s">
        <v>336</v>
      </c>
      <c r="Q102" t="s">
        <v>336</v>
      </c>
      <c r="S102" s="21" t="s">
        <v>30</v>
      </c>
      <c r="T102" s="21"/>
      <c r="W102" t="b">
        <v>0</v>
      </c>
      <c r="X102" t="b">
        <v>1</v>
      </c>
      <c r="Y102" t="b">
        <v>1</v>
      </c>
      <c r="Z102" t="b">
        <v>0</v>
      </c>
    </row>
    <row r="103" spans="1:28" x14ac:dyDescent="0.3">
      <c r="A103">
        <v>1</v>
      </c>
      <c r="B103" t="s">
        <v>735</v>
      </c>
      <c r="C103">
        <v>1</v>
      </c>
      <c r="D103" s="15" t="e" cm="1">
        <f t="array" ref="D103">GetValue("Db",A103&amp;";"&amp;C103,"Name")</f>
        <v>#VALUE!</v>
      </c>
      <c r="E103">
        <v>14</v>
      </c>
      <c r="F103" s="15" t="str" cm="1">
        <f t="array" ref="F103">GetValue("Tbl",A103&amp;";"&amp;C103&amp;";"&amp;E103,"Name")</f>
        <v>DatabasesEnvironments</v>
      </c>
      <c r="G103" s="15" t="str" cm="1">
        <f t="array" ref="G103">GetValue("Tbl",A103&amp;";"&amp;C103&amp;";"&amp;E103,"Alias")</f>
        <v>DbEnv</v>
      </c>
      <c r="H103">
        <f t="shared" si="9"/>
        <v>102</v>
      </c>
      <c r="I103">
        <f t="shared" si="10"/>
        <v>80</v>
      </c>
      <c r="J103">
        <v>6</v>
      </c>
      <c r="K103" t="e" cm="1">
        <f t="array" ref="K103">GetValue("Dmn",A103&amp;";"&amp;J103,"Name")</f>
        <v>#VALUE!</v>
      </c>
      <c r="L103" t="e" cm="1">
        <f t="array" ref="L103">GetValue("Dmn",A103&amp;";"&amp;J103,"#CategoryName")</f>
        <v>#VALUE!</v>
      </c>
      <c r="M103" t="e" cm="1">
        <f t="array" ref="M103">GetValue("EngDmn",A103&amp;";"&amp;1&amp;";"&amp;J103,"DataType")</f>
        <v>#VALUE!</v>
      </c>
      <c r="N103" t="s">
        <v>133</v>
      </c>
      <c r="O103" t="s">
        <v>237</v>
      </c>
      <c r="P103" t="s">
        <v>337</v>
      </c>
      <c r="Q103" t="s">
        <v>337</v>
      </c>
      <c r="S103" s="21" t="s">
        <v>30</v>
      </c>
      <c r="T103" s="21"/>
      <c r="W103" t="b">
        <v>1</v>
      </c>
      <c r="X103" t="b">
        <v>1</v>
      </c>
      <c r="Y103" t="b">
        <v>1</v>
      </c>
      <c r="Z103" t="b">
        <v>0</v>
      </c>
    </row>
    <row r="104" spans="1:28" x14ac:dyDescent="0.3">
      <c r="A104">
        <v>1</v>
      </c>
      <c r="B104" t="s">
        <v>735</v>
      </c>
      <c r="C104">
        <v>1</v>
      </c>
      <c r="D104" s="15" t="e" cm="1">
        <f t="array" ref="D104">GetValue("Db",A104&amp;";"&amp;C104,"Name")</f>
        <v>#VALUE!</v>
      </c>
      <c r="E104">
        <v>14</v>
      </c>
      <c r="F104" s="15" t="str" cm="1">
        <f t="array" ref="F104">GetValue("Tbl",A104&amp;";"&amp;C104&amp;";"&amp;E104,"Name")</f>
        <v>DatabasesEnvironments</v>
      </c>
      <c r="G104" s="15" t="str" cm="1">
        <f t="array" ref="G104">GetValue("Tbl",A104&amp;";"&amp;C104&amp;";"&amp;E104,"Alias")</f>
        <v>DbEnv</v>
      </c>
      <c r="H104">
        <f t="shared" si="9"/>
        <v>103</v>
      </c>
      <c r="I104">
        <f t="shared" si="10"/>
        <v>85</v>
      </c>
      <c r="J104">
        <v>6</v>
      </c>
      <c r="K104" t="e" cm="1">
        <f t="array" ref="K104">GetValue("Dmn",A104&amp;";"&amp;J104,"Name")</f>
        <v>#VALUE!</v>
      </c>
      <c r="L104" t="e" cm="1">
        <f t="array" ref="L104">GetValue("Dmn",A104&amp;";"&amp;J104,"#CategoryName")</f>
        <v>#VALUE!</v>
      </c>
      <c r="M104" t="e" cm="1">
        <f t="array" ref="M104">GetValue("EngDmn",A104&amp;";"&amp;1&amp;";"&amp;J104,"DataType")</f>
        <v>#VALUE!</v>
      </c>
      <c r="N104" t="s">
        <v>134</v>
      </c>
      <c r="O104" t="s">
        <v>238</v>
      </c>
      <c r="P104" t="s">
        <v>338</v>
      </c>
      <c r="Q104" t="s">
        <v>338</v>
      </c>
      <c r="S104" s="21" t="s">
        <v>30</v>
      </c>
      <c r="T104" s="21"/>
      <c r="W104" t="b">
        <v>0</v>
      </c>
      <c r="X104" t="b">
        <v>1</v>
      </c>
      <c r="Y104" t="b">
        <v>1</v>
      </c>
      <c r="Z104" t="b">
        <v>1</v>
      </c>
    </row>
    <row r="105" spans="1:28" x14ac:dyDescent="0.3">
      <c r="A105">
        <v>1</v>
      </c>
      <c r="B105" t="s">
        <v>735</v>
      </c>
      <c r="C105">
        <v>1</v>
      </c>
      <c r="D105" s="15" t="e" cm="1">
        <f t="array" ref="D105">GetValue("Db",A105&amp;";"&amp;C105,"Name")</f>
        <v>#VALUE!</v>
      </c>
      <c r="E105">
        <v>14</v>
      </c>
      <c r="F105" s="15" t="str" cm="1">
        <f t="array" ref="F105">GetValue("Tbl",A105&amp;";"&amp;C105&amp;";"&amp;E105,"Name")</f>
        <v>DatabasesEnvironments</v>
      </c>
      <c r="G105" s="15" t="str" cm="1">
        <f t="array" ref="G105">GetValue("Tbl",A105&amp;";"&amp;C105&amp;";"&amp;E105,"Alias")</f>
        <v>DbEnv</v>
      </c>
      <c r="H105">
        <f t="shared" si="9"/>
        <v>104</v>
      </c>
      <c r="I105">
        <f t="shared" si="10"/>
        <v>90</v>
      </c>
      <c r="J105">
        <v>6</v>
      </c>
      <c r="K105" t="e" cm="1">
        <f t="array" ref="K105">GetValue("Dmn",A105&amp;";"&amp;J105,"Name")</f>
        <v>#VALUE!</v>
      </c>
      <c r="L105" t="e" cm="1">
        <f t="array" ref="L105">GetValue("Dmn",A105&amp;";"&amp;J105,"#CategoryName")</f>
        <v>#VALUE!</v>
      </c>
      <c r="M105" t="e" cm="1">
        <f t="array" ref="M105">GetValue("EngDmn",A105&amp;";"&amp;1&amp;";"&amp;J105,"DataType")</f>
        <v>#VALUE!</v>
      </c>
      <c r="N105" t="s">
        <v>135</v>
      </c>
      <c r="O105" t="s">
        <v>239</v>
      </c>
      <c r="P105" t="s">
        <v>339</v>
      </c>
      <c r="Q105" t="s">
        <v>339</v>
      </c>
      <c r="S105" s="21" t="s">
        <v>30</v>
      </c>
      <c r="T105" s="21"/>
      <c r="W105" t="b">
        <v>0</v>
      </c>
      <c r="X105" t="b">
        <v>1</v>
      </c>
      <c r="Y105" t="b">
        <v>1</v>
      </c>
      <c r="Z105" t="b">
        <v>1</v>
      </c>
    </row>
    <row r="106" spans="1:28" x14ac:dyDescent="0.3">
      <c r="A106">
        <v>1</v>
      </c>
      <c r="B106" t="s">
        <v>735</v>
      </c>
      <c r="C106">
        <v>1</v>
      </c>
      <c r="D106" s="15" t="e" cm="1">
        <f t="array" ref="D106">GetValue("Db",A106&amp;";"&amp;C106,"Name")</f>
        <v>#VALUE!</v>
      </c>
      <c r="E106">
        <v>14</v>
      </c>
      <c r="F106" s="15" t="str" cm="1">
        <f t="array" ref="F106">GetValue("Tbl",A106&amp;";"&amp;C106&amp;";"&amp;E106,"Name")</f>
        <v>DatabasesEnvironments</v>
      </c>
      <c r="G106" s="15" t="str" cm="1">
        <f t="array" ref="G106">GetValue("Tbl",A106&amp;";"&amp;C106&amp;";"&amp;E106,"Alias")</f>
        <v>DbEnv</v>
      </c>
      <c r="H106">
        <f t="shared" si="9"/>
        <v>105</v>
      </c>
      <c r="I106">
        <f t="shared" si="10"/>
        <v>95</v>
      </c>
      <c r="J106">
        <v>6</v>
      </c>
      <c r="K106" t="e" cm="1">
        <f t="array" ref="K106">GetValue("Dmn",A106&amp;";"&amp;J106,"Name")</f>
        <v>#VALUE!</v>
      </c>
      <c r="L106" t="e" cm="1">
        <f t="array" ref="L106">GetValue("Dmn",A106&amp;";"&amp;J106,"#CategoryName")</f>
        <v>#VALUE!</v>
      </c>
      <c r="M106" t="e" cm="1">
        <f t="array" ref="M106">GetValue("EngDmn",A106&amp;";"&amp;1&amp;";"&amp;J106,"DataType")</f>
        <v>#VALUE!</v>
      </c>
      <c r="N106" t="s">
        <v>136</v>
      </c>
      <c r="O106" t="s">
        <v>240</v>
      </c>
      <c r="P106" t="s">
        <v>340</v>
      </c>
      <c r="Q106" t="s">
        <v>340</v>
      </c>
      <c r="S106" s="21" t="s">
        <v>30</v>
      </c>
      <c r="T106" s="21"/>
      <c r="W106" t="b">
        <v>0</v>
      </c>
      <c r="X106" t="b">
        <v>1</v>
      </c>
      <c r="Y106" t="b">
        <v>1</v>
      </c>
      <c r="Z106" t="b">
        <v>1</v>
      </c>
    </row>
    <row r="107" spans="1:28" x14ac:dyDescent="0.3">
      <c r="A107">
        <v>1</v>
      </c>
      <c r="B107" t="s">
        <v>735</v>
      </c>
      <c r="C107">
        <v>1</v>
      </c>
      <c r="D107" s="15" t="e" cm="1">
        <f t="array" ref="D107">GetValue("Db",A107&amp;";"&amp;C107,"Name")</f>
        <v>#VALUE!</v>
      </c>
      <c r="E107">
        <v>14</v>
      </c>
      <c r="F107" s="15" t="str" cm="1">
        <f t="array" ref="F107">GetValue("Tbl",A107&amp;";"&amp;C107&amp;";"&amp;E107,"Name")</f>
        <v>DatabasesEnvironments</v>
      </c>
      <c r="G107" s="15" t="str" cm="1">
        <f t="array" ref="G107">GetValue("Tbl",A107&amp;";"&amp;C107&amp;";"&amp;E107,"Alias")</f>
        <v>DbEnv</v>
      </c>
      <c r="H107">
        <f t="shared" si="9"/>
        <v>106</v>
      </c>
      <c r="I107">
        <f t="shared" si="10"/>
        <v>100</v>
      </c>
      <c r="J107">
        <v>6</v>
      </c>
      <c r="K107" t="e" cm="1">
        <f t="array" ref="K107">GetValue("Dmn",A107&amp;";"&amp;J107,"Name")</f>
        <v>#VALUE!</v>
      </c>
      <c r="L107" t="e" cm="1">
        <f t="array" ref="L107">GetValue("Dmn",A107&amp;";"&amp;J107,"#CategoryName")</f>
        <v>#VALUE!</v>
      </c>
      <c r="M107" t="e" cm="1">
        <f t="array" ref="M107">GetValue("EngDmn",A107&amp;";"&amp;1&amp;";"&amp;J107,"DataType")</f>
        <v>#VALUE!</v>
      </c>
      <c r="N107" t="s">
        <v>331</v>
      </c>
      <c r="O107" t="s">
        <v>334</v>
      </c>
      <c r="P107" t="s">
        <v>341</v>
      </c>
      <c r="Q107" t="s">
        <v>341</v>
      </c>
      <c r="S107" s="21" t="s">
        <v>30</v>
      </c>
      <c r="T107" s="21"/>
      <c r="W107" t="b">
        <v>0</v>
      </c>
      <c r="X107" t="b">
        <v>1</v>
      </c>
      <c r="Y107" t="b">
        <v>1</v>
      </c>
      <c r="Z107" t="b">
        <v>1</v>
      </c>
    </row>
    <row r="108" spans="1:28" x14ac:dyDescent="0.3">
      <c r="A108">
        <v>1</v>
      </c>
      <c r="B108" t="s">
        <v>735</v>
      </c>
      <c r="C108">
        <v>1</v>
      </c>
      <c r="D108" s="15" t="e" cm="1">
        <f t="array" ref="D108">GetValue("Db",A108&amp;";"&amp;C108,"Name")</f>
        <v>#VALUE!</v>
      </c>
      <c r="E108">
        <v>14</v>
      </c>
      <c r="F108" s="15" t="str" cm="1">
        <f t="array" ref="F108">GetValue("Tbl",A108&amp;";"&amp;C108&amp;";"&amp;E108,"Name")</f>
        <v>DatabasesEnvironments</v>
      </c>
      <c r="G108" s="15" t="str" cm="1">
        <f t="array" ref="G108">GetValue("Tbl",A108&amp;";"&amp;C108&amp;";"&amp;E108,"Alias")</f>
        <v>DbEnv</v>
      </c>
      <c r="H108">
        <f t="shared" si="9"/>
        <v>107</v>
      </c>
      <c r="I108">
        <f t="shared" si="10"/>
        <v>105</v>
      </c>
      <c r="J108">
        <v>6</v>
      </c>
      <c r="K108" t="e" cm="1">
        <f t="array" ref="K108">GetValue("Dmn",A108&amp;";"&amp;J108,"Name")</f>
        <v>#VALUE!</v>
      </c>
      <c r="L108" t="e" cm="1">
        <f t="array" ref="L108">GetValue("Dmn",A108&amp;";"&amp;J108,"#CategoryName")</f>
        <v>#VALUE!</v>
      </c>
      <c r="M108" t="e" cm="1">
        <f t="array" ref="M108">GetValue("EngDmn",A108&amp;";"&amp;1&amp;";"&amp;J108,"DataType")</f>
        <v>#VALUE!</v>
      </c>
      <c r="N108" t="s">
        <v>137</v>
      </c>
      <c r="O108" t="s">
        <v>241</v>
      </c>
      <c r="P108" t="s">
        <v>342</v>
      </c>
      <c r="Q108" t="s">
        <v>342</v>
      </c>
      <c r="S108" s="21" t="s">
        <v>30</v>
      </c>
      <c r="T108" s="21"/>
      <c r="W108" t="b">
        <v>0</v>
      </c>
      <c r="X108" t="b">
        <v>1</v>
      </c>
      <c r="Y108" t="b">
        <v>1</v>
      </c>
      <c r="Z108" t="b">
        <v>1</v>
      </c>
    </row>
    <row r="109" spans="1:28" x14ac:dyDescent="0.3">
      <c r="A109">
        <v>1</v>
      </c>
      <c r="B109" t="s">
        <v>735</v>
      </c>
      <c r="C109">
        <v>1</v>
      </c>
      <c r="D109" s="15" t="e" cm="1">
        <f t="array" ref="D109">GetValue("Db",A109&amp;";"&amp;C109,"Name")</f>
        <v>#VALUE!</v>
      </c>
      <c r="E109">
        <v>14</v>
      </c>
      <c r="F109" s="15" t="str" cm="1">
        <f t="array" ref="F109">GetValue("Tbl",A109&amp;";"&amp;C109&amp;";"&amp;E109,"Name")</f>
        <v>DatabasesEnvironments</v>
      </c>
      <c r="G109" s="15" t="str" cm="1">
        <f t="array" ref="G109">GetValue("Tbl",A109&amp;";"&amp;C109&amp;";"&amp;E109,"Alias")</f>
        <v>DbEnv</v>
      </c>
      <c r="H109">
        <f t="shared" si="9"/>
        <v>108</v>
      </c>
      <c r="I109">
        <f t="shared" si="10"/>
        <v>110</v>
      </c>
      <c r="J109">
        <v>6</v>
      </c>
      <c r="K109" t="e" cm="1">
        <f t="array" ref="K109">GetValue("Dmn",A109&amp;";"&amp;J109,"Name")</f>
        <v>#VALUE!</v>
      </c>
      <c r="L109" t="e" cm="1">
        <f t="array" ref="L109">GetValue("Dmn",A109&amp;";"&amp;J109,"#CategoryName")</f>
        <v>#VALUE!</v>
      </c>
      <c r="M109" t="e" cm="1">
        <f t="array" ref="M109">GetValue("EngDmn",A109&amp;";"&amp;1&amp;";"&amp;J109,"DataType")</f>
        <v>#VALUE!</v>
      </c>
      <c r="N109" t="s">
        <v>357</v>
      </c>
      <c r="O109" t="s">
        <v>356</v>
      </c>
      <c r="P109" t="s">
        <v>358</v>
      </c>
      <c r="Q109" t="s">
        <v>358</v>
      </c>
      <c r="S109" s="21" t="s">
        <v>30</v>
      </c>
      <c r="T109" s="21"/>
      <c r="W109" t="b">
        <v>0</v>
      </c>
      <c r="X109" t="b">
        <v>1</v>
      </c>
      <c r="Y109" t="b">
        <v>1</v>
      </c>
      <c r="Z109" t="b">
        <v>1</v>
      </c>
    </row>
    <row r="110" spans="1:28" x14ac:dyDescent="0.3">
      <c r="A110">
        <v>1</v>
      </c>
      <c r="B110" t="s">
        <v>735</v>
      </c>
      <c r="C110">
        <v>1</v>
      </c>
      <c r="D110" s="15" t="e" cm="1">
        <f t="array" ref="D110">GetValue("Db",A110&amp;";"&amp;C110,"Name")</f>
        <v>#VALUE!</v>
      </c>
      <c r="E110">
        <v>15</v>
      </c>
      <c r="F110" s="15" t="str" cm="1">
        <f t="array" ref="F110">GetValue("Tbl",A110&amp;";"&amp;C110&amp;";"&amp;E110,"Name")</f>
        <v>Systems</v>
      </c>
      <c r="G110" s="15" t="str" cm="1">
        <f t="array" ref="G110">GetValue("Tbl",A110&amp;";"&amp;C110&amp;";"&amp;E110,"Alias")</f>
        <v>Sys</v>
      </c>
      <c r="H110">
        <f t="shared" si="9"/>
        <v>109</v>
      </c>
      <c r="I110">
        <v>5</v>
      </c>
      <c r="J110">
        <v>1</v>
      </c>
      <c r="K110" t="e" cm="1">
        <f t="array" ref="K110">GetValue("Dmn",A110&amp;";"&amp;J110,"Name")</f>
        <v>#VALUE!</v>
      </c>
      <c r="L110" t="e" cm="1">
        <f t="array" ref="L110">GetValue("Dmn",A110&amp;";"&amp;J110,"#CategoryName")</f>
        <v>#VALUE!</v>
      </c>
      <c r="M110" t="e" cm="1">
        <f t="array" ref="M110">GetValue("EngDmn",A110&amp;";"&amp;1&amp;";"&amp;J110,"DataType")</f>
        <v>#VALUE!</v>
      </c>
      <c r="N110" t="s">
        <v>0</v>
      </c>
      <c r="O110" t="s">
        <v>242</v>
      </c>
      <c r="P110" t="s">
        <v>139</v>
      </c>
      <c r="Q110" t="s">
        <v>139</v>
      </c>
      <c r="S110" s="2">
        <v>1</v>
      </c>
      <c r="U110" t="b">
        <v>1</v>
      </c>
      <c r="V110" t="b">
        <v>1</v>
      </c>
      <c r="W110" t="b">
        <v>1</v>
      </c>
      <c r="X110" t="b">
        <v>1</v>
      </c>
      <c r="Y110" t="b">
        <v>0</v>
      </c>
      <c r="Z110" t="b">
        <v>0</v>
      </c>
      <c r="AB110" t="b">
        <v>0</v>
      </c>
    </row>
    <row r="111" spans="1:28" x14ac:dyDescent="0.3">
      <c r="A111">
        <v>1</v>
      </c>
      <c r="B111" t="s">
        <v>735</v>
      </c>
      <c r="C111">
        <v>1</v>
      </c>
      <c r="D111" s="15" t="e" cm="1">
        <f t="array" ref="D111">GetValue("Db",A111&amp;";"&amp;C111,"Name")</f>
        <v>#VALUE!</v>
      </c>
      <c r="E111">
        <v>15</v>
      </c>
      <c r="F111" s="15" t="str" cm="1">
        <f t="array" ref="F111">GetValue("Tbl",A111&amp;";"&amp;C111&amp;";"&amp;E111,"Name")</f>
        <v>Systems</v>
      </c>
      <c r="G111" s="15" t="str" cm="1">
        <f t="array" ref="G111">GetValue("Tbl",A111&amp;";"&amp;C111&amp;";"&amp;E111,"Alias")</f>
        <v>Sys</v>
      </c>
      <c r="H111">
        <f t="shared" si="9"/>
        <v>110</v>
      </c>
      <c r="I111">
        <f>I110+5</f>
        <v>10</v>
      </c>
      <c r="J111">
        <v>1</v>
      </c>
      <c r="K111" t="e" cm="1">
        <f t="array" ref="K111">GetValue("Dmn",A111&amp;";"&amp;J111,"Name")</f>
        <v>#VALUE!</v>
      </c>
      <c r="L111" t="e" cm="1">
        <f t="array" ref="L111">GetValue("Dmn",A111&amp;";"&amp;J111,"#CategoryName")</f>
        <v>#VALUE!</v>
      </c>
      <c r="M111" t="e" cm="1">
        <f t="array" ref="M111">GetValue("EngDmn",A111&amp;";"&amp;1&amp;";"&amp;J111,"DataType")</f>
        <v>#VALUE!</v>
      </c>
      <c r="N111" t="s">
        <v>127</v>
      </c>
      <c r="O111" t="s">
        <v>243</v>
      </c>
      <c r="P111" t="s">
        <v>220</v>
      </c>
      <c r="Q111" t="s">
        <v>220</v>
      </c>
      <c r="S111" s="2">
        <v>1</v>
      </c>
      <c r="U111" t="b">
        <v>0</v>
      </c>
      <c r="V111" t="b">
        <v>0</v>
      </c>
      <c r="W111" t="b">
        <v>1</v>
      </c>
      <c r="X111" t="b">
        <v>1</v>
      </c>
      <c r="Y111" t="b">
        <v>1</v>
      </c>
      <c r="Z111" t="b">
        <v>1</v>
      </c>
      <c r="AB111" t="b">
        <v>0</v>
      </c>
    </row>
    <row r="112" spans="1:28" x14ac:dyDescent="0.3">
      <c r="A112">
        <v>1</v>
      </c>
      <c r="B112" t="s">
        <v>735</v>
      </c>
      <c r="C112">
        <v>1</v>
      </c>
      <c r="D112" s="15" t="e" cm="1">
        <f t="array" ref="D112">GetValue("Db",A112&amp;";"&amp;C112,"Name")</f>
        <v>#VALUE!</v>
      </c>
      <c r="E112">
        <v>15</v>
      </c>
      <c r="F112" s="15" t="str" cm="1">
        <f t="array" ref="F112">GetValue("Tbl",A112&amp;";"&amp;C112&amp;";"&amp;E112,"Name")</f>
        <v>Systems</v>
      </c>
      <c r="G112" s="15" t="str" cm="1">
        <f t="array" ref="G112">GetValue("Tbl",A112&amp;";"&amp;C112&amp;";"&amp;E112,"Alias")</f>
        <v>Sys</v>
      </c>
      <c r="H112">
        <f t="shared" si="9"/>
        <v>111</v>
      </c>
      <c r="I112">
        <f>I111+5</f>
        <v>15</v>
      </c>
      <c r="J112">
        <v>10</v>
      </c>
      <c r="K112" t="e" cm="1">
        <f t="array" ref="K112">GetValue("Dmn",A112&amp;";"&amp;J112,"Name")</f>
        <v>#VALUE!</v>
      </c>
      <c r="L112" t="e" cm="1">
        <f t="array" ref="L112">GetValue("Dmn",A112&amp;";"&amp;J112,"#CategoryName")</f>
        <v>#VALUE!</v>
      </c>
      <c r="M112" t="e" cm="1">
        <f t="array" ref="M112">GetValue("EngDmn",A112&amp;";"&amp;1&amp;";"&amp;J112,"DataType")</f>
        <v>#VALUE!</v>
      </c>
      <c r="N112" t="s">
        <v>1</v>
      </c>
      <c r="O112" t="s">
        <v>244</v>
      </c>
      <c r="P112" t="s">
        <v>141</v>
      </c>
      <c r="Q112" t="s">
        <v>141</v>
      </c>
      <c r="S112" s="2" t="s">
        <v>30</v>
      </c>
      <c r="U112" t="b">
        <v>0</v>
      </c>
      <c r="W112" t="b">
        <v>1</v>
      </c>
      <c r="X112" t="b">
        <v>1</v>
      </c>
      <c r="Y112" t="b">
        <v>1</v>
      </c>
      <c r="Z112" t="b">
        <v>1</v>
      </c>
      <c r="AA112" t="b">
        <v>0</v>
      </c>
    </row>
    <row r="113" spans="1:28" x14ac:dyDescent="0.3">
      <c r="A113">
        <v>1</v>
      </c>
      <c r="B113" t="s">
        <v>735</v>
      </c>
      <c r="C113">
        <v>1</v>
      </c>
      <c r="D113" s="15" t="e" cm="1">
        <f t="array" ref="D113">GetValue("Db",A113&amp;";"&amp;C113,"Name")</f>
        <v>#VALUE!</v>
      </c>
      <c r="E113">
        <v>15</v>
      </c>
      <c r="F113" s="15" t="str" cm="1">
        <f t="array" ref="F113">GetValue("Tbl",A113&amp;";"&amp;C113&amp;";"&amp;E113,"Name")</f>
        <v>Systems</v>
      </c>
      <c r="G113" s="15" t="str" cm="1">
        <f t="array" ref="G113">GetValue("Tbl",A113&amp;";"&amp;C113&amp;";"&amp;E113,"Alias")</f>
        <v>Sys</v>
      </c>
      <c r="H113">
        <f t="shared" si="9"/>
        <v>112</v>
      </c>
      <c r="I113">
        <f>I112+5</f>
        <v>20</v>
      </c>
      <c r="J113">
        <v>6</v>
      </c>
      <c r="K113" t="e" cm="1">
        <f t="array" ref="K113">GetValue("Dmn",A113&amp;";"&amp;J113,"Name")</f>
        <v>#VALUE!</v>
      </c>
      <c r="L113" t="e" cm="1">
        <f t="array" ref="L113">GetValue("Dmn",A113&amp;";"&amp;J113,"#CategoryName")</f>
        <v>#VALUE!</v>
      </c>
      <c r="M113" t="e" cm="1">
        <f t="array" ref="M113">GetValue("EngDmn",A113&amp;";"&amp;1&amp;";"&amp;J113,"DataType")</f>
        <v>#VALUE!</v>
      </c>
      <c r="N113" t="s">
        <v>245</v>
      </c>
      <c r="O113" t="s">
        <v>246</v>
      </c>
      <c r="P113" t="s">
        <v>247</v>
      </c>
      <c r="Q113" t="s">
        <v>247</v>
      </c>
      <c r="S113" s="2" t="s">
        <v>30</v>
      </c>
      <c r="W113" t="b">
        <v>1</v>
      </c>
      <c r="X113" t="b">
        <v>1</v>
      </c>
      <c r="Y113" t="b">
        <v>1</v>
      </c>
      <c r="Z113" t="b">
        <v>1</v>
      </c>
    </row>
    <row r="114" spans="1:28" x14ac:dyDescent="0.3">
      <c r="A114">
        <v>1</v>
      </c>
      <c r="B114" t="s">
        <v>735</v>
      </c>
      <c r="C114">
        <v>1</v>
      </c>
      <c r="D114" s="15" t="e" cm="1">
        <f t="array" ref="D114">GetValue("Db",A114&amp;";"&amp;C114,"Name")</f>
        <v>#VALUE!</v>
      </c>
      <c r="E114">
        <v>16</v>
      </c>
      <c r="F114" s="15" t="str" cm="1">
        <f t="array" ref="F114">GetValue("Tbl",A114&amp;";"&amp;C114&amp;";"&amp;E114,"Name")</f>
        <v>Menus</v>
      </c>
      <c r="G114" s="15" t="str" cm="1">
        <f t="array" ref="G114">GetValue("Tbl",A114&amp;";"&amp;C114&amp;";"&amp;E114,"Alias")</f>
        <v>Mnu</v>
      </c>
      <c r="H114">
        <f t="shared" si="9"/>
        <v>113</v>
      </c>
      <c r="I114">
        <v>5</v>
      </c>
      <c r="J114">
        <v>1</v>
      </c>
      <c r="K114" t="e" cm="1">
        <f t="array" ref="K114">GetValue("Dmn",A114&amp;";"&amp;J114,"Name")</f>
        <v>#VALUE!</v>
      </c>
      <c r="L114" t="e" cm="1">
        <f t="array" ref="L114">GetValue("Dmn",A114&amp;";"&amp;J114,"#CategoryName")</f>
        <v>#VALUE!</v>
      </c>
      <c r="M114" t="e" cm="1">
        <f t="array" ref="M114">GetValue("EngDmn",A114&amp;";"&amp;1&amp;";"&amp;J114,"DataType")</f>
        <v>#VALUE!</v>
      </c>
      <c r="N114" t="s">
        <v>0</v>
      </c>
      <c r="O114" t="s">
        <v>248</v>
      </c>
      <c r="P114" t="s">
        <v>139</v>
      </c>
      <c r="Q114" t="s">
        <v>139</v>
      </c>
      <c r="S114" s="21">
        <v>1</v>
      </c>
      <c r="T114" s="21"/>
      <c r="U114" t="b">
        <v>1</v>
      </c>
      <c r="V114" t="b">
        <v>1</v>
      </c>
      <c r="W114" t="b">
        <v>1</v>
      </c>
      <c r="X114" t="b">
        <v>1</v>
      </c>
      <c r="Y114" t="b">
        <v>0</v>
      </c>
      <c r="Z114" t="b">
        <v>0</v>
      </c>
      <c r="AB114" t="b">
        <v>0</v>
      </c>
    </row>
    <row r="115" spans="1:28" x14ac:dyDescent="0.3">
      <c r="A115">
        <v>1</v>
      </c>
      <c r="B115" t="s">
        <v>735</v>
      </c>
      <c r="C115">
        <v>1</v>
      </c>
      <c r="D115" s="15" t="e" cm="1">
        <f t="array" ref="D115">GetValue("Db",A115&amp;";"&amp;C115,"Name")</f>
        <v>#VALUE!</v>
      </c>
      <c r="E115">
        <v>16</v>
      </c>
      <c r="F115" s="15" t="str" cm="1">
        <f t="array" ref="F115">GetValue("Tbl",A115&amp;";"&amp;C115&amp;";"&amp;E115,"Name")</f>
        <v>Menus</v>
      </c>
      <c r="G115" s="15" t="str" cm="1">
        <f t="array" ref="G115">GetValue("Tbl",A115&amp;";"&amp;C115&amp;";"&amp;E115,"Alias")</f>
        <v>Mnu</v>
      </c>
      <c r="H115">
        <f t="shared" si="9"/>
        <v>114</v>
      </c>
      <c r="I115">
        <f>I114+5</f>
        <v>10</v>
      </c>
      <c r="J115">
        <v>1</v>
      </c>
      <c r="K115" t="e" cm="1">
        <f t="array" ref="K115">GetValue("Dmn",A115&amp;";"&amp;J115,"Name")</f>
        <v>#VALUE!</v>
      </c>
      <c r="L115" t="e" cm="1">
        <f t="array" ref="L115">GetValue("Dmn",A115&amp;";"&amp;J115,"#CategoryName")</f>
        <v>#VALUE!</v>
      </c>
      <c r="M115" t="e" cm="1">
        <f t="array" ref="M115">GetValue("EngDmn",A115&amp;";"&amp;1&amp;";"&amp;J115,"DataType")</f>
        <v>#VALUE!</v>
      </c>
      <c r="N115" t="s">
        <v>249</v>
      </c>
      <c r="O115" t="s">
        <v>250</v>
      </c>
      <c r="P115" t="s">
        <v>251</v>
      </c>
      <c r="Q115" t="s">
        <v>251</v>
      </c>
      <c r="S115" s="21">
        <v>1</v>
      </c>
      <c r="T115" s="21"/>
      <c r="U115" t="b">
        <v>0</v>
      </c>
      <c r="V115" t="b">
        <v>0</v>
      </c>
      <c r="W115" t="b">
        <v>1</v>
      </c>
      <c r="X115" t="b">
        <v>1</v>
      </c>
      <c r="Y115" t="b">
        <v>1</v>
      </c>
      <c r="Z115" t="b">
        <v>1</v>
      </c>
      <c r="AB115" t="b">
        <v>0</v>
      </c>
    </row>
    <row r="116" spans="1:28" x14ac:dyDescent="0.3">
      <c r="A116">
        <v>1</v>
      </c>
      <c r="B116" t="s">
        <v>735</v>
      </c>
      <c r="C116">
        <v>1</v>
      </c>
      <c r="D116" s="15" t="e" cm="1">
        <f t="array" ref="D116">GetValue("Db",A116&amp;";"&amp;C116,"Name")</f>
        <v>#VALUE!</v>
      </c>
      <c r="E116">
        <v>16</v>
      </c>
      <c r="F116" s="15" t="str" cm="1">
        <f t="array" ref="F116">GetValue("Tbl",A116&amp;";"&amp;C116&amp;";"&amp;E116,"Name")</f>
        <v>Menus</v>
      </c>
      <c r="G116" s="15" t="str" cm="1">
        <f t="array" ref="G116">GetValue("Tbl",A116&amp;";"&amp;C116&amp;";"&amp;E116,"Alias")</f>
        <v>Mnu</v>
      </c>
      <c r="H116">
        <f t="shared" si="9"/>
        <v>115</v>
      </c>
      <c r="I116">
        <f>I115+5</f>
        <v>15</v>
      </c>
      <c r="J116">
        <v>4</v>
      </c>
      <c r="K116" t="e" cm="1">
        <f t="array" ref="K116">GetValue("Dmn",A116&amp;";"&amp;J116,"Name")</f>
        <v>#VALUE!</v>
      </c>
      <c r="L116" t="e" cm="1">
        <f t="array" ref="L116">GetValue("Dmn",A116&amp;";"&amp;J116,"#CategoryName")</f>
        <v>#VALUE!</v>
      </c>
      <c r="M116" t="e" cm="1">
        <f t="array" ref="M116">GetValue("EngDmn",A116&amp;";"&amp;1&amp;";"&amp;J116,"DataType")</f>
        <v>#VALUE!</v>
      </c>
      <c r="N116" t="s">
        <v>77</v>
      </c>
      <c r="O116" t="s">
        <v>252</v>
      </c>
      <c r="P116" t="s">
        <v>188</v>
      </c>
      <c r="Q116" t="s">
        <v>188</v>
      </c>
      <c r="S116" s="21">
        <v>1</v>
      </c>
      <c r="T116" s="21"/>
      <c r="U116" t="b">
        <v>0</v>
      </c>
      <c r="V116" t="b">
        <v>0</v>
      </c>
      <c r="W116" t="b">
        <v>1</v>
      </c>
      <c r="X116" t="b">
        <v>0</v>
      </c>
      <c r="Y116" t="b">
        <v>1</v>
      </c>
      <c r="Z116" t="b">
        <v>1</v>
      </c>
      <c r="AB116" t="b">
        <v>0</v>
      </c>
    </row>
    <row r="117" spans="1:28" x14ac:dyDescent="0.3">
      <c r="A117">
        <v>1</v>
      </c>
      <c r="B117" t="s">
        <v>735</v>
      </c>
      <c r="C117">
        <v>1</v>
      </c>
      <c r="D117" s="15" t="e" cm="1">
        <f t="array" ref="D117">GetValue("Db",A117&amp;";"&amp;C117,"Name")</f>
        <v>#VALUE!</v>
      </c>
      <c r="E117">
        <v>16</v>
      </c>
      <c r="F117" s="15" t="str" cm="1">
        <f t="array" ref="F117">GetValue("Tbl",A117&amp;";"&amp;C117&amp;";"&amp;E117,"Name")</f>
        <v>Menus</v>
      </c>
      <c r="G117" s="15" t="str" cm="1">
        <f t="array" ref="G117">GetValue("Tbl",A117&amp;";"&amp;C117&amp;";"&amp;E117,"Alias")</f>
        <v>Mnu</v>
      </c>
      <c r="H117">
        <f t="shared" si="9"/>
        <v>116</v>
      </c>
      <c r="I117">
        <f>I116+5</f>
        <v>20</v>
      </c>
      <c r="J117">
        <v>1</v>
      </c>
      <c r="K117" t="e" cm="1">
        <f t="array" ref="K117">GetValue("Dmn",A117&amp;";"&amp;J117,"Name")</f>
        <v>#VALUE!</v>
      </c>
      <c r="L117" t="e" cm="1">
        <f t="array" ref="L117">GetValue("Dmn",A117&amp;";"&amp;J117,"#CategoryName")</f>
        <v>#VALUE!</v>
      </c>
      <c r="M117" t="e" cm="1">
        <f t="array" ref="M117">GetValue("EngDmn",A117&amp;";"&amp;1&amp;";"&amp;J117,"DataType")</f>
        <v>#VALUE!</v>
      </c>
      <c r="N117" t="s">
        <v>253</v>
      </c>
      <c r="O117" t="s">
        <v>254</v>
      </c>
      <c r="P117" t="s">
        <v>255</v>
      </c>
      <c r="Q117" t="s">
        <v>255</v>
      </c>
      <c r="S117" s="21">
        <v>1</v>
      </c>
      <c r="T117" s="21"/>
      <c r="U117" t="b">
        <v>0</v>
      </c>
      <c r="V117" t="b">
        <v>0</v>
      </c>
      <c r="W117" t="b">
        <v>1</v>
      </c>
      <c r="X117" t="b">
        <v>1</v>
      </c>
      <c r="Y117" t="b">
        <v>1</v>
      </c>
      <c r="Z117" t="b">
        <v>1</v>
      </c>
      <c r="AB117" t="b">
        <v>0</v>
      </c>
    </row>
    <row r="118" spans="1:28" x14ac:dyDescent="0.3">
      <c r="A118">
        <v>1</v>
      </c>
      <c r="B118" t="s">
        <v>735</v>
      </c>
      <c r="C118">
        <v>1</v>
      </c>
      <c r="D118" s="15" t="e" cm="1">
        <f t="array" ref="D118">GetValue("Db",A118&amp;";"&amp;C118,"Name")</f>
        <v>#VALUE!</v>
      </c>
      <c r="E118">
        <v>16</v>
      </c>
      <c r="F118" s="15" t="str" cm="1">
        <f t="array" ref="F118">GetValue("Tbl",A118&amp;";"&amp;C118&amp;";"&amp;E118,"Name")</f>
        <v>Menus</v>
      </c>
      <c r="G118" s="15" t="str" cm="1">
        <f t="array" ref="G118">GetValue("Tbl",A118&amp;";"&amp;C118&amp;";"&amp;E118,"Alias")</f>
        <v>Mnu</v>
      </c>
      <c r="H118">
        <f t="shared" si="9"/>
        <v>117</v>
      </c>
      <c r="I118">
        <f>I117+5</f>
        <v>25</v>
      </c>
      <c r="J118">
        <v>6</v>
      </c>
      <c r="K118" t="e" cm="1">
        <f t="array" ref="K118">GetValue("Dmn",A118&amp;";"&amp;J118,"Name")</f>
        <v>#VALUE!</v>
      </c>
      <c r="L118" t="e" cm="1">
        <f t="array" ref="L118">GetValue("Dmn",A118&amp;";"&amp;J118,"#CategoryName")</f>
        <v>#VALUE!</v>
      </c>
      <c r="M118" t="e" cm="1">
        <f t="array" ref="M118">GetValue("EngDmn",A118&amp;";"&amp;1&amp;";"&amp;J118,"DataType")</f>
        <v>#VALUE!</v>
      </c>
      <c r="N118" t="s">
        <v>256</v>
      </c>
      <c r="O118" t="s">
        <v>257</v>
      </c>
      <c r="P118" t="s">
        <v>258</v>
      </c>
      <c r="Q118" t="s">
        <v>258</v>
      </c>
      <c r="S118" s="21" t="s">
        <v>30</v>
      </c>
      <c r="T118" s="21"/>
      <c r="W118" t="b">
        <v>1</v>
      </c>
      <c r="X118" t="b">
        <v>1</v>
      </c>
      <c r="Y118" t="b">
        <v>1</v>
      </c>
      <c r="Z118" t="b">
        <v>1</v>
      </c>
    </row>
    <row r="119" spans="1:28" x14ac:dyDescent="0.3">
      <c r="A119">
        <v>1</v>
      </c>
      <c r="B119" t="s">
        <v>735</v>
      </c>
      <c r="C119">
        <v>1</v>
      </c>
      <c r="D119" s="15" t="e" cm="1">
        <f t="array" ref="D119">GetValue("Db",A119&amp;";"&amp;C119,"Name")</f>
        <v>#VALUE!</v>
      </c>
      <c r="E119">
        <v>17</v>
      </c>
      <c r="F119" s="15" t="str" cm="1">
        <f t="array" ref="F119">GetValue("Tbl",A119&amp;";"&amp;C119&amp;";"&amp;E119,"Name")</f>
        <v>SystemsUsers</v>
      </c>
      <c r="G119" s="15" t="str" cm="1">
        <f t="array" ref="G119">GetValue("Tbl",A119&amp;";"&amp;C119&amp;";"&amp;E119,"Alias")</f>
        <v>SysUsr</v>
      </c>
      <c r="H119">
        <f t="shared" si="9"/>
        <v>118</v>
      </c>
      <c r="I119">
        <v>5</v>
      </c>
      <c r="J119">
        <v>1</v>
      </c>
      <c r="K119" t="e" cm="1">
        <f t="array" ref="K119">GetValue("Dmn",A119&amp;";"&amp;J119,"Name")</f>
        <v>#VALUE!</v>
      </c>
      <c r="L119" t="e" cm="1">
        <f t="array" ref="L119">GetValue("Dmn",A119&amp;";"&amp;J119,"#CategoryName")</f>
        <v>#VALUE!</v>
      </c>
      <c r="M119" t="e" cm="1">
        <f t="array" ref="M119">GetValue("EngDmn",A119&amp;";"&amp;1&amp;";"&amp;J119,"DataType")</f>
        <v>#VALUE!</v>
      </c>
      <c r="N119" t="s">
        <v>0</v>
      </c>
      <c r="O119" t="s">
        <v>294</v>
      </c>
      <c r="P119" t="s">
        <v>139</v>
      </c>
      <c r="Q119" t="s">
        <v>139</v>
      </c>
      <c r="S119" s="2">
        <v>1</v>
      </c>
      <c r="U119" t="b">
        <v>1</v>
      </c>
      <c r="V119" t="b">
        <v>1</v>
      </c>
      <c r="W119" t="b">
        <v>1</v>
      </c>
      <c r="X119" t="b">
        <v>1</v>
      </c>
      <c r="Y119" t="b">
        <v>0</v>
      </c>
      <c r="Z119" t="b">
        <v>0</v>
      </c>
      <c r="AB119" t="b">
        <v>0</v>
      </c>
    </row>
    <row r="120" spans="1:28" x14ac:dyDescent="0.3">
      <c r="A120">
        <v>1</v>
      </c>
      <c r="B120" t="s">
        <v>735</v>
      </c>
      <c r="C120">
        <v>1</v>
      </c>
      <c r="D120" s="15" t="e" cm="1">
        <f t="array" ref="D120">GetValue("Db",A120&amp;";"&amp;C120,"Name")</f>
        <v>#VALUE!</v>
      </c>
      <c r="E120">
        <v>17</v>
      </c>
      <c r="F120" s="15" t="str" cm="1">
        <f t="array" ref="F120">GetValue("Tbl",A120&amp;";"&amp;C120&amp;";"&amp;E120,"Name")</f>
        <v>SystemsUsers</v>
      </c>
      <c r="G120" s="15" t="str" cm="1">
        <f t="array" ref="G120">GetValue("Tbl",A120&amp;";"&amp;C120&amp;";"&amp;E120,"Alias")</f>
        <v>SysUsr</v>
      </c>
      <c r="H120">
        <f t="shared" si="9"/>
        <v>119</v>
      </c>
      <c r="I120">
        <f>I119+5</f>
        <v>10</v>
      </c>
      <c r="J120">
        <v>1</v>
      </c>
      <c r="K120" t="e" cm="1">
        <f t="array" ref="K120">GetValue("Dmn",A120&amp;";"&amp;J120,"Name")</f>
        <v>#VALUE!</v>
      </c>
      <c r="L120" t="e" cm="1">
        <f t="array" ref="L120">GetValue("Dmn",A120&amp;";"&amp;J120,"#CategoryName")</f>
        <v>#VALUE!</v>
      </c>
      <c r="M120" t="e" cm="1">
        <f t="array" ref="M120">GetValue("EngDmn",A120&amp;";"&amp;1&amp;";"&amp;J120,"DataType")</f>
        <v>#VALUE!</v>
      </c>
      <c r="N120" t="s">
        <v>76</v>
      </c>
      <c r="O120" t="s">
        <v>271</v>
      </c>
      <c r="P120" t="s">
        <v>186</v>
      </c>
      <c r="Q120" t="s">
        <v>186</v>
      </c>
      <c r="S120" s="2">
        <v>1</v>
      </c>
      <c r="U120" t="b">
        <v>0</v>
      </c>
      <c r="V120" t="b">
        <v>0</v>
      </c>
      <c r="W120" t="b">
        <v>1</v>
      </c>
      <c r="X120" t="b">
        <v>1</v>
      </c>
      <c r="Y120" t="b">
        <v>0</v>
      </c>
      <c r="Z120" t="b">
        <v>1</v>
      </c>
      <c r="AB120" t="b">
        <v>0</v>
      </c>
    </row>
    <row r="121" spans="1:28" x14ac:dyDescent="0.3">
      <c r="A121">
        <v>1</v>
      </c>
      <c r="B121" t="s">
        <v>735</v>
      </c>
      <c r="C121">
        <v>1</v>
      </c>
      <c r="D121" s="15" t="e" cm="1">
        <f t="array" ref="D121">GetValue("Db",A121&amp;";"&amp;C121,"Name")</f>
        <v>#VALUE!</v>
      </c>
      <c r="E121">
        <v>17</v>
      </c>
      <c r="F121" s="15" t="str" cm="1">
        <f t="array" ref="F121">GetValue("Tbl",A121&amp;";"&amp;C121&amp;";"&amp;E121,"Name")</f>
        <v>SystemsUsers</v>
      </c>
      <c r="G121" s="15" t="str" cm="1">
        <f t="array" ref="G121">GetValue("Tbl",A121&amp;";"&amp;C121&amp;";"&amp;E121,"Alias")</f>
        <v>SysUsr</v>
      </c>
      <c r="H121">
        <f t="shared" si="9"/>
        <v>120</v>
      </c>
      <c r="I121">
        <f>I120+5</f>
        <v>15</v>
      </c>
      <c r="J121">
        <v>1</v>
      </c>
      <c r="K121" t="e" cm="1">
        <f t="array" ref="K121">GetValue("Dmn",A121&amp;";"&amp;J121,"Name")</f>
        <v>#VALUE!</v>
      </c>
      <c r="L121" t="e" cm="1">
        <f t="array" ref="L121">GetValue("Dmn",A121&amp;";"&amp;J121,"#CategoryName")</f>
        <v>#VALUE!</v>
      </c>
      <c r="M121" t="e" cm="1">
        <f t="array" ref="M121">GetValue("EngDmn",A121&amp;";"&amp;1&amp;";"&amp;J121,"DataType")</f>
        <v>#VALUE!</v>
      </c>
      <c r="N121" t="s">
        <v>109</v>
      </c>
      <c r="O121" t="s">
        <v>197</v>
      </c>
      <c r="P121" t="s">
        <v>206</v>
      </c>
      <c r="Q121" t="s">
        <v>206</v>
      </c>
      <c r="S121" s="2">
        <v>1</v>
      </c>
      <c r="W121" t="b">
        <v>1</v>
      </c>
      <c r="X121" t="b">
        <v>1</v>
      </c>
      <c r="Y121" t="b">
        <v>0</v>
      </c>
      <c r="Z121" t="b">
        <v>1</v>
      </c>
    </row>
    <row r="122" spans="1:28" x14ac:dyDescent="0.3">
      <c r="A122">
        <v>1</v>
      </c>
      <c r="B122" t="s">
        <v>735</v>
      </c>
      <c r="C122">
        <v>1</v>
      </c>
      <c r="D122" s="15" t="e" cm="1">
        <f t="array" ref="D122">GetValue("Db",A122&amp;";"&amp;C122,"Name")</f>
        <v>#VALUE!</v>
      </c>
      <c r="E122">
        <v>17</v>
      </c>
      <c r="F122" s="15" t="str" cm="1">
        <f t="array" ref="F122">GetValue("Tbl",A122&amp;";"&amp;C122&amp;";"&amp;E122,"Name")</f>
        <v>SystemsUsers</v>
      </c>
      <c r="G122" s="15" t="str" cm="1">
        <f t="array" ref="G122">GetValue("Tbl",A122&amp;";"&amp;C122&amp;";"&amp;E122,"Alias")</f>
        <v>SysUsr</v>
      </c>
      <c r="H122">
        <f t="shared" si="9"/>
        <v>121</v>
      </c>
      <c r="I122">
        <f>I121+5</f>
        <v>20</v>
      </c>
      <c r="J122">
        <v>11</v>
      </c>
      <c r="K122" t="e" cm="1">
        <f t="array" ref="K122">GetValue("Dmn",A122&amp;";"&amp;J122,"Name")</f>
        <v>#VALUE!</v>
      </c>
      <c r="L122" t="e" cm="1">
        <f t="array" ref="L122">GetValue("Dmn",A122&amp;";"&amp;J122,"#CategoryName")</f>
        <v>#VALUE!</v>
      </c>
      <c r="M122" t="e" cm="1">
        <f t="array" ref="M122">GetValue("EngDmn",A122&amp;";"&amp;1&amp;";"&amp;J122,"DataType")</f>
        <v>#VALUE!</v>
      </c>
      <c r="N122" t="s">
        <v>295</v>
      </c>
      <c r="O122" t="s">
        <v>297</v>
      </c>
      <c r="P122" t="s">
        <v>296</v>
      </c>
      <c r="Q122" t="s">
        <v>296</v>
      </c>
      <c r="S122" s="2"/>
      <c r="U122" t="b">
        <v>0</v>
      </c>
      <c r="W122" t="b">
        <v>0</v>
      </c>
      <c r="X122" t="b">
        <v>0</v>
      </c>
      <c r="Y122" t="b">
        <v>0</v>
      </c>
      <c r="Z122" t="b">
        <v>0</v>
      </c>
      <c r="AA122" t="b">
        <v>1</v>
      </c>
    </row>
    <row r="123" spans="1:28" x14ac:dyDescent="0.3">
      <c r="A123">
        <v>1</v>
      </c>
      <c r="B123" t="s">
        <v>735</v>
      </c>
      <c r="C123">
        <v>1</v>
      </c>
      <c r="D123" s="15" t="e" cm="1">
        <f t="array" ref="D123">GetValue("Db",A123&amp;";"&amp;C123,"Name")</f>
        <v>#VALUE!</v>
      </c>
      <c r="E123">
        <v>17</v>
      </c>
      <c r="F123" s="15" t="str" cm="1">
        <f t="array" ref="F123">GetValue("Tbl",A123&amp;";"&amp;C123&amp;";"&amp;E123,"Name")</f>
        <v>SystemsUsers</v>
      </c>
      <c r="G123" s="15" t="str" cm="1">
        <f t="array" ref="G123">GetValue("Tbl",A123&amp;";"&amp;C123&amp;";"&amp;E123,"Alias")</f>
        <v>SysUsr</v>
      </c>
      <c r="H123">
        <f t="shared" si="9"/>
        <v>122</v>
      </c>
      <c r="I123">
        <f>I122+5</f>
        <v>25</v>
      </c>
      <c r="J123">
        <v>6</v>
      </c>
      <c r="K123" t="e" cm="1">
        <f t="array" ref="K123">GetValue("Dmn",A123&amp;";"&amp;J123,"Name")</f>
        <v>#VALUE!</v>
      </c>
      <c r="L123" t="e" cm="1">
        <f t="array" ref="L123">GetValue("Dmn",A123&amp;";"&amp;J123,"#CategoryName")</f>
        <v>#VALUE!</v>
      </c>
      <c r="M123" t="e" cm="1">
        <f t="array" ref="M123">GetValue("EngDmn",A123&amp;";"&amp;1&amp;";"&amp;J123,"DataType")</f>
        <v>#VALUE!</v>
      </c>
      <c r="N123" t="s">
        <v>300</v>
      </c>
      <c r="O123" t="s">
        <v>272</v>
      </c>
      <c r="P123" t="s">
        <v>272</v>
      </c>
      <c r="Q123" t="s">
        <v>272</v>
      </c>
      <c r="S123" s="2" t="s">
        <v>30</v>
      </c>
      <c r="W123" t="b">
        <v>1</v>
      </c>
      <c r="X123" t="b">
        <v>1</v>
      </c>
      <c r="Y123" t="b">
        <v>1</v>
      </c>
      <c r="Z123" t="b">
        <v>0</v>
      </c>
    </row>
    <row r="124" spans="1:28" x14ac:dyDescent="0.3">
      <c r="A124">
        <v>1</v>
      </c>
      <c r="B124" t="s">
        <v>735</v>
      </c>
      <c r="C124">
        <v>1</v>
      </c>
      <c r="D124" s="15" t="e" cm="1">
        <f t="array" ref="D124">GetValue("Db",A124&amp;";"&amp;C124,"Name")</f>
        <v>#VALUE!</v>
      </c>
      <c r="E124">
        <v>18</v>
      </c>
      <c r="F124" s="15" t="str" cm="1">
        <f t="array" ref="F124">GetValue("Tbl",A124&amp;";"&amp;C124&amp;";"&amp;E124,"Name")</f>
        <v>Tables</v>
      </c>
      <c r="G124" s="15" t="str" cm="1">
        <f t="array" ref="G124">GetValue("Tbl",A124&amp;";"&amp;C124&amp;";"&amp;E124,"Alias")</f>
        <v>Tbl</v>
      </c>
      <c r="H124">
        <f t="shared" si="9"/>
        <v>123</v>
      </c>
      <c r="I124">
        <v>5</v>
      </c>
      <c r="J124">
        <v>1</v>
      </c>
      <c r="K124" t="e" cm="1">
        <f t="array" ref="K124">GetValue("Dmn",A124&amp;";"&amp;J124,"Name")</f>
        <v>#VALUE!</v>
      </c>
      <c r="L124" t="e" cm="1">
        <f t="array" ref="L124">GetValue("Dmn",A124&amp;";"&amp;J124,"#CategoryName")</f>
        <v>#VALUE!</v>
      </c>
      <c r="M124" t="e" cm="1">
        <f t="array" ref="M124">GetValue("EngDmn",A124&amp;";"&amp;1&amp;";"&amp;J124,"DataType")</f>
        <v>#VALUE!</v>
      </c>
      <c r="N124" t="s">
        <v>0</v>
      </c>
      <c r="O124" t="s">
        <v>390</v>
      </c>
      <c r="P124" t="s">
        <v>139</v>
      </c>
      <c r="Q124" t="s">
        <v>139</v>
      </c>
      <c r="S124" s="21">
        <v>1</v>
      </c>
      <c r="T124" s="21"/>
      <c r="U124" t="b">
        <v>1</v>
      </c>
      <c r="V124" t="b">
        <v>1</v>
      </c>
      <c r="W124" t="b">
        <v>1</v>
      </c>
      <c r="X124" t="b">
        <v>1</v>
      </c>
      <c r="Y124" t="b">
        <v>0</v>
      </c>
      <c r="Z124" t="b">
        <v>0</v>
      </c>
      <c r="AB124" t="b">
        <v>0</v>
      </c>
    </row>
    <row r="125" spans="1:28" x14ac:dyDescent="0.3">
      <c r="A125">
        <v>1</v>
      </c>
      <c r="B125" t="s">
        <v>735</v>
      </c>
      <c r="C125">
        <v>1</v>
      </c>
      <c r="D125" s="15" t="e" cm="1">
        <f t="array" ref="D125">GetValue("Db",A125&amp;";"&amp;C125,"Name")</f>
        <v>#VALUE!</v>
      </c>
      <c r="E125">
        <v>18</v>
      </c>
      <c r="F125" s="15" t="str" cm="1">
        <f t="array" ref="F125">GetValue("Tbl",A125&amp;";"&amp;C125&amp;";"&amp;E125,"Name")</f>
        <v>Tables</v>
      </c>
      <c r="G125" s="15" t="str" cm="1">
        <f t="array" ref="G125">GetValue("Tbl",A125&amp;";"&amp;C125&amp;";"&amp;E125,"Alias")</f>
        <v>Tbl</v>
      </c>
      <c r="H125">
        <f t="shared" si="9"/>
        <v>124</v>
      </c>
      <c r="I125">
        <f>I124+5</f>
        <v>10</v>
      </c>
      <c r="J125">
        <v>1</v>
      </c>
      <c r="K125" t="e" cm="1">
        <f t="array" ref="K125">GetValue("Dmn",A125&amp;";"&amp;J125,"Name")</f>
        <v>#VALUE!</v>
      </c>
      <c r="L125" t="e" cm="1">
        <f t="array" ref="L125">GetValue("Dmn",A125&amp;";"&amp;J125,"#CategoryName")</f>
        <v>#VALUE!</v>
      </c>
      <c r="M125" t="e" cm="1">
        <f t="array" ref="M125">GetValue("EngDmn",A125&amp;";"&amp;1&amp;";"&amp;J125,"DataType")</f>
        <v>#VALUE!</v>
      </c>
      <c r="N125" t="s">
        <v>441</v>
      </c>
      <c r="O125" t="s">
        <v>442</v>
      </c>
      <c r="P125" t="s">
        <v>443</v>
      </c>
      <c r="Q125" t="s">
        <v>443</v>
      </c>
      <c r="S125" s="21">
        <v>1</v>
      </c>
      <c r="T125" s="21"/>
      <c r="U125" t="b">
        <v>0</v>
      </c>
      <c r="V125" t="b">
        <v>0</v>
      </c>
      <c r="W125" t="b">
        <v>1</v>
      </c>
      <c r="X125" t="b">
        <v>0</v>
      </c>
      <c r="Y125" t="b">
        <v>0</v>
      </c>
      <c r="Z125" t="b">
        <v>0</v>
      </c>
      <c r="AB125" t="b">
        <v>0</v>
      </c>
    </row>
    <row r="126" spans="1:28" x14ac:dyDescent="0.3">
      <c r="A126">
        <v>1</v>
      </c>
      <c r="B126" t="s">
        <v>735</v>
      </c>
      <c r="C126">
        <v>1</v>
      </c>
      <c r="D126" s="15" t="e" cm="1">
        <f t="array" ref="D126">GetValue("Db",A126&amp;";"&amp;C126,"Name")</f>
        <v>#VALUE!</v>
      </c>
      <c r="E126">
        <v>18</v>
      </c>
      <c r="F126" s="15" t="str" cm="1">
        <f t="array" ref="F126">GetValue("Tbl",A126&amp;";"&amp;C126&amp;";"&amp;E126,"Name")</f>
        <v>Tables</v>
      </c>
      <c r="G126" s="15" t="str" cm="1">
        <f t="array" ref="G126">GetValue("Tbl",A126&amp;";"&amp;C126&amp;";"&amp;E126,"Alias")</f>
        <v>Tbl</v>
      </c>
      <c r="H126">
        <f t="shared" si="9"/>
        <v>125</v>
      </c>
      <c r="I126">
        <f>I125+5</f>
        <v>15</v>
      </c>
      <c r="J126">
        <v>6</v>
      </c>
      <c r="K126" t="e" cm="1">
        <f t="array" ref="K126">GetValue("Dmn",A126&amp;";"&amp;J126,"Name")</f>
        <v>#VALUE!</v>
      </c>
      <c r="L126" t="e" cm="1">
        <f t="array" ref="L126">GetValue("Dmn",A126&amp;";"&amp;J126,"#CategoryName")</f>
        <v>#VALUE!</v>
      </c>
      <c r="M126" t="e" cm="1">
        <f t="array" ref="M126">GetValue("EngDmn",A126&amp;";"&amp;1&amp;";"&amp;J126,"DataType")</f>
        <v>#VALUE!</v>
      </c>
      <c r="N126" t="s">
        <v>383</v>
      </c>
      <c r="O126" t="s">
        <v>387</v>
      </c>
      <c r="P126" t="s">
        <v>388</v>
      </c>
      <c r="Q126" t="s">
        <v>388</v>
      </c>
      <c r="S126" s="21">
        <v>1</v>
      </c>
      <c r="T126" s="21"/>
      <c r="U126" t="b">
        <v>0</v>
      </c>
      <c r="V126" t="b">
        <v>0</v>
      </c>
      <c r="W126" t="b">
        <v>1</v>
      </c>
      <c r="X126" t="b">
        <v>0</v>
      </c>
      <c r="Y126" t="b">
        <v>0</v>
      </c>
      <c r="Z126" t="b">
        <v>0</v>
      </c>
      <c r="AB126" t="b">
        <v>0</v>
      </c>
    </row>
    <row r="127" spans="1:28" x14ac:dyDescent="0.3">
      <c r="A127">
        <v>1</v>
      </c>
      <c r="B127" t="s">
        <v>735</v>
      </c>
      <c r="C127">
        <v>1</v>
      </c>
      <c r="D127" s="15" t="e" cm="1">
        <f t="array" ref="D127">GetValue("Db",A127&amp;";"&amp;C127,"Name")</f>
        <v>#VALUE!</v>
      </c>
      <c r="E127">
        <v>19</v>
      </c>
      <c r="F127" s="15" t="str" cm="1">
        <f t="array" ref="F127">GetValue("Tbl",A127&amp;";"&amp;C127&amp;";"&amp;E127,"Name")</f>
        <v>Columns</v>
      </c>
      <c r="G127" s="15" t="str" cm="1">
        <f t="array" ref="G127">GetValue("Tbl",A127&amp;";"&amp;C127&amp;";"&amp;E127,"Alias")</f>
        <v>Col</v>
      </c>
      <c r="H127">
        <f t="shared" si="9"/>
        <v>126</v>
      </c>
      <c r="I127">
        <v>5</v>
      </c>
      <c r="J127">
        <v>1</v>
      </c>
      <c r="K127" t="e" cm="1">
        <f t="array" ref="K127">GetValue("Dmn",A127&amp;";"&amp;J127,"Name")</f>
        <v>#VALUE!</v>
      </c>
      <c r="L127" t="e" cm="1">
        <f t="array" ref="L127">GetValue("Dmn",A127&amp;";"&amp;J127,"#CategoryName")</f>
        <v>#VALUE!</v>
      </c>
      <c r="M127" t="e" cm="1">
        <f t="array" ref="M127">GetValue("EngDmn",A127&amp;";"&amp;1&amp;";"&amp;J127,"DataType")</f>
        <v>#VALUE!</v>
      </c>
      <c r="N127" t="s">
        <v>0</v>
      </c>
      <c r="O127" t="s">
        <v>391</v>
      </c>
      <c r="P127" t="s">
        <v>139</v>
      </c>
      <c r="Q127" t="s">
        <v>139</v>
      </c>
      <c r="S127" s="2">
        <v>1</v>
      </c>
      <c r="U127" t="b">
        <v>1</v>
      </c>
      <c r="V127" t="b">
        <v>1</v>
      </c>
      <c r="W127" t="b">
        <v>1</v>
      </c>
      <c r="X127" t="b">
        <v>1</v>
      </c>
      <c r="Y127" t="b">
        <v>0</v>
      </c>
      <c r="Z127" t="b">
        <v>0</v>
      </c>
      <c r="AB127" t="b">
        <v>0</v>
      </c>
    </row>
    <row r="128" spans="1:28" x14ac:dyDescent="0.3">
      <c r="A128">
        <v>1</v>
      </c>
      <c r="B128" t="s">
        <v>735</v>
      </c>
      <c r="C128">
        <v>1</v>
      </c>
      <c r="D128" s="15" t="e" cm="1">
        <f t="array" ref="D128">GetValue("Db",A128&amp;";"&amp;C128,"Name")</f>
        <v>#VALUE!</v>
      </c>
      <c r="E128">
        <v>19</v>
      </c>
      <c r="F128" s="15" t="str" cm="1">
        <f t="array" ref="F128">GetValue("Tbl",A128&amp;";"&amp;C128&amp;";"&amp;E128,"Name")</f>
        <v>Columns</v>
      </c>
      <c r="G128" s="15" t="str" cm="1">
        <f t="array" ref="G128">GetValue("Tbl",A128&amp;";"&amp;C128&amp;";"&amp;E128,"Alias")</f>
        <v>Col</v>
      </c>
      <c r="H128">
        <f t="shared" si="9"/>
        <v>127</v>
      </c>
      <c r="I128">
        <f>I127+5</f>
        <v>10</v>
      </c>
      <c r="J128">
        <v>1</v>
      </c>
      <c r="K128" t="e" cm="1">
        <f t="array" ref="K128">GetValue("Dmn",A128&amp;";"&amp;J128,"Name")</f>
        <v>#VALUE!</v>
      </c>
      <c r="L128" t="e" cm="1">
        <f t="array" ref="L128">GetValue("Dmn",A128&amp;";"&amp;J128,"#CategoryName")</f>
        <v>#VALUE!</v>
      </c>
      <c r="M128" t="e" cm="1">
        <f t="array" ref="M128">GetValue("EngDmn",A128&amp;";"&amp;1&amp;";"&amp;J128,"DataType")</f>
        <v>#VALUE!</v>
      </c>
      <c r="N128" t="s">
        <v>384</v>
      </c>
      <c r="O128" t="s">
        <v>390</v>
      </c>
      <c r="P128" t="s">
        <v>392</v>
      </c>
      <c r="Q128" t="s">
        <v>392</v>
      </c>
      <c r="S128" s="2">
        <v>1</v>
      </c>
      <c r="U128" t="b">
        <v>0</v>
      </c>
      <c r="V128" t="b">
        <v>0</v>
      </c>
      <c r="W128" t="b">
        <v>1</v>
      </c>
      <c r="X128" t="b">
        <v>0</v>
      </c>
      <c r="Y128" t="b">
        <v>0</v>
      </c>
      <c r="Z128" t="b">
        <v>0</v>
      </c>
      <c r="AB128" t="b">
        <v>0</v>
      </c>
    </row>
    <row r="129" spans="1:28" x14ac:dyDescent="0.3">
      <c r="A129">
        <v>1</v>
      </c>
      <c r="B129" t="s">
        <v>735</v>
      </c>
      <c r="C129">
        <v>1</v>
      </c>
      <c r="D129" s="15" t="e" cm="1">
        <f t="array" ref="D129">GetValue("Db",A129&amp;";"&amp;C129,"Name")</f>
        <v>#VALUE!</v>
      </c>
      <c r="E129">
        <v>19</v>
      </c>
      <c r="F129" s="15" t="str" cm="1">
        <f t="array" ref="F129">GetValue("Tbl",A129&amp;";"&amp;C129&amp;";"&amp;E129,"Name")</f>
        <v>Columns</v>
      </c>
      <c r="G129" s="15" t="str" cm="1">
        <f t="array" ref="G129">GetValue("Tbl",A129&amp;";"&amp;C129&amp;";"&amp;E129,"Alias")</f>
        <v>Col</v>
      </c>
      <c r="H129">
        <f t="shared" si="9"/>
        <v>128</v>
      </c>
      <c r="I129">
        <f t="shared" ref="I129:I133" si="11">I128+5</f>
        <v>15</v>
      </c>
      <c r="J129">
        <v>9</v>
      </c>
      <c r="K129" t="e" cm="1">
        <f t="array" ref="K129">GetValue("Dmn",A129&amp;";"&amp;J129,"Name")</f>
        <v>#VALUE!</v>
      </c>
      <c r="L129" t="e" cm="1">
        <f t="array" ref="L129">GetValue("Dmn",A129&amp;";"&amp;J129,"#CategoryName")</f>
        <v>#VALUE!</v>
      </c>
      <c r="M129" t="e" cm="1">
        <f t="array" ref="M129">GetValue("EngDmn",A129&amp;";"&amp;1&amp;";"&amp;J129,"DataType")</f>
        <v>#VALUE!</v>
      </c>
      <c r="N129" t="s">
        <v>385</v>
      </c>
      <c r="O129" t="s">
        <v>216</v>
      </c>
      <c r="P129" t="s">
        <v>220</v>
      </c>
      <c r="Q129" t="s">
        <v>220</v>
      </c>
      <c r="S129" s="2"/>
      <c r="U129" t="b">
        <v>0</v>
      </c>
      <c r="W129" t="b">
        <v>1</v>
      </c>
      <c r="X129" t="b">
        <v>0</v>
      </c>
      <c r="Y129" t="b">
        <v>0</v>
      </c>
      <c r="Z129" t="b">
        <v>0</v>
      </c>
      <c r="AA129" t="b">
        <v>0</v>
      </c>
    </row>
    <row r="130" spans="1:28" x14ac:dyDescent="0.3">
      <c r="A130">
        <v>1</v>
      </c>
      <c r="B130" t="s">
        <v>735</v>
      </c>
      <c r="C130">
        <v>1</v>
      </c>
      <c r="D130" s="15" t="e" cm="1">
        <f t="array" ref="D130">GetValue("Db",A130&amp;";"&amp;C130,"Name")</f>
        <v>#VALUE!</v>
      </c>
      <c r="E130">
        <v>19</v>
      </c>
      <c r="F130" s="15" t="str" cm="1">
        <f t="array" ref="F130">GetValue("Tbl",A130&amp;";"&amp;C130&amp;";"&amp;E130,"Name")</f>
        <v>Columns</v>
      </c>
      <c r="G130" s="15" t="str" cm="1">
        <f t="array" ref="G130">GetValue("Tbl",A130&amp;";"&amp;C130&amp;";"&amp;E130,"Alias")</f>
        <v>Col</v>
      </c>
      <c r="H130">
        <f t="shared" si="9"/>
        <v>129</v>
      </c>
      <c r="I130">
        <f t="shared" si="11"/>
        <v>20</v>
      </c>
      <c r="J130">
        <v>21</v>
      </c>
      <c r="K130" t="e" cm="1">
        <f t="array" ref="K130">GetValue("Dmn",A130&amp;";"&amp;J130,"Name")</f>
        <v>#VALUE!</v>
      </c>
      <c r="L130" t="e" cm="1">
        <f t="array" ref="L130">GetValue("Dmn",A130&amp;";"&amp;J130,"#CategoryName")</f>
        <v>#VALUE!</v>
      </c>
      <c r="M130" t="e" cm="1">
        <f t="array" ref="M130">GetValue("EngDmn",A130&amp;";"&amp;1&amp;";"&amp;J130,"DataType")</f>
        <v>#VALUE!</v>
      </c>
      <c r="N130" t="s">
        <v>80</v>
      </c>
      <c r="O130" t="s">
        <v>393</v>
      </c>
      <c r="P130" t="s">
        <v>194</v>
      </c>
      <c r="Q130" t="s">
        <v>194</v>
      </c>
      <c r="S130" s="2"/>
      <c r="U130" t="b">
        <v>0</v>
      </c>
      <c r="W130" t="b">
        <v>1</v>
      </c>
      <c r="X130" t="b">
        <v>0</v>
      </c>
      <c r="Y130" t="b">
        <v>0</v>
      </c>
      <c r="Z130" t="b">
        <v>0</v>
      </c>
      <c r="AA130" t="b">
        <v>0</v>
      </c>
    </row>
    <row r="131" spans="1:28" x14ac:dyDescent="0.3">
      <c r="A131">
        <v>1</v>
      </c>
      <c r="B131" t="s">
        <v>735</v>
      </c>
      <c r="C131">
        <v>1</v>
      </c>
      <c r="D131" s="15" t="e" cm="1">
        <f t="array" ref="D131">GetValue("Db",A131&amp;";"&amp;C131,"Name")</f>
        <v>#VALUE!</v>
      </c>
      <c r="E131">
        <v>19</v>
      </c>
      <c r="F131" s="15" t="str" cm="1">
        <f t="array" ref="F131">GetValue("Tbl",A131&amp;";"&amp;C131&amp;";"&amp;E131,"Name")</f>
        <v>Columns</v>
      </c>
      <c r="G131" s="15" t="str" cm="1">
        <f t="array" ref="G131">GetValue("Tbl",A131&amp;";"&amp;C131&amp;";"&amp;E131,"Alias")</f>
        <v>Col</v>
      </c>
      <c r="H131">
        <f t="shared" si="9"/>
        <v>130</v>
      </c>
      <c r="I131">
        <f t="shared" si="11"/>
        <v>25</v>
      </c>
      <c r="J131">
        <v>12</v>
      </c>
      <c r="K131" t="e" cm="1">
        <f t="array" ref="K131">GetValue("Dmn",A131&amp;";"&amp;J131,"Name")</f>
        <v>#VALUE!</v>
      </c>
      <c r="L131" t="e" cm="1">
        <f t="array" ref="L131">GetValue("Dmn",A131&amp;";"&amp;J131,"#CategoryName")</f>
        <v>#VALUE!</v>
      </c>
      <c r="M131" t="e" cm="1">
        <f t="array" ref="M131">GetValue("EngDmn",A131&amp;";"&amp;1&amp;";"&amp;J131,"DataType")</f>
        <v>#VALUE!</v>
      </c>
      <c r="N131" t="s">
        <v>423</v>
      </c>
      <c r="O131" t="s">
        <v>424</v>
      </c>
      <c r="P131" t="s">
        <v>424</v>
      </c>
      <c r="Q131" t="s">
        <v>424</v>
      </c>
      <c r="S131" s="2"/>
      <c r="U131" t="b">
        <v>0</v>
      </c>
      <c r="W131" t="b">
        <v>0</v>
      </c>
      <c r="X131" t="b">
        <v>0</v>
      </c>
      <c r="Y131" t="b">
        <v>0</v>
      </c>
      <c r="Z131" t="b">
        <v>0</v>
      </c>
      <c r="AA131" t="b">
        <v>0</v>
      </c>
    </row>
    <row r="132" spans="1:28" x14ac:dyDescent="0.3">
      <c r="A132">
        <v>1</v>
      </c>
      <c r="B132" t="s">
        <v>735</v>
      </c>
      <c r="C132">
        <v>1</v>
      </c>
      <c r="D132" s="15" t="e" cm="1">
        <f t="array" ref="D132">GetValue("Db",A132&amp;";"&amp;C132,"Name")</f>
        <v>#VALUE!</v>
      </c>
      <c r="E132">
        <v>19</v>
      </c>
      <c r="F132" s="15" t="str" cm="1">
        <f t="array" ref="F132">GetValue("Tbl",A132&amp;";"&amp;C132&amp;";"&amp;E132,"Name")</f>
        <v>Columns</v>
      </c>
      <c r="G132" s="15" t="str" cm="1">
        <f t="array" ref="G132">GetValue("Tbl",A132&amp;";"&amp;C132&amp;";"&amp;E132,"Alias")</f>
        <v>Col</v>
      </c>
      <c r="H132">
        <f t="shared" si="9"/>
        <v>131</v>
      </c>
      <c r="I132">
        <f t="shared" si="11"/>
        <v>30</v>
      </c>
      <c r="J132">
        <v>12</v>
      </c>
      <c r="K132" t="e" cm="1">
        <f t="array" ref="K132">GetValue("Dmn",A132&amp;";"&amp;J132,"Name")</f>
        <v>#VALUE!</v>
      </c>
      <c r="L132" t="e" cm="1">
        <f t="array" ref="L132">GetValue("Dmn",A132&amp;";"&amp;J132,"#CategoryName")</f>
        <v>#VALUE!</v>
      </c>
      <c r="M132" t="e" cm="1">
        <f t="array" ref="M132">GetValue("EngDmn",A132&amp;";"&amp;1&amp;";"&amp;J132,"DataType")</f>
        <v>#VALUE!</v>
      </c>
      <c r="N132" t="s">
        <v>386</v>
      </c>
      <c r="O132" t="s">
        <v>394</v>
      </c>
      <c r="P132" t="s">
        <v>394</v>
      </c>
      <c r="Q132" t="s">
        <v>394</v>
      </c>
      <c r="S132" s="2"/>
      <c r="U132" t="b">
        <v>0</v>
      </c>
      <c r="W132" t="b">
        <v>1</v>
      </c>
      <c r="X132" t="b">
        <v>0</v>
      </c>
      <c r="Y132" t="b">
        <v>0</v>
      </c>
      <c r="Z132" t="b">
        <v>0</v>
      </c>
      <c r="AA132" t="b">
        <v>0</v>
      </c>
    </row>
    <row r="133" spans="1:28" x14ac:dyDescent="0.3">
      <c r="A133">
        <v>1</v>
      </c>
      <c r="B133" t="s">
        <v>735</v>
      </c>
      <c r="C133">
        <v>1</v>
      </c>
      <c r="D133" s="15" t="e" cm="1">
        <f t="array" ref="D133">GetValue("Db",A133&amp;";"&amp;C133,"Name")</f>
        <v>#VALUE!</v>
      </c>
      <c r="E133">
        <v>19</v>
      </c>
      <c r="F133" s="15" t="str" cm="1">
        <f t="array" ref="F133">GetValue("Tbl",A133&amp;";"&amp;C133&amp;";"&amp;E133,"Name")</f>
        <v>Columns</v>
      </c>
      <c r="G133" s="15" t="str" cm="1">
        <f t="array" ref="G133">GetValue("Tbl",A133&amp;";"&amp;C133&amp;";"&amp;E133,"Alias")</f>
        <v>Col</v>
      </c>
      <c r="H133">
        <f t="shared" si="9"/>
        <v>132</v>
      </c>
      <c r="I133">
        <f t="shared" si="11"/>
        <v>35</v>
      </c>
      <c r="J133">
        <v>6</v>
      </c>
      <c r="K133" t="e" cm="1">
        <f t="array" ref="K133">GetValue("Dmn",A133&amp;";"&amp;J133,"Name")</f>
        <v>#VALUE!</v>
      </c>
      <c r="L133" t="e" cm="1">
        <f t="array" ref="L133">GetValue("Dmn",A133&amp;";"&amp;J133,"#CategoryName")</f>
        <v>#VALUE!</v>
      </c>
      <c r="M133" t="e" cm="1">
        <f t="array" ref="M133">GetValue("EngDmn",A133&amp;";"&amp;1&amp;";"&amp;J133,"DataType")</f>
        <v>#VALUE!</v>
      </c>
      <c r="N133" t="s">
        <v>383</v>
      </c>
      <c r="O133" t="s">
        <v>387</v>
      </c>
      <c r="P133" t="s">
        <v>388</v>
      </c>
      <c r="Q133" t="s">
        <v>388</v>
      </c>
      <c r="S133" s="2"/>
      <c r="U133" t="b">
        <v>0</v>
      </c>
      <c r="W133" t="b">
        <v>0</v>
      </c>
      <c r="X133" t="b">
        <v>0</v>
      </c>
      <c r="Y133" t="b">
        <v>0</v>
      </c>
      <c r="Z133" t="b">
        <v>0</v>
      </c>
    </row>
    <row r="134" spans="1:28" x14ac:dyDescent="0.3">
      <c r="A134">
        <v>1</v>
      </c>
      <c r="B134" t="s">
        <v>735</v>
      </c>
      <c r="C134">
        <v>1</v>
      </c>
      <c r="D134" s="15" t="e" cm="1">
        <f t="array" ref="D134">GetValue("Db",A134&amp;";"&amp;C134,"Name")</f>
        <v>#VALUE!</v>
      </c>
      <c r="E134">
        <v>20</v>
      </c>
      <c r="F134" s="15" t="str" cm="1">
        <f t="array" ref="F134">GetValue("Tbl",A134&amp;";"&amp;C134&amp;";"&amp;E134,"Name")</f>
        <v>Indexes</v>
      </c>
      <c r="G134" s="15" t="str" cm="1">
        <f t="array" ref="G134">GetValue("Tbl",A134&amp;";"&amp;C134&amp;";"&amp;E134,"Alias")</f>
        <v>Idx</v>
      </c>
      <c r="H134">
        <f t="shared" si="9"/>
        <v>133</v>
      </c>
      <c r="I134">
        <v>5</v>
      </c>
      <c r="J134">
        <v>1</v>
      </c>
      <c r="K134" t="e" cm="1">
        <f t="array" ref="K134">GetValue("Dmn",A134&amp;";"&amp;J134,"Name")</f>
        <v>#VALUE!</v>
      </c>
      <c r="L134" t="e" cm="1">
        <f t="array" ref="L134">GetValue("Dmn",A134&amp;";"&amp;J134,"#CategoryName")</f>
        <v>#VALUE!</v>
      </c>
      <c r="M134" t="e" cm="1">
        <f t="array" ref="M134">GetValue("EngDmn",A134&amp;";"&amp;1&amp;";"&amp;J134,"DataType")</f>
        <v>#VALUE!</v>
      </c>
      <c r="N134" t="s">
        <v>0</v>
      </c>
      <c r="O134" t="s">
        <v>405</v>
      </c>
      <c r="P134" t="s">
        <v>139</v>
      </c>
      <c r="Q134" t="s">
        <v>139</v>
      </c>
      <c r="S134" s="2">
        <v>1</v>
      </c>
      <c r="U134" t="b">
        <v>1</v>
      </c>
      <c r="V134" t="b">
        <v>1</v>
      </c>
      <c r="W134" t="b">
        <v>1</v>
      </c>
      <c r="X134" t="b">
        <v>1</v>
      </c>
      <c r="Y134" t="b">
        <v>0</v>
      </c>
      <c r="Z134" t="b">
        <v>0</v>
      </c>
      <c r="AB134" t="b">
        <v>0</v>
      </c>
    </row>
    <row r="135" spans="1:28" x14ac:dyDescent="0.3">
      <c r="A135">
        <v>1</v>
      </c>
      <c r="B135" t="s">
        <v>735</v>
      </c>
      <c r="C135">
        <v>1</v>
      </c>
      <c r="D135" s="15" t="e" cm="1">
        <f t="array" ref="D135">GetValue("Db",A135&amp;";"&amp;C135,"Name")</f>
        <v>#VALUE!</v>
      </c>
      <c r="E135">
        <v>20</v>
      </c>
      <c r="F135" s="15" t="str" cm="1">
        <f t="array" ref="F135">GetValue("Tbl",A135&amp;";"&amp;C135&amp;";"&amp;E135,"Name")</f>
        <v>Indexes</v>
      </c>
      <c r="G135" s="15" t="str" cm="1">
        <f t="array" ref="G135">GetValue("Tbl",A135&amp;";"&amp;C135&amp;";"&amp;E135,"Alias")</f>
        <v>Idx</v>
      </c>
      <c r="H135">
        <f t="shared" si="9"/>
        <v>134</v>
      </c>
      <c r="I135">
        <f t="shared" ref="I135:I137" si="12">I134+5</f>
        <v>10</v>
      </c>
      <c r="J135">
        <v>1</v>
      </c>
      <c r="K135" t="e" cm="1">
        <f t="array" ref="K135">GetValue("Dmn",A135&amp;";"&amp;J135,"Name")</f>
        <v>#VALUE!</v>
      </c>
      <c r="L135" t="e" cm="1">
        <f t="array" ref="L135">GetValue("Dmn",A135&amp;";"&amp;J135,"#CategoryName")</f>
        <v>#VALUE!</v>
      </c>
      <c r="M135" t="e" cm="1">
        <f t="array" ref="M135">GetValue("EngDmn",A135&amp;";"&amp;1&amp;";"&amp;J135,"DataType")</f>
        <v>#VALUE!</v>
      </c>
      <c r="N135" t="s">
        <v>406</v>
      </c>
      <c r="O135" t="s">
        <v>408</v>
      </c>
      <c r="P135" t="s">
        <v>408</v>
      </c>
      <c r="Q135" t="s">
        <v>410</v>
      </c>
      <c r="S135" s="2"/>
      <c r="U135" t="b">
        <v>0</v>
      </c>
      <c r="V135" t="b">
        <v>0</v>
      </c>
      <c r="W135" t="b">
        <v>1</v>
      </c>
      <c r="X135" t="b">
        <v>1</v>
      </c>
      <c r="Y135" t="b">
        <v>1</v>
      </c>
      <c r="Z135" t="b">
        <v>1</v>
      </c>
      <c r="AB135" t="b">
        <v>0</v>
      </c>
    </row>
    <row r="136" spans="1:28" x14ac:dyDescent="0.3">
      <c r="A136">
        <v>1</v>
      </c>
      <c r="B136" t="s">
        <v>735</v>
      </c>
      <c r="C136">
        <v>1</v>
      </c>
      <c r="D136" s="15" t="e" cm="1">
        <f t="array" ref="D136">GetValue("Db",A136&amp;";"&amp;C136,"Name")</f>
        <v>#VALUE!</v>
      </c>
      <c r="E136">
        <v>20</v>
      </c>
      <c r="F136" s="15" t="str" cm="1">
        <f t="array" ref="F136">GetValue("Tbl",A136&amp;";"&amp;C136&amp;";"&amp;E136,"Name")</f>
        <v>Indexes</v>
      </c>
      <c r="G136" s="15" t="str" cm="1">
        <f t="array" ref="G136">GetValue("Tbl",A136&amp;";"&amp;C136&amp;";"&amp;E136,"Alias")</f>
        <v>Idx</v>
      </c>
      <c r="H136">
        <f t="shared" si="9"/>
        <v>135</v>
      </c>
      <c r="I136">
        <f t="shared" si="12"/>
        <v>15</v>
      </c>
      <c r="J136">
        <v>1</v>
      </c>
      <c r="K136" t="e" cm="1">
        <f t="array" ref="K136">GetValue("Dmn",A136&amp;";"&amp;J136,"Name")</f>
        <v>#VALUE!</v>
      </c>
      <c r="L136" t="e" cm="1">
        <f t="array" ref="L136">GetValue("Dmn",A136&amp;";"&amp;J136,"#CategoryName")</f>
        <v>#VALUE!</v>
      </c>
      <c r="M136" t="e" cm="1">
        <f t="array" ref="M136">GetValue("EngDmn",A136&amp;";"&amp;1&amp;";"&amp;J136,"DataType")</f>
        <v>#VALUE!</v>
      </c>
      <c r="N136" t="s">
        <v>407</v>
      </c>
      <c r="O136" t="s">
        <v>409</v>
      </c>
      <c r="P136" t="s">
        <v>409</v>
      </c>
      <c r="Q136" t="s">
        <v>411</v>
      </c>
      <c r="S136" s="2"/>
      <c r="U136" t="b">
        <v>0</v>
      </c>
      <c r="V136" t="b">
        <v>0</v>
      </c>
      <c r="W136" t="b">
        <v>1</v>
      </c>
      <c r="X136" t="b">
        <v>1</v>
      </c>
      <c r="Y136" t="b">
        <v>1</v>
      </c>
      <c r="Z136" t="b">
        <v>1</v>
      </c>
      <c r="AB136" t="b">
        <v>0</v>
      </c>
    </row>
    <row r="137" spans="1:28" x14ac:dyDescent="0.3">
      <c r="A137">
        <v>1</v>
      </c>
      <c r="B137" t="s">
        <v>735</v>
      </c>
      <c r="C137">
        <v>1</v>
      </c>
      <c r="D137" s="15" t="e" cm="1">
        <f t="array" ref="D137">GetValue("Db",A137&amp;";"&amp;C137,"Name")</f>
        <v>#VALUE!</v>
      </c>
      <c r="E137">
        <v>20</v>
      </c>
      <c r="F137" s="15" t="str" cm="1">
        <f t="array" ref="F137">GetValue("Tbl",A137&amp;";"&amp;C137&amp;";"&amp;E137,"Name")</f>
        <v>Indexes</v>
      </c>
      <c r="G137" s="15" t="str" cm="1">
        <f t="array" ref="G137">GetValue("Tbl",A137&amp;";"&amp;C137&amp;";"&amp;E137,"Alias")</f>
        <v>Idx</v>
      </c>
      <c r="H137">
        <f t="shared" si="9"/>
        <v>136</v>
      </c>
      <c r="I137">
        <f t="shared" si="12"/>
        <v>20</v>
      </c>
      <c r="J137">
        <v>6</v>
      </c>
      <c r="K137" t="e" cm="1">
        <f t="array" ref="K137">GetValue("Dmn",A137&amp;";"&amp;J137,"Name")</f>
        <v>#VALUE!</v>
      </c>
      <c r="L137" t="e" cm="1">
        <f t="array" ref="L137">GetValue("Dmn",A137&amp;";"&amp;J137,"#CategoryName")</f>
        <v>#VALUE!</v>
      </c>
      <c r="M137" t="e" cm="1">
        <f t="array" ref="M137">GetValue("EngDmn",A137&amp;";"&amp;1&amp;";"&amp;J137,"DataType")</f>
        <v>#VALUE!</v>
      </c>
      <c r="N137" t="s">
        <v>404</v>
      </c>
      <c r="O137" t="s">
        <v>418</v>
      </c>
      <c r="P137" t="s">
        <v>419</v>
      </c>
      <c r="Q137" t="s">
        <v>419</v>
      </c>
      <c r="S137" s="2"/>
      <c r="W137" t="b">
        <v>1</v>
      </c>
      <c r="X137" t="b">
        <v>1</v>
      </c>
      <c r="Y137" t="b">
        <v>1</v>
      </c>
      <c r="Z137" t="b">
        <v>1</v>
      </c>
    </row>
    <row r="138" spans="1:28" x14ac:dyDescent="0.3">
      <c r="A138">
        <v>1</v>
      </c>
      <c r="B138" t="s">
        <v>735</v>
      </c>
      <c r="C138">
        <v>1</v>
      </c>
      <c r="D138" s="15" t="e" cm="1">
        <f t="array" ref="D138">GetValue("Db",A138&amp;";"&amp;C138,"Name")</f>
        <v>#VALUE!</v>
      </c>
      <c r="E138">
        <v>21</v>
      </c>
      <c r="F138" s="15" t="str" cm="1">
        <f t="array" ref="F138">GetValue("Tbl",A138&amp;";"&amp;C138&amp;";"&amp;E138,"Name")</f>
        <v>Indexkeys</v>
      </c>
      <c r="G138" s="15" t="str" cm="1">
        <f t="array" ref="G138">GetValue("Tbl",A138&amp;";"&amp;C138&amp;";"&amp;E138,"Alias")</f>
        <v>Idk</v>
      </c>
      <c r="H138">
        <f t="shared" si="9"/>
        <v>137</v>
      </c>
      <c r="I138">
        <v>5</v>
      </c>
      <c r="J138">
        <v>5</v>
      </c>
      <c r="K138" t="e" cm="1">
        <f t="array" ref="K138">GetValue("Dmn",A138&amp;";"&amp;J138,"Name")</f>
        <v>#VALUE!</v>
      </c>
      <c r="L138" t="e" cm="1">
        <f t="array" ref="L138">GetValue("Dmn",A138&amp;";"&amp;J138,"#CategoryName")</f>
        <v>#VALUE!</v>
      </c>
      <c r="M138" t="e" cm="1">
        <f t="array" ref="M138">GetValue("EngDmn",A138&amp;";"&amp;1&amp;";"&amp;J138,"DataType")</f>
        <v>#VALUE!</v>
      </c>
      <c r="N138" t="s">
        <v>0</v>
      </c>
      <c r="O138" t="s">
        <v>455</v>
      </c>
      <c r="P138" t="s">
        <v>139</v>
      </c>
      <c r="Q138" t="s">
        <v>139</v>
      </c>
      <c r="S138" s="2">
        <v>1</v>
      </c>
      <c r="U138" t="b">
        <v>1</v>
      </c>
      <c r="V138" t="b">
        <v>1</v>
      </c>
      <c r="W138" t="b">
        <v>1</v>
      </c>
      <c r="X138" t="b">
        <v>1</v>
      </c>
      <c r="Y138" t="b">
        <v>0</v>
      </c>
      <c r="Z138" t="b">
        <v>0</v>
      </c>
      <c r="AB138" t="b">
        <v>0</v>
      </c>
    </row>
    <row r="139" spans="1:28" x14ac:dyDescent="0.3">
      <c r="A139">
        <v>1</v>
      </c>
      <c r="B139" t="s">
        <v>735</v>
      </c>
      <c r="C139">
        <v>1</v>
      </c>
      <c r="D139" s="15" t="e" cm="1">
        <f t="array" ref="D139">GetValue("Db",A139&amp;";"&amp;C139,"Name")</f>
        <v>#VALUE!</v>
      </c>
      <c r="E139">
        <v>21</v>
      </c>
      <c r="F139" s="15" t="str" cm="1">
        <f t="array" ref="F139">GetValue("Tbl",A139&amp;";"&amp;C139&amp;";"&amp;E139,"Name")</f>
        <v>Indexkeys</v>
      </c>
      <c r="G139" s="15" t="str" cm="1">
        <f t="array" ref="G139">GetValue("Tbl",A139&amp;";"&amp;C139&amp;";"&amp;E139,"Alias")</f>
        <v>Idk</v>
      </c>
      <c r="H139">
        <f t="shared" si="9"/>
        <v>138</v>
      </c>
      <c r="I139">
        <f>I138+5</f>
        <v>10</v>
      </c>
      <c r="J139">
        <v>7</v>
      </c>
      <c r="K139" t="e" cm="1">
        <f t="array" ref="K139">GetValue("Dmn",A139&amp;";"&amp;J139,"Name")</f>
        <v>#VALUE!</v>
      </c>
      <c r="L139" t="e" cm="1">
        <f t="array" ref="L139">GetValue("Dmn",A139&amp;";"&amp;J139,"#CategoryName")</f>
        <v>#VALUE!</v>
      </c>
      <c r="M139" t="e" cm="1">
        <f t="array" ref="M139">GetValue("EngDmn",A139&amp;";"&amp;1&amp;";"&amp;J139,"DataType")</f>
        <v>#VALUE!</v>
      </c>
      <c r="N139" t="s">
        <v>1</v>
      </c>
      <c r="O139" t="s">
        <v>456</v>
      </c>
      <c r="P139" t="s">
        <v>141</v>
      </c>
      <c r="Q139" t="s">
        <v>141</v>
      </c>
      <c r="S139" s="2"/>
      <c r="U139" t="b">
        <v>0</v>
      </c>
      <c r="W139" t="b">
        <v>1</v>
      </c>
      <c r="X139" t="b">
        <v>1</v>
      </c>
      <c r="Y139" t="b">
        <v>1</v>
      </c>
      <c r="Z139" t="b">
        <v>1</v>
      </c>
      <c r="AA139" t="b">
        <v>0</v>
      </c>
    </row>
    <row r="140" spans="1:28" x14ac:dyDescent="0.3">
      <c r="A140">
        <v>1</v>
      </c>
      <c r="B140" t="s">
        <v>735</v>
      </c>
      <c r="C140">
        <v>1</v>
      </c>
      <c r="D140" s="15" t="e" cm="1">
        <f t="array" ref="D140">GetValue("Db",A140&amp;";"&amp;C140,"Name")</f>
        <v>#VALUE!</v>
      </c>
      <c r="E140">
        <v>21</v>
      </c>
      <c r="F140" s="15" t="str" cm="1">
        <f t="array" ref="F140">GetValue("Tbl",A140&amp;";"&amp;C140&amp;";"&amp;E140,"Name")</f>
        <v>Indexkeys</v>
      </c>
      <c r="G140" s="15" t="str" cm="1">
        <f t="array" ref="G140">GetValue("Tbl",A140&amp;";"&amp;C140&amp;";"&amp;E140,"Alias")</f>
        <v>Idk</v>
      </c>
      <c r="H140">
        <f t="shared" si="9"/>
        <v>139</v>
      </c>
      <c r="I140">
        <f>I139+5</f>
        <v>15</v>
      </c>
      <c r="J140">
        <v>7</v>
      </c>
      <c r="K140" t="e" cm="1">
        <f t="array" ref="K140">GetValue("Dmn",A140&amp;";"&amp;J140,"Name")</f>
        <v>#VALUE!</v>
      </c>
      <c r="L140" t="e" cm="1">
        <f t="array" ref="L140">GetValue("Dmn",A140&amp;";"&amp;J140,"#CategoryName")</f>
        <v>#VALUE!</v>
      </c>
      <c r="M140" t="e" cm="1">
        <f t="array" ref="M140">GetValue("EngDmn",A140&amp;";"&amp;1&amp;";"&amp;J140,"DataType")</f>
        <v>#VALUE!</v>
      </c>
      <c r="N140" t="s">
        <v>453</v>
      </c>
      <c r="O140" t="s">
        <v>457</v>
      </c>
      <c r="P140" t="s">
        <v>68</v>
      </c>
      <c r="Q140" t="s">
        <v>68</v>
      </c>
      <c r="S140" s="2"/>
      <c r="U140" t="b">
        <v>0</v>
      </c>
      <c r="W140" t="b">
        <v>1</v>
      </c>
      <c r="X140" t="b">
        <v>1</v>
      </c>
      <c r="Y140" t="b">
        <v>1</v>
      </c>
      <c r="Z140" t="b">
        <v>1</v>
      </c>
      <c r="AA140" t="b">
        <v>0</v>
      </c>
    </row>
    <row r="141" spans="1:28" x14ac:dyDescent="0.3">
      <c r="A141">
        <v>1</v>
      </c>
      <c r="B141" t="s">
        <v>735</v>
      </c>
      <c r="C141">
        <v>1</v>
      </c>
      <c r="D141" s="15" t="e" cm="1">
        <f t="array" ref="D141">GetValue("Db",A141&amp;";"&amp;C141,"Name")</f>
        <v>#VALUE!</v>
      </c>
      <c r="E141">
        <v>21</v>
      </c>
      <c r="F141" s="15" t="str" cm="1">
        <f t="array" ref="F141">GetValue("Tbl",A141&amp;";"&amp;C141&amp;";"&amp;E141,"Name")</f>
        <v>Indexkeys</v>
      </c>
      <c r="G141" s="15" t="str" cm="1">
        <f t="array" ref="G141">GetValue("Tbl",A141&amp;";"&amp;C141&amp;";"&amp;E141,"Alias")</f>
        <v>Idk</v>
      </c>
      <c r="H141">
        <f t="shared" si="9"/>
        <v>140</v>
      </c>
      <c r="I141">
        <f>I140+5</f>
        <v>20</v>
      </c>
      <c r="J141">
        <v>7</v>
      </c>
      <c r="K141" t="e" cm="1">
        <f t="array" ref="K141">GetValue("Dmn",A141&amp;";"&amp;J141,"Name")</f>
        <v>#VALUE!</v>
      </c>
      <c r="L141" t="e" cm="1">
        <f t="array" ref="L141">GetValue("Dmn",A141&amp;";"&amp;J141,"#CategoryName")</f>
        <v>#VALUE!</v>
      </c>
      <c r="M141" t="e" cm="1">
        <f t="array" ref="M141">GetValue("EngDmn",A141&amp;";"&amp;1&amp;";"&amp;J141,"DataType")</f>
        <v>#VALUE!</v>
      </c>
      <c r="N141" t="s">
        <v>454</v>
      </c>
      <c r="O141" t="s">
        <v>458</v>
      </c>
      <c r="P141" t="s">
        <v>459</v>
      </c>
      <c r="Q141" t="s">
        <v>459</v>
      </c>
      <c r="S141" s="2"/>
      <c r="U141" t="b">
        <v>0</v>
      </c>
      <c r="W141" t="b">
        <v>0</v>
      </c>
      <c r="X141" t="b">
        <v>1</v>
      </c>
      <c r="Y141" t="b">
        <v>1</v>
      </c>
      <c r="Z141" t="b">
        <v>1</v>
      </c>
      <c r="AA14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I29"/>
  <sheetViews>
    <sheetView workbookViewId="0">
      <pane ySplit="1" topLeftCell="A8" activePane="bottomLeft" state="frozen"/>
      <selection pane="bottomLeft" activeCell="B3" sqref="B3"/>
    </sheetView>
  </sheetViews>
  <sheetFormatPr defaultRowHeight="14.4" x14ac:dyDescent="0.3"/>
  <cols>
    <col min="1" max="1" width="8.44140625" bestFit="1" customWidth="1"/>
    <col min="2" max="2" width="11.77734375" bestFit="1" customWidth="1"/>
    <col min="3" max="3" width="11.44140625" bestFit="1" customWidth="1"/>
    <col min="4" max="4" width="14.88671875" bestFit="1" customWidth="1"/>
    <col min="5" max="5" width="8.21875" bestFit="1" customWidth="1"/>
    <col min="6" max="6" width="20.77734375" bestFit="1" customWidth="1"/>
    <col min="7" max="7" width="3.6640625" bestFit="1" customWidth="1"/>
    <col min="8" max="8" width="48.109375" bestFit="1" customWidth="1"/>
    <col min="9" max="9" width="11.77734375" bestFit="1" customWidth="1"/>
  </cols>
  <sheetData>
    <row r="1" spans="1:9" s="1" customFormat="1" x14ac:dyDescent="0.3">
      <c r="A1" s="1" t="s">
        <v>729</v>
      </c>
      <c r="B1" s="1" t="s">
        <v>618</v>
      </c>
      <c r="C1" s="1" t="s">
        <v>738</v>
      </c>
      <c r="D1" s="1" t="s">
        <v>306</v>
      </c>
      <c r="E1" s="1" t="s">
        <v>739</v>
      </c>
      <c r="F1" s="1" t="s">
        <v>307</v>
      </c>
      <c r="G1" s="1" t="s">
        <v>726</v>
      </c>
      <c r="H1" s="1" t="s">
        <v>1</v>
      </c>
      <c r="I1" s="1" t="s">
        <v>245</v>
      </c>
    </row>
    <row r="2" spans="1:9" x14ac:dyDescent="0.3">
      <c r="A2">
        <v>1</v>
      </c>
      <c r="B2" t="s">
        <v>735</v>
      </c>
      <c r="C2">
        <v>1</v>
      </c>
      <c r="D2" t="e" cm="1">
        <f t="array" ref="D2">GetValue("Db",A2&amp;";"&amp;C2,"Name")</f>
        <v>#VALUE!</v>
      </c>
      <c r="E2">
        <v>1</v>
      </c>
      <c r="F2" t="str" cm="1">
        <f t="array" ref="F2">GetValue("Tbl",A2&amp;";"&amp;C2&amp;";"&amp;E2,"Name")</f>
        <v>Engines</v>
      </c>
      <c r="G2">
        <f>ROW(G2)-1</f>
        <v>1</v>
      </c>
      <c r="H2" t="s">
        <v>281</v>
      </c>
      <c r="I2" t="b">
        <v>1</v>
      </c>
    </row>
    <row r="3" spans="1:9" x14ac:dyDescent="0.3">
      <c r="A3">
        <v>1</v>
      </c>
      <c r="B3" t="s">
        <v>735</v>
      </c>
      <c r="C3">
        <v>1</v>
      </c>
      <c r="D3" t="e" cm="1">
        <f t="array" ref="D3">GetValue("Db",A3&amp;";"&amp;C3,"Name")</f>
        <v>#VALUE!</v>
      </c>
      <c r="E3">
        <v>2</v>
      </c>
      <c r="F3" t="str" cm="1">
        <f t="array" ref="F3">GetValue("Tbl",A3&amp;";"&amp;C3&amp;";"&amp;E3,"Name")</f>
        <v>Categories</v>
      </c>
      <c r="G3">
        <f>ROW(G3)-1</f>
        <v>2</v>
      </c>
      <c r="H3" t="s">
        <v>273</v>
      </c>
      <c r="I3" t="b">
        <v>1</v>
      </c>
    </row>
    <row r="4" spans="1:9" x14ac:dyDescent="0.3">
      <c r="A4">
        <v>1</v>
      </c>
      <c r="B4" t="s">
        <v>735</v>
      </c>
      <c r="C4">
        <v>1</v>
      </c>
      <c r="D4" t="e" cm="1">
        <f t="array" ref="D4">GetValue("Db",A4&amp;";"&amp;C4,"Name")</f>
        <v>#VALUE!</v>
      </c>
      <c r="E4">
        <v>3</v>
      </c>
      <c r="F4" t="str" cm="1">
        <f t="array" ref="F4">GetValue("Tbl",A4&amp;";"&amp;C4&amp;";"&amp;E4,"Name")</f>
        <v>Types</v>
      </c>
      <c r="G4">
        <f t="shared" ref="G4:G29" si="0">ROW(G4)-1</f>
        <v>3</v>
      </c>
      <c r="H4" t="s">
        <v>275</v>
      </c>
      <c r="I4" t="b">
        <v>1</v>
      </c>
    </row>
    <row r="5" spans="1:9" x14ac:dyDescent="0.3">
      <c r="A5">
        <v>1</v>
      </c>
      <c r="B5" t="s">
        <v>735</v>
      </c>
      <c r="C5">
        <v>1</v>
      </c>
      <c r="D5" t="e" cm="1">
        <f t="array" ref="D5">GetValue("Db",A5&amp;";"&amp;C5,"Name")</f>
        <v>#VALUE!</v>
      </c>
      <c r="E5">
        <v>4</v>
      </c>
      <c r="F5" t="str" cm="1">
        <f t="array" ref="F5">GetValue("Tbl",A5&amp;";"&amp;C5&amp;";"&amp;E5,"Name")</f>
        <v>EnginesTypes</v>
      </c>
      <c r="G5">
        <f>ROW(G5)-1</f>
        <v>4</v>
      </c>
      <c r="H5" t="s">
        <v>274</v>
      </c>
      <c r="I5" t="b">
        <v>1</v>
      </c>
    </row>
    <row r="6" spans="1:9" x14ac:dyDescent="0.3">
      <c r="A6">
        <v>1</v>
      </c>
      <c r="B6" t="s">
        <v>735</v>
      </c>
      <c r="C6">
        <v>1</v>
      </c>
      <c r="D6" t="e" cm="1">
        <f t="array" ref="D6">GetValue("Db",A6&amp;";"&amp;C6,"Name")</f>
        <v>#VALUE!</v>
      </c>
      <c r="E6">
        <v>5</v>
      </c>
      <c r="F6" t="str" cm="1">
        <f t="array" ref="F6">GetValue("Tbl",A6&amp;";"&amp;C6&amp;";"&amp;E6,"Name")</f>
        <v>Clients</v>
      </c>
      <c r="G6">
        <f t="shared" si="0"/>
        <v>5</v>
      </c>
      <c r="H6" t="s">
        <v>276</v>
      </c>
      <c r="I6" t="b">
        <v>1</v>
      </c>
    </row>
    <row r="7" spans="1:9" x14ac:dyDescent="0.3">
      <c r="A7">
        <v>1</v>
      </c>
      <c r="B7" t="s">
        <v>735</v>
      </c>
      <c r="C7">
        <v>1</v>
      </c>
      <c r="D7" t="e" cm="1">
        <f t="array" ref="D7">GetValue("Db",A7&amp;";"&amp;C7,"Name")</f>
        <v>#VALUE!</v>
      </c>
      <c r="E7">
        <v>6</v>
      </c>
      <c r="F7" t="str" cm="1">
        <f t="array" ref="F7">GetValue("Tbl",A7&amp;";"&amp;C7&amp;";"&amp;E7,"Name")</f>
        <v>Domains</v>
      </c>
      <c r="G7">
        <f t="shared" si="0"/>
        <v>6</v>
      </c>
      <c r="H7" t="s">
        <v>311</v>
      </c>
      <c r="I7" t="b">
        <v>1</v>
      </c>
    </row>
    <row r="8" spans="1:9" x14ac:dyDescent="0.3">
      <c r="A8">
        <v>1</v>
      </c>
      <c r="B8" t="s">
        <v>735</v>
      </c>
      <c r="C8">
        <v>1</v>
      </c>
      <c r="D8" t="e" cm="1">
        <f t="array" ref="D8">GetValue("Db",A8&amp;";"&amp;C8,"Name")</f>
        <v>#VALUE!</v>
      </c>
      <c r="E8">
        <v>6</v>
      </c>
      <c r="F8" t="str" cm="1">
        <f t="array" ref="F8">GetValue("Tbl",A8&amp;";"&amp;C8&amp;";"&amp;E8,"Name")</f>
        <v>Domains</v>
      </c>
      <c r="G8">
        <f t="shared" si="0"/>
        <v>7</v>
      </c>
      <c r="H8" t="s">
        <v>329</v>
      </c>
      <c r="I8" t="b">
        <v>1</v>
      </c>
    </row>
    <row r="9" spans="1:9" x14ac:dyDescent="0.3">
      <c r="A9">
        <v>1</v>
      </c>
      <c r="B9" t="s">
        <v>735</v>
      </c>
      <c r="C9">
        <v>1</v>
      </c>
      <c r="D9" t="e" cm="1">
        <f t="array" ref="D9">GetValue("Db",A9&amp;";"&amp;C9,"Name")</f>
        <v>#VALUE!</v>
      </c>
      <c r="E9">
        <v>7</v>
      </c>
      <c r="F9" t="str" cm="1">
        <f t="array" ref="F9">GetValue("Tbl",A9&amp;";"&amp;C9&amp;";"&amp;E9,"Name")</f>
        <v>EnginesDomains</v>
      </c>
      <c r="G9">
        <f t="shared" si="0"/>
        <v>8</v>
      </c>
      <c r="H9" t="s">
        <v>277</v>
      </c>
      <c r="I9" t="b">
        <v>1</v>
      </c>
    </row>
    <row r="10" spans="1:9" x14ac:dyDescent="0.3">
      <c r="A10">
        <v>1</v>
      </c>
      <c r="B10" t="s">
        <v>735</v>
      </c>
      <c r="C10">
        <v>1</v>
      </c>
      <c r="D10" t="e" cm="1">
        <f t="array" ref="D10">GetValue("Db",A10&amp;";"&amp;C10,"Name")</f>
        <v>#VALUE!</v>
      </c>
      <c r="E10">
        <v>8</v>
      </c>
      <c r="F10" t="str" cm="1">
        <f t="array" ref="F10">GetValue("Tbl",A10&amp;";"&amp;C10&amp;";"&amp;E10,"Name")</f>
        <v>Masks</v>
      </c>
      <c r="G10">
        <f t="shared" si="0"/>
        <v>9</v>
      </c>
      <c r="H10" t="s">
        <v>317</v>
      </c>
      <c r="I10" t="b">
        <v>1</v>
      </c>
    </row>
    <row r="11" spans="1:9" x14ac:dyDescent="0.3">
      <c r="A11">
        <v>1</v>
      </c>
      <c r="B11" t="s">
        <v>735</v>
      </c>
      <c r="C11">
        <v>1</v>
      </c>
      <c r="D11" t="e" cm="1">
        <f t="array" ref="D11">GetValue("Db",A11&amp;";"&amp;C11,"Name")</f>
        <v>#VALUE!</v>
      </c>
      <c r="E11">
        <v>8</v>
      </c>
      <c r="F11" t="str" cm="1">
        <f t="array" ref="F11">GetValue("Tbl",A11&amp;";"&amp;C11&amp;";"&amp;E11,"Name")</f>
        <v>Masks</v>
      </c>
      <c r="G11">
        <f t="shared" si="0"/>
        <v>10</v>
      </c>
      <c r="H11" t="s">
        <v>371</v>
      </c>
      <c r="I11" t="b">
        <v>1</v>
      </c>
    </row>
    <row r="12" spans="1:9" x14ac:dyDescent="0.3">
      <c r="A12">
        <v>1</v>
      </c>
      <c r="B12" t="s">
        <v>735</v>
      </c>
      <c r="C12">
        <v>1</v>
      </c>
      <c r="D12" t="e" cm="1">
        <f t="array" ref="D12">GetValue("Db",A12&amp;";"&amp;C12,"Name")</f>
        <v>#VALUE!</v>
      </c>
      <c r="E12">
        <v>10</v>
      </c>
      <c r="F12" t="str" cm="1">
        <f t="array" ref="F12">GetValue("Tbl",A12&amp;";"&amp;C12&amp;";"&amp;E12,"Name")</f>
        <v>Digits</v>
      </c>
      <c r="G12">
        <f t="shared" si="0"/>
        <v>11</v>
      </c>
      <c r="H12" t="s">
        <v>278</v>
      </c>
      <c r="I12" t="b">
        <v>1</v>
      </c>
    </row>
    <row r="13" spans="1:9" x14ac:dyDescent="0.3">
      <c r="A13">
        <v>1</v>
      </c>
      <c r="B13" t="s">
        <v>735</v>
      </c>
      <c r="C13">
        <v>1</v>
      </c>
      <c r="D13" t="e" cm="1">
        <f t="array" ref="D13">GetValue("Db",A13&amp;";"&amp;C13,"Name")</f>
        <v>#VALUE!</v>
      </c>
      <c r="E13">
        <v>10</v>
      </c>
      <c r="F13" t="str" cm="1">
        <f t="array" ref="F13">GetValue("Tbl",A13&amp;";"&amp;C13&amp;";"&amp;E13,"Name")</f>
        <v>Digits</v>
      </c>
      <c r="G13">
        <f t="shared" si="0"/>
        <v>12</v>
      </c>
      <c r="H13" t="s">
        <v>279</v>
      </c>
      <c r="I13" t="b">
        <v>1</v>
      </c>
    </row>
    <row r="14" spans="1:9" x14ac:dyDescent="0.3">
      <c r="A14">
        <v>1</v>
      </c>
      <c r="B14" t="s">
        <v>735</v>
      </c>
      <c r="C14">
        <v>1</v>
      </c>
      <c r="D14" t="e" cm="1">
        <f t="array" ref="D14">GetValue("Db",A14&amp;";"&amp;C14,"Name")</f>
        <v>#VALUE!</v>
      </c>
      <c r="E14">
        <v>11</v>
      </c>
      <c r="F14" t="str" cm="1">
        <f t="array" ref="F14">GetValue("Tbl",A14&amp;";"&amp;C14&amp;";"&amp;E14,"Name")</f>
        <v>MasksDigits</v>
      </c>
      <c r="G14">
        <f t="shared" si="0"/>
        <v>13</v>
      </c>
      <c r="H14" t="s">
        <v>312</v>
      </c>
      <c r="I14" t="b">
        <v>1</v>
      </c>
    </row>
    <row r="15" spans="1:9" x14ac:dyDescent="0.3">
      <c r="A15">
        <v>1</v>
      </c>
      <c r="B15" t="s">
        <v>735</v>
      </c>
      <c r="C15">
        <v>1</v>
      </c>
      <c r="D15" t="e" cm="1">
        <f t="array" ref="D15">GetValue("Db",A15&amp;";"&amp;C15,"Name")</f>
        <v>#VALUE!</v>
      </c>
      <c r="E15">
        <v>11</v>
      </c>
      <c r="F15" t="str" cm="1">
        <f t="array" ref="F15">GetValue("Tbl",A15&amp;";"&amp;C15&amp;";"&amp;E15,"Name")</f>
        <v>MasksDigits</v>
      </c>
      <c r="G15">
        <f t="shared" si="0"/>
        <v>14</v>
      </c>
      <c r="H15" t="s">
        <v>370</v>
      </c>
      <c r="I15" t="b">
        <v>1</v>
      </c>
    </row>
    <row r="16" spans="1:9" x14ac:dyDescent="0.3">
      <c r="A16">
        <v>1</v>
      </c>
      <c r="B16" t="s">
        <v>735</v>
      </c>
      <c r="C16">
        <v>1</v>
      </c>
      <c r="D16" t="e" cm="1">
        <f t="array" ref="D16">GetValue("Db",A16&amp;";"&amp;C16,"Name")</f>
        <v>#VALUE!</v>
      </c>
      <c r="E16">
        <v>12</v>
      </c>
      <c r="F16" t="str" cm="1">
        <f t="array" ref="F16">GetValue("Tbl",A16&amp;";"&amp;C16&amp;";"&amp;E16,"Name")</f>
        <v>Environments</v>
      </c>
      <c r="G16">
        <f t="shared" si="0"/>
        <v>15</v>
      </c>
      <c r="H16" t="s">
        <v>292</v>
      </c>
      <c r="I16" t="b">
        <v>1</v>
      </c>
    </row>
    <row r="17" spans="1:9" x14ac:dyDescent="0.3">
      <c r="A17">
        <v>1</v>
      </c>
      <c r="B17" t="s">
        <v>735</v>
      </c>
      <c r="C17">
        <v>1</v>
      </c>
      <c r="D17" t="e" cm="1">
        <f t="array" ref="D17">GetValue("Db",A17&amp;";"&amp;C17,"Name")</f>
        <v>#VALUE!</v>
      </c>
      <c r="E17">
        <v>12</v>
      </c>
      <c r="F17" t="str" cm="1">
        <f t="array" ref="F17">GetValue("Tbl",A17&amp;";"&amp;C17&amp;";"&amp;E17,"Name")</f>
        <v>Environments</v>
      </c>
      <c r="G17">
        <f t="shared" si="0"/>
        <v>16</v>
      </c>
      <c r="H17" t="s">
        <v>280</v>
      </c>
      <c r="I17" t="b">
        <v>1</v>
      </c>
    </row>
    <row r="18" spans="1:9" x14ac:dyDescent="0.3">
      <c r="A18">
        <v>1</v>
      </c>
      <c r="B18" t="s">
        <v>735</v>
      </c>
      <c r="C18">
        <v>1</v>
      </c>
      <c r="D18" t="e" cm="1">
        <f t="array" ref="D18">GetValue("Db",A18&amp;";"&amp;C18,"Name")</f>
        <v>#VALUE!</v>
      </c>
      <c r="E18">
        <v>13</v>
      </c>
      <c r="F18" t="str" cm="1">
        <f t="array" ref="F18">GetValue("Tbl",A18&amp;";"&amp;C18&amp;";"&amp;E18,"Name")</f>
        <v>Databases</v>
      </c>
      <c r="G18">
        <f t="shared" si="0"/>
        <v>17</v>
      </c>
      <c r="H18" t="s">
        <v>313</v>
      </c>
      <c r="I18" t="b">
        <v>1</v>
      </c>
    </row>
    <row r="19" spans="1:9" x14ac:dyDescent="0.3">
      <c r="A19">
        <v>1</v>
      </c>
      <c r="B19" t="s">
        <v>735</v>
      </c>
      <c r="C19">
        <v>1</v>
      </c>
      <c r="D19" t="e" cm="1">
        <f t="array" ref="D19">GetValue("Db",A19&amp;";"&amp;C19,"Name")</f>
        <v>#VALUE!</v>
      </c>
      <c r="E19">
        <v>13</v>
      </c>
      <c r="F19" t="str" cm="1">
        <f t="array" ref="F19">GetValue("Tbl",A19&amp;";"&amp;C19&amp;";"&amp;E19,"Name")</f>
        <v>Databases</v>
      </c>
      <c r="G19">
        <f t="shared" si="0"/>
        <v>18</v>
      </c>
      <c r="H19" t="s">
        <v>374</v>
      </c>
      <c r="I19" t="b">
        <v>1</v>
      </c>
    </row>
    <row r="20" spans="1:9" x14ac:dyDescent="0.3">
      <c r="A20">
        <v>1</v>
      </c>
      <c r="B20" t="s">
        <v>735</v>
      </c>
      <c r="C20">
        <v>1</v>
      </c>
      <c r="D20" t="e" cm="1">
        <f t="array" ref="D20">GetValue("Db",A20&amp;";"&amp;C20,"Name")</f>
        <v>#VALUE!</v>
      </c>
      <c r="E20">
        <v>14</v>
      </c>
      <c r="F20" t="str" cm="1">
        <f t="array" ref="F20">GetValue("Tbl",A20&amp;";"&amp;C20&amp;";"&amp;E20,"Name")</f>
        <v>DatabasesEnvironments</v>
      </c>
      <c r="G20">
        <f t="shared" si="0"/>
        <v>19</v>
      </c>
      <c r="H20" t="s">
        <v>314</v>
      </c>
      <c r="I20" t="b">
        <v>1</v>
      </c>
    </row>
    <row r="21" spans="1:9" x14ac:dyDescent="0.3">
      <c r="A21">
        <v>1</v>
      </c>
      <c r="B21" t="s">
        <v>735</v>
      </c>
      <c r="C21">
        <v>1</v>
      </c>
      <c r="D21" t="e" cm="1">
        <f t="array" ref="D21">GetValue("Db",A21&amp;";"&amp;C21,"Name")</f>
        <v>#VALUE!</v>
      </c>
      <c r="E21">
        <v>14</v>
      </c>
      <c r="F21" t="str" cm="1">
        <f t="array" ref="F21">GetValue("Tbl",A21&amp;";"&amp;C21&amp;";"&amp;E21,"Name")</f>
        <v>DatabasesEnvironments</v>
      </c>
      <c r="G21">
        <f t="shared" si="0"/>
        <v>20</v>
      </c>
      <c r="H21" t="s">
        <v>315</v>
      </c>
      <c r="I21" t="b">
        <v>1</v>
      </c>
    </row>
    <row r="22" spans="1:9" x14ac:dyDescent="0.3">
      <c r="A22">
        <v>1</v>
      </c>
      <c r="B22" t="s">
        <v>735</v>
      </c>
      <c r="C22">
        <v>1</v>
      </c>
      <c r="D22" t="e" cm="1">
        <f t="array" ref="D22">GetValue("Db",A22&amp;";"&amp;C22,"Name")</f>
        <v>#VALUE!</v>
      </c>
      <c r="E22">
        <v>15</v>
      </c>
      <c r="F22" t="str" cm="1">
        <f t="array" ref="F22">GetValue("Tbl",A22&amp;";"&amp;C22&amp;";"&amp;E22,"Name")</f>
        <v>Systems</v>
      </c>
      <c r="G22">
        <f t="shared" si="0"/>
        <v>21</v>
      </c>
      <c r="H22" t="s">
        <v>403</v>
      </c>
      <c r="I22" t="b">
        <v>1</v>
      </c>
    </row>
    <row r="23" spans="1:9" x14ac:dyDescent="0.3">
      <c r="A23">
        <v>1</v>
      </c>
      <c r="B23" t="s">
        <v>735</v>
      </c>
      <c r="C23">
        <v>1</v>
      </c>
      <c r="D23" t="e" cm="1">
        <f t="array" ref="D23">GetValue("Db",A23&amp;";"&amp;C23,"Name")</f>
        <v>#VALUE!</v>
      </c>
      <c r="E23">
        <v>16</v>
      </c>
      <c r="F23" t="str" cm="1">
        <f t="array" ref="F23">GetValue("Tbl",A23&amp;";"&amp;C23&amp;";"&amp;E23,"Name")</f>
        <v>Menus</v>
      </c>
      <c r="G23">
        <f t="shared" si="0"/>
        <v>22</v>
      </c>
      <c r="H23" t="s">
        <v>316</v>
      </c>
      <c r="I23" t="b">
        <v>1</v>
      </c>
    </row>
    <row r="24" spans="1:9" x14ac:dyDescent="0.3">
      <c r="A24">
        <v>1</v>
      </c>
      <c r="B24" t="s">
        <v>735</v>
      </c>
      <c r="C24">
        <v>1</v>
      </c>
      <c r="D24" t="e" cm="1">
        <f t="array" ref="D24">GetValue("Db",A24&amp;";"&amp;C24,"Name")</f>
        <v>#VALUE!</v>
      </c>
      <c r="E24">
        <v>16</v>
      </c>
      <c r="F24" t="str" cm="1">
        <f t="array" ref="F24">GetValue("Tbl",A24&amp;";"&amp;C24&amp;";"&amp;E24,"Name")</f>
        <v>Menus</v>
      </c>
      <c r="G24">
        <f t="shared" si="0"/>
        <v>23</v>
      </c>
      <c r="H24" t="s">
        <v>323</v>
      </c>
      <c r="I24" t="b">
        <v>1</v>
      </c>
    </row>
    <row r="25" spans="1:9" x14ac:dyDescent="0.3">
      <c r="A25">
        <v>1</v>
      </c>
      <c r="B25" t="s">
        <v>735</v>
      </c>
      <c r="C25">
        <v>1</v>
      </c>
      <c r="D25" t="e" cm="1">
        <f t="array" ref="D25">GetValue("Db",A25&amp;";"&amp;C25,"Name")</f>
        <v>#VALUE!</v>
      </c>
      <c r="E25">
        <v>17</v>
      </c>
      <c r="F25" t="str" cm="1">
        <f t="array" ref="F25">GetValue("Tbl",A25&amp;";"&amp;C25&amp;";"&amp;E25,"Name")</f>
        <v>SystemsUsers</v>
      </c>
      <c r="G25">
        <f t="shared" si="0"/>
        <v>24</v>
      </c>
      <c r="H25" t="s">
        <v>451</v>
      </c>
      <c r="I25" t="b">
        <v>0</v>
      </c>
    </row>
    <row r="26" spans="1:9" x14ac:dyDescent="0.3">
      <c r="A26">
        <v>1</v>
      </c>
      <c r="B26" t="s">
        <v>735</v>
      </c>
      <c r="C26">
        <v>1</v>
      </c>
      <c r="D26" t="e" cm="1">
        <f t="array" ref="D26">GetValue("Db",A26&amp;";"&amp;C26,"Name")</f>
        <v>#VALUE!</v>
      </c>
      <c r="E26">
        <v>18</v>
      </c>
      <c r="F26" t="str" cm="1">
        <f t="array" ref="F26">GetValue("Tbl",A26&amp;";"&amp;C26&amp;";"&amp;E26,"Name")</f>
        <v>Tables</v>
      </c>
      <c r="G26">
        <f t="shared" si="0"/>
        <v>25</v>
      </c>
      <c r="H26" t="s">
        <v>452</v>
      </c>
      <c r="I26" t="b">
        <v>0</v>
      </c>
    </row>
    <row r="27" spans="1:9" x14ac:dyDescent="0.3">
      <c r="A27">
        <v>1</v>
      </c>
      <c r="B27" t="s">
        <v>735</v>
      </c>
      <c r="C27">
        <v>1</v>
      </c>
      <c r="D27" t="e" cm="1">
        <f t="array" ref="D27">GetValue("Db",A27&amp;";"&amp;C27,"Name")</f>
        <v>#VALUE!</v>
      </c>
      <c r="E27">
        <v>19</v>
      </c>
      <c r="F27" t="str" cm="1">
        <f t="array" ref="F27">GetValue("Tbl",A27&amp;";"&amp;C27&amp;";"&amp;E27,"Name")</f>
        <v>Columns</v>
      </c>
      <c r="G27">
        <f t="shared" si="0"/>
        <v>26</v>
      </c>
      <c r="H27" t="s">
        <v>420</v>
      </c>
      <c r="I27" t="b">
        <v>0</v>
      </c>
    </row>
    <row r="28" spans="1:9" x14ac:dyDescent="0.3">
      <c r="A28">
        <v>1</v>
      </c>
      <c r="B28" t="s">
        <v>735</v>
      </c>
      <c r="C28">
        <v>1</v>
      </c>
      <c r="D28" t="e" cm="1">
        <f t="array" ref="D28">GetValue("Db",A28&amp;";"&amp;C28,"Name")</f>
        <v>#VALUE!</v>
      </c>
      <c r="E28">
        <v>20</v>
      </c>
      <c r="F28" t="str" cm="1">
        <f t="array" ref="F28">GetValue("Tbl",A28&amp;";"&amp;C28&amp;";"&amp;E28,"Name")</f>
        <v>Indexes</v>
      </c>
      <c r="G28">
        <f t="shared" si="0"/>
        <v>27</v>
      </c>
      <c r="H28" t="s">
        <v>444</v>
      </c>
      <c r="I28" t="b">
        <v>1</v>
      </c>
    </row>
    <row r="29" spans="1:9" x14ac:dyDescent="0.3">
      <c r="A29">
        <v>1</v>
      </c>
      <c r="B29" t="s">
        <v>735</v>
      </c>
      <c r="C29">
        <v>1</v>
      </c>
      <c r="D29" t="e" cm="1">
        <f t="array" ref="D29">GetValue("Db",A29&amp;";"&amp;C29,"Name")</f>
        <v>#VALUE!</v>
      </c>
      <c r="E29">
        <v>20</v>
      </c>
      <c r="F29" t="str" cm="1">
        <f t="array" ref="F29">GetValue("Tbl",A29&amp;";"&amp;C29&amp;";"&amp;E29,"Name")</f>
        <v>Indexes</v>
      </c>
      <c r="G29">
        <f t="shared" si="0"/>
        <v>28</v>
      </c>
      <c r="H29" t="s">
        <v>445</v>
      </c>
      <c r="I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N45"/>
  <sheetViews>
    <sheetView workbookViewId="0">
      <pane ySplit="1" topLeftCell="A2" activePane="bottomLeft" state="frozen"/>
      <selection pane="bottomLeft" activeCell="J9" sqref="J9"/>
    </sheetView>
  </sheetViews>
  <sheetFormatPr defaultRowHeight="14.4" x14ac:dyDescent="0.3"/>
  <cols>
    <col min="1" max="1" width="8.44140625" bestFit="1" customWidth="1"/>
    <col min="2" max="2" width="11.77734375" bestFit="1" customWidth="1"/>
    <col min="3" max="3" width="11.44140625" bestFit="1" customWidth="1"/>
    <col min="4" max="4" width="14.88671875" bestFit="1" customWidth="1"/>
    <col min="5" max="5" width="8.21875" bestFit="1" customWidth="1"/>
    <col min="6" max="6" width="20.77734375" bestFit="1" customWidth="1"/>
    <col min="7" max="7" width="8.33203125" bestFit="1" customWidth="1"/>
    <col min="8" max="8" width="3.6640625" bestFit="1" customWidth="1"/>
    <col min="9" max="9" width="7.33203125" bestFit="1" customWidth="1"/>
    <col min="10" max="10" width="48.109375" bestFit="1" customWidth="1"/>
    <col min="11" max="12" width="9.21875" bestFit="1" customWidth="1"/>
    <col min="13" max="13" width="13.6640625" bestFit="1" customWidth="1"/>
    <col min="14" max="14" width="12" bestFit="1" customWidth="1"/>
  </cols>
  <sheetData>
    <row r="1" spans="1:14" s="1" customFormat="1" x14ac:dyDescent="0.3">
      <c r="A1" s="1" t="s">
        <v>729</v>
      </c>
      <c r="B1" s="1" t="s">
        <v>618</v>
      </c>
      <c r="C1" s="1" t="s">
        <v>738</v>
      </c>
      <c r="D1" s="1" t="s">
        <v>306</v>
      </c>
      <c r="E1" s="1" t="s">
        <v>739</v>
      </c>
      <c r="F1" s="1" t="s">
        <v>307</v>
      </c>
      <c r="G1" s="1" t="s">
        <v>815</v>
      </c>
      <c r="H1" s="1" t="s">
        <v>726</v>
      </c>
      <c r="I1" s="1" t="s">
        <v>249</v>
      </c>
      <c r="J1" s="1" t="s">
        <v>309</v>
      </c>
      <c r="K1" s="1" t="s">
        <v>77</v>
      </c>
      <c r="L1" s="1" t="s">
        <v>253</v>
      </c>
      <c r="M1" s="1" t="s">
        <v>310</v>
      </c>
      <c r="N1" s="1" t="s">
        <v>256</v>
      </c>
    </row>
    <row r="2" spans="1:14" x14ac:dyDescent="0.3">
      <c r="A2">
        <v>1</v>
      </c>
      <c r="B2" t="s">
        <v>735</v>
      </c>
      <c r="C2">
        <v>1</v>
      </c>
      <c r="D2" t="e" cm="1">
        <f t="array" ref="D2">GetValue("Db",A2&amp;";"&amp;C2,"Name")</f>
        <v>#VALUE!</v>
      </c>
      <c r="E2">
        <v>1</v>
      </c>
      <c r="F2" t="str" cm="1">
        <f t="array" ref="F2">GetValue("Tbl",A2&amp;";"&amp;C2&amp;";"&amp;E2,"Name")</f>
        <v>Engines</v>
      </c>
      <c r="G2">
        <f>ROW(G2)-1</f>
        <v>1</v>
      </c>
      <c r="H2">
        <f>ROW(H2)-1</f>
        <v>1</v>
      </c>
      <c r="I2">
        <v>1</v>
      </c>
      <c r="J2" t="str" cm="1">
        <f t="array" ref="J2">GetValue("Idx",A2&amp;";"&amp;C2&amp;";"&amp;E2&amp;";"&amp;G2,"Name")</f>
        <v>UNQ_Categories_Name</v>
      </c>
      <c r="K2">
        <v>5</v>
      </c>
      <c r="L2">
        <v>2</v>
      </c>
      <c r="M2" t="str" cm="1">
        <f t="array" ref="M2">GetValue("Col",A2&amp;";"&amp;C2&amp;";"&amp;E2&amp;";"&amp;L2,"Name")</f>
        <v>Name</v>
      </c>
      <c r="N2" t="b">
        <v>0</v>
      </c>
    </row>
    <row r="3" spans="1:14" x14ac:dyDescent="0.3">
      <c r="A3">
        <v>1</v>
      </c>
      <c r="B3" t="s">
        <v>735</v>
      </c>
      <c r="C3">
        <v>1</v>
      </c>
      <c r="D3" t="e" cm="1">
        <f t="array" ref="D3">GetValue("Db",A3&amp;";"&amp;C3,"Name")</f>
        <v>#VALUE!</v>
      </c>
      <c r="E3">
        <v>2</v>
      </c>
      <c r="F3" t="str" cm="1">
        <f t="array" ref="F3">GetValue("Tbl",A3&amp;";"&amp;C3&amp;";"&amp;E3,"Name")</f>
        <v>Categories</v>
      </c>
      <c r="G3">
        <f>ROW(G3)-1</f>
        <v>2</v>
      </c>
      <c r="H3">
        <f t="shared" ref="H3:H45" si="0">ROW(H3)-1</f>
        <v>2</v>
      </c>
      <c r="I3">
        <v>2</v>
      </c>
      <c r="J3" t="str" cm="1">
        <f t="array" ref="J3">GetValue("Idx",A3&amp;";"&amp;C3&amp;";"&amp;E3&amp;";"&amp;G3,"Name")</f>
        <v>UNQ_Types_Name</v>
      </c>
      <c r="K3">
        <v>5</v>
      </c>
      <c r="L3">
        <v>14</v>
      </c>
      <c r="M3" t="str" cm="1">
        <f t="array" ref="M3">GetValue("Col",A3&amp;";"&amp;C3&amp;";"&amp;E3&amp;";"&amp;L3,"Name")</f>
        <v>Name</v>
      </c>
      <c r="N3" t="b">
        <v>0</v>
      </c>
    </row>
    <row r="4" spans="1:14" x14ac:dyDescent="0.3">
      <c r="A4">
        <v>1</v>
      </c>
      <c r="B4" t="s">
        <v>735</v>
      </c>
      <c r="C4">
        <v>1</v>
      </c>
      <c r="D4" t="e" cm="1">
        <f t="array" ref="D4">GetValue("Db",A4&amp;";"&amp;C4,"Name")</f>
        <v>#VALUE!</v>
      </c>
      <c r="E4">
        <v>3</v>
      </c>
      <c r="F4" t="str" cm="1">
        <f t="array" ref="F4">GetValue("Tbl",A4&amp;";"&amp;C4&amp;";"&amp;E4,"Name")</f>
        <v>Types</v>
      </c>
      <c r="G4">
        <f t="shared" ref="G4" si="1">ROW(G4)-1</f>
        <v>3</v>
      </c>
      <c r="H4">
        <f t="shared" si="0"/>
        <v>3</v>
      </c>
      <c r="I4">
        <v>3</v>
      </c>
      <c r="J4" t="str" cm="1">
        <f t="array" ref="J4">GetValue("Idx",A4&amp;";"&amp;C4&amp;";"&amp;E4&amp;";"&amp;G4,"Name")</f>
        <v>UNQ_Masks_Name</v>
      </c>
      <c r="K4">
        <v>5</v>
      </c>
      <c r="L4">
        <v>28</v>
      </c>
      <c r="M4" t="str" cm="1">
        <f t="array" ref="M4">GetValue("Col",A4&amp;";"&amp;C4&amp;";"&amp;E4&amp;";"&amp;L4,"Name")</f>
        <v>Name</v>
      </c>
      <c r="N4" t="b">
        <v>0</v>
      </c>
    </row>
    <row r="5" spans="1:14" x14ac:dyDescent="0.3">
      <c r="A5">
        <v>1</v>
      </c>
      <c r="B5" t="s">
        <v>735</v>
      </c>
      <c r="C5">
        <v>1</v>
      </c>
      <c r="D5" t="e" cm="1">
        <f t="array" ref="D5">GetValue("Db",A5&amp;";"&amp;C5,"Name")</f>
        <v>#VALUE!</v>
      </c>
      <c r="E5">
        <v>4</v>
      </c>
      <c r="F5" t="str" cm="1">
        <f t="array" ref="F5">GetValue("Tbl",A5&amp;";"&amp;C5&amp;";"&amp;E5,"Name")</f>
        <v>EnginesTypes</v>
      </c>
      <c r="G5">
        <f>ROW(G5)-1</f>
        <v>4</v>
      </c>
      <c r="H5">
        <f t="shared" si="0"/>
        <v>4</v>
      </c>
      <c r="I5">
        <v>4</v>
      </c>
      <c r="J5" t="str" cm="1">
        <f t="array" ref="J5">GetValue("Idx",A5&amp;";"&amp;C5&amp;";"&amp;E5&amp;";"&amp;G5,"Name")</f>
        <v>UNQ_Domains_Name</v>
      </c>
      <c r="K5">
        <v>5</v>
      </c>
      <c r="L5">
        <v>33</v>
      </c>
      <c r="M5" t="str" cm="1">
        <f t="array" ref="M5">GetValue("Col",A5&amp;";"&amp;C5&amp;";"&amp;E5&amp;";"&amp;L5,"Name")</f>
        <v>Name</v>
      </c>
      <c r="N5" t="b">
        <v>0</v>
      </c>
    </row>
    <row r="6" spans="1:14" x14ac:dyDescent="0.3">
      <c r="A6">
        <v>1</v>
      </c>
      <c r="B6" t="s">
        <v>735</v>
      </c>
      <c r="C6">
        <v>1</v>
      </c>
      <c r="D6" t="e" cm="1">
        <f t="array" ref="D6">GetValue("Db",A6&amp;";"&amp;C6,"Name")</f>
        <v>#VALUE!</v>
      </c>
      <c r="E6">
        <v>5</v>
      </c>
      <c r="F6" t="str" cm="1">
        <f t="array" ref="F6">GetValue("Tbl",A6&amp;";"&amp;C6&amp;";"&amp;E6,"Name")</f>
        <v>Clients</v>
      </c>
      <c r="G6">
        <f t="shared" ref="G6:G45" si="2">ROW(G6)-1</f>
        <v>5</v>
      </c>
      <c r="H6">
        <f t="shared" si="0"/>
        <v>5</v>
      </c>
      <c r="I6">
        <v>5</v>
      </c>
      <c r="J6" t="str" cm="1">
        <f t="array" ref="J6">GetValue("Idx",A6&amp;";"&amp;C6&amp;";"&amp;E6&amp;";"&amp;G6,"Name")</f>
        <v>UNQ_Systems_Name</v>
      </c>
      <c r="K6">
        <v>5</v>
      </c>
      <c r="L6">
        <v>42</v>
      </c>
      <c r="M6" t="str" cm="1">
        <f t="array" ref="M6">GetValue("Col",A6&amp;";"&amp;C6&amp;";"&amp;E6&amp;";"&amp;L6,"Name")</f>
        <v>Name</v>
      </c>
      <c r="N6" t="b">
        <v>0</v>
      </c>
    </row>
    <row r="7" spans="1:14" x14ac:dyDescent="0.3">
      <c r="A7">
        <v>1</v>
      </c>
      <c r="B7" t="s">
        <v>735</v>
      </c>
      <c r="C7">
        <v>1</v>
      </c>
      <c r="D7" t="e" cm="1">
        <f t="array" ref="D7">GetValue("Db",A7&amp;";"&amp;C7,"Name")</f>
        <v>#VALUE!</v>
      </c>
      <c r="E7">
        <v>6</v>
      </c>
      <c r="F7" t="str" cm="1">
        <f t="array" ref="F7">GetValue("Tbl",A7&amp;";"&amp;C7&amp;";"&amp;E7,"Name")</f>
        <v>Domains</v>
      </c>
      <c r="G7">
        <f t="shared" si="2"/>
        <v>6</v>
      </c>
      <c r="H7">
        <f t="shared" si="0"/>
        <v>6</v>
      </c>
      <c r="I7">
        <v>6</v>
      </c>
      <c r="J7" t="str" cm="1">
        <f t="array" ref="J7">GetValue("Idx",A7&amp;";"&amp;C7&amp;";"&amp;E7&amp;";"&amp;G7,"Name")</f>
        <v>UNQ_Menus_SystemId_Sequence</v>
      </c>
      <c r="K7">
        <v>5</v>
      </c>
      <c r="L7">
        <v>48</v>
      </c>
      <c r="M7" t="str" cm="1">
        <f t="array" ref="M7">GetValue("Col",A7&amp;";"&amp;C7&amp;";"&amp;E7&amp;";"&amp;L7,"Name")</f>
        <v>SystemId</v>
      </c>
      <c r="N7" t="b">
        <v>0</v>
      </c>
    </row>
    <row r="8" spans="1:14" x14ac:dyDescent="0.3">
      <c r="A8">
        <v>1</v>
      </c>
      <c r="B8" t="s">
        <v>735</v>
      </c>
      <c r="C8">
        <v>1</v>
      </c>
      <c r="D8" t="e" cm="1">
        <f t="array" ref="D8">GetValue("Db",A8&amp;";"&amp;C8,"Name")</f>
        <v>#VALUE!</v>
      </c>
      <c r="E8">
        <v>6</v>
      </c>
      <c r="F8" t="str" cm="1">
        <f t="array" ref="F8">GetValue("Tbl",A8&amp;";"&amp;C8&amp;";"&amp;E8,"Name")</f>
        <v>Domains</v>
      </c>
      <c r="G8">
        <f t="shared" si="2"/>
        <v>7</v>
      </c>
      <c r="H8">
        <f t="shared" si="0"/>
        <v>7</v>
      </c>
      <c r="I8">
        <v>6</v>
      </c>
      <c r="J8" t="str" cm="1">
        <f t="array" ref="J8">GetValue("Idx",A8&amp;";"&amp;C8&amp;";"&amp;E8&amp;";"&amp;G8,"Name")</f>
        <v>UNQ_Menus_SystemId_Caption</v>
      </c>
      <c r="K8">
        <v>10</v>
      </c>
      <c r="L8">
        <v>49</v>
      </c>
      <c r="M8" t="str" cm="1">
        <f t="array" ref="M8">GetValue("Col",A8&amp;";"&amp;C8&amp;";"&amp;E8&amp;";"&amp;L8,"Name")</f>
        <v>Sequence</v>
      </c>
      <c r="N8" t="b">
        <v>0</v>
      </c>
    </row>
    <row r="9" spans="1:14" x14ac:dyDescent="0.3">
      <c r="A9">
        <v>1</v>
      </c>
      <c r="B9" t="s">
        <v>735</v>
      </c>
      <c r="C9">
        <v>1</v>
      </c>
      <c r="D9" t="e" cm="1">
        <f t="array" ref="D9">GetValue("Db",A9&amp;";"&amp;C9,"Name")</f>
        <v>#VALUE!</v>
      </c>
      <c r="E9">
        <v>7</v>
      </c>
      <c r="F9" t="str" cm="1">
        <f t="array" ref="F9">GetValue("Tbl",A9&amp;";"&amp;C9&amp;";"&amp;E9,"Name")</f>
        <v>EnginesDomains</v>
      </c>
      <c r="G9">
        <f t="shared" si="2"/>
        <v>8</v>
      </c>
      <c r="H9">
        <f t="shared" si="0"/>
        <v>8</v>
      </c>
      <c r="I9">
        <v>7</v>
      </c>
      <c r="J9" t="str" cm="1">
        <f t="array" ref="J9">GetValue("Idx",A9&amp;";"&amp;C9&amp;";"&amp;E9&amp;";"&amp;G9,"Name")</f>
        <v>UNQ_Users_Name</v>
      </c>
      <c r="K9">
        <v>5</v>
      </c>
      <c r="L9">
        <v>48</v>
      </c>
      <c r="M9" t="str" cm="1">
        <f t="array" ref="M9">GetValue("Col",A9&amp;";"&amp;C9&amp;";"&amp;E9&amp;";"&amp;L9,"Name")</f>
        <v/>
      </c>
      <c r="N9" t="b">
        <v>0</v>
      </c>
    </row>
    <row r="10" spans="1:14" x14ac:dyDescent="0.3">
      <c r="A10">
        <v>1</v>
      </c>
      <c r="B10" t="s">
        <v>735</v>
      </c>
      <c r="C10">
        <v>1</v>
      </c>
      <c r="D10" t="e" cm="1">
        <f t="array" ref="D10">GetValue("Db",A10&amp;";"&amp;C10,"Name")</f>
        <v>#VALUE!</v>
      </c>
      <c r="E10">
        <v>8</v>
      </c>
      <c r="F10" t="str" cm="1">
        <f t="array" ref="F10">GetValue("Tbl",A10&amp;";"&amp;C10&amp;";"&amp;E10,"Name")</f>
        <v>Masks</v>
      </c>
      <c r="G10">
        <f t="shared" si="2"/>
        <v>9</v>
      </c>
      <c r="H10">
        <f t="shared" si="0"/>
        <v>9</v>
      </c>
      <c r="I10">
        <v>7</v>
      </c>
      <c r="J10" t="str" cm="1">
        <f t="array" ref="J10">GetValue("Idx",A10&amp;";"&amp;C10&amp;";"&amp;E10&amp;";"&amp;G10,"Name")</f>
        <v>UNQ_SystemsUsers_SystemId_UserId</v>
      </c>
      <c r="K10">
        <v>10</v>
      </c>
      <c r="L10">
        <v>50</v>
      </c>
      <c r="M10" t="str" cm="1">
        <f t="array" ref="M10">GetValue("Col",A10&amp;";"&amp;C10&amp;";"&amp;E10&amp;";"&amp;L10,"Name")</f>
        <v/>
      </c>
      <c r="N10" t="b">
        <v>0</v>
      </c>
    </row>
    <row r="11" spans="1:14" x14ac:dyDescent="0.3">
      <c r="A11">
        <v>1</v>
      </c>
      <c r="B11" t="s">
        <v>735</v>
      </c>
      <c r="C11">
        <v>1</v>
      </c>
      <c r="D11" t="e" cm="1">
        <f t="array" ref="D11">GetValue("Db",A11&amp;";"&amp;C11,"Name")</f>
        <v>#VALUE!</v>
      </c>
      <c r="E11">
        <v>8</v>
      </c>
      <c r="F11" t="str" cm="1">
        <f t="array" ref="F11">GetValue("Tbl",A11&amp;";"&amp;C11&amp;";"&amp;E11,"Name")</f>
        <v>Masks</v>
      </c>
      <c r="G11">
        <f t="shared" si="2"/>
        <v>10</v>
      </c>
      <c r="H11">
        <f t="shared" si="0"/>
        <v>10</v>
      </c>
      <c r="I11">
        <v>8</v>
      </c>
      <c r="J11" t="str" cm="1">
        <f t="array" ref="J11">GetValue("Idx",A11&amp;";"&amp;C11&amp;";"&amp;E11&amp;";"&amp;G11,"Name")</f>
        <v>UNQ_SystemsUsers_Name</v>
      </c>
      <c r="K11">
        <v>5</v>
      </c>
      <c r="L11">
        <v>55</v>
      </c>
      <c r="M11" t="str" cm="1">
        <f t="array" ref="M11">GetValue("Col",A11&amp;";"&amp;C11&amp;";"&amp;E11&amp;";"&amp;L11,"Name")</f>
        <v/>
      </c>
      <c r="N11" t="b">
        <v>0</v>
      </c>
    </row>
    <row r="12" spans="1:14" x14ac:dyDescent="0.3">
      <c r="A12">
        <v>1</v>
      </c>
      <c r="B12" t="s">
        <v>735</v>
      </c>
      <c r="C12">
        <v>1</v>
      </c>
      <c r="D12" t="e" cm="1">
        <f t="array" ref="D12">GetValue("Db",A12&amp;";"&amp;C12,"Name")</f>
        <v>#VALUE!</v>
      </c>
      <c r="E12">
        <v>10</v>
      </c>
      <c r="F12" t="str" cm="1">
        <f t="array" ref="F12">GetValue("Tbl",A12&amp;";"&amp;C12&amp;";"&amp;E12,"Name")</f>
        <v>Digits</v>
      </c>
      <c r="G12">
        <f t="shared" si="2"/>
        <v>11</v>
      </c>
      <c r="H12">
        <f t="shared" si="0"/>
        <v>11</v>
      </c>
      <c r="I12">
        <v>9</v>
      </c>
      <c r="J12" t="str" cm="1">
        <f t="array" ref="J12">GetValue("Idx",A12&amp;";"&amp;C12&amp;";"&amp;E12&amp;";"&amp;G12,"Name")</f>
        <v>UNQ_Databases_Name</v>
      </c>
      <c r="K12">
        <v>5</v>
      </c>
      <c r="L12">
        <v>61</v>
      </c>
      <c r="M12" t="str" cm="1">
        <f t="array" ref="M12">GetValue("Col",A12&amp;";"&amp;C12&amp;";"&amp;E12&amp;";"&amp;L12,"Name")</f>
        <v/>
      </c>
      <c r="N12" t="b">
        <v>0</v>
      </c>
    </row>
    <row r="13" spans="1:14" x14ac:dyDescent="0.3">
      <c r="A13">
        <v>1</v>
      </c>
      <c r="B13" t="s">
        <v>735</v>
      </c>
      <c r="C13">
        <v>1</v>
      </c>
      <c r="D13" t="e" cm="1">
        <f t="array" ref="D13">GetValue("Db",A13&amp;";"&amp;C13,"Name")</f>
        <v>#VALUE!</v>
      </c>
      <c r="E13">
        <v>10</v>
      </c>
      <c r="F13" t="str" cm="1">
        <f t="array" ref="F13">GetValue("Tbl",A13&amp;";"&amp;C13&amp;";"&amp;E13,"Name")</f>
        <v>Digits</v>
      </c>
      <c r="G13">
        <f t="shared" si="2"/>
        <v>12</v>
      </c>
      <c r="H13">
        <f t="shared" si="0"/>
        <v>12</v>
      </c>
      <c r="I13">
        <v>9</v>
      </c>
      <c r="J13" t="str" cm="1">
        <f t="array" ref="J13">GetValue("Idx",A13&amp;";"&amp;C13&amp;";"&amp;E13&amp;";"&amp;G13,"Name")</f>
        <v>UNQ_Databases_Alias</v>
      </c>
      <c r="K13">
        <v>10</v>
      </c>
      <c r="L13">
        <v>62</v>
      </c>
      <c r="M13" t="str" cm="1">
        <f t="array" ref="M13">GetValue("Col",A13&amp;";"&amp;C13&amp;";"&amp;E13&amp;";"&amp;L13,"Name")</f>
        <v/>
      </c>
      <c r="N13" t="b">
        <v>0</v>
      </c>
    </row>
    <row r="14" spans="1:14" x14ac:dyDescent="0.3">
      <c r="A14">
        <v>1</v>
      </c>
      <c r="B14" t="s">
        <v>735</v>
      </c>
      <c r="C14">
        <v>1</v>
      </c>
      <c r="D14" t="e" cm="1">
        <f t="array" ref="D14">GetValue("Db",A14&amp;";"&amp;C14,"Name")</f>
        <v>#VALUE!</v>
      </c>
      <c r="E14">
        <v>11</v>
      </c>
      <c r="F14" t="str" cm="1">
        <f t="array" ref="F14">GetValue("Tbl",A14&amp;";"&amp;C14&amp;";"&amp;E14,"Name")</f>
        <v>MasksDigits</v>
      </c>
      <c r="G14">
        <f t="shared" si="2"/>
        <v>13</v>
      </c>
      <c r="H14">
        <f t="shared" si="0"/>
        <v>13</v>
      </c>
      <c r="I14">
        <v>10</v>
      </c>
      <c r="J14" t="str" cm="1">
        <f t="array" ref="J14">GetValue("Idx",A14&amp;";"&amp;C14&amp;";"&amp;E14&amp;";"&amp;G14,"Name")</f>
        <v>UNQ_SystemsDatabases_SystemId_DatabaseId</v>
      </c>
      <c r="K14">
        <v>5</v>
      </c>
      <c r="L14">
        <v>63</v>
      </c>
      <c r="M14" t="str" cm="1">
        <f t="array" ref="M14">GetValue("Col",A14&amp;";"&amp;C14&amp;";"&amp;E14&amp;";"&amp;L14,"Name")</f>
        <v/>
      </c>
      <c r="N14" t="b">
        <v>0</v>
      </c>
    </row>
    <row r="15" spans="1:14" x14ac:dyDescent="0.3">
      <c r="A15">
        <v>1</v>
      </c>
      <c r="B15" t="s">
        <v>735</v>
      </c>
      <c r="C15">
        <v>1</v>
      </c>
      <c r="D15" t="e" cm="1">
        <f t="array" ref="D15">GetValue("Db",A15&amp;";"&amp;C15,"Name")</f>
        <v>#VALUE!</v>
      </c>
      <c r="E15">
        <v>11</v>
      </c>
      <c r="F15" t="str" cm="1">
        <f t="array" ref="F15">GetValue("Tbl",A15&amp;";"&amp;C15&amp;";"&amp;E15,"Name")</f>
        <v>MasksDigits</v>
      </c>
      <c r="G15">
        <f t="shared" si="2"/>
        <v>14</v>
      </c>
      <c r="H15">
        <f t="shared" si="0"/>
        <v>14</v>
      </c>
      <c r="I15">
        <v>11</v>
      </c>
      <c r="J15" t="str" cm="1">
        <f t="array" ref="J15">GetValue("Idx",A15&amp;";"&amp;C15&amp;";"&amp;E15&amp;";"&amp;G15,"Name")</f>
        <v>UNQ_SystemsDatabases_Name</v>
      </c>
      <c r="K15">
        <v>5</v>
      </c>
      <c r="L15">
        <v>69</v>
      </c>
      <c r="M15" t="str" cm="1">
        <f t="array" ref="M15">GetValue("Col",A15&amp;";"&amp;C15&amp;";"&amp;E15&amp;";"&amp;L15,"Name")</f>
        <v/>
      </c>
      <c r="N15" t="b">
        <v>0</v>
      </c>
    </row>
    <row r="16" spans="1:14" x14ac:dyDescent="0.3">
      <c r="A16">
        <v>1</v>
      </c>
      <c r="B16" t="s">
        <v>735</v>
      </c>
      <c r="C16">
        <v>1</v>
      </c>
      <c r="D16" t="e" cm="1">
        <f t="array" ref="D16">GetValue("Db",A16&amp;";"&amp;C16,"Name")</f>
        <v>#VALUE!</v>
      </c>
      <c r="E16">
        <v>12</v>
      </c>
      <c r="F16" t="str" cm="1">
        <f t="array" ref="F16">GetValue("Tbl",A16&amp;";"&amp;C16&amp;";"&amp;E16,"Name")</f>
        <v>Environments</v>
      </c>
      <c r="G16">
        <f t="shared" si="2"/>
        <v>15</v>
      </c>
      <c r="H16">
        <f t="shared" si="0"/>
        <v>15</v>
      </c>
      <c r="I16">
        <v>12</v>
      </c>
      <c r="J16" t="str" cm="1">
        <f t="array" ref="J16">GetValue("Idx",A16&amp;";"&amp;C16&amp;";"&amp;E16&amp;";"&amp;G16,"Name")</f>
        <v>UNQ_Tables_Name</v>
      </c>
      <c r="K16">
        <v>5</v>
      </c>
      <c r="L16">
        <v>70</v>
      </c>
      <c r="M16" t="str" cm="1">
        <f t="array" ref="M16">GetValue("Col",A16&amp;";"&amp;C16&amp;";"&amp;E16&amp;";"&amp;L16,"Name")</f>
        <v/>
      </c>
      <c r="N16" t="b">
        <v>0</v>
      </c>
    </row>
    <row r="17" spans="1:14" x14ac:dyDescent="0.3">
      <c r="A17">
        <v>1</v>
      </c>
      <c r="B17" t="s">
        <v>735</v>
      </c>
      <c r="C17">
        <v>1</v>
      </c>
      <c r="D17" t="e" cm="1">
        <f t="array" ref="D17">GetValue("Db",A17&amp;";"&amp;C17,"Name")</f>
        <v>#VALUE!</v>
      </c>
      <c r="E17">
        <v>12</v>
      </c>
      <c r="F17" t="str" cm="1">
        <f t="array" ref="F17">GetValue("Tbl",A17&amp;";"&amp;C17&amp;";"&amp;E17,"Name")</f>
        <v>Environments</v>
      </c>
      <c r="G17">
        <f t="shared" si="2"/>
        <v>16</v>
      </c>
      <c r="H17">
        <f t="shared" si="0"/>
        <v>16</v>
      </c>
      <c r="I17">
        <v>13</v>
      </c>
      <c r="J17" t="str" cm="1">
        <f t="array" ref="J17">GetValue("Idx",A17&amp;";"&amp;C17&amp;";"&amp;E17&amp;";"&amp;G17,"Name")</f>
        <v>UNQ_Tables_Alias</v>
      </c>
      <c r="K17">
        <v>5</v>
      </c>
      <c r="L17">
        <v>76</v>
      </c>
      <c r="M17" t="str" cm="1">
        <f t="array" ref="M17">GetValue("Col",A17&amp;";"&amp;C17&amp;";"&amp;E17&amp;";"&amp;L17,"Name")</f>
        <v>Id</v>
      </c>
      <c r="N17" t="b">
        <v>0</v>
      </c>
    </row>
    <row r="18" spans="1:14" x14ac:dyDescent="0.3">
      <c r="A18">
        <v>1</v>
      </c>
      <c r="B18" t="s">
        <v>735</v>
      </c>
      <c r="C18">
        <v>1</v>
      </c>
      <c r="D18" t="e" cm="1">
        <f t="array" ref="D18">GetValue("Db",A18&amp;";"&amp;C18,"Name")</f>
        <v>#VALUE!</v>
      </c>
      <c r="E18">
        <v>13</v>
      </c>
      <c r="F18" t="str" cm="1">
        <f t="array" ref="F18">GetValue("Tbl",A18&amp;";"&amp;C18&amp;";"&amp;E18,"Name")</f>
        <v>Databases</v>
      </c>
      <c r="G18">
        <f t="shared" si="2"/>
        <v>17</v>
      </c>
      <c r="H18">
        <f t="shared" si="0"/>
        <v>17</v>
      </c>
      <c r="I18">
        <v>13</v>
      </c>
      <c r="J18" t="str" cm="1">
        <f t="array" ref="J18">GetValue("Idx",A18&amp;";"&amp;C18&amp;";"&amp;E18&amp;";"&amp;G18,"Name")</f>
        <v>UNQ_DatabasesTables_DatabaseId_TableId</v>
      </c>
      <c r="K18">
        <v>10</v>
      </c>
      <c r="L18">
        <v>77</v>
      </c>
      <c r="M18" t="str" cm="1">
        <f t="array" ref="M18">GetValue("Col",A18&amp;";"&amp;C18&amp;";"&amp;E18&amp;";"&amp;L18,"Name")</f>
        <v/>
      </c>
      <c r="N18" t="b">
        <v>0</v>
      </c>
    </row>
    <row r="19" spans="1:14" x14ac:dyDescent="0.3">
      <c r="A19">
        <v>1</v>
      </c>
      <c r="B19" t="s">
        <v>735</v>
      </c>
      <c r="C19">
        <v>1</v>
      </c>
      <c r="D19" t="e" cm="1">
        <f t="array" ref="D19">GetValue("Db",A19&amp;";"&amp;C19,"Name")</f>
        <v>#VALUE!</v>
      </c>
      <c r="E19">
        <v>13</v>
      </c>
      <c r="F19" t="str" cm="1">
        <f t="array" ref="F19">GetValue("Tbl",A19&amp;";"&amp;C19&amp;";"&amp;E19,"Name")</f>
        <v>Databases</v>
      </c>
      <c r="G19">
        <f t="shared" si="2"/>
        <v>18</v>
      </c>
      <c r="H19">
        <f t="shared" si="0"/>
        <v>18</v>
      </c>
      <c r="I19">
        <v>14</v>
      </c>
      <c r="J19" t="str" cm="1">
        <f t="array" ref="J19">GetValue("Idx",A19&amp;";"&amp;C19&amp;";"&amp;E19&amp;";"&amp;G19,"Name")</f>
        <v>UNQ_DatabasesTables_Name</v>
      </c>
      <c r="K19">
        <v>5</v>
      </c>
      <c r="L19">
        <v>78</v>
      </c>
      <c r="M19" t="str" cm="1">
        <f t="array" ref="M19">GetValue("Col",A19&amp;";"&amp;C19&amp;";"&amp;E19&amp;";"&amp;L19,"Name")</f>
        <v/>
      </c>
      <c r="N19" t="b">
        <v>0</v>
      </c>
    </row>
    <row r="20" spans="1:14" x14ac:dyDescent="0.3">
      <c r="A20">
        <v>1</v>
      </c>
      <c r="B20" t="s">
        <v>735</v>
      </c>
      <c r="C20">
        <v>1</v>
      </c>
      <c r="D20" t="e" cm="1">
        <f t="array" ref="D20">GetValue("Db",A20&amp;";"&amp;C20,"Name")</f>
        <v>#VALUE!</v>
      </c>
      <c r="E20">
        <v>14</v>
      </c>
      <c r="F20" t="str" cm="1">
        <f t="array" ref="F20">GetValue("Tbl",A20&amp;";"&amp;C20&amp;";"&amp;E20,"Name")</f>
        <v>DatabasesEnvironments</v>
      </c>
      <c r="G20">
        <f t="shared" si="2"/>
        <v>19</v>
      </c>
      <c r="H20">
        <f t="shared" si="0"/>
        <v>19</v>
      </c>
      <c r="I20">
        <v>15</v>
      </c>
      <c r="J20" t="str" cm="1">
        <f t="array" ref="J20">GetValue("Idx",A20&amp;";"&amp;C20&amp;";"&amp;E20&amp;";"&amp;G20,"Name")</f>
        <v>UNQ_Columns_TableId_Name</v>
      </c>
      <c r="K20">
        <v>5</v>
      </c>
      <c r="L20">
        <v>80</v>
      </c>
      <c r="M20" t="str" cm="1">
        <f t="array" ref="M20">GetValue("Col",A20&amp;";"&amp;C20&amp;";"&amp;E20&amp;";"&amp;L20,"Name")</f>
        <v/>
      </c>
      <c r="N20" t="b">
        <v>0</v>
      </c>
    </row>
    <row r="21" spans="1:14" x14ac:dyDescent="0.3">
      <c r="A21">
        <v>1</v>
      </c>
      <c r="B21" t="s">
        <v>735</v>
      </c>
      <c r="C21">
        <v>1</v>
      </c>
      <c r="D21" t="e" cm="1">
        <f t="array" ref="D21">GetValue("Db",A21&amp;";"&amp;C21,"Name")</f>
        <v>#VALUE!</v>
      </c>
      <c r="E21">
        <v>14</v>
      </c>
      <c r="F21" t="str" cm="1">
        <f t="array" ref="F21">GetValue("Tbl",A21&amp;";"&amp;C21&amp;";"&amp;E21,"Name")</f>
        <v>DatabasesEnvironments</v>
      </c>
      <c r="G21">
        <f t="shared" si="2"/>
        <v>20</v>
      </c>
      <c r="H21">
        <f t="shared" si="0"/>
        <v>20</v>
      </c>
      <c r="I21">
        <v>16</v>
      </c>
      <c r="J21" t="str" cm="1">
        <f t="array" ref="J21">GetValue("Idx",A21&amp;";"&amp;C21&amp;";"&amp;E21&amp;";"&amp;G21,"Name")</f>
        <v>UNQ_Columns_TableId_Sequence</v>
      </c>
      <c r="K21">
        <v>5</v>
      </c>
      <c r="L21">
        <v>81</v>
      </c>
      <c r="M21" t="str" cm="1">
        <f t="array" ref="M21">GetValue("Col",A21&amp;";"&amp;C21&amp;";"&amp;E21&amp;";"&amp;L21,"Name")</f>
        <v/>
      </c>
      <c r="N21" t="b">
        <v>0</v>
      </c>
    </row>
    <row r="22" spans="1:14" x14ac:dyDescent="0.3">
      <c r="A22">
        <v>1</v>
      </c>
      <c r="B22" t="s">
        <v>735</v>
      </c>
      <c r="C22">
        <v>1</v>
      </c>
      <c r="D22" t="e" cm="1">
        <f t="array" ref="D22">GetValue("Db",A22&amp;";"&amp;C22,"Name")</f>
        <v>#VALUE!</v>
      </c>
      <c r="E22">
        <v>15</v>
      </c>
      <c r="F22" t="str" cm="1">
        <f t="array" ref="F22">GetValue("Tbl",A22&amp;";"&amp;C22&amp;";"&amp;E22,"Name")</f>
        <v>Systems</v>
      </c>
      <c r="G22">
        <f t="shared" si="2"/>
        <v>21</v>
      </c>
      <c r="H22">
        <f t="shared" si="0"/>
        <v>21</v>
      </c>
      <c r="I22">
        <v>17</v>
      </c>
      <c r="J22" t="str" cm="1">
        <f t="array" ref="J22">GetValue("Idx",A22&amp;";"&amp;C22&amp;";"&amp;E22&amp;";"&amp;G22,"Name")</f>
        <v>UNQ_Indexes_Name</v>
      </c>
      <c r="K22">
        <v>5</v>
      </c>
      <c r="L22">
        <v>87</v>
      </c>
      <c r="M22" t="str" cm="1">
        <f t="array" ref="M22">GetValue("Col",A22&amp;";"&amp;C22&amp;";"&amp;E22&amp;";"&amp;L22,"Name")</f>
        <v/>
      </c>
      <c r="N22" t="b">
        <v>0</v>
      </c>
    </row>
    <row r="23" spans="1:14" x14ac:dyDescent="0.3">
      <c r="A23">
        <v>1</v>
      </c>
      <c r="B23" t="s">
        <v>735</v>
      </c>
      <c r="C23">
        <v>1</v>
      </c>
      <c r="D23" t="e" cm="1">
        <f t="array" ref="D23">GetValue("Db",A23&amp;";"&amp;C23,"Name")</f>
        <v>#VALUE!</v>
      </c>
      <c r="E23">
        <v>16</v>
      </c>
      <c r="F23" t="str" cm="1">
        <f t="array" ref="F23">GetValue("Tbl",A23&amp;";"&amp;C23&amp;";"&amp;E23,"Name")</f>
        <v>Menus</v>
      </c>
      <c r="G23">
        <f t="shared" si="2"/>
        <v>22</v>
      </c>
      <c r="H23">
        <f t="shared" si="0"/>
        <v>22</v>
      </c>
      <c r="I23">
        <v>17</v>
      </c>
      <c r="J23" t="str" cm="1">
        <f t="array" ref="J23">GetValue("Idx",A23&amp;";"&amp;C23&amp;";"&amp;E23&amp;";"&amp;G23,"Name")</f>
        <v>UNQ_Indexkeys_IndexId_Sequence</v>
      </c>
      <c r="K23">
        <v>10</v>
      </c>
      <c r="L23">
        <v>88</v>
      </c>
      <c r="M23" t="str" cm="1">
        <f t="array" ref="M23">GetValue("Col",A23&amp;";"&amp;C23&amp;";"&amp;E23&amp;";"&amp;L23,"Name")</f>
        <v/>
      </c>
      <c r="N23" t="b">
        <v>0</v>
      </c>
    </row>
    <row r="24" spans="1:14" x14ac:dyDescent="0.3">
      <c r="A24">
        <v>1</v>
      </c>
      <c r="B24" t="s">
        <v>735</v>
      </c>
      <c r="C24">
        <v>1</v>
      </c>
      <c r="D24" t="e" cm="1">
        <f t="array" ref="D24">GetValue("Db",A24&amp;";"&amp;C24,"Name")</f>
        <v>#VALUE!</v>
      </c>
      <c r="E24">
        <v>16</v>
      </c>
      <c r="F24" t="str" cm="1">
        <f t="array" ref="F24">GetValue("Tbl",A24&amp;";"&amp;C24&amp;";"&amp;E24,"Name")</f>
        <v>Menus</v>
      </c>
      <c r="G24">
        <f t="shared" si="2"/>
        <v>23</v>
      </c>
      <c r="H24">
        <f t="shared" si="0"/>
        <v>23</v>
      </c>
      <c r="I24">
        <v>18</v>
      </c>
      <c r="J24" t="str" cm="1">
        <f t="array" ref="J24">GetValue("Idx",A24&amp;";"&amp;C24&amp;";"&amp;E24&amp;";"&amp;G24,"Name")</f>
        <v>UNQ_Indexkeys_IndexId_ColumnId</v>
      </c>
      <c r="K24">
        <v>5</v>
      </c>
      <c r="L24">
        <v>89</v>
      </c>
      <c r="M24" t="str" cm="1">
        <f t="array" ref="M24">GetValue("Col",A24&amp;";"&amp;C24&amp;";"&amp;E24&amp;";"&amp;L24,"Name")</f>
        <v/>
      </c>
      <c r="N24" t="b">
        <v>0</v>
      </c>
    </row>
    <row r="25" spans="1:14" x14ac:dyDescent="0.3">
      <c r="A25">
        <v>1</v>
      </c>
      <c r="B25" t="s">
        <v>735</v>
      </c>
      <c r="C25">
        <v>1</v>
      </c>
      <c r="D25" t="e" cm="1">
        <f t="array" ref="D25">GetValue("Db",A25&amp;";"&amp;C25,"Name")</f>
        <v>#VALUE!</v>
      </c>
      <c r="E25">
        <v>17</v>
      </c>
      <c r="F25" t="str" cm="1">
        <f t="array" ref="F25">GetValue("Tbl",A25&amp;";"&amp;C25&amp;";"&amp;E25,"Name")</f>
        <v>SystemsUsers</v>
      </c>
      <c r="G25">
        <f t="shared" si="2"/>
        <v>24</v>
      </c>
      <c r="H25">
        <f t="shared" si="0"/>
        <v>24</v>
      </c>
      <c r="I25">
        <v>19</v>
      </c>
      <c r="J25" t="str" cm="1">
        <f t="array" ref="J25">GetValue("Idx",A25&amp;";"&amp;C25&amp;";"&amp;E25&amp;";"&amp;G25,"Name")</f>
        <v>IDX_Sessions_SystemId_UserId_IsLogged</v>
      </c>
      <c r="K25">
        <v>5</v>
      </c>
      <c r="L25">
        <v>91</v>
      </c>
      <c r="M25" t="str" cm="1">
        <f t="array" ref="M25">GetValue("Col",A25&amp;";"&amp;C25&amp;";"&amp;E25&amp;";"&amp;L25,"Name")</f>
        <v/>
      </c>
      <c r="N25" t="b">
        <v>0</v>
      </c>
    </row>
    <row r="26" spans="1:14" x14ac:dyDescent="0.3">
      <c r="A26">
        <v>1</v>
      </c>
      <c r="B26" t="s">
        <v>735</v>
      </c>
      <c r="C26">
        <v>1</v>
      </c>
      <c r="D26" t="e" cm="1">
        <f t="array" ref="D26">GetValue("Db",A26&amp;";"&amp;C26,"Name")</f>
        <v>#VALUE!</v>
      </c>
      <c r="E26">
        <v>18</v>
      </c>
      <c r="F26" t="str" cm="1">
        <f t="array" ref="F26">GetValue("Tbl",A26&amp;";"&amp;C26&amp;";"&amp;E26,"Name")</f>
        <v>Tables</v>
      </c>
      <c r="G26">
        <f t="shared" si="2"/>
        <v>25</v>
      </c>
      <c r="H26">
        <f t="shared" si="0"/>
        <v>25</v>
      </c>
      <c r="I26">
        <v>19</v>
      </c>
      <c r="J26" t="str" cm="1">
        <f t="array" ref="J26">GetValue("Idx",A26&amp;";"&amp;C26&amp;";"&amp;E26&amp;";"&amp;G26,"Name")</f>
        <v>IDX_Transactions_SessionId_IsConfirmed</v>
      </c>
      <c r="K26">
        <v>10</v>
      </c>
      <c r="L26">
        <v>95</v>
      </c>
      <c r="M26" t="str" cm="1">
        <f t="array" ref="M26">GetValue("Col",A26&amp;";"&amp;C26&amp;";"&amp;E26&amp;";"&amp;L26,"Name")</f>
        <v/>
      </c>
      <c r="N26" t="b">
        <v>0</v>
      </c>
    </row>
    <row r="27" spans="1:14" x14ac:dyDescent="0.3">
      <c r="A27">
        <v>1</v>
      </c>
      <c r="B27" t="s">
        <v>735</v>
      </c>
      <c r="C27">
        <v>1</v>
      </c>
      <c r="D27" t="e" cm="1">
        <f t="array" ref="D27">GetValue("Db",A27&amp;";"&amp;C27,"Name")</f>
        <v>#VALUE!</v>
      </c>
      <c r="E27">
        <v>19</v>
      </c>
      <c r="F27" t="str" cm="1">
        <f t="array" ref="F27">GetValue("Tbl",A27&amp;";"&amp;C27&amp;";"&amp;E27,"Name")</f>
        <v>Columns</v>
      </c>
      <c r="G27">
        <f t="shared" si="2"/>
        <v>26</v>
      </c>
      <c r="H27">
        <f t="shared" si="0"/>
        <v>26</v>
      </c>
      <c r="I27">
        <v>20</v>
      </c>
      <c r="J27" t="str" cm="1">
        <f t="array" ref="J27">GetValue("Idx",A27&amp;";"&amp;C27&amp;";"&amp;E27&amp;";"&amp;G27,"Name")</f>
        <v>IDX_Operations_TransactionId_TableName_IsConfirmed</v>
      </c>
      <c r="K27">
        <v>5</v>
      </c>
      <c r="L27">
        <v>91</v>
      </c>
      <c r="M27" t="str" cm="1">
        <f t="array" ref="M27">GetValue("Col",A27&amp;";"&amp;C27&amp;";"&amp;E27&amp;";"&amp;L27,"Name")</f>
        <v/>
      </c>
      <c r="N27" t="b">
        <v>0</v>
      </c>
    </row>
    <row r="28" spans="1:14" x14ac:dyDescent="0.3">
      <c r="A28">
        <v>1</v>
      </c>
      <c r="B28" t="s">
        <v>735</v>
      </c>
      <c r="C28">
        <v>1</v>
      </c>
      <c r="D28" t="e" cm="1">
        <f t="array" ref="D28">GetValue("Db",A28&amp;";"&amp;C28,"Name")</f>
        <v>#VALUE!</v>
      </c>
      <c r="E28">
        <v>20</v>
      </c>
      <c r="F28" t="str" cm="1">
        <f t="array" ref="F28">GetValue("Tbl",A28&amp;";"&amp;C28&amp;";"&amp;E28,"Name")</f>
        <v>Indexes</v>
      </c>
      <c r="G28">
        <f t="shared" si="2"/>
        <v>27</v>
      </c>
      <c r="H28">
        <f t="shared" si="0"/>
        <v>27</v>
      </c>
      <c r="I28">
        <v>20</v>
      </c>
      <c r="J28" t="str" cm="1">
        <f t="array" ref="J28">GetValue("Idx",A28&amp;";"&amp;C28&amp;";"&amp;E28&amp;";"&amp;G28,"Name")</f>
        <v>UNQ_Unicities_ColumnId1_ColumnId2</v>
      </c>
      <c r="K28">
        <v>10</v>
      </c>
      <c r="L28">
        <v>92</v>
      </c>
      <c r="M28" t="str" cm="1">
        <f t="array" ref="M28">GetValue("Col",A28&amp;";"&amp;C28&amp;";"&amp;E28&amp;";"&amp;L28,"Name")</f>
        <v/>
      </c>
      <c r="N28" t="b">
        <v>0</v>
      </c>
    </row>
    <row r="29" spans="1:14" x14ac:dyDescent="0.3">
      <c r="A29">
        <v>1</v>
      </c>
      <c r="B29" t="s">
        <v>735</v>
      </c>
      <c r="C29">
        <v>1</v>
      </c>
      <c r="D29" t="e" cm="1">
        <f t="array" ref="D29">GetValue("Db",A29&amp;";"&amp;C29,"Name")</f>
        <v>#VALUE!</v>
      </c>
      <c r="E29">
        <v>20</v>
      </c>
      <c r="F29" t="str" cm="1">
        <f t="array" ref="F29">GetValue("Tbl",A29&amp;";"&amp;C29&amp;";"&amp;E29,"Name")</f>
        <v>Indexes</v>
      </c>
      <c r="G29">
        <f t="shared" si="2"/>
        <v>28</v>
      </c>
      <c r="H29">
        <f t="shared" si="0"/>
        <v>28</v>
      </c>
      <c r="I29">
        <v>21</v>
      </c>
      <c r="J29" t="str" cm="1">
        <f t="array" ref="J29">GetValue("Idx",A29&amp;";"&amp;C29&amp;";"&amp;E29&amp;";"&amp;G29,"Name")</f>
        <v>UNQ_Unicities_ColumnId2_ColumnId1</v>
      </c>
      <c r="K29">
        <v>5</v>
      </c>
      <c r="L29">
        <v>114</v>
      </c>
      <c r="M29" t="str" cm="1">
        <f t="array" ref="M29">GetValue("Col",A29&amp;";"&amp;C29&amp;";"&amp;E29&amp;";"&amp;L29,"Name")</f>
        <v/>
      </c>
      <c r="N29" t="b">
        <v>0</v>
      </c>
    </row>
    <row r="30" spans="1:14" x14ac:dyDescent="0.3">
      <c r="A30">
        <v>1</v>
      </c>
      <c r="B30" t="s">
        <v>735</v>
      </c>
      <c r="C30">
        <v>1</v>
      </c>
      <c r="D30" t="e" cm="1">
        <f t="array" ref="D30">GetValue("Db",A30&amp;";"&amp;C30,"Name")</f>
        <v>#VALUE!</v>
      </c>
      <c r="E30">
        <v>20</v>
      </c>
      <c r="F30" t="str" cm="1">
        <f t="array" ref="F30">GetValue("Tbl",A30&amp;";"&amp;C30&amp;";"&amp;E30,"Name")</f>
        <v>Indexes</v>
      </c>
      <c r="G30">
        <f t="shared" si="2"/>
        <v>29</v>
      </c>
      <c r="H30">
        <f t="shared" si="0"/>
        <v>29</v>
      </c>
      <c r="I30">
        <v>22</v>
      </c>
      <c r="J30" t="str" cm="1">
        <f t="array" ref="J30">GetValue("Idx",A30&amp;";"&amp;C30&amp;";"&amp;E30&amp;";"&amp;G30,"Name")</f>
        <v/>
      </c>
      <c r="K30">
        <v>5</v>
      </c>
      <c r="L30">
        <v>117</v>
      </c>
      <c r="M30" t="str" cm="1">
        <f t="array" ref="M30">GetValue("Col",A30&amp;";"&amp;C30&amp;";"&amp;E30&amp;";"&amp;L30,"Name")</f>
        <v/>
      </c>
      <c r="N30" t="b">
        <v>0</v>
      </c>
    </row>
    <row r="31" spans="1:14" x14ac:dyDescent="0.3">
      <c r="A31">
        <v>1</v>
      </c>
      <c r="B31" t="s">
        <v>735</v>
      </c>
      <c r="C31">
        <v>1</v>
      </c>
      <c r="D31" t="e" cm="1">
        <f t="array" ref="D31">GetValue("Db",A31&amp;";"&amp;C31,"Name")</f>
        <v>#VALUE!</v>
      </c>
      <c r="E31">
        <v>20</v>
      </c>
      <c r="F31" t="str" cm="1">
        <f t="array" ref="F31">GetValue("Tbl",A31&amp;";"&amp;C31&amp;";"&amp;E31,"Name")</f>
        <v>Indexes</v>
      </c>
      <c r="G31">
        <f t="shared" si="2"/>
        <v>30</v>
      </c>
      <c r="H31">
        <f t="shared" si="0"/>
        <v>30</v>
      </c>
      <c r="I31">
        <v>22</v>
      </c>
      <c r="J31" t="str" cm="1">
        <f t="array" ref="J31">GetValue("Idx",A31&amp;";"&amp;C31&amp;";"&amp;E31&amp;";"&amp;G31,"Name")</f>
        <v/>
      </c>
      <c r="K31">
        <v>10</v>
      </c>
      <c r="L31">
        <v>118</v>
      </c>
      <c r="M31" t="str" cm="1">
        <f t="array" ref="M31">GetValue("Col",A31&amp;";"&amp;C31&amp;";"&amp;E31&amp;";"&amp;L31,"Name")</f>
        <v/>
      </c>
      <c r="N31" t="b">
        <v>0</v>
      </c>
    </row>
    <row r="32" spans="1:14" x14ac:dyDescent="0.3">
      <c r="A32">
        <v>1</v>
      </c>
      <c r="B32" t="s">
        <v>735</v>
      </c>
      <c r="C32">
        <v>1</v>
      </c>
      <c r="D32" t="e" cm="1">
        <f t="array" ref="D32">GetValue("Db",A32&amp;";"&amp;C32,"Name")</f>
        <v>#VALUE!</v>
      </c>
      <c r="E32">
        <v>20</v>
      </c>
      <c r="F32" t="str" cm="1">
        <f t="array" ref="F32">GetValue("Tbl",A32&amp;";"&amp;C32&amp;";"&amp;E32,"Name")</f>
        <v>Indexes</v>
      </c>
      <c r="G32">
        <f t="shared" si="2"/>
        <v>31</v>
      </c>
      <c r="H32">
        <f t="shared" si="0"/>
        <v>31</v>
      </c>
      <c r="I32">
        <v>23</v>
      </c>
      <c r="J32" t="str" cm="1">
        <f t="array" ref="J32">GetValue("Idx",A32&amp;";"&amp;C32&amp;";"&amp;E32&amp;";"&amp;G32,"Name")</f>
        <v/>
      </c>
      <c r="K32">
        <v>5</v>
      </c>
      <c r="L32">
        <v>117</v>
      </c>
      <c r="M32" t="str" cm="1">
        <f t="array" ref="M32">GetValue("Col",A32&amp;";"&amp;C32&amp;";"&amp;E32&amp;";"&amp;L32,"Name")</f>
        <v/>
      </c>
      <c r="N32" t="b">
        <v>0</v>
      </c>
    </row>
    <row r="33" spans="1:14" x14ac:dyDescent="0.3">
      <c r="A33">
        <v>1</v>
      </c>
      <c r="B33" t="s">
        <v>735</v>
      </c>
      <c r="C33">
        <v>1</v>
      </c>
      <c r="D33" t="e" cm="1">
        <f t="array" ref="D33">GetValue("Db",A33&amp;";"&amp;C33,"Name")</f>
        <v>#VALUE!</v>
      </c>
      <c r="E33">
        <v>20</v>
      </c>
      <c r="F33" t="str" cm="1">
        <f t="array" ref="F33">GetValue("Tbl",A33&amp;";"&amp;C33&amp;";"&amp;E33,"Name")</f>
        <v>Indexes</v>
      </c>
      <c r="G33">
        <f t="shared" si="2"/>
        <v>32</v>
      </c>
      <c r="H33">
        <f t="shared" si="0"/>
        <v>32</v>
      </c>
      <c r="I33">
        <v>23</v>
      </c>
      <c r="J33" t="str" cm="1">
        <f t="array" ref="J33">GetValue("Idx",A33&amp;";"&amp;C33&amp;";"&amp;E33&amp;";"&amp;G33,"Name")</f>
        <v/>
      </c>
      <c r="K33">
        <v>10</v>
      </c>
      <c r="L33">
        <v>119</v>
      </c>
      <c r="M33" t="str" cm="1">
        <f t="array" ref="M33">GetValue("Col",A33&amp;";"&amp;C33&amp;";"&amp;E33&amp;";"&amp;L33,"Name")</f>
        <v/>
      </c>
      <c r="N33" t="b">
        <v>0</v>
      </c>
    </row>
    <row r="34" spans="1:14" x14ac:dyDescent="0.3">
      <c r="A34">
        <v>1</v>
      </c>
      <c r="B34" t="s">
        <v>735</v>
      </c>
      <c r="C34">
        <v>1</v>
      </c>
      <c r="D34" t="e" cm="1">
        <f t="array" ref="D34">GetValue("Db",A34&amp;";"&amp;C34,"Name")</f>
        <v>#VALUE!</v>
      </c>
      <c r="E34">
        <v>20</v>
      </c>
      <c r="F34" t="str" cm="1">
        <f t="array" ref="F34">GetValue("Tbl",A34&amp;";"&amp;C34&amp;";"&amp;E34,"Name")</f>
        <v>Indexes</v>
      </c>
      <c r="G34">
        <f t="shared" si="2"/>
        <v>33</v>
      </c>
      <c r="H34">
        <f t="shared" si="0"/>
        <v>33</v>
      </c>
      <c r="I34">
        <v>24</v>
      </c>
      <c r="J34" t="str" cm="1">
        <f t="array" ref="J34">GetValue("Idx",A34&amp;";"&amp;C34&amp;";"&amp;E34&amp;";"&amp;G34,"Name")</f>
        <v/>
      </c>
      <c r="K34">
        <v>5</v>
      </c>
      <c r="L34">
        <v>122</v>
      </c>
      <c r="M34" t="str" cm="1">
        <f t="array" ref="M34">GetValue("Col",A34&amp;";"&amp;C34&amp;";"&amp;E34&amp;";"&amp;L34,"Name")</f>
        <v/>
      </c>
      <c r="N34" t="b">
        <v>0</v>
      </c>
    </row>
    <row r="35" spans="1:14" x14ac:dyDescent="0.3">
      <c r="A35">
        <v>1</v>
      </c>
      <c r="B35" t="s">
        <v>735</v>
      </c>
      <c r="C35">
        <v>1</v>
      </c>
      <c r="D35" t="e" cm="1">
        <f t="array" ref="D35">GetValue("Db",A35&amp;";"&amp;C35,"Name")</f>
        <v>#VALUE!</v>
      </c>
      <c r="E35">
        <v>20</v>
      </c>
      <c r="F35" t="str" cm="1">
        <f t="array" ref="F35">GetValue("Tbl",A35&amp;";"&amp;C35&amp;";"&amp;E35,"Name")</f>
        <v>Indexes</v>
      </c>
      <c r="G35">
        <f t="shared" si="2"/>
        <v>34</v>
      </c>
      <c r="H35">
        <f t="shared" si="0"/>
        <v>34</v>
      </c>
      <c r="I35">
        <v>24</v>
      </c>
      <c r="J35" t="str" cm="1">
        <f t="array" ref="J35">GetValue("Idx",A35&amp;";"&amp;C35&amp;";"&amp;E35&amp;";"&amp;G35,"Name")</f>
        <v/>
      </c>
      <c r="K35">
        <v>10</v>
      </c>
      <c r="L35">
        <v>123</v>
      </c>
      <c r="M35" t="str" cm="1">
        <f t="array" ref="M35">GetValue("Col",A35&amp;";"&amp;C35&amp;";"&amp;E35&amp;";"&amp;L35,"Name")</f>
        <v/>
      </c>
      <c r="N35" t="b">
        <v>0</v>
      </c>
    </row>
    <row r="36" spans="1:14" x14ac:dyDescent="0.3">
      <c r="A36">
        <v>1</v>
      </c>
      <c r="B36" t="s">
        <v>735</v>
      </c>
      <c r="C36">
        <v>1</v>
      </c>
      <c r="D36" t="e" cm="1">
        <f t="array" ref="D36">GetValue("Db",A36&amp;";"&amp;C36,"Name")</f>
        <v>#VALUE!</v>
      </c>
      <c r="E36">
        <v>20</v>
      </c>
      <c r="F36" t="str" cm="1">
        <f t="array" ref="F36">GetValue("Tbl",A36&amp;";"&amp;C36&amp;";"&amp;E36,"Name")</f>
        <v>Indexes</v>
      </c>
      <c r="G36">
        <f t="shared" si="2"/>
        <v>35</v>
      </c>
      <c r="H36">
        <f t="shared" si="0"/>
        <v>35</v>
      </c>
      <c r="I36">
        <v>24</v>
      </c>
      <c r="J36" t="str" cm="1">
        <f t="array" ref="J36">GetValue("Idx",A36&amp;";"&amp;C36&amp;";"&amp;E36&amp;";"&amp;G36,"Name")</f>
        <v/>
      </c>
      <c r="K36">
        <v>15</v>
      </c>
      <c r="L36">
        <v>125</v>
      </c>
      <c r="M36" t="str" cm="1">
        <f t="array" ref="M36">GetValue("Col",A36&amp;";"&amp;C36&amp;";"&amp;E36&amp;";"&amp;L36,"Name")</f>
        <v/>
      </c>
      <c r="N36" t="b">
        <v>0</v>
      </c>
    </row>
    <row r="37" spans="1:14" x14ac:dyDescent="0.3">
      <c r="A37">
        <v>1</v>
      </c>
      <c r="B37" t="s">
        <v>735</v>
      </c>
      <c r="C37">
        <v>1</v>
      </c>
      <c r="D37" t="e" cm="1">
        <f t="array" ref="D37">GetValue("Db",A37&amp;";"&amp;C37,"Name")</f>
        <v>#VALUE!</v>
      </c>
      <c r="E37">
        <v>20</v>
      </c>
      <c r="F37" t="str" cm="1">
        <f t="array" ref="F37">GetValue("Tbl",A37&amp;";"&amp;C37&amp;";"&amp;E37,"Name")</f>
        <v>Indexes</v>
      </c>
      <c r="G37">
        <f t="shared" si="2"/>
        <v>36</v>
      </c>
      <c r="H37">
        <f t="shared" si="0"/>
        <v>36</v>
      </c>
      <c r="I37">
        <v>25</v>
      </c>
      <c r="J37" t="str" cm="1">
        <f t="array" ref="J37">GetValue("Idx",A37&amp;";"&amp;C37&amp;";"&amp;E37&amp;";"&amp;G37,"Name")</f>
        <v/>
      </c>
      <c r="K37">
        <v>5</v>
      </c>
      <c r="L37">
        <v>127</v>
      </c>
      <c r="M37" t="str" cm="1">
        <f t="array" ref="M37">GetValue("Col",A37&amp;";"&amp;C37&amp;";"&amp;E37&amp;";"&amp;L37,"Name")</f>
        <v/>
      </c>
      <c r="N37" t="b">
        <v>0</v>
      </c>
    </row>
    <row r="38" spans="1:14" x14ac:dyDescent="0.3">
      <c r="A38">
        <v>1</v>
      </c>
      <c r="B38" t="s">
        <v>735</v>
      </c>
      <c r="C38">
        <v>1</v>
      </c>
      <c r="D38" t="e" cm="1">
        <f t="array" ref="D38">GetValue("Db",A38&amp;";"&amp;C38,"Name")</f>
        <v>#VALUE!</v>
      </c>
      <c r="E38">
        <v>20</v>
      </c>
      <c r="F38" t="str" cm="1">
        <f t="array" ref="F38">GetValue("Tbl",A38&amp;";"&amp;C38&amp;";"&amp;E38,"Name")</f>
        <v>Indexes</v>
      </c>
      <c r="G38">
        <f t="shared" si="2"/>
        <v>37</v>
      </c>
      <c r="H38">
        <f t="shared" si="0"/>
        <v>37</v>
      </c>
      <c r="I38">
        <v>25</v>
      </c>
      <c r="J38" t="str" cm="1">
        <f t="array" ref="J38">GetValue("Idx",A38&amp;";"&amp;C38&amp;";"&amp;E38&amp;";"&amp;G38,"Name")</f>
        <v/>
      </c>
      <c r="K38">
        <v>10</v>
      </c>
      <c r="L38">
        <v>128</v>
      </c>
      <c r="M38" t="str" cm="1">
        <f t="array" ref="M38">GetValue("Col",A38&amp;";"&amp;C38&amp;";"&amp;E38&amp;";"&amp;L38,"Name")</f>
        <v/>
      </c>
      <c r="N38" t="b">
        <v>0</v>
      </c>
    </row>
    <row r="39" spans="1:14" x14ac:dyDescent="0.3">
      <c r="A39">
        <v>1</v>
      </c>
      <c r="B39" t="s">
        <v>735</v>
      </c>
      <c r="C39">
        <v>1</v>
      </c>
      <c r="D39" t="e" cm="1">
        <f t="array" ref="D39">GetValue("Db",A39&amp;";"&amp;C39,"Name")</f>
        <v>#VALUE!</v>
      </c>
      <c r="E39">
        <v>20</v>
      </c>
      <c r="F39" t="str" cm="1">
        <f t="array" ref="F39">GetValue("Tbl",A39&amp;";"&amp;C39&amp;";"&amp;E39,"Name")</f>
        <v>Indexes</v>
      </c>
      <c r="G39">
        <f t="shared" si="2"/>
        <v>38</v>
      </c>
      <c r="H39">
        <f t="shared" si="0"/>
        <v>38</v>
      </c>
      <c r="I39">
        <v>26</v>
      </c>
      <c r="J39" t="str" cm="1">
        <f t="array" ref="J39">GetValue("Idx",A39&amp;";"&amp;C39&amp;";"&amp;E39&amp;";"&amp;G39,"Name")</f>
        <v/>
      </c>
      <c r="K39">
        <v>5</v>
      </c>
      <c r="L39">
        <v>130</v>
      </c>
      <c r="M39" t="str" cm="1">
        <f t="array" ref="M39">GetValue("Col",A39&amp;";"&amp;C39&amp;";"&amp;E39&amp;";"&amp;L39,"Name")</f>
        <v/>
      </c>
      <c r="N39" t="b">
        <v>0</v>
      </c>
    </row>
    <row r="40" spans="1:14" x14ac:dyDescent="0.3">
      <c r="A40">
        <v>1</v>
      </c>
      <c r="B40" t="s">
        <v>735</v>
      </c>
      <c r="C40">
        <v>1</v>
      </c>
      <c r="D40" t="e" cm="1">
        <f t="array" ref="D40">GetValue("Db",A40&amp;";"&amp;C40,"Name")</f>
        <v>#VALUE!</v>
      </c>
      <c r="E40">
        <v>20</v>
      </c>
      <c r="F40" t="str" cm="1">
        <f t="array" ref="F40">GetValue("Tbl",A40&amp;";"&amp;C40&amp;";"&amp;E40,"Name")</f>
        <v>Indexes</v>
      </c>
      <c r="G40">
        <f t="shared" si="2"/>
        <v>39</v>
      </c>
      <c r="H40">
        <f t="shared" si="0"/>
        <v>39</v>
      </c>
      <c r="I40">
        <v>26</v>
      </c>
      <c r="J40" t="str" cm="1">
        <f t="array" ref="J40">GetValue("Idx",A40&amp;";"&amp;C40&amp;";"&amp;E40&amp;";"&amp;G40,"Name")</f>
        <v/>
      </c>
      <c r="K40">
        <v>10</v>
      </c>
      <c r="L40">
        <v>131</v>
      </c>
      <c r="M40" t="str" cm="1">
        <f t="array" ref="M40">GetValue("Col",A40&amp;";"&amp;C40&amp;";"&amp;E40&amp;";"&amp;L40,"Name")</f>
        <v/>
      </c>
      <c r="N40" t="b">
        <v>0</v>
      </c>
    </row>
    <row r="41" spans="1:14" x14ac:dyDescent="0.3">
      <c r="A41">
        <v>1</v>
      </c>
      <c r="B41" t="s">
        <v>735</v>
      </c>
      <c r="C41">
        <v>1</v>
      </c>
      <c r="D41" t="e" cm="1">
        <f t="array" ref="D41">GetValue("Db",A41&amp;";"&amp;C41,"Name")</f>
        <v>#VALUE!</v>
      </c>
      <c r="E41">
        <v>20</v>
      </c>
      <c r="F41" t="str" cm="1">
        <f t="array" ref="F41">GetValue("Tbl",A41&amp;";"&amp;C41&amp;";"&amp;E41,"Name")</f>
        <v>Indexes</v>
      </c>
      <c r="G41">
        <f t="shared" si="2"/>
        <v>40</v>
      </c>
      <c r="H41">
        <f t="shared" si="0"/>
        <v>40</v>
      </c>
      <c r="I41">
        <v>26</v>
      </c>
      <c r="J41" t="str" cm="1">
        <f t="array" ref="J41">GetValue("Idx",A41&amp;";"&amp;C41&amp;";"&amp;E41&amp;";"&amp;G41,"Name")</f>
        <v/>
      </c>
      <c r="K41">
        <v>15</v>
      </c>
      <c r="L41">
        <v>135</v>
      </c>
      <c r="M41" t="str" cm="1">
        <f t="array" ref="M41">GetValue("Col",A41&amp;";"&amp;C41&amp;";"&amp;E41&amp;";"&amp;L41,"Name")</f>
        <v>ColumnId2</v>
      </c>
      <c r="N41" t="b">
        <v>0</v>
      </c>
    </row>
    <row r="42" spans="1:14" x14ac:dyDescent="0.3">
      <c r="A42">
        <v>1</v>
      </c>
      <c r="B42" t="s">
        <v>735</v>
      </c>
      <c r="C42">
        <v>1</v>
      </c>
      <c r="D42" t="e" cm="1">
        <f t="array" ref="D42">GetValue("Db",A42&amp;";"&amp;C42,"Name")</f>
        <v>#VALUE!</v>
      </c>
      <c r="E42">
        <v>20</v>
      </c>
      <c r="F42" t="str" cm="1">
        <f t="array" ref="F42">GetValue("Tbl",A42&amp;";"&amp;C42&amp;";"&amp;E42,"Name")</f>
        <v>Indexes</v>
      </c>
      <c r="G42">
        <f t="shared" si="2"/>
        <v>41</v>
      </c>
      <c r="H42">
        <f t="shared" si="0"/>
        <v>41</v>
      </c>
      <c r="I42">
        <v>27</v>
      </c>
      <c r="J42" t="str" cm="1">
        <f t="array" ref="J42">GetValue("Idx",A42&amp;";"&amp;C42&amp;";"&amp;E42&amp;";"&amp;G42,"Name")</f>
        <v/>
      </c>
      <c r="K42">
        <v>5</v>
      </c>
      <c r="L42">
        <v>137</v>
      </c>
      <c r="M42" t="str" cm="1">
        <f t="array" ref="M42">GetValue("Col",A42&amp;";"&amp;C42&amp;";"&amp;E42&amp;";"&amp;L42,"Name")</f>
        <v/>
      </c>
      <c r="N42" t="b">
        <v>0</v>
      </c>
    </row>
    <row r="43" spans="1:14" x14ac:dyDescent="0.3">
      <c r="A43">
        <v>1</v>
      </c>
      <c r="B43" t="s">
        <v>735</v>
      </c>
      <c r="C43">
        <v>1</v>
      </c>
      <c r="D43" t="e" cm="1">
        <f t="array" ref="D43">GetValue("Db",A43&amp;";"&amp;C43,"Name")</f>
        <v>#VALUE!</v>
      </c>
      <c r="E43">
        <v>20</v>
      </c>
      <c r="F43" t="str" cm="1">
        <f t="array" ref="F43">GetValue("Tbl",A43&amp;";"&amp;C43&amp;";"&amp;E43,"Name")</f>
        <v>Indexes</v>
      </c>
      <c r="G43">
        <f t="shared" si="2"/>
        <v>42</v>
      </c>
      <c r="H43">
        <f t="shared" si="0"/>
        <v>42</v>
      </c>
      <c r="I43">
        <v>27</v>
      </c>
      <c r="J43" t="str" cm="1">
        <f t="array" ref="J43">GetValue("Idx",A43&amp;";"&amp;C43&amp;";"&amp;E43&amp;";"&amp;G43,"Name")</f>
        <v/>
      </c>
      <c r="K43">
        <v>10</v>
      </c>
      <c r="L43">
        <v>138</v>
      </c>
      <c r="M43" t="str" cm="1">
        <f t="array" ref="M43">GetValue("Col",A43&amp;";"&amp;C43&amp;";"&amp;E43&amp;";"&amp;L43,"Name")</f>
        <v/>
      </c>
      <c r="N43" t="b">
        <v>0</v>
      </c>
    </row>
    <row r="44" spans="1:14" x14ac:dyDescent="0.3">
      <c r="A44">
        <v>1</v>
      </c>
      <c r="B44" t="s">
        <v>735</v>
      </c>
      <c r="C44">
        <v>1</v>
      </c>
      <c r="D44" t="e" cm="1">
        <f t="array" ref="D44">GetValue("Db",A44&amp;";"&amp;C44,"Name")</f>
        <v>#VALUE!</v>
      </c>
      <c r="E44">
        <v>20</v>
      </c>
      <c r="F44" t="str" cm="1">
        <f t="array" ref="F44">GetValue("Tbl",A44&amp;";"&amp;C44&amp;";"&amp;E44,"Name")</f>
        <v>Indexes</v>
      </c>
      <c r="G44">
        <f t="shared" si="2"/>
        <v>43</v>
      </c>
      <c r="H44">
        <f t="shared" si="0"/>
        <v>43</v>
      </c>
      <c r="I44">
        <v>28</v>
      </c>
      <c r="J44" t="str" cm="1">
        <f t="array" ref="J44">GetValue("Idx",A44&amp;";"&amp;C44&amp;";"&amp;E44&amp;";"&amp;G44,"Name")</f>
        <v/>
      </c>
      <c r="K44">
        <v>5</v>
      </c>
      <c r="L44">
        <v>138</v>
      </c>
      <c r="M44" t="str" cm="1">
        <f t="array" ref="M44">GetValue("Col",A44&amp;";"&amp;C44&amp;";"&amp;E44&amp;";"&amp;L44,"Name")</f>
        <v/>
      </c>
      <c r="N44" t="b">
        <v>0</v>
      </c>
    </row>
    <row r="45" spans="1:14" x14ac:dyDescent="0.3">
      <c r="A45">
        <v>1</v>
      </c>
      <c r="B45" t="s">
        <v>735</v>
      </c>
      <c r="C45">
        <v>1</v>
      </c>
      <c r="D45" t="e" cm="1">
        <f t="array" ref="D45">GetValue("Db",A45&amp;";"&amp;C45,"Name")</f>
        <v>#VALUE!</v>
      </c>
      <c r="E45">
        <v>20</v>
      </c>
      <c r="F45" t="str" cm="1">
        <f t="array" ref="F45">GetValue("Tbl",A45&amp;";"&amp;C45&amp;";"&amp;E45,"Name")</f>
        <v>Indexes</v>
      </c>
      <c r="G45">
        <f t="shared" si="2"/>
        <v>44</v>
      </c>
      <c r="H45">
        <f t="shared" si="0"/>
        <v>44</v>
      </c>
      <c r="I45">
        <v>28</v>
      </c>
      <c r="J45" t="str" cm="1">
        <f t="array" ref="J45">GetValue("Idx",A45&amp;";"&amp;C45&amp;";"&amp;E45&amp;";"&amp;G45,"Name")</f>
        <v/>
      </c>
      <c r="K45">
        <v>10</v>
      </c>
      <c r="L45">
        <v>137</v>
      </c>
      <c r="M45" t="str" cm="1">
        <f t="array" ref="M45">GetValue("Col",A45&amp;";"&amp;C45&amp;";"&amp;E45&amp;";"&amp;L45,"Name")</f>
        <v/>
      </c>
      <c r="N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F3" sqref="F3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406</v>
      </c>
      <c r="C1" s="1" t="s">
        <v>421</v>
      </c>
      <c r="D1" s="1" t="s">
        <v>412</v>
      </c>
      <c r="E1" s="1" t="s">
        <v>415</v>
      </c>
      <c r="F1" s="1" t="s">
        <v>416</v>
      </c>
      <c r="G1" s="1" t="s">
        <v>407</v>
      </c>
      <c r="H1" s="1" t="s">
        <v>422</v>
      </c>
      <c r="I1" s="1" t="s">
        <v>413</v>
      </c>
      <c r="J1" s="1" t="s">
        <v>414</v>
      </c>
      <c r="K1" s="1" t="s">
        <v>417</v>
      </c>
      <c r="L1" s="1" t="s">
        <v>404</v>
      </c>
    </row>
    <row r="2" spans="1:12" x14ac:dyDescent="0.3">
      <c r="A2">
        <f>ROW(A2)-1</f>
        <v>1</v>
      </c>
      <c r="B2">
        <v>87</v>
      </c>
      <c r="C2" t="e" cm="1">
        <f t="array" ref="C2">GetValue("Columns",B2,"TableId",FALSE)</f>
        <v>#VALUE!</v>
      </c>
      <c r="D2" t="e" cm="1">
        <f t="array" ref="D2">GetValue("Tables",C2,"Name",FALSE)</f>
        <v>#VALUE!</v>
      </c>
      <c r="E2" t="e" cm="1">
        <f t="array" ref="E2">GetValue("Columns",B2,"#TableAlias",FALSE)</f>
        <v>#VALUE!</v>
      </c>
      <c r="F2" t="e" cm="1">
        <f t="array" ref="F2">GetValue("Columns",B2,"Name",FALSE)</f>
        <v>#VALUE!</v>
      </c>
      <c r="G2">
        <v>88</v>
      </c>
      <c r="H2" t="e" cm="1">
        <f t="array" ref="H2">GetValue("Columns",G2,"TableId",FALSE)</f>
        <v>#VALUE!</v>
      </c>
      <c r="I2" t="e" cm="1">
        <f t="array" ref="I2">GetValue("Tables",H2,"Name",FALSE)</f>
        <v>#VALUE!</v>
      </c>
      <c r="J2" t="e" cm="1">
        <f t="array" ref="J2">GetValue("Columns",G2,"#TableAlias",FALSE)</f>
        <v>#VALUE!</v>
      </c>
      <c r="K2" t="e" cm="1">
        <f t="array" ref="K2">GetValue("Columns",G2,"Name",FALSE)</f>
        <v>#VALUE!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141"/>
  <sheetViews>
    <sheetView zoomScaleNormal="100" workbookViewId="0">
      <selection activeCell="N1" sqref="N1"/>
    </sheetView>
  </sheetViews>
  <sheetFormatPr defaultColWidth="5.6640625" defaultRowHeight="14.4" x14ac:dyDescent="0.3"/>
  <cols>
    <col min="1" max="1" width="8.44140625" bestFit="1" customWidth="1"/>
    <col min="2" max="2" width="11.77734375" bestFit="1" customWidth="1"/>
    <col min="3" max="3" width="11.44140625" bestFit="1" customWidth="1"/>
    <col min="4" max="4" width="14.88671875" bestFit="1" customWidth="1"/>
    <col min="5" max="5" width="8.21875" bestFit="1" customWidth="1"/>
    <col min="6" max="6" width="11.5546875" bestFit="1" customWidth="1"/>
    <col min="7" max="7" width="10.21875" bestFit="1" customWidth="1"/>
    <col min="8" max="8" width="13.6640625" bestFit="1" customWidth="1"/>
    <col min="9" max="9" width="3.6640625" bestFit="1" customWidth="1"/>
    <col min="10" max="10" width="8.5546875" style="6" bestFit="1" customWidth="1"/>
    <col min="11" max="11" width="5.77734375" bestFit="1" customWidth="1"/>
    <col min="12" max="12" width="14.6640625" bestFit="1" customWidth="1"/>
    <col min="13" max="13" width="11.77734375" bestFit="1" customWidth="1"/>
  </cols>
  <sheetData>
    <row r="1" spans="1:13" x14ac:dyDescent="0.3">
      <c r="A1" s="1" t="s">
        <v>729</v>
      </c>
      <c r="B1" s="1" t="s">
        <v>618</v>
      </c>
      <c r="C1" s="1" t="s">
        <v>738</v>
      </c>
      <c r="D1" s="1" t="s">
        <v>306</v>
      </c>
      <c r="E1" s="1" t="s">
        <v>739</v>
      </c>
      <c r="F1" s="1" t="s">
        <v>307</v>
      </c>
      <c r="G1" s="1" t="s">
        <v>748</v>
      </c>
      <c r="H1" s="1" t="s">
        <v>310</v>
      </c>
      <c r="I1" s="1" t="s">
        <v>726</v>
      </c>
      <c r="J1" s="1" t="s">
        <v>747</v>
      </c>
      <c r="K1" s="1" t="s">
        <v>592</v>
      </c>
      <c r="L1" s="1" t="s">
        <v>794</v>
      </c>
      <c r="M1" s="1" t="s">
        <v>795</v>
      </c>
    </row>
    <row r="2" spans="1:13" x14ac:dyDescent="0.3">
      <c r="A2">
        <v>1</v>
      </c>
      <c r="B2" t="s">
        <v>735</v>
      </c>
      <c r="C2">
        <v>1</v>
      </c>
      <c r="D2" s="15" t="e" cm="1">
        <f t="array" ref="D2">GetValue("Db",A2&amp;";"&amp;C2,"Name")</f>
        <v>#VALUE!</v>
      </c>
      <c r="E2" s="15">
        <v>1</v>
      </c>
      <c r="F2" s="15" t="str" cm="1">
        <f t="array" ref="F2">GetValue("Tbl",A2&amp;";"&amp;C2&amp;";"&amp;E2,"Name")</f>
        <v>Engines</v>
      </c>
      <c r="G2">
        <v>1</v>
      </c>
      <c r="H2" t="str" cm="1">
        <f t="array" ref="H2">GetValue("Col",A2&amp;";"&amp;C2&amp;";"&amp;E2&amp;";"&amp;G2,"Name")</f>
        <v>Id</v>
      </c>
      <c r="I2">
        <f>ROW(I2)-1</f>
        <v>1</v>
      </c>
      <c r="J2" s="6" t="s">
        <v>750</v>
      </c>
      <c r="K2">
        <v>10</v>
      </c>
      <c r="L2" t="b">
        <v>1</v>
      </c>
      <c r="M2" t="b">
        <v>1</v>
      </c>
    </row>
    <row r="3" spans="1:13" x14ac:dyDescent="0.3">
      <c r="A3">
        <v>1</v>
      </c>
      <c r="B3" t="s">
        <v>735</v>
      </c>
      <c r="C3">
        <v>1</v>
      </c>
      <c r="D3" s="15" t="e" cm="1">
        <f t="array" ref="D3">GetValue("Db",A3&amp;";"&amp;C3,"Name")</f>
        <v>#VALUE!</v>
      </c>
      <c r="E3" s="15">
        <v>1</v>
      </c>
      <c r="F3" s="15" t="str" cm="1">
        <f t="array" ref="F3">GetValue("Tbl",A3&amp;";"&amp;C3&amp;";"&amp;E3,"Name")</f>
        <v>Engines</v>
      </c>
      <c r="G3">
        <v>1</v>
      </c>
      <c r="H3" t="str" cm="1">
        <f t="array" ref="H3">GetValue("Col",A3&amp;";"&amp;C3&amp;";"&amp;E3&amp;";"&amp;G3,"Name")</f>
        <v>Id</v>
      </c>
      <c r="I3">
        <v>2</v>
      </c>
      <c r="J3" s="6" t="s">
        <v>749</v>
      </c>
      <c r="K3">
        <v>20</v>
      </c>
      <c r="M3" t="b">
        <v>0</v>
      </c>
    </row>
    <row r="4" spans="1:13" x14ac:dyDescent="0.3">
      <c r="D4" s="15"/>
      <c r="E4" s="15"/>
      <c r="F4" s="15"/>
    </row>
    <row r="5" spans="1:13" x14ac:dyDescent="0.3">
      <c r="D5" s="15"/>
      <c r="E5" s="15"/>
      <c r="F5" s="15"/>
    </row>
    <row r="6" spans="1:13" x14ac:dyDescent="0.3">
      <c r="D6" s="15"/>
      <c r="E6" s="15"/>
      <c r="F6" s="15"/>
    </row>
    <row r="7" spans="1:13" x14ac:dyDescent="0.3">
      <c r="D7" s="15"/>
      <c r="E7" s="15"/>
      <c r="F7" s="15"/>
    </row>
    <row r="8" spans="1:13" x14ac:dyDescent="0.3">
      <c r="D8" s="15"/>
      <c r="E8" s="15"/>
      <c r="F8" s="15"/>
    </row>
    <row r="9" spans="1:13" x14ac:dyDescent="0.3">
      <c r="D9" s="15"/>
      <c r="E9" s="15"/>
      <c r="F9" s="15"/>
    </row>
    <row r="10" spans="1:13" x14ac:dyDescent="0.3">
      <c r="D10" s="15"/>
      <c r="E10" s="15"/>
      <c r="F10" s="15"/>
    </row>
    <row r="11" spans="1:13" x14ac:dyDescent="0.3">
      <c r="D11" s="15"/>
      <c r="E11" s="15"/>
      <c r="F11" s="15"/>
    </row>
    <row r="12" spans="1:13" x14ac:dyDescent="0.3">
      <c r="D12" s="15"/>
      <c r="E12" s="15"/>
      <c r="F12" s="15"/>
    </row>
    <row r="13" spans="1:13" x14ac:dyDescent="0.3">
      <c r="D13" s="15"/>
      <c r="F13" s="15"/>
    </row>
    <row r="14" spans="1:13" x14ac:dyDescent="0.3">
      <c r="D14" s="15"/>
      <c r="F14" s="15"/>
    </row>
    <row r="15" spans="1:13" x14ac:dyDescent="0.3">
      <c r="D15" s="15"/>
      <c r="F15" s="15"/>
    </row>
    <row r="16" spans="1:13" x14ac:dyDescent="0.3">
      <c r="D16" s="15"/>
      <c r="F16" s="15"/>
    </row>
    <row r="17" spans="4:6" x14ac:dyDescent="0.3">
      <c r="D17" s="15"/>
      <c r="F17" s="15"/>
    </row>
    <row r="18" spans="4:6" x14ac:dyDescent="0.3">
      <c r="D18" s="15"/>
      <c r="F18" s="15"/>
    </row>
    <row r="19" spans="4:6" x14ac:dyDescent="0.3">
      <c r="D19" s="15"/>
      <c r="F19" s="15"/>
    </row>
    <row r="20" spans="4:6" x14ac:dyDescent="0.3">
      <c r="D20" s="15"/>
      <c r="F20" s="15"/>
    </row>
    <row r="21" spans="4:6" x14ac:dyDescent="0.3">
      <c r="D21" s="15"/>
      <c r="F21" s="15"/>
    </row>
    <row r="22" spans="4:6" x14ac:dyDescent="0.3">
      <c r="D22" s="15"/>
      <c r="F22" s="15"/>
    </row>
    <row r="23" spans="4:6" x14ac:dyDescent="0.3">
      <c r="D23" s="15"/>
      <c r="F23" s="15"/>
    </row>
    <row r="24" spans="4:6" x14ac:dyDescent="0.3">
      <c r="D24" s="15"/>
      <c r="F24" s="15"/>
    </row>
    <row r="25" spans="4:6" x14ac:dyDescent="0.3">
      <c r="D25" s="15"/>
      <c r="F25" s="15"/>
    </row>
    <row r="26" spans="4:6" x14ac:dyDescent="0.3">
      <c r="D26" s="15"/>
      <c r="F26" s="15"/>
    </row>
    <row r="27" spans="4:6" x14ac:dyDescent="0.3">
      <c r="D27" s="15"/>
      <c r="F27" s="15"/>
    </row>
    <row r="28" spans="4:6" x14ac:dyDescent="0.3">
      <c r="D28" s="15"/>
      <c r="F28" s="15"/>
    </row>
    <row r="29" spans="4:6" x14ac:dyDescent="0.3">
      <c r="D29" s="15"/>
      <c r="F29" s="15"/>
    </row>
    <row r="30" spans="4:6" x14ac:dyDescent="0.3">
      <c r="D30" s="15"/>
      <c r="F30" s="15"/>
    </row>
    <row r="31" spans="4:6" x14ac:dyDescent="0.3">
      <c r="D31" s="15"/>
      <c r="F31" s="15"/>
    </row>
    <row r="32" spans="4:6" x14ac:dyDescent="0.3">
      <c r="D32" s="15"/>
      <c r="F32" s="15"/>
    </row>
    <row r="33" spans="4:6" x14ac:dyDescent="0.3">
      <c r="D33" s="15"/>
      <c r="F33" s="15"/>
    </row>
    <row r="34" spans="4:6" x14ac:dyDescent="0.3">
      <c r="D34" s="15"/>
      <c r="F34" s="15"/>
    </row>
    <row r="35" spans="4:6" x14ac:dyDescent="0.3">
      <c r="D35" s="15"/>
      <c r="F35" s="15"/>
    </row>
    <row r="36" spans="4:6" x14ac:dyDescent="0.3">
      <c r="D36" s="15"/>
      <c r="F36" s="15"/>
    </row>
    <row r="37" spans="4:6" x14ac:dyDescent="0.3">
      <c r="D37" s="15"/>
      <c r="F37" s="15"/>
    </row>
    <row r="38" spans="4:6" x14ac:dyDescent="0.3">
      <c r="D38" s="15"/>
      <c r="F38" s="15"/>
    </row>
    <row r="39" spans="4:6" x14ac:dyDescent="0.3">
      <c r="D39" s="15"/>
      <c r="F39" s="15"/>
    </row>
    <row r="40" spans="4:6" x14ac:dyDescent="0.3">
      <c r="D40" s="15"/>
      <c r="F40" s="15"/>
    </row>
    <row r="41" spans="4:6" x14ac:dyDescent="0.3">
      <c r="D41" s="15"/>
      <c r="F41" s="15"/>
    </row>
    <row r="42" spans="4:6" x14ac:dyDescent="0.3">
      <c r="D42" s="15"/>
      <c r="F42" s="15"/>
    </row>
    <row r="43" spans="4:6" x14ac:dyDescent="0.3">
      <c r="D43" s="15"/>
      <c r="F43" s="15"/>
    </row>
    <row r="44" spans="4:6" x14ac:dyDescent="0.3">
      <c r="D44" s="15"/>
      <c r="F44" s="15"/>
    </row>
    <row r="45" spans="4:6" x14ac:dyDescent="0.3">
      <c r="D45" s="15"/>
      <c r="F45" s="15"/>
    </row>
    <row r="46" spans="4:6" x14ac:dyDescent="0.3">
      <c r="D46" s="15"/>
      <c r="F46" s="15"/>
    </row>
    <row r="47" spans="4:6" x14ac:dyDescent="0.3">
      <c r="D47" s="15"/>
      <c r="F47" s="15"/>
    </row>
    <row r="48" spans="4:6" x14ac:dyDescent="0.3">
      <c r="D48" s="15"/>
      <c r="F48" s="15"/>
    </row>
    <row r="49" spans="4:6" x14ac:dyDescent="0.3">
      <c r="D49" s="15"/>
      <c r="F49" s="15"/>
    </row>
    <row r="50" spans="4:6" x14ac:dyDescent="0.3">
      <c r="D50" s="15"/>
      <c r="F50" s="15"/>
    </row>
    <row r="51" spans="4:6" x14ac:dyDescent="0.3">
      <c r="D51" s="15"/>
      <c r="F51" s="15"/>
    </row>
    <row r="52" spans="4:6" x14ac:dyDescent="0.3">
      <c r="D52" s="15"/>
      <c r="F52" s="15"/>
    </row>
    <row r="53" spans="4:6" x14ac:dyDescent="0.3">
      <c r="D53" s="15"/>
      <c r="F53" s="15"/>
    </row>
    <row r="54" spans="4:6" x14ac:dyDescent="0.3">
      <c r="D54" s="15"/>
      <c r="F54" s="15"/>
    </row>
    <row r="55" spans="4:6" x14ac:dyDescent="0.3">
      <c r="D55" s="15"/>
      <c r="F55" s="15"/>
    </row>
    <row r="56" spans="4:6" x14ac:dyDescent="0.3">
      <c r="D56" s="15"/>
      <c r="F56" s="15"/>
    </row>
    <row r="57" spans="4:6" x14ac:dyDescent="0.3">
      <c r="D57" s="15"/>
      <c r="F57" s="15"/>
    </row>
    <row r="58" spans="4:6" x14ac:dyDescent="0.3">
      <c r="D58" s="15"/>
      <c r="F58" s="15"/>
    </row>
    <row r="59" spans="4:6" x14ac:dyDescent="0.3">
      <c r="D59" s="15"/>
      <c r="F59" s="15"/>
    </row>
    <row r="60" spans="4:6" x14ac:dyDescent="0.3">
      <c r="D60" s="15"/>
      <c r="F60" s="15"/>
    </row>
    <row r="61" spans="4:6" x14ac:dyDescent="0.3">
      <c r="D61" s="15"/>
      <c r="F61" s="15"/>
    </row>
    <row r="62" spans="4:6" x14ac:dyDescent="0.3">
      <c r="D62" s="15"/>
      <c r="F62" s="15"/>
    </row>
    <row r="63" spans="4:6" x14ac:dyDescent="0.3">
      <c r="D63" s="15"/>
      <c r="F63" s="15"/>
    </row>
    <row r="64" spans="4:6" x14ac:dyDescent="0.3">
      <c r="D64" s="15"/>
      <c r="F64" s="15"/>
    </row>
    <row r="65" spans="4:6" x14ac:dyDescent="0.3">
      <c r="D65" s="15"/>
      <c r="F65" s="15"/>
    </row>
    <row r="66" spans="4:6" x14ac:dyDescent="0.3">
      <c r="D66" s="15"/>
      <c r="F66" s="15"/>
    </row>
    <row r="67" spans="4:6" x14ac:dyDescent="0.3">
      <c r="D67" s="15"/>
      <c r="F67" s="15"/>
    </row>
    <row r="68" spans="4:6" x14ac:dyDescent="0.3">
      <c r="D68" s="15"/>
      <c r="F68" s="15"/>
    </row>
    <row r="69" spans="4:6" x14ac:dyDescent="0.3">
      <c r="D69" s="15"/>
      <c r="F69" s="15"/>
    </row>
    <row r="70" spans="4:6" x14ac:dyDescent="0.3">
      <c r="D70" s="15"/>
      <c r="F70" s="15"/>
    </row>
    <row r="71" spans="4:6" x14ac:dyDescent="0.3">
      <c r="D71" s="15"/>
      <c r="F71" s="15"/>
    </row>
    <row r="72" spans="4:6" x14ac:dyDescent="0.3">
      <c r="D72" s="15"/>
      <c r="F72" s="15"/>
    </row>
    <row r="73" spans="4:6" x14ac:dyDescent="0.3">
      <c r="D73" s="15"/>
      <c r="F73" s="15"/>
    </row>
    <row r="74" spans="4:6" x14ac:dyDescent="0.3">
      <c r="D74" s="15"/>
      <c r="F74" s="15"/>
    </row>
    <row r="75" spans="4:6" x14ac:dyDescent="0.3">
      <c r="D75" s="15"/>
      <c r="F75" s="15"/>
    </row>
    <row r="76" spans="4:6" x14ac:dyDescent="0.3">
      <c r="D76" s="15"/>
      <c r="F76" s="15"/>
    </row>
    <row r="77" spans="4:6" x14ac:dyDescent="0.3">
      <c r="D77" s="15"/>
      <c r="F77" s="15"/>
    </row>
    <row r="78" spans="4:6" x14ac:dyDescent="0.3">
      <c r="D78" s="15"/>
      <c r="F78" s="15"/>
    </row>
    <row r="79" spans="4:6" x14ac:dyDescent="0.3">
      <c r="D79" s="15"/>
      <c r="F79" s="15"/>
    </row>
    <row r="80" spans="4:6" x14ac:dyDescent="0.3">
      <c r="D80" s="15"/>
      <c r="F80" s="15"/>
    </row>
    <row r="81" spans="4:6" x14ac:dyDescent="0.3">
      <c r="D81" s="15"/>
      <c r="F81" s="15"/>
    </row>
    <row r="82" spans="4:6" x14ac:dyDescent="0.3">
      <c r="D82" s="15"/>
      <c r="F82" s="15"/>
    </row>
    <row r="83" spans="4:6" x14ac:dyDescent="0.3">
      <c r="D83" s="15"/>
      <c r="F83" s="15"/>
    </row>
    <row r="84" spans="4:6" x14ac:dyDescent="0.3">
      <c r="D84" s="15"/>
      <c r="F84" s="15"/>
    </row>
    <row r="85" spans="4:6" x14ac:dyDescent="0.3">
      <c r="D85" s="15"/>
      <c r="F85" s="15"/>
    </row>
    <row r="86" spans="4:6" x14ac:dyDescent="0.3">
      <c r="D86" s="15"/>
      <c r="F86" s="15"/>
    </row>
    <row r="87" spans="4:6" x14ac:dyDescent="0.3">
      <c r="D87" s="15"/>
      <c r="F87" s="15"/>
    </row>
    <row r="88" spans="4:6" x14ac:dyDescent="0.3">
      <c r="D88" s="15"/>
      <c r="F88" s="15"/>
    </row>
    <row r="89" spans="4:6" x14ac:dyDescent="0.3">
      <c r="D89" s="15"/>
      <c r="F89" s="15"/>
    </row>
    <row r="90" spans="4:6" x14ac:dyDescent="0.3">
      <c r="D90" s="15"/>
      <c r="F90" s="15"/>
    </row>
    <row r="91" spans="4:6" x14ac:dyDescent="0.3">
      <c r="D91" s="15"/>
      <c r="F91" s="15"/>
    </row>
    <row r="92" spans="4:6" x14ac:dyDescent="0.3">
      <c r="D92" s="15"/>
      <c r="F92" s="15"/>
    </row>
    <row r="93" spans="4:6" x14ac:dyDescent="0.3">
      <c r="D93" s="15"/>
      <c r="F93" s="15"/>
    </row>
    <row r="94" spans="4:6" x14ac:dyDescent="0.3">
      <c r="D94" s="15"/>
      <c r="F94" s="15"/>
    </row>
    <row r="95" spans="4:6" x14ac:dyDescent="0.3">
      <c r="D95" s="15"/>
      <c r="F95" s="15"/>
    </row>
    <row r="96" spans="4:6" x14ac:dyDescent="0.3">
      <c r="D96" s="15"/>
      <c r="F96" s="15"/>
    </row>
    <row r="97" spans="4:6" x14ac:dyDescent="0.3">
      <c r="D97" s="15"/>
      <c r="F97" s="15"/>
    </row>
    <row r="98" spans="4:6" x14ac:dyDescent="0.3">
      <c r="D98" s="15"/>
      <c r="F98" s="15"/>
    </row>
    <row r="99" spans="4:6" x14ac:dyDescent="0.3">
      <c r="D99" s="15"/>
      <c r="F99" s="15"/>
    </row>
    <row r="100" spans="4:6" x14ac:dyDescent="0.3">
      <c r="D100" s="15"/>
      <c r="F100" s="15"/>
    </row>
    <row r="101" spans="4:6" x14ac:dyDescent="0.3">
      <c r="D101" s="15"/>
      <c r="F101" s="15"/>
    </row>
    <row r="102" spans="4:6" x14ac:dyDescent="0.3">
      <c r="D102" s="15"/>
      <c r="F102" s="15"/>
    </row>
    <row r="103" spans="4:6" x14ac:dyDescent="0.3">
      <c r="D103" s="15"/>
      <c r="F103" s="15"/>
    </row>
    <row r="104" spans="4:6" x14ac:dyDescent="0.3">
      <c r="D104" s="15"/>
      <c r="F104" s="15"/>
    </row>
    <row r="105" spans="4:6" x14ac:dyDescent="0.3">
      <c r="D105" s="15"/>
      <c r="F105" s="15"/>
    </row>
    <row r="106" spans="4:6" x14ac:dyDescent="0.3">
      <c r="D106" s="15"/>
      <c r="F106" s="15"/>
    </row>
    <row r="107" spans="4:6" x14ac:dyDescent="0.3">
      <c r="D107" s="15"/>
      <c r="F107" s="15"/>
    </row>
    <row r="108" spans="4:6" x14ac:dyDescent="0.3">
      <c r="D108" s="15"/>
      <c r="F108" s="15"/>
    </row>
    <row r="109" spans="4:6" x14ac:dyDescent="0.3">
      <c r="D109" s="15"/>
      <c r="F109" s="15"/>
    </row>
    <row r="110" spans="4:6" x14ac:dyDescent="0.3">
      <c r="D110" s="15"/>
      <c r="F110" s="15"/>
    </row>
    <row r="111" spans="4:6" x14ac:dyDescent="0.3">
      <c r="D111" s="15"/>
      <c r="F111" s="15"/>
    </row>
    <row r="112" spans="4:6" x14ac:dyDescent="0.3">
      <c r="D112" s="15"/>
      <c r="F112" s="15"/>
    </row>
    <row r="113" spans="4:6" x14ac:dyDescent="0.3">
      <c r="D113" s="15"/>
      <c r="F113" s="15"/>
    </row>
    <row r="114" spans="4:6" x14ac:dyDescent="0.3">
      <c r="D114" s="15"/>
      <c r="F114" s="15"/>
    </row>
    <row r="115" spans="4:6" x14ac:dyDescent="0.3">
      <c r="D115" s="15"/>
      <c r="F115" s="15"/>
    </row>
    <row r="116" spans="4:6" x14ac:dyDescent="0.3">
      <c r="D116" s="15"/>
      <c r="F116" s="15"/>
    </row>
    <row r="117" spans="4:6" x14ac:dyDescent="0.3">
      <c r="D117" s="15"/>
      <c r="F117" s="15"/>
    </row>
    <row r="118" spans="4:6" x14ac:dyDescent="0.3">
      <c r="D118" s="15"/>
      <c r="F118" s="15"/>
    </row>
    <row r="119" spans="4:6" x14ac:dyDescent="0.3">
      <c r="D119" s="15"/>
      <c r="F119" s="15"/>
    </row>
    <row r="120" spans="4:6" x14ac:dyDescent="0.3">
      <c r="D120" s="15"/>
      <c r="F120" s="15"/>
    </row>
    <row r="121" spans="4:6" x14ac:dyDescent="0.3">
      <c r="D121" s="15"/>
      <c r="F121" s="15"/>
    </row>
    <row r="122" spans="4:6" x14ac:dyDescent="0.3">
      <c r="D122" s="15"/>
      <c r="F122" s="15"/>
    </row>
    <row r="123" spans="4:6" x14ac:dyDescent="0.3">
      <c r="D123" s="15"/>
      <c r="F123" s="15"/>
    </row>
    <row r="124" spans="4:6" x14ac:dyDescent="0.3">
      <c r="D124" s="15"/>
      <c r="F124" s="15"/>
    </row>
    <row r="125" spans="4:6" x14ac:dyDescent="0.3">
      <c r="D125" s="15"/>
      <c r="F125" s="15"/>
    </row>
    <row r="126" spans="4:6" x14ac:dyDescent="0.3">
      <c r="D126" s="15"/>
      <c r="F126" s="15"/>
    </row>
    <row r="127" spans="4:6" x14ac:dyDescent="0.3">
      <c r="D127" s="15"/>
      <c r="F127" s="15"/>
    </row>
    <row r="128" spans="4:6" x14ac:dyDescent="0.3">
      <c r="D128" s="15"/>
      <c r="F128" s="15"/>
    </row>
    <row r="129" spans="4:6" x14ac:dyDescent="0.3">
      <c r="D129" s="15"/>
      <c r="F129" s="15"/>
    </row>
    <row r="130" spans="4:6" x14ac:dyDescent="0.3">
      <c r="D130" s="15"/>
      <c r="F130" s="15"/>
    </row>
    <row r="131" spans="4:6" x14ac:dyDescent="0.3">
      <c r="D131" s="15"/>
      <c r="F131" s="15"/>
    </row>
    <row r="132" spans="4:6" x14ac:dyDescent="0.3">
      <c r="D132" s="15"/>
      <c r="F132" s="15"/>
    </row>
    <row r="133" spans="4:6" x14ac:dyDescent="0.3">
      <c r="D133" s="15"/>
      <c r="F133" s="15"/>
    </row>
    <row r="134" spans="4:6" x14ac:dyDescent="0.3">
      <c r="D134" s="15"/>
      <c r="F134" s="15"/>
    </row>
    <row r="135" spans="4:6" x14ac:dyDescent="0.3">
      <c r="D135" s="15"/>
      <c r="F135" s="15"/>
    </row>
    <row r="136" spans="4:6" x14ac:dyDescent="0.3">
      <c r="D136" s="15"/>
      <c r="F136" s="15"/>
    </row>
    <row r="137" spans="4:6" x14ac:dyDescent="0.3">
      <c r="D137" s="15"/>
      <c r="F137" s="15"/>
    </row>
    <row r="138" spans="4:6" x14ac:dyDescent="0.3">
      <c r="D138" s="15"/>
      <c r="F138" s="15"/>
    </row>
    <row r="139" spans="4:6" x14ac:dyDescent="0.3">
      <c r="D139" s="15"/>
      <c r="F139" s="15"/>
    </row>
    <row r="140" spans="4:6" x14ac:dyDescent="0.3">
      <c r="D140" s="15"/>
      <c r="F140" s="15"/>
    </row>
    <row r="141" spans="4:6" x14ac:dyDescent="0.3">
      <c r="D141" s="15"/>
      <c r="F141" s="15"/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dimension ref="A1:F22"/>
  <sheetViews>
    <sheetView workbookViewId="0">
      <selection activeCell="G8" sqref="G8"/>
    </sheetView>
  </sheetViews>
  <sheetFormatPr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8" t="s">
        <v>726</v>
      </c>
      <c r="B1" s="8" t="s">
        <v>1</v>
      </c>
      <c r="C1" s="8" t="s">
        <v>20</v>
      </c>
      <c r="D1" s="8" t="s">
        <v>301</v>
      </c>
      <c r="E1" s="8" t="s">
        <v>73</v>
      </c>
      <c r="F1" s="1" t="s">
        <v>28</v>
      </c>
    </row>
    <row r="2" spans="1:6" x14ac:dyDescent="0.3">
      <c r="A2" s="11">
        <v>1</v>
      </c>
      <c r="B2" s="11" t="s">
        <v>751</v>
      </c>
      <c r="C2" s="11"/>
      <c r="D2" s="11" t="str" cm="1">
        <f t="array" ref="D2">GetValue("Cat",C2,"Name")</f>
        <v/>
      </c>
      <c r="E2" s="11" t="s">
        <v>752</v>
      </c>
      <c r="F2" t="b">
        <v>1</v>
      </c>
    </row>
    <row r="3" spans="1:6" x14ac:dyDescent="0.3">
      <c r="A3" s="11">
        <v>2</v>
      </c>
      <c r="B3" s="11" t="s">
        <v>753</v>
      </c>
      <c r="C3" s="11"/>
      <c r="D3" s="11" t="str" cm="1">
        <f t="array" ref="D3">GetValue("Cat",C3,"Name")</f>
        <v/>
      </c>
      <c r="E3" s="11" t="s">
        <v>785</v>
      </c>
      <c r="F3" t="b">
        <v>1</v>
      </c>
    </row>
    <row r="4" spans="1:6" x14ac:dyDescent="0.3">
      <c r="A4" s="11">
        <v>3</v>
      </c>
      <c r="B4" s="11" t="s">
        <v>754</v>
      </c>
      <c r="C4" s="11"/>
      <c r="D4" s="11" t="str" cm="1">
        <f t="array" ref="D4">GetValue("Cat",C4,"Name")</f>
        <v/>
      </c>
      <c r="E4" s="11" t="s">
        <v>786</v>
      </c>
      <c r="F4" t="b">
        <v>1</v>
      </c>
    </row>
    <row r="5" spans="1:6" x14ac:dyDescent="0.3">
      <c r="A5" s="11">
        <v>4</v>
      </c>
      <c r="B5" s="11" t="s">
        <v>755</v>
      </c>
      <c r="C5" s="11"/>
      <c r="D5" s="11" t="str" cm="1">
        <f t="array" ref="D5">GetValue("Cat",C5,"Name")</f>
        <v/>
      </c>
      <c r="E5" s="11" t="s">
        <v>787</v>
      </c>
      <c r="F5" t="b">
        <v>1</v>
      </c>
    </row>
    <row r="6" spans="1:6" x14ac:dyDescent="0.3">
      <c r="A6" s="11">
        <v>5</v>
      </c>
      <c r="B6" s="11" t="s">
        <v>756</v>
      </c>
      <c r="C6" s="11"/>
      <c r="D6" s="11" t="str" cm="1">
        <f t="array" ref="D6">GetValue("Cat",C6,"Name")</f>
        <v/>
      </c>
      <c r="E6" s="11" t="s">
        <v>788</v>
      </c>
      <c r="F6" t="b">
        <v>1</v>
      </c>
    </row>
    <row r="7" spans="1:6" x14ac:dyDescent="0.3">
      <c r="A7" s="11">
        <v>6</v>
      </c>
      <c r="B7" s="11" t="s">
        <v>757</v>
      </c>
      <c r="C7" s="11"/>
      <c r="D7" s="11" t="str" cm="1">
        <f t="array" ref="D7">GetValue("Cat",C7,"Name")</f>
        <v/>
      </c>
      <c r="E7" s="11" t="s">
        <v>789</v>
      </c>
      <c r="F7" t="b">
        <v>1</v>
      </c>
    </row>
    <row r="8" spans="1:6" x14ac:dyDescent="0.3">
      <c r="A8" s="11">
        <v>7</v>
      </c>
      <c r="B8" s="11" t="s">
        <v>758</v>
      </c>
      <c r="C8" s="11"/>
      <c r="D8" s="11" t="str" cm="1">
        <f t="array" ref="D8">GetValue("Cat",C8,"Name")</f>
        <v/>
      </c>
      <c r="E8" s="11" t="s">
        <v>790</v>
      </c>
      <c r="F8" t="b">
        <v>1</v>
      </c>
    </row>
    <row r="9" spans="1:6" x14ac:dyDescent="0.3">
      <c r="A9" s="11">
        <v>9</v>
      </c>
      <c r="B9" s="11" t="s">
        <v>759</v>
      </c>
      <c r="C9" s="11">
        <v>10</v>
      </c>
      <c r="D9" s="11" t="str" cm="1">
        <f t="array" ref="D9">GetValue("Cat",C9,"Name")</f>
        <v>undefined</v>
      </c>
      <c r="E9" s="11" t="s">
        <v>791</v>
      </c>
      <c r="F9" t="b">
        <v>1</v>
      </c>
    </row>
    <row r="10" spans="1:6" x14ac:dyDescent="0.3">
      <c r="A10" s="11">
        <v>10</v>
      </c>
      <c r="B10" s="11" t="s">
        <v>760</v>
      </c>
      <c r="C10" s="11">
        <v>1</v>
      </c>
      <c r="D10" s="11" t="str" cm="1">
        <f t="array" ref="D10">GetValue("Cat",C10,"Name")</f>
        <v>string</v>
      </c>
      <c r="E10" s="11" t="s">
        <v>761</v>
      </c>
      <c r="F10" t="b">
        <v>1</v>
      </c>
    </row>
    <row r="11" spans="1:6" x14ac:dyDescent="0.3">
      <c r="A11" s="11">
        <v>11</v>
      </c>
      <c r="B11" s="11" t="s">
        <v>762</v>
      </c>
      <c r="C11" s="11">
        <v>1</v>
      </c>
      <c r="D11" s="11" t="str" cm="1">
        <f t="array" ref="D11">GetValue("Cat",C11,"Name")</f>
        <v>string</v>
      </c>
      <c r="E11" s="11" t="s">
        <v>763</v>
      </c>
      <c r="F11" t="b">
        <v>1</v>
      </c>
    </row>
    <row r="12" spans="1:6" x14ac:dyDescent="0.3">
      <c r="A12" s="11">
        <v>12</v>
      </c>
      <c r="B12" s="11" t="s">
        <v>764</v>
      </c>
      <c r="C12" s="11">
        <v>1</v>
      </c>
      <c r="D12" s="11" t="str" cm="1">
        <f t="array" ref="D12">GetValue("Cat",C12,"Name")</f>
        <v>string</v>
      </c>
      <c r="E12" s="11" t="s">
        <v>765</v>
      </c>
      <c r="F12" t="b">
        <v>1</v>
      </c>
    </row>
    <row r="13" spans="1:6" x14ac:dyDescent="0.3">
      <c r="A13" s="11">
        <v>13</v>
      </c>
      <c r="B13" s="11" t="s">
        <v>766</v>
      </c>
      <c r="C13" s="11">
        <v>1</v>
      </c>
      <c r="D13" s="11" t="str" cm="1">
        <f t="array" ref="D13">GetValue("Cat",C13,"Name")</f>
        <v>string</v>
      </c>
      <c r="E13" s="11" t="s">
        <v>767</v>
      </c>
      <c r="F13" t="b">
        <v>1</v>
      </c>
    </row>
    <row r="14" spans="1:6" x14ac:dyDescent="0.3">
      <c r="A14" s="11">
        <v>14</v>
      </c>
      <c r="B14" s="11" t="s">
        <v>768</v>
      </c>
      <c r="C14" s="11">
        <v>10</v>
      </c>
      <c r="D14" s="11" t="str" cm="1">
        <f t="array" ref="D14">GetValue("Cat",C14,"Name")</f>
        <v>undefined</v>
      </c>
      <c r="E14" s="11" t="s">
        <v>792</v>
      </c>
      <c r="F14" t="b">
        <v>1</v>
      </c>
    </row>
    <row r="15" spans="1:6" x14ac:dyDescent="0.3">
      <c r="A15" s="11">
        <v>15</v>
      </c>
      <c r="B15" s="11" t="s">
        <v>769</v>
      </c>
      <c r="C15" s="11">
        <v>10</v>
      </c>
      <c r="D15" s="11" t="str" cm="1">
        <f t="array" ref="D15">GetValue("Cat",C15,"Name")</f>
        <v>undefined</v>
      </c>
      <c r="E15" s="11" t="s">
        <v>793</v>
      </c>
      <c r="F15" t="b">
        <v>1</v>
      </c>
    </row>
    <row r="16" spans="1:6" x14ac:dyDescent="0.3">
      <c r="A16" s="11">
        <v>16</v>
      </c>
      <c r="B16" s="11" t="s">
        <v>770</v>
      </c>
      <c r="C16" s="11">
        <v>2</v>
      </c>
      <c r="D16" s="11" t="str" cm="1">
        <f t="array" ref="D16">GetValue("Cat",C16,"Name")</f>
        <v>number</v>
      </c>
      <c r="E16" s="11" t="s">
        <v>771</v>
      </c>
      <c r="F16" t="b">
        <v>1</v>
      </c>
    </row>
    <row r="17" spans="1:6" x14ac:dyDescent="0.3">
      <c r="A17" s="11">
        <v>17</v>
      </c>
      <c r="B17" s="11" t="s">
        <v>772</v>
      </c>
      <c r="C17" s="11">
        <v>2</v>
      </c>
      <c r="D17" s="11" t="str" cm="1">
        <f t="array" ref="D17">GetValue("Cat",C17,"Name")</f>
        <v>number</v>
      </c>
      <c r="E17" s="11" t="s">
        <v>773</v>
      </c>
      <c r="F17" t="b">
        <v>1</v>
      </c>
    </row>
    <row r="18" spans="1:6" x14ac:dyDescent="0.3">
      <c r="A18" s="11">
        <v>18</v>
      </c>
      <c r="B18" s="11" t="s">
        <v>774</v>
      </c>
      <c r="C18" s="11">
        <v>2</v>
      </c>
      <c r="D18" s="11" t="str" cm="1">
        <f t="array" ref="D18">GetValue("Cat",C18,"Name")</f>
        <v>number</v>
      </c>
      <c r="E18" s="11" t="s">
        <v>775</v>
      </c>
      <c r="F18" t="b">
        <v>1</v>
      </c>
    </row>
    <row r="19" spans="1:6" x14ac:dyDescent="0.3">
      <c r="A19" s="11">
        <v>19</v>
      </c>
      <c r="B19" s="11" t="s">
        <v>776</v>
      </c>
      <c r="C19" s="11">
        <v>11</v>
      </c>
      <c r="D19" s="11" t="str" cm="1">
        <f t="array" ref="D19">GetValue("Cat",C19,"Name")</f>
        <v>regex</v>
      </c>
      <c r="E19" s="11" t="s">
        <v>778</v>
      </c>
      <c r="F19" t="b">
        <v>1</v>
      </c>
    </row>
    <row r="20" spans="1:6" x14ac:dyDescent="0.3">
      <c r="A20" s="11">
        <v>20</v>
      </c>
      <c r="B20" s="11" t="s">
        <v>779</v>
      </c>
      <c r="C20" s="11">
        <v>1</v>
      </c>
      <c r="D20" s="11" t="str" cm="1">
        <f t="array" ref="D20">GetValue("Cat",C20,"Name")</f>
        <v>string</v>
      </c>
      <c r="E20" s="11" t="s">
        <v>780</v>
      </c>
      <c r="F20" t="b">
        <v>1</v>
      </c>
    </row>
    <row r="21" spans="1:6" x14ac:dyDescent="0.3">
      <c r="A21" s="11">
        <v>22</v>
      </c>
      <c r="B21" s="11" t="s">
        <v>781</v>
      </c>
      <c r="C21" s="11">
        <v>1</v>
      </c>
      <c r="D21" s="11" t="str" cm="1">
        <f t="array" ref="D21">GetValue("Cat",C21,"Name")</f>
        <v>string</v>
      </c>
      <c r="E21" s="11" t="s">
        <v>782</v>
      </c>
      <c r="F21" t="b">
        <v>1</v>
      </c>
    </row>
    <row r="22" spans="1:6" x14ac:dyDescent="0.3">
      <c r="A22" s="11">
        <v>24</v>
      </c>
      <c r="B22" s="11" t="s">
        <v>783</v>
      </c>
      <c r="C22" s="11">
        <v>1</v>
      </c>
      <c r="D22" s="11" t="str" cm="1">
        <f t="array" ref="D22">GetValue("Cat",C22,"Name")</f>
        <v>string</v>
      </c>
      <c r="E22" s="11" t="s">
        <v>784</v>
      </c>
      <c r="F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dimension ref="A1:J141"/>
  <sheetViews>
    <sheetView workbookViewId="0">
      <selection activeCell="I9" sqref="I9"/>
    </sheetView>
  </sheetViews>
  <sheetFormatPr defaultColWidth="9" defaultRowHeight="14.4" x14ac:dyDescent="0.3"/>
  <cols>
    <col min="1" max="1" width="8.44140625" bestFit="1" customWidth="1"/>
    <col min="2" max="2" width="11.77734375" bestFit="1" customWidth="1"/>
    <col min="3" max="3" width="11.44140625" bestFit="1" customWidth="1"/>
    <col min="4" max="4" width="14.88671875" bestFit="1" customWidth="1"/>
    <col min="5" max="5" width="8.21875" bestFit="1" customWidth="1"/>
    <col min="6" max="6" width="11.5546875" bestFit="1" customWidth="1"/>
    <col min="7" max="7" width="10.21875" bestFit="1" customWidth="1"/>
    <col min="8" max="8" width="13.6640625" bestFit="1" customWidth="1"/>
    <col min="9" max="9" width="11" bestFit="1" customWidth="1"/>
    <col min="10" max="10" width="14.44140625" bestFit="1" customWidth="1"/>
  </cols>
  <sheetData>
    <row r="1" spans="1:10" s="1" customFormat="1" x14ac:dyDescent="0.3">
      <c r="A1" s="1" t="s">
        <v>729</v>
      </c>
      <c r="B1" s="1" t="s">
        <v>618</v>
      </c>
      <c r="C1" s="1" t="s">
        <v>738</v>
      </c>
      <c r="D1" s="1" t="s">
        <v>306</v>
      </c>
      <c r="E1" s="1" t="s">
        <v>739</v>
      </c>
      <c r="F1" s="1" t="s">
        <v>307</v>
      </c>
      <c r="G1" s="1" t="s">
        <v>748</v>
      </c>
      <c r="H1" s="1" t="s">
        <v>310</v>
      </c>
      <c r="I1" s="1" t="s">
        <v>799</v>
      </c>
      <c r="J1" s="1" t="s">
        <v>798</v>
      </c>
    </row>
    <row r="2" spans="1:10" x14ac:dyDescent="0.3">
      <c r="A2">
        <v>1</v>
      </c>
      <c r="B2" t="s">
        <v>735</v>
      </c>
      <c r="C2">
        <v>1</v>
      </c>
      <c r="D2" s="15" t="e" cm="1">
        <f t="array" ref="D2">GetValue("Db",A2&amp;";"&amp;C2,"Name")</f>
        <v>#VALUE!</v>
      </c>
      <c r="E2" s="15">
        <v>1</v>
      </c>
      <c r="F2" s="15" t="str" cm="1">
        <f t="array" ref="F2">GetValue("Tbl",A2&amp;";"&amp;C2&amp;";"&amp;E2,"Name")</f>
        <v>Engines</v>
      </c>
      <c r="G2">
        <v>1</v>
      </c>
      <c r="H2" t="str" cm="1">
        <f t="array" ref="H2">GetValue("Col",A2&amp;";"&amp;C2&amp;";"&amp;E2&amp;";"&amp;G2,"Name")</f>
        <v>Id</v>
      </c>
      <c r="I2">
        <f>ROW(I2)-1</f>
        <v>1</v>
      </c>
      <c r="J2" s="15" t="str" cm="1">
        <f t="array" ref="J2">GetValue("Prp",I2,"Name")</f>
        <v>checked</v>
      </c>
    </row>
    <row r="3" spans="1:10" x14ac:dyDescent="0.3">
      <c r="A3">
        <v>1</v>
      </c>
      <c r="B3" t="s">
        <v>735</v>
      </c>
      <c r="C3">
        <v>1</v>
      </c>
      <c r="D3" s="15" t="e" cm="1">
        <f t="array" ref="D3">GetValue("Db",A3&amp;";"&amp;C3,"Name")</f>
        <v>#VALUE!</v>
      </c>
      <c r="E3" s="15">
        <v>1</v>
      </c>
      <c r="F3" s="15" t="str" cm="1">
        <f t="array" ref="F3">GetValue("Tbl",A3&amp;";"&amp;C3&amp;";"&amp;E3,"Name")</f>
        <v>Engines</v>
      </c>
      <c r="G3">
        <v>1</v>
      </c>
      <c r="H3" t="str" cm="1">
        <f t="array" ref="H3">GetValue("Col",A3&amp;";"&amp;C3&amp;";"&amp;E3&amp;";"&amp;G3,"Name")</f>
        <v>Id</v>
      </c>
      <c r="I3">
        <v>2</v>
      </c>
      <c r="J3" s="15" t="str" cm="1">
        <f t="array" ref="J3">GetValue("Prp",I3,"Name")</f>
        <v>disabled</v>
      </c>
    </row>
    <row r="4" spans="1:10" x14ac:dyDescent="0.3">
      <c r="D4" s="15"/>
      <c r="E4" s="15"/>
      <c r="F4" s="15"/>
    </row>
    <row r="5" spans="1:10" x14ac:dyDescent="0.3">
      <c r="D5" s="15"/>
      <c r="E5" s="15"/>
      <c r="F5" s="15"/>
    </row>
    <row r="6" spans="1:10" x14ac:dyDescent="0.3">
      <c r="D6" s="15"/>
      <c r="E6" s="15"/>
      <c r="F6" s="15"/>
    </row>
    <row r="7" spans="1:10" x14ac:dyDescent="0.3">
      <c r="D7" s="15"/>
      <c r="E7" s="15"/>
      <c r="F7" s="15"/>
    </row>
    <row r="8" spans="1:10" x14ac:dyDescent="0.3">
      <c r="D8" s="15"/>
      <c r="E8" s="15"/>
      <c r="F8" s="15"/>
    </row>
    <row r="9" spans="1:10" x14ac:dyDescent="0.3">
      <c r="D9" s="15"/>
      <c r="E9" s="15"/>
      <c r="F9" s="15"/>
    </row>
    <row r="10" spans="1:10" x14ac:dyDescent="0.3">
      <c r="D10" s="15"/>
      <c r="E10" s="15"/>
      <c r="F10" s="15"/>
    </row>
    <row r="11" spans="1:10" x14ac:dyDescent="0.3">
      <c r="D11" s="15"/>
      <c r="E11" s="15"/>
      <c r="F11" s="15"/>
    </row>
    <row r="12" spans="1:10" x14ac:dyDescent="0.3">
      <c r="D12" s="15"/>
      <c r="E12" s="15"/>
      <c r="F12" s="15"/>
    </row>
    <row r="13" spans="1:10" x14ac:dyDescent="0.3">
      <c r="D13" s="15"/>
      <c r="F13" s="15"/>
    </row>
    <row r="14" spans="1:10" x14ac:dyDescent="0.3">
      <c r="D14" s="15"/>
      <c r="F14" s="15"/>
    </row>
    <row r="15" spans="1:10" x14ac:dyDescent="0.3">
      <c r="D15" s="15"/>
      <c r="F15" s="15"/>
    </row>
    <row r="16" spans="1:10" x14ac:dyDescent="0.3">
      <c r="D16" s="15"/>
      <c r="F16" s="15"/>
    </row>
    <row r="17" spans="4:6" x14ac:dyDescent="0.3">
      <c r="D17" s="15"/>
      <c r="F17" s="15"/>
    </row>
    <row r="18" spans="4:6" x14ac:dyDescent="0.3">
      <c r="D18" s="15"/>
      <c r="F18" s="15"/>
    </row>
    <row r="19" spans="4:6" x14ac:dyDescent="0.3">
      <c r="D19" s="15"/>
      <c r="F19" s="15"/>
    </row>
    <row r="20" spans="4:6" x14ac:dyDescent="0.3">
      <c r="D20" s="15"/>
      <c r="F20" s="15"/>
    </row>
    <row r="21" spans="4:6" x14ac:dyDescent="0.3">
      <c r="D21" s="15"/>
      <c r="F21" s="15"/>
    </row>
    <row r="22" spans="4:6" x14ac:dyDescent="0.3">
      <c r="D22" s="15"/>
      <c r="F22" s="15"/>
    </row>
    <row r="23" spans="4:6" x14ac:dyDescent="0.3">
      <c r="D23" s="15"/>
      <c r="F23" s="15"/>
    </row>
    <row r="24" spans="4:6" x14ac:dyDescent="0.3">
      <c r="D24" s="15"/>
      <c r="F24" s="15"/>
    </row>
    <row r="25" spans="4:6" x14ac:dyDescent="0.3">
      <c r="D25" s="15"/>
      <c r="F25" s="15"/>
    </row>
    <row r="26" spans="4:6" x14ac:dyDescent="0.3">
      <c r="D26" s="15"/>
      <c r="F26" s="15"/>
    </row>
    <row r="27" spans="4:6" x14ac:dyDescent="0.3">
      <c r="D27" s="15"/>
      <c r="F27" s="15"/>
    </row>
    <row r="28" spans="4:6" x14ac:dyDescent="0.3">
      <c r="D28" s="15"/>
      <c r="F28" s="15"/>
    </row>
    <row r="29" spans="4:6" x14ac:dyDescent="0.3">
      <c r="D29" s="15"/>
      <c r="F29" s="15"/>
    </row>
    <row r="30" spans="4:6" x14ac:dyDescent="0.3">
      <c r="D30" s="15"/>
      <c r="F30" s="15"/>
    </row>
    <row r="31" spans="4:6" x14ac:dyDescent="0.3">
      <c r="D31" s="15"/>
      <c r="F31" s="15"/>
    </row>
    <row r="32" spans="4:6" x14ac:dyDescent="0.3">
      <c r="D32" s="15"/>
      <c r="F32" s="15"/>
    </row>
    <row r="33" spans="4:6" x14ac:dyDescent="0.3">
      <c r="D33" s="15"/>
      <c r="F33" s="15"/>
    </row>
    <row r="34" spans="4:6" x14ac:dyDescent="0.3">
      <c r="D34" s="15"/>
      <c r="F34" s="15"/>
    </row>
    <row r="35" spans="4:6" x14ac:dyDescent="0.3">
      <c r="D35" s="15"/>
      <c r="F35" s="15"/>
    </row>
    <row r="36" spans="4:6" x14ac:dyDescent="0.3">
      <c r="D36" s="15"/>
      <c r="F36" s="15"/>
    </row>
    <row r="37" spans="4:6" x14ac:dyDescent="0.3">
      <c r="D37" s="15"/>
      <c r="F37" s="15"/>
    </row>
    <row r="38" spans="4:6" x14ac:dyDescent="0.3">
      <c r="D38" s="15"/>
      <c r="F38" s="15"/>
    </row>
    <row r="39" spans="4:6" x14ac:dyDescent="0.3">
      <c r="D39" s="15"/>
      <c r="F39" s="15"/>
    </row>
    <row r="40" spans="4:6" x14ac:dyDescent="0.3">
      <c r="D40" s="15"/>
      <c r="F40" s="15"/>
    </row>
    <row r="41" spans="4:6" x14ac:dyDescent="0.3">
      <c r="D41" s="15"/>
      <c r="F41" s="15"/>
    </row>
    <row r="42" spans="4:6" x14ac:dyDescent="0.3">
      <c r="D42" s="15"/>
      <c r="F42" s="15"/>
    </row>
    <row r="43" spans="4:6" x14ac:dyDescent="0.3">
      <c r="D43" s="15"/>
      <c r="F43" s="15"/>
    </row>
    <row r="44" spans="4:6" x14ac:dyDescent="0.3">
      <c r="D44" s="15"/>
      <c r="F44" s="15"/>
    </row>
    <row r="45" spans="4:6" x14ac:dyDescent="0.3">
      <c r="D45" s="15"/>
      <c r="F45" s="15"/>
    </row>
    <row r="46" spans="4:6" x14ac:dyDescent="0.3">
      <c r="D46" s="15"/>
      <c r="F46" s="15"/>
    </row>
    <row r="47" spans="4:6" x14ac:dyDescent="0.3">
      <c r="D47" s="15"/>
      <c r="F47" s="15"/>
    </row>
    <row r="48" spans="4:6" x14ac:dyDescent="0.3">
      <c r="D48" s="15"/>
      <c r="F48" s="15"/>
    </row>
    <row r="49" spans="4:6" x14ac:dyDescent="0.3">
      <c r="D49" s="15"/>
      <c r="F49" s="15"/>
    </row>
    <row r="50" spans="4:6" x14ac:dyDescent="0.3">
      <c r="D50" s="15"/>
      <c r="F50" s="15"/>
    </row>
    <row r="51" spans="4:6" x14ac:dyDescent="0.3">
      <c r="D51" s="15"/>
      <c r="F51" s="15"/>
    </row>
    <row r="52" spans="4:6" x14ac:dyDescent="0.3">
      <c r="D52" s="15"/>
      <c r="F52" s="15"/>
    </row>
    <row r="53" spans="4:6" x14ac:dyDescent="0.3">
      <c r="D53" s="15"/>
      <c r="F53" s="15"/>
    </row>
    <row r="54" spans="4:6" x14ac:dyDescent="0.3">
      <c r="D54" s="15"/>
      <c r="F54" s="15"/>
    </row>
    <row r="55" spans="4:6" x14ac:dyDescent="0.3">
      <c r="D55" s="15"/>
      <c r="F55" s="15"/>
    </row>
    <row r="56" spans="4:6" x14ac:dyDescent="0.3">
      <c r="D56" s="15"/>
      <c r="F56" s="15"/>
    </row>
    <row r="57" spans="4:6" x14ac:dyDescent="0.3">
      <c r="D57" s="15"/>
      <c r="F57" s="15"/>
    </row>
    <row r="58" spans="4:6" x14ac:dyDescent="0.3">
      <c r="D58" s="15"/>
      <c r="F58" s="15"/>
    </row>
    <row r="59" spans="4:6" x14ac:dyDescent="0.3">
      <c r="D59" s="15"/>
      <c r="F59" s="15"/>
    </row>
    <row r="60" spans="4:6" x14ac:dyDescent="0.3">
      <c r="D60" s="15"/>
      <c r="F60" s="15"/>
    </row>
    <row r="61" spans="4:6" x14ac:dyDescent="0.3">
      <c r="D61" s="15"/>
      <c r="F61" s="15"/>
    </row>
    <row r="62" spans="4:6" x14ac:dyDescent="0.3">
      <c r="D62" s="15"/>
      <c r="F62" s="15"/>
    </row>
    <row r="63" spans="4:6" x14ac:dyDescent="0.3">
      <c r="D63" s="15"/>
      <c r="F63" s="15"/>
    </row>
    <row r="64" spans="4:6" x14ac:dyDescent="0.3">
      <c r="D64" s="15"/>
      <c r="F64" s="15"/>
    </row>
    <row r="65" spans="4:6" x14ac:dyDescent="0.3">
      <c r="D65" s="15"/>
      <c r="F65" s="15"/>
    </row>
    <row r="66" spans="4:6" x14ac:dyDescent="0.3">
      <c r="D66" s="15"/>
      <c r="F66" s="15"/>
    </row>
    <row r="67" spans="4:6" x14ac:dyDescent="0.3">
      <c r="D67" s="15"/>
      <c r="F67" s="15"/>
    </row>
    <row r="68" spans="4:6" x14ac:dyDescent="0.3">
      <c r="D68" s="15"/>
      <c r="F68" s="15"/>
    </row>
    <row r="69" spans="4:6" x14ac:dyDescent="0.3">
      <c r="D69" s="15"/>
      <c r="F69" s="15"/>
    </row>
    <row r="70" spans="4:6" x14ac:dyDescent="0.3">
      <c r="D70" s="15"/>
      <c r="F70" s="15"/>
    </row>
    <row r="71" spans="4:6" x14ac:dyDescent="0.3">
      <c r="D71" s="15"/>
      <c r="F71" s="15"/>
    </row>
    <row r="72" spans="4:6" x14ac:dyDescent="0.3">
      <c r="D72" s="15"/>
      <c r="F72" s="15"/>
    </row>
    <row r="73" spans="4:6" x14ac:dyDescent="0.3">
      <c r="D73" s="15"/>
      <c r="F73" s="15"/>
    </row>
    <row r="74" spans="4:6" x14ac:dyDescent="0.3">
      <c r="D74" s="15"/>
      <c r="F74" s="15"/>
    </row>
    <row r="75" spans="4:6" x14ac:dyDescent="0.3">
      <c r="D75" s="15"/>
      <c r="F75" s="15"/>
    </row>
    <row r="76" spans="4:6" x14ac:dyDescent="0.3">
      <c r="D76" s="15"/>
      <c r="F76" s="15"/>
    </row>
    <row r="77" spans="4:6" x14ac:dyDescent="0.3">
      <c r="D77" s="15"/>
      <c r="F77" s="15"/>
    </row>
    <row r="78" spans="4:6" x14ac:dyDescent="0.3">
      <c r="D78" s="15"/>
      <c r="F78" s="15"/>
    </row>
    <row r="79" spans="4:6" x14ac:dyDescent="0.3">
      <c r="D79" s="15"/>
      <c r="F79" s="15"/>
    </row>
    <row r="80" spans="4:6" x14ac:dyDescent="0.3">
      <c r="D80" s="15"/>
      <c r="F80" s="15"/>
    </row>
    <row r="81" spans="4:6" x14ac:dyDescent="0.3">
      <c r="D81" s="15"/>
      <c r="F81" s="15"/>
    </row>
    <row r="82" spans="4:6" x14ac:dyDescent="0.3">
      <c r="D82" s="15"/>
      <c r="F82" s="15"/>
    </row>
    <row r="83" spans="4:6" x14ac:dyDescent="0.3">
      <c r="D83" s="15"/>
      <c r="F83" s="15"/>
    </row>
    <row r="84" spans="4:6" x14ac:dyDescent="0.3">
      <c r="D84" s="15"/>
      <c r="F84" s="15"/>
    </row>
    <row r="85" spans="4:6" x14ac:dyDescent="0.3">
      <c r="D85" s="15"/>
      <c r="F85" s="15"/>
    </row>
    <row r="86" spans="4:6" x14ac:dyDescent="0.3">
      <c r="D86" s="15"/>
      <c r="F86" s="15"/>
    </row>
    <row r="87" spans="4:6" x14ac:dyDescent="0.3">
      <c r="D87" s="15"/>
      <c r="F87" s="15"/>
    </row>
    <row r="88" spans="4:6" x14ac:dyDescent="0.3">
      <c r="D88" s="15"/>
      <c r="F88" s="15"/>
    </row>
    <row r="89" spans="4:6" x14ac:dyDescent="0.3">
      <c r="D89" s="15"/>
      <c r="F89" s="15"/>
    </row>
    <row r="90" spans="4:6" x14ac:dyDescent="0.3">
      <c r="D90" s="15"/>
      <c r="F90" s="15"/>
    </row>
    <row r="91" spans="4:6" x14ac:dyDescent="0.3">
      <c r="D91" s="15"/>
      <c r="F91" s="15"/>
    </row>
    <row r="92" spans="4:6" x14ac:dyDescent="0.3">
      <c r="D92" s="15"/>
      <c r="F92" s="15"/>
    </row>
    <row r="93" spans="4:6" x14ac:dyDescent="0.3">
      <c r="D93" s="15"/>
      <c r="F93" s="15"/>
    </row>
    <row r="94" spans="4:6" x14ac:dyDescent="0.3">
      <c r="D94" s="15"/>
      <c r="F94" s="15"/>
    </row>
    <row r="95" spans="4:6" x14ac:dyDescent="0.3">
      <c r="D95" s="15"/>
      <c r="F95" s="15"/>
    </row>
    <row r="96" spans="4:6" x14ac:dyDescent="0.3">
      <c r="D96" s="15"/>
      <c r="F96" s="15"/>
    </row>
    <row r="97" spans="4:6" x14ac:dyDescent="0.3">
      <c r="D97" s="15"/>
      <c r="F97" s="15"/>
    </row>
    <row r="98" spans="4:6" x14ac:dyDescent="0.3">
      <c r="D98" s="15"/>
      <c r="F98" s="15"/>
    </row>
    <row r="99" spans="4:6" x14ac:dyDescent="0.3">
      <c r="D99" s="15"/>
      <c r="F99" s="15"/>
    </row>
    <row r="100" spans="4:6" x14ac:dyDescent="0.3">
      <c r="D100" s="15"/>
      <c r="F100" s="15"/>
    </row>
    <row r="101" spans="4:6" x14ac:dyDescent="0.3">
      <c r="D101" s="15"/>
      <c r="F101" s="15"/>
    </row>
    <row r="102" spans="4:6" x14ac:dyDescent="0.3">
      <c r="D102" s="15"/>
      <c r="F102" s="15"/>
    </row>
    <row r="103" spans="4:6" x14ac:dyDescent="0.3">
      <c r="D103" s="15"/>
      <c r="F103" s="15"/>
    </row>
    <row r="104" spans="4:6" x14ac:dyDescent="0.3">
      <c r="D104" s="15"/>
      <c r="F104" s="15"/>
    </row>
    <row r="105" spans="4:6" x14ac:dyDescent="0.3">
      <c r="D105" s="15"/>
      <c r="F105" s="15"/>
    </row>
    <row r="106" spans="4:6" x14ac:dyDescent="0.3">
      <c r="D106" s="15"/>
      <c r="F106" s="15"/>
    </row>
    <row r="107" spans="4:6" x14ac:dyDescent="0.3">
      <c r="D107" s="15"/>
      <c r="F107" s="15"/>
    </row>
    <row r="108" spans="4:6" x14ac:dyDescent="0.3">
      <c r="D108" s="15"/>
      <c r="F108" s="15"/>
    </row>
    <row r="109" spans="4:6" x14ac:dyDescent="0.3">
      <c r="D109" s="15"/>
      <c r="F109" s="15"/>
    </row>
    <row r="110" spans="4:6" x14ac:dyDescent="0.3">
      <c r="D110" s="15"/>
      <c r="F110" s="15"/>
    </row>
    <row r="111" spans="4:6" x14ac:dyDescent="0.3">
      <c r="D111" s="15"/>
      <c r="F111" s="15"/>
    </row>
    <row r="112" spans="4:6" x14ac:dyDescent="0.3">
      <c r="D112" s="15"/>
      <c r="F112" s="15"/>
    </row>
    <row r="113" spans="4:6" x14ac:dyDescent="0.3">
      <c r="D113" s="15"/>
      <c r="F113" s="15"/>
    </row>
    <row r="114" spans="4:6" x14ac:dyDescent="0.3">
      <c r="D114" s="15"/>
      <c r="F114" s="15"/>
    </row>
    <row r="115" spans="4:6" x14ac:dyDescent="0.3">
      <c r="D115" s="15"/>
      <c r="F115" s="15"/>
    </row>
    <row r="116" spans="4:6" x14ac:dyDescent="0.3">
      <c r="D116" s="15"/>
      <c r="F116" s="15"/>
    </row>
    <row r="117" spans="4:6" x14ac:dyDescent="0.3">
      <c r="D117" s="15"/>
      <c r="F117" s="15"/>
    </row>
    <row r="118" spans="4:6" x14ac:dyDescent="0.3">
      <c r="D118" s="15"/>
      <c r="F118" s="15"/>
    </row>
    <row r="119" spans="4:6" x14ac:dyDescent="0.3">
      <c r="D119" s="15"/>
      <c r="F119" s="15"/>
    </row>
    <row r="120" spans="4:6" x14ac:dyDescent="0.3">
      <c r="D120" s="15"/>
      <c r="F120" s="15"/>
    </row>
    <row r="121" spans="4:6" x14ac:dyDescent="0.3">
      <c r="D121" s="15"/>
      <c r="F121" s="15"/>
    </row>
    <row r="122" spans="4:6" x14ac:dyDescent="0.3">
      <c r="D122" s="15"/>
      <c r="F122" s="15"/>
    </row>
    <row r="123" spans="4:6" x14ac:dyDescent="0.3">
      <c r="D123" s="15"/>
      <c r="F123" s="15"/>
    </row>
    <row r="124" spans="4:6" x14ac:dyDescent="0.3">
      <c r="D124" s="15"/>
      <c r="F124" s="15"/>
    </row>
    <row r="125" spans="4:6" x14ac:dyDescent="0.3">
      <c r="D125" s="15"/>
      <c r="F125" s="15"/>
    </row>
    <row r="126" spans="4:6" x14ac:dyDescent="0.3">
      <c r="D126" s="15"/>
      <c r="F126" s="15"/>
    </row>
    <row r="127" spans="4:6" x14ac:dyDescent="0.3">
      <c r="D127" s="15"/>
      <c r="F127" s="15"/>
    </row>
    <row r="128" spans="4:6" x14ac:dyDescent="0.3">
      <c r="D128" s="15"/>
      <c r="F128" s="15"/>
    </row>
    <row r="129" spans="4:6" x14ac:dyDescent="0.3">
      <c r="D129" s="15"/>
      <c r="F129" s="15"/>
    </row>
    <row r="130" spans="4:6" x14ac:dyDescent="0.3">
      <c r="D130" s="15"/>
      <c r="F130" s="15"/>
    </row>
    <row r="131" spans="4:6" x14ac:dyDescent="0.3">
      <c r="D131" s="15"/>
      <c r="F131" s="15"/>
    </row>
    <row r="132" spans="4:6" x14ac:dyDescent="0.3">
      <c r="D132" s="15"/>
      <c r="F132" s="15"/>
    </row>
    <row r="133" spans="4:6" x14ac:dyDescent="0.3">
      <c r="D133" s="15"/>
      <c r="F133" s="15"/>
    </row>
    <row r="134" spans="4:6" x14ac:dyDescent="0.3">
      <c r="D134" s="15"/>
      <c r="F134" s="15"/>
    </row>
    <row r="135" spans="4:6" x14ac:dyDescent="0.3">
      <c r="D135" s="15"/>
      <c r="F135" s="15"/>
    </row>
    <row r="136" spans="4:6" x14ac:dyDescent="0.3">
      <c r="D136" s="15"/>
      <c r="F136" s="15"/>
    </row>
    <row r="137" spans="4:6" x14ac:dyDescent="0.3">
      <c r="D137" s="15"/>
      <c r="F137" s="15"/>
    </row>
    <row r="138" spans="4:6" x14ac:dyDescent="0.3">
      <c r="D138" s="15"/>
      <c r="F138" s="15"/>
    </row>
    <row r="139" spans="4:6" x14ac:dyDescent="0.3">
      <c r="D139" s="15"/>
      <c r="F139" s="15"/>
    </row>
    <row r="140" spans="4:6" x14ac:dyDescent="0.3">
      <c r="D140" s="15"/>
      <c r="F140" s="15"/>
    </row>
    <row r="141" spans="4:6" x14ac:dyDescent="0.3">
      <c r="D141" s="15"/>
      <c r="F141" s="15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76</v>
      </c>
      <c r="C1" s="1" t="s">
        <v>109</v>
      </c>
      <c r="D1" s="1" t="s">
        <v>295</v>
      </c>
      <c r="E1" s="1" t="s">
        <v>300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441</v>
      </c>
      <c r="C1" s="1" t="s">
        <v>383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activeCell="E23" sqref="E2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384</v>
      </c>
      <c r="C1" s="1" t="s">
        <v>385</v>
      </c>
      <c r="D1" s="1" t="s">
        <v>80</v>
      </c>
      <c r="E1" s="1" t="s">
        <v>423</v>
      </c>
      <c r="F1" s="1" t="s">
        <v>386</v>
      </c>
      <c r="G1" s="1" t="s">
        <v>383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Eng</vt:lpstr>
      <vt:lpstr>Cat</vt:lpstr>
      <vt:lpstr>Typ</vt:lpstr>
      <vt:lpstr>EngTyp</vt:lpstr>
      <vt:lpstr>Cli</vt:lpstr>
      <vt:lpstr>Dmn</vt:lpstr>
      <vt:lpstr>EngDmn</vt:lpstr>
      <vt:lpstr>Msk</vt:lpstr>
      <vt:lpstr>DmnMsk</vt:lpstr>
      <vt:lpstr>Dig</vt:lpstr>
      <vt:lpstr>MskDig</vt:lpstr>
      <vt:lpstr>Db</vt:lpstr>
      <vt:lpstr>DbEnv</vt:lpstr>
      <vt:lpstr>Sys</vt:lpstr>
      <vt:lpstr>Mnu</vt:lpstr>
      <vt:lpstr>Usr</vt:lpstr>
      <vt:lpstr>SysUsr</vt:lpstr>
      <vt:lpstr>Tbl</vt:lpstr>
      <vt:lpstr>Col</vt:lpstr>
      <vt:lpstr>Idx</vt:lpstr>
      <vt:lpstr>Idk</vt:lpstr>
      <vt:lpstr>Uni</vt:lpstr>
      <vt:lpstr>Cnd</vt:lpstr>
      <vt:lpstr>Prp</vt:lpstr>
      <vt:lpstr>Bhv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2025-10-29T01:04:39Z</dcterms:modified>
</cp:coreProperties>
</file>