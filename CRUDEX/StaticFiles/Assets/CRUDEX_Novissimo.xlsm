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16BD95EE-021C-4CFE-88BB-94DECC446FAF}" xr6:coauthVersionLast="47" xr6:coauthVersionMax="47" xr10:uidLastSave="{00000000-0000-0000-0000-000000000000}"/>
  <bookViews>
    <workbookView xWindow="-108" yWindow="-108" windowWidth="23256" windowHeight="13176" tabRatio="969" activeTab="1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Snp" sheetId="49" r:id="rId29"/>
    <sheet name="Scr" sheetId="50" r:id="rId30"/>
    <sheet name="Url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Col!$D$1:$D$123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7" i="12" l="1"/>
  <c r="E97" i="12" a="1"/>
  <c r="C97" i="12" a="1"/>
  <c r="E97" i="12" l="1"/>
  <c r="C97" i="12"/>
  <c r="A119" i="12"/>
  <c r="A154" i="12"/>
  <c r="L4" i="34" a="1"/>
  <c r="L4" i="34" s="1"/>
  <c r="L3" i="34" a="1"/>
  <c r="L3" i="34" s="1"/>
  <c r="A53" i="4"/>
  <c r="A52" i="4"/>
  <c r="A51" i="4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04" i="12"/>
  <c r="A103" i="12"/>
  <c r="A102" i="12"/>
  <c r="I27" i="11" a="1"/>
  <c r="I22" i="11" a="1"/>
  <c r="I17" i="11" a="1"/>
  <c r="I13" i="11" a="1"/>
  <c r="I8" i="11" a="1"/>
  <c r="I19" i="11" a="1"/>
  <c r="I29" i="11" a="1"/>
  <c r="I18" i="11" a="1"/>
  <c r="I14" i="11" a="1"/>
  <c r="I26" i="11" a="1"/>
  <c r="I4" i="11" a="1"/>
  <c r="J2" i="34" a="1"/>
  <c r="I21" i="11" a="1"/>
  <c r="I33" i="11" a="1"/>
  <c r="I10" i="11" a="1"/>
  <c r="E51" i="4" a="1"/>
  <c r="I20" i="11" a="1"/>
  <c r="I32" i="11" a="1"/>
  <c r="E52" i="4" a="1"/>
  <c r="I24" i="11" a="1"/>
  <c r="I6" i="11" a="1"/>
  <c r="E53" i="4" a="1"/>
  <c r="I12" i="11" a="1"/>
  <c r="I25" i="11" a="1"/>
  <c r="C51" i="4" a="1"/>
  <c r="I35" i="11" a="1"/>
  <c r="C52" i="4" a="1"/>
  <c r="I3" i="11" a="1"/>
  <c r="I31" i="11" a="1"/>
  <c r="C4" i="34" a="1"/>
  <c r="I5" i="11" a="1"/>
  <c r="C3" i="34" a="1"/>
  <c r="I11" i="11" a="1"/>
  <c r="I23" i="11" a="1"/>
  <c r="I28" i="11" a="1"/>
  <c r="J3" i="34" a="1"/>
  <c r="C2" i="54" a="1"/>
  <c r="C2" i="50" a="1"/>
  <c r="I34" i="11" a="1"/>
  <c r="I16" i="11" a="1"/>
  <c r="I15" i="11" a="1"/>
  <c r="C53" i="4" a="1"/>
  <c r="F2" i="38" a="1"/>
  <c r="I30" i="11" a="1"/>
  <c r="I9" i="11" a="1"/>
  <c r="C2" i="34" a="1"/>
  <c r="I7" i="11" a="1"/>
  <c r="J4" i="34" a="1"/>
  <c r="E192" i="12" a="1"/>
  <c r="C171" i="12" a="1"/>
  <c r="C199" i="12" a="1"/>
  <c r="C189" i="12" a="1"/>
  <c r="C206" i="12" a="1"/>
  <c r="E185" i="12" a="1"/>
  <c r="C177" i="12" a="1"/>
  <c r="C154" i="12" a="1"/>
  <c r="E171" i="12" a="1"/>
  <c r="E148" i="12" a="1"/>
  <c r="E183" i="12" a="1"/>
  <c r="C133" i="12" a="1"/>
  <c r="E152" i="12" a="1"/>
  <c r="C173" i="12" a="1"/>
  <c r="E132" i="12" a="1"/>
  <c r="E206" i="12" a="1"/>
  <c r="C142" i="12" a="1"/>
  <c r="E169" i="12" a="1"/>
  <c r="E218" i="12" a="1"/>
  <c r="C184" i="12" a="1"/>
  <c r="C140" i="12" a="1"/>
  <c r="E216" i="12" a="1"/>
  <c r="C186" i="12" a="1"/>
  <c r="C197" i="12" a="1"/>
  <c r="E179" i="12" a="1"/>
  <c r="C178" i="12" a="1"/>
  <c r="E168" i="12" a="1"/>
  <c r="E149" i="12" a="1"/>
  <c r="C146" i="12" a="1"/>
  <c r="E138" i="12" a="1"/>
  <c r="E193" i="12" a="1"/>
  <c r="C181" i="12" a="1"/>
  <c r="E195" i="12" a="1"/>
  <c r="C211" i="12" a="1"/>
  <c r="C143" i="12" a="1"/>
  <c r="E163" i="12" a="1"/>
  <c r="C218" i="12" a="1"/>
  <c r="E173" i="12" a="1"/>
  <c r="E134" i="12" a="1"/>
  <c r="E176" i="12" a="1"/>
  <c r="E139" i="12" a="1"/>
  <c r="E161" i="12" a="1"/>
  <c r="C217" i="12" a="1"/>
  <c r="E102" i="12" a="1"/>
  <c r="C208" i="12" a="1"/>
  <c r="E150" i="12" a="1"/>
  <c r="E199" i="12" a="1"/>
  <c r="E220" i="12" a="1"/>
  <c r="E172" i="12" a="1"/>
  <c r="E202" i="12" a="1"/>
  <c r="E189" i="12" a="1"/>
  <c r="E147" i="12" a="1"/>
  <c r="E144" i="12" a="1"/>
  <c r="E153" i="12" a="1"/>
  <c r="E180" i="12" a="1"/>
  <c r="C163" i="12" a="1"/>
  <c r="C149" i="12" a="1"/>
  <c r="C168" i="12" a="1"/>
  <c r="C187" i="12" a="1"/>
  <c r="C102" i="12" a="1"/>
  <c r="E167" i="12" a="1"/>
  <c r="C161" i="12" a="1"/>
  <c r="E160" i="12" a="1"/>
  <c r="C182" i="12" a="1"/>
  <c r="E154" i="12" a="1"/>
  <c r="E104" i="12" a="1"/>
  <c r="C213" i="12" a="1"/>
  <c r="E184" i="12" a="1"/>
  <c r="E203" i="12" a="1"/>
  <c r="C212" i="12" a="1"/>
  <c r="E157" i="12" a="1"/>
  <c r="C198" i="12" a="1"/>
  <c r="E142" i="12" a="1"/>
  <c r="E210" i="12" a="1"/>
  <c r="C135" i="12" a="1"/>
  <c r="E191" i="12" a="1"/>
  <c r="E217" i="12" a="1"/>
  <c r="C202" i="12" a="1"/>
  <c r="C160" i="12" a="1"/>
  <c r="E141" i="12" a="1"/>
  <c r="E151" i="12" a="1"/>
  <c r="C144" i="12" a="1"/>
  <c r="E174" i="12" a="1"/>
  <c r="C172" i="12" a="1"/>
  <c r="C191" i="12" a="1"/>
  <c r="E155" i="12" a="1"/>
  <c r="E181" i="12" a="1"/>
  <c r="C185" i="12" a="1"/>
  <c r="E143" i="12" a="1"/>
  <c r="C194" i="12" a="1"/>
  <c r="E198" i="12" a="1"/>
  <c r="C175" i="12" a="1"/>
  <c r="C190" i="12" a="1"/>
  <c r="E219" i="12" a="1"/>
  <c r="C219" i="12" a="1"/>
  <c r="E201" i="12" a="1"/>
  <c r="E133" i="12" a="1"/>
  <c r="E194" i="12" a="1"/>
  <c r="C195" i="12" a="1"/>
  <c r="E196" i="12" a="1"/>
  <c r="C145" i="12" a="1"/>
  <c r="C150" i="12" a="1"/>
  <c r="C151" i="12" a="1"/>
  <c r="C201" i="12" a="1"/>
  <c r="E178" i="12" a="1"/>
  <c r="C183" i="12" a="1"/>
  <c r="C132" i="12" a="1"/>
  <c r="E212" i="12" a="1"/>
  <c r="E146" i="12" a="1"/>
  <c r="C170" i="12" a="1"/>
  <c r="C139" i="12" a="1"/>
  <c r="E145" i="12" a="1"/>
  <c r="E207" i="12" a="1"/>
  <c r="E211" i="12" a="1"/>
  <c r="E166" i="12" a="1"/>
  <c r="E170" i="12" a="1"/>
  <c r="C209" i="12" a="1"/>
  <c r="C119" i="12" a="1"/>
  <c r="C104" i="12" a="1"/>
  <c r="E190" i="12" a="1"/>
  <c r="C136" i="12" a="1"/>
  <c r="E182" i="12" a="1"/>
  <c r="C159" i="12" a="1"/>
  <c r="C155" i="12" a="1"/>
  <c r="C176" i="12" a="1"/>
  <c r="C157" i="12" a="1"/>
  <c r="C196" i="12" a="1"/>
  <c r="E200" i="12" a="1"/>
  <c r="C200" i="12" a="1"/>
  <c r="E205" i="12" a="1"/>
  <c r="E158" i="12" a="1"/>
  <c r="E214" i="12" a="1"/>
  <c r="E136" i="12" a="1"/>
  <c r="E213" i="12" a="1"/>
  <c r="C165" i="12" a="1"/>
  <c r="C137" i="12" a="1"/>
  <c r="E137" i="12" a="1"/>
  <c r="C134" i="12" a="1"/>
  <c r="E186" i="12" a="1"/>
  <c r="C193" i="12" a="1"/>
  <c r="C210" i="12" a="1"/>
  <c r="E164" i="12" a="1"/>
  <c r="E204" i="12" a="1"/>
  <c r="C192" i="12" a="1"/>
  <c r="C215" i="12" a="1"/>
  <c r="C164" i="12" a="1"/>
  <c r="E135" i="12" a="1"/>
  <c r="E187" i="12" a="1"/>
  <c r="E177" i="12" a="1"/>
  <c r="C188" i="12" a="1"/>
  <c r="C152" i="12" a="1"/>
  <c r="C166" i="12" a="1"/>
  <c r="E162" i="12" a="1"/>
  <c r="E140" i="12" a="1"/>
  <c r="C147" i="12" a="1"/>
  <c r="C204" i="12" a="1"/>
  <c r="C169" i="12" a="1"/>
  <c r="C103" i="12" a="1"/>
  <c r="C162" i="12" a="1"/>
  <c r="C220" i="12" a="1"/>
  <c r="E119" i="12" a="1"/>
  <c r="E208" i="12" a="1"/>
  <c r="C141" i="12" a="1"/>
  <c r="E197" i="12" a="1"/>
  <c r="C205" i="12" a="1"/>
  <c r="C158" i="12" a="1"/>
  <c r="C216" i="12" a="1"/>
  <c r="C174" i="12" a="1"/>
  <c r="C203" i="12" a="1"/>
  <c r="C138" i="12" a="1"/>
  <c r="E209" i="12" a="1"/>
  <c r="C180" i="12" a="1"/>
  <c r="E103" i="12" a="1"/>
  <c r="C207" i="12" a="1"/>
  <c r="E156" i="12" a="1"/>
  <c r="C148" i="12" a="1"/>
  <c r="C167" i="12" a="1"/>
  <c r="E188" i="12" a="1"/>
  <c r="C179" i="12" a="1"/>
  <c r="C156" i="12" a="1"/>
  <c r="C214" i="12" a="1"/>
  <c r="E175" i="12" a="1"/>
  <c r="E165" i="12" a="1"/>
  <c r="C153" i="12" a="1"/>
  <c r="E215" i="12" a="1"/>
  <c r="E159" i="12" a="1"/>
  <c r="C2" i="54" l="1"/>
  <c r="F2" i="38"/>
  <c r="C3" i="34"/>
  <c r="C4" i="34"/>
  <c r="C2" i="34"/>
  <c r="C2" i="50"/>
  <c r="I7" i="11"/>
  <c r="L7" i="11" s="1"/>
  <c r="I17" i="11"/>
  <c r="L17" i="11" s="1"/>
  <c r="I27" i="11"/>
  <c r="L27" i="11" s="1"/>
  <c r="I8" i="11"/>
  <c r="L8" i="11" s="1"/>
  <c r="I18" i="11"/>
  <c r="L18" i="11" s="1"/>
  <c r="I28" i="11"/>
  <c r="L28" i="11" s="1"/>
  <c r="I9" i="11"/>
  <c r="L9" i="11" s="1"/>
  <c r="I19" i="11"/>
  <c r="L19" i="11" s="1"/>
  <c r="I29" i="11"/>
  <c r="L29" i="11" s="1"/>
  <c r="I10" i="11"/>
  <c r="L10" i="11" s="1"/>
  <c r="I20" i="11"/>
  <c r="L20" i="11" s="1"/>
  <c r="I30" i="11"/>
  <c r="L30" i="11" s="1"/>
  <c r="I11" i="11"/>
  <c r="L11" i="11" s="1"/>
  <c r="I21" i="11"/>
  <c r="L21" i="11" s="1"/>
  <c r="I31" i="11"/>
  <c r="L31" i="11" s="1"/>
  <c r="I12" i="11"/>
  <c r="L12" i="11" s="1"/>
  <c r="I22" i="11"/>
  <c r="L22" i="11" s="1"/>
  <c r="I32" i="11"/>
  <c r="L32" i="11" s="1"/>
  <c r="I3" i="11"/>
  <c r="L3" i="11" s="1"/>
  <c r="I13" i="11"/>
  <c r="L13" i="11" s="1"/>
  <c r="I23" i="11"/>
  <c r="L23" i="11" s="1"/>
  <c r="I33" i="11"/>
  <c r="L33" i="11" s="1"/>
  <c r="I4" i="11"/>
  <c r="L4" i="11" s="1"/>
  <c r="I14" i="11"/>
  <c r="L14" i="11" s="1"/>
  <c r="I24" i="11"/>
  <c r="L24" i="11" s="1"/>
  <c r="I34" i="11"/>
  <c r="L34" i="11" s="1"/>
  <c r="I5" i="11"/>
  <c r="L5" i="11" s="1"/>
  <c r="I15" i="11"/>
  <c r="L15" i="11" s="1"/>
  <c r="I25" i="11"/>
  <c r="L25" i="11" s="1"/>
  <c r="I35" i="11"/>
  <c r="L35" i="11" s="1"/>
  <c r="I6" i="11"/>
  <c r="L6" i="11" s="1"/>
  <c r="I16" i="11"/>
  <c r="L16" i="11" s="1"/>
  <c r="I26" i="11"/>
  <c r="L26" i="11" s="1"/>
  <c r="E119" i="12"/>
  <c r="C119" i="12"/>
  <c r="C190" i="12"/>
  <c r="C191" i="12"/>
  <c r="C192" i="12"/>
  <c r="C193" i="12"/>
  <c r="C194" i="12"/>
  <c r="C154" i="12"/>
  <c r="E154" i="12"/>
  <c r="C53" i="4"/>
  <c r="E53" i="4"/>
  <c r="C52" i="4"/>
  <c r="E52" i="4"/>
  <c r="C51" i="4"/>
  <c r="E51" i="4"/>
  <c r="E220" i="12"/>
  <c r="C217" i="12"/>
  <c r="E217" i="12"/>
  <c r="C220" i="12"/>
  <c r="C219" i="12"/>
  <c r="C216" i="12"/>
  <c r="E219" i="12"/>
  <c r="E216" i="12"/>
  <c r="C218" i="12"/>
  <c r="C215" i="12"/>
  <c r="E218" i="12"/>
  <c r="E215" i="12"/>
  <c r="C214" i="12"/>
  <c r="E214" i="12"/>
  <c r="E213" i="12"/>
  <c r="C213" i="12"/>
  <c r="C212" i="12"/>
  <c r="E212" i="12"/>
  <c r="C211" i="12"/>
  <c r="E211" i="12"/>
  <c r="E206" i="12"/>
  <c r="C208" i="12"/>
  <c r="E208" i="12"/>
  <c r="C210" i="12"/>
  <c r="C207" i="12"/>
  <c r="E210" i="12"/>
  <c r="E207" i="12"/>
  <c r="C209" i="12"/>
  <c r="C206" i="12"/>
  <c r="E209" i="12"/>
  <c r="C205" i="12"/>
  <c r="E205" i="12"/>
  <c r="C203" i="12"/>
  <c r="E203" i="12"/>
  <c r="C202" i="12"/>
  <c r="E202" i="12"/>
  <c r="C204" i="12"/>
  <c r="C201" i="12"/>
  <c r="E204" i="12"/>
  <c r="E201" i="12"/>
  <c r="C200" i="12"/>
  <c r="E200" i="12"/>
  <c r="C199" i="12"/>
  <c r="C196" i="12"/>
  <c r="E199" i="12"/>
  <c r="E196" i="12"/>
  <c r="C198" i="12"/>
  <c r="E198" i="12"/>
  <c r="C197" i="12"/>
  <c r="E197" i="12"/>
  <c r="C195" i="12"/>
  <c r="E195" i="12"/>
  <c r="E194" i="12"/>
  <c r="E191" i="12"/>
  <c r="E193" i="12"/>
  <c r="E192" i="12"/>
  <c r="E190" i="12"/>
  <c r="E189" i="12"/>
  <c r="C189" i="12"/>
  <c r="C186" i="12"/>
  <c r="E186" i="12"/>
  <c r="C183" i="12"/>
  <c r="C180" i="12"/>
  <c r="E183" i="12"/>
  <c r="E180" i="12"/>
  <c r="E184" i="12"/>
  <c r="E181" i="12"/>
  <c r="C188" i="12"/>
  <c r="C185" i="12"/>
  <c r="C182" i="12"/>
  <c r="E188" i="12"/>
  <c r="C179" i="12"/>
  <c r="E185" i="12"/>
  <c r="E182" i="12"/>
  <c r="E179" i="12"/>
  <c r="C187" i="12"/>
  <c r="C184" i="12"/>
  <c r="C181" i="12"/>
  <c r="E187" i="12"/>
  <c r="C178" i="12"/>
  <c r="E178" i="12"/>
  <c r="C176" i="12"/>
  <c r="E176" i="12"/>
  <c r="C175" i="12"/>
  <c r="E175" i="12"/>
  <c r="C177" i="12"/>
  <c r="E177" i="12"/>
  <c r="C174" i="12"/>
  <c r="E174" i="12"/>
  <c r="E170" i="12"/>
  <c r="C172" i="12"/>
  <c r="E172" i="12"/>
  <c r="C171" i="12"/>
  <c r="E171" i="12"/>
  <c r="C173" i="12"/>
  <c r="C170" i="12"/>
  <c r="E173" i="12"/>
  <c r="C169" i="12"/>
  <c r="E169" i="12"/>
  <c r="C167" i="12"/>
  <c r="C164" i="12"/>
  <c r="E167" i="12"/>
  <c r="E164" i="12"/>
  <c r="C166" i="12"/>
  <c r="C163" i="12"/>
  <c r="E166" i="12"/>
  <c r="E163" i="12"/>
  <c r="E162" i="12"/>
  <c r="C168" i="12"/>
  <c r="C165" i="12"/>
  <c r="C162" i="12"/>
  <c r="E168" i="12"/>
  <c r="E165" i="12"/>
  <c r="C161" i="12"/>
  <c r="E161" i="12"/>
  <c r="C159" i="12"/>
  <c r="E159" i="12"/>
  <c r="C156" i="12"/>
  <c r="E156" i="12"/>
  <c r="C158" i="12"/>
  <c r="E158" i="12"/>
  <c r="C160" i="12"/>
  <c r="C157" i="12"/>
  <c r="E160" i="12"/>
  <c r="E157" i="12"/>
  <c r="C155" i="12"/>
  <c r="E155" i="12"/>
  <c r="C152" i="12"/>
  <c r="E152" i="12"/>
  <c r="C151" i="12"/>
  <c r="E151" i="12"/>
  <c r="C153" i="12"/>
  <c r="C150" i="12"/>
  <c r="E153" i="12"/>
  <c r="E150" i="12"/>
  <c r="C149" i="12"/>
  <c r="E149" i="12"/>
  <c r="J3" i="34"/>
  <c r="J4" i="34"/>
  <c r="J2" i="34"/>
  <c r="E145" i="12"/>
  <c r="E147" i="12"/>
  <c r="E148" i="12"/>
  <c r="C145" i="12"/>
  <c r="C146" i="12"/>
  <c r="C147" i="12"/>
  <c r="E146" i="12"/>
  <c r="C148" i="12"/>
  <c r="C140" i="12"/>
  <c r="E142" i="12"/>
  <c r="C144" i="12"/>
  <c r="E143" i="12"/>
  <c r="E144" i="12"/>
  <c r="C141" i="12"/>
  <c r="E140" i="12"/>
  <c r="C142" i="12"/>
  <c r="E141" i="12"/>
  <c r="C143" i="12"/>
  <c r="C139" i="12"/>
  <c r="E139" i="12"/>
  <c r="C137" i="12"/>
  <c r="C138" i="12"/>
  <c r="E137" i="12"/>
  <c r="E138" i="12"/>
  <c r="C136" i="12"/>
  <c r="E136" i="12"/>
  <c r="E133" i="12"/>
  <c r="C133" i="12"/>
  <c r="C134" i="12"/>
  <c r="C135" i="12"/>
  <c r="E134" i="12"/>
  <c r="E135" i="12"/>
  <c r="C132" i="12"/>
  <c r="E132" i="12"/>
  <c r="E102" i="12"/>
  <c r="C104" i="12"/>
  <c r="C103" i="12"/>
  <c r="E103" i="12"/>
  <c r="C102" i="12"/>
  <c r="E104" i="12"/>
  <c r="A34" i="12"/>
  <c r="A128" i="12"/>
  <c r="A127" i="12"/>
  <c r="A126" i="12"/>
  <c r="G139" i="12" a="1"/>
  <c r="G149" i="12" a="1"/>
  <c r="G178" i="12" a="1"/>
  <c r="G200" i="12" a="1"/>
  <c r="G136" i="12" a="1"/>
  <c r="G155" i="12" a="1"/>
  <c r="C34" i="12" a="1"/>
  <c r="C127" i="12" a="1"/>
  <c r="C128" i="12" a="1"/>
  <c r="G161" i="12" a="1"/>
  <c r="E127" i="12" a="1"/>
  <c r="G190" i="12" a="1"/>
  <c r="G174" i="12" a="1"/>
  <c r="E34" i="12" a="1"/>
  <c r="E128" i="12" a="1"/>
  <c r="E126" i="12" a="1"/>
  <c r="G205" i="12" a="1"/>
  <c r="G195" i="12" a="1"/>
  <c r="C126" i="12" a="1"/>
  <c r="G214" i="12" a="1"/>
  <c r="G132" i="12" a="1"/>
  <c r="G169" i="12" a="1"/>
  <c r="G211" i="12" a="1"/>
  <c r="G149" i="12" l="1"/>
  <c r="G161" i="12"/>
  <c r="G132" i="12"/>
  <c r="G214" i="12"/>
  <c r="G195" i="12"/>
  <c r="G205" i="12"/>
  <c r="G174" i="12"/>
  <c r="G190" i="12"/>
  <c r="G155" i="12"/>
  <c r="G136" i="12"/>
  <c r="G200" i="12"/>
  <c r="G178" i="12"/>
  <c r="G139" i="12"/>
  <c r="G211" i="12"/>
  <c r="G169" i="12"/>
  <c r="E34" i="12"/>
  <c r="C34" i="12"/>
  <c r="C127" i="12"/>
  <c r="E126" i="12"/>
  <c r="C128" i="12"/>
  <c r="E127" i="12"/>
  <c r="E128" i="12"/>
  <c r="C126" i="12"/>
  <c r="G150" i="12" a="1"/>
  <c r="G162" i="12" a="1"/>
  <c r="G133" i="12" a="1"/>
  <c r="G215" i="12" a="1"/>
  <c r="G196" i="12" a="1"/>
  <c r="G206" i="12" a="1"/>
  <c r="G191" i="12" a="1"/>
  <c r="G156" i="12" a="1"/>
  <c r="G140" i="12" a="1"/>
  <c r="G212" i="12" a="1"/>
  <c r="G170" i="12" a="1"/>
  <c r="G175" i="12" a="1"/>
  <c r="G201" i="12" a="1"/>
  <c r="G179" i="12" a="1"/>
  <c r="G137" i="12" a="1"/>
  <c r="G179" i="12" l="1"/>
  <c r="G201" i="12"/>
  <c r="G137" i="12"/>
  <c r="G175" i="12"/>
  <c r="G170" i="12"/>
  <c r="G212" i="12"/>
  <c r="G140" i="12"/>
  <c r="G156" i="12"/>
  <c r="G191" i="12"/>
  <c r="G206" i="12"/>
  <c r="G196" i="12"/>
  <c r="G215" i="12"/>
  <c r="G133" i="12"/>
  <c r="G162" i="12"/>
  <c r="G150" i="12"/>
  <c r="F214" i="12"/>
  <c r="F211" i="12"/>
  <c r="F205" i="12"/>
  <c r="F200" i="12"/>
  <c r="F195" i="12"/>
  <c r="F190" i="12"/>
  <c r="F178" i="12"/>
  <c r="F174" i="12"/>
  <c r="F169" i="12"/>
  <c r="F161" i="12"/>
  <c r="F155" i="12"/>
  <c r="F149" i="12"/>
  <c r="F136" i="12"/>
  <c r="F132" i="12"/>
  <c r="A63" i="12"/>
  <c r="A15" i="4"/>
  <c r="A11" i="12"/>
  <c r="C15" i="4" a="1"/>
  <c r="E15" i="4" a="1"/>
  <c r="G151" i="12" a="1"/>
  <c r="G141" i="12" a="1"/>
  <c r="G157" i="12" a="1"/>
  <c r="E11" i="12" a="1"/>
  <c r="G192" i="12" a="1"/>
  <c r="C11" i="12" a="1"/>
  <c r="G207" i="12" a="1"/>
  <c r="G197" i="12" a="1"/>
  <c r="G163" i="12" a="1"/>
  <c r="G176" i="12" a="1"/>
  <c r="E63" i="12" a="1"/>
  <c r="G134" i="12" a="1"/>
  <c r="C63" i="12" a="1"/>
  <c r="G180" i="12" a="1"/>
  <c r="G202" i="12" a="1"/>
  <c r="G138" i="12" a="1"/>
  <c r="G171" i="12" a="1"/>
  <c r="G213" i="12" a="1"/>
  <c r="G216" i="12" a="1"/>
  <c r="G163" i="12" l="1"/>
  <c r="G134" i="12"/>
  <c r="G197" i="12"/>
  <c r="G207" i="12"/>
  <c r="G192" i="12"/>
  <c r="G157" i="12"/>
  <c r="G141" i="12"/>
  <c r="G151" i="12"/>
  <c r="G216" i="12"/>
  <c r="G213" i="12"/>
  <c r="G171" i="12"/>
  <c r="G176" i="12"/>
  <c r="G138" i="12"/>
  <c r="G202" i="12"/>
  <c r="G180" i="12"/>
  <c r="F215" i="12"/>
  <c r="F212" i="12"/>
  <c r="F206" i="12"/>
  <c r="F201" i="12"/>
  <c r="F196" i="12"/>
  <c r="F191" i="12"/>
  <c r="F179" i="12"/>
  <c r="F175" i="12"/>
  <c r="F170" i="12"/>
  <c r="F162" i="12"/>
  <c r="F156" i="12"/>
  <c r="F150" i="12"/>
  <c r="F137" i="12"/>
  <c r="F133" i="12"/>
  <c r="C63" i="12"/>
  <c r="E63" i="12"/>
  <c r="E15" i="4"/>
  <c r="C15" i="4"/>
  <c r="C11" i="12"/>
  <c r="E11" i="12"/>
  <c r="A12" i="12"/>
  <c r="G172" i="12" a="1"/>
  <c r="G177" i="12" a="1"/>
  <c r="G203" i="12" a="1"/>
  <c r="G164" i="12" a="1"/>
  <c r="G198" i="12" a="1"/>
  <c r="G193" i="12" a="1"/>
  <c r="E12" i="12" a="1"/>
  <c r="G181" i="12" a="1"/>
  <c r="G135" i="12" a="1"/>
  <c r="G208" i="12" a="1"/>
  <c r="G158" i="12" a="1"/>
  <c r="G142" i="12" a="1"/>
  <c r="G152" i="12" a="1"/>
  <c r="G217" i="12" a="1"/>
  <c r="C12" i="12" a="1"/>
  <c r="G158" i="12" l="1"/>
  <c r="G193" i="12"/>
  <c r="G208" i="12"/>
  <c r="G198" i="12"/>
  <c r="G135" i="12"/>
  <c r="G164" i="12"/>
  <c r="G181" i="12"/>
  <c r="G203" i="12"/>
  <c r="G177" i="12"/>
  <c r="G172" i="12"/>
  <c r="G217" i="12"/>
  <c r="G152" i="12"/>
  <c r="G142" i="12"/>
  <c r="F216" i="12"/>
  <c r="F213" i="12"/>
  <c r="F207" i="12"/>
  <c r="F202" i="12"/>
  <c r="F197" i="12"/>
  <c r="F192" i="12"/>
  <c r="F180" i="12"/>
  <c r="F176" i="12"/>
  <c r="F171" i="12"/>
  <c r="F163" i="12"/>
  <c r="F157" i="12"/>
  <c r="F151" i="12"/>
  <c r="F138" i="12"/>
  <c r="F139" i="12" s="1"/>
  <c r="F140" i="12" s="1"/>
  <c r="F141" i="12" s="1"/>
  <c r="F134" i="12"/>
  <c r="E12" i="12"/>
  <c r="C12" i="12"/>
  <c r="A22" i="4"/>
  <c r="A45" i="12"/>
  <c r="A41" i="12"/>
  <c r="A44" i="12"/>
  <c r="A43" i="12"/>
  <c r="A42" i="12"/>
  <c r="A57" i="12"/>
  <c r="A21" i="12"/>
  <c r="A45" i="4"/>
  <c r="A50" i="4"/>
  <c r="E22" i="4" a="1"/>
  <c r="C50" i="4" a="1"/>
  <c r="E50" i="4" a="1"/>
  <c r="C22" i="4" a="1"/>
  <c r="C45" i="4" a="1"/>
  <c r="E45" i="4" a="1"/>
  <c r="C57" i="12" a="1"/>
  <c r="C44" i="12" a="1"/>
  <c r="G159" i="12" a="1"/>
  <c r="E44" i="12" a="1"/>
  <c r="E41" i="12" a="1"/>
  <c r="G165" i="12" a="1"/>
  <c r="G218" i="12" a="1"/>
  <c r="E43" i="12" a="1"/>
  <c r="G143" i="12" a="1"/>
  <c r="C45" i="12" a="1"/>
  <c r="E21" i="12" a="1"/>
  <c r="E42" i="12" a="1"/>
  <c r="E45" i="12" a="1"/>
  <c r="G194" i="12" a="1"/>
  <c r="G182" i="12" a="1"/>
  <c r="G209" i="12" a="1"/>
  <c r="G204" i="12" a="1"/>
  <c r="C43" i="12" a="1"/>
  <c r="E57" i="12" a="1"/>
  <c r="G199" i="12" a="1"/>
  <c r="G173" i="12" a="1"/>
  <c r="C41" i="12" a="1"/>
  <c r="G153" i="12" a="1"/>
  <c r="C21" i="12" a="1"/>
  <c r="C42" i="12" a="1"/>
  <c r="G165" i="12" l="1"/>
  <c r="G199" i="12"/>
  <c r="G209" i="12"/>
  <c r="G194" i="12"/>
  <c r="G159" i="12"/>
  <c r="G143" i="12"/>
  <c r="G153" i="12"/>
  <c r="G218" i="12"/>
  <c r="G173" i="12"/>
  <c r="G204" i="12"/>
  <c r="G182" i="12"/>
  <c r="F217" i="12"/>
  <c r="F208" i="12"/>
  <c r="F203" i="12"/>
  <c r="F198" i="12"/>
  <c r="F193" i="12"/>
  <c r="F181" i="12"/>
  <c r="F177" i="12"/>
  <c r="F172" i="12"/>
  <c r="F164" i="12"/>
  <c r="F158" i="12"/>
  <c r="F152" i="12"/>
  <c r="F142" i="12"/>
  <c r="F135" i="12"/>
  <c r="C22" i="4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A18" i="12"/>
  <c r="A17" i="12"/>
  <c r="F33" i="53" a="1"/>
  <c r="F48" i="53" a="1"/>
  <c r="F3" i="53" a="1"/>
  <c r="F68" i="53" a="1"/>
  <c r="F44" i="53" a="1"/>
  <c r="F23" i="53" a="1"/>
  <c r="F66" i="53" a="1"/>
  <c r="F5" i="53" a="1"/>
  <c r="F24" i="53" a="1"/>
  <c r="F15" i="53" a="1"/>
  <c r="F42" i="53" a="1"/>
  <c r="F50" i="53" a="1"/>
  <c r="F8" i="53" a="1"/>
  <c r="F38" i="53" a="1"/>
  <c r="F29" i="53" a="1"/>
  <c r="F27" i="53" a="1"/>
  <c r="F40" i="53" a="1"/>
  <c r="F59" i="53" a="1"/>
  <c r="F2" i="53" a="1"/>
  <c r="E5" i="28" a="1"/>
  <c r="F51" i="53" a="1"/>
  <c r="F63" i="53" a="1"/>
  <c r="F49" i="53" a="1"/>
  <c r="F41" i="53" a="1"/>
  <c r="F16" i="53" a="1"/>
  <c r="F31" i="53" a="1"/>
  <c r="F9" i="53" a="1"/>
  <c r="F37" i="53" a="1"/>
  <c r="F26" i="53" a="1"/>
  <c r="F64" i="53" a="1"/>
  <c r="F25" i="53" a="1"/>
  <c r="F10" i="53" a="1"/>
  <c r="F35" i="53" a="1"/>
  <c r="F28" i="53" a="1"/>
  <c r="E2" i="28" a="1"/>
  <c r="F58" i="53" a="1"/>
  <c r="F19" i="53" a="1"/>
  <c r="F13" i="53" a="1"/>
  <c r="F52" i="53" a="1"/>
  <c r="F12" i="53" a="1"/>
  <c r="F6" i="53" a="1"/>
  <c r="F43" i="53" a="1"/>
  <c r="F32" i="53" a="1"/>
  <c r="F60" i="53" a="1"/>
  <c r="F67" i="53" a="1"/>
  <c r="E6" i="28" a="1"/>
  <c r="F65" i="53" a="1"/>
  <c r="F36" i="53" a="1"/>
  <c r="F47" i="53" a="1"/>
  <c r="F56" i="53" a="1"/>
  <c r="F57" i="53" a="1"/>
  <c r="F4" i="53" a="1"/>
  <c r="F55" i="53" a="1"/>
  <c r="F30" i="53" a="1"/>
  <c r="F22" i="53" a="1"/>
  <c r="F53" i="53" a="1"/>
  <c r="F46" i="53" a="1"/>
  <c r="F54" i="53" a="1"/>
  <c r="F11" i="53" a="1"/>
  <c r="F21" i="53" a="1"/>
  <c r="F39" i="53" a="1"/>
  <c r="F62" i="53" a="1"/>
  <c r="F61" i="53" a="1"/>
  <c r="F20" i="53" a="1"/>
  <c r="F69" i="53" a="1"/>
  <c r="F34" i="53" a="1"/>
  <c r="F7" i="53" a="1"/>
  <c r="E3" i="28" a="1"/>
  <c r="F18" i="53" a="1"/>
  <c r="F45" i="53" a="1"/>
  <c r="E4" i="28" a="1"/>
  <c r="F17" i="53" a="1"/>
  <c r="F14" i="53" a="1"/>
  <c r="G210" i="12" a="1"/>
  <c r="G154" i="12" a="1"/>
  <c r="G219" i="12" a="1"/>
  <c r="G183" i="12" a="1"/>
  <c r="E17" i="12" a="1"/>
  <c r="G166" i="12" a="1"/>
  <c r="G160" i="12" a="1"/>
  <c r="C17" i="12" a="1"/>
  <c r="G144" i="12" a="1"/>
  <c r="G41" i="12" a="1"/>
  <c r="E18" i="12" a="1"/>
  <c r="C18" i="12" a="1"/>
  <c r="G183" i="12" l="1"/>
  <c r="G41" i="12"/>
  <c r="G219" i="12"/>
  <c r="G154" i="12"/>
  <c r="G144" i="12"/>
  <c r="G160" i="12"/>
  <c r="G210" i="12"/>
  <c r="G166" i="12"/>
  <c r="F218" i="12"/>
  <c r="F209" i="12"/>
  <c r="F204" i="12"/>
  <c r="F199" i="12"/>
  <c r="F194" i="12"/>
  <c r="F182" i="12"/>
  <c r="F173" i="12"/>
  <c r="F165" i="12"/>
  <c r="F159" i="12"/>
  <c r="F153" i="12"/>
  <c r="F143" i="12"/>
  <c r="E3" i="28"/>
  <c r="E5" i="28"/>
  <c r="E2" i="28"/>
  <c r="E4" i="28"/>
  <c r="E6" i="28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J31" i="11" s="1"/>
  <c r="J32" i="11" s="1"/>
  <c r="J33" i="11" s="1"/>
  <c r="J34" i="11" s="1"/>
  <c r="J35" i="11" s="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47" i="40" a="1"/>
  <c r="E41" i="53" a="1"/>
  <c r="C46" i="40" a="1"/>
  <c r="E35" i="53" a="1"/>
  <c r="C9" i="40" a="1"/>
  <c r="E69" i="53" a="1"/>
  <c r="C24" i="53" a="1"/>
  <c r="C35" i="40" a="1"/>
  <c r="E53" i="53" a="1"/>
  <c r="E65" i="53" a="1"/>
  <c r="C42" i="40" a="1"/>
  <c r="C13" i="11" a="1"/>
  <c r="C21" i="53" a="1"/>
  <c r="C52" i="53" a="1"/>
  <c r="C25" i="40" a="1"/>
  <c r="E10" i="53" a="1"/>
  <c r="C48" i="40" a="1"/>
  <c r="C10" i="40" a="1"/>
  <c r="E46" i="53" a="1"/>
  <c r="C18" i="40" a="1"/>
  <c r="E19" i="53" a="1"/>
  <c r="C10" i="53" a="1"/>
  <c r="C14" i="40" a="1"/>
  <c r="C6" i="11" a="1"/>
  <c r="E51" i="53" a="1"/>
  <c r="C2" i="49" a="1"/>
  <c r="E28" i="53" a="1"/>
  <c r="C59" i="53" a="1"/>
  <c r="C23" i="53" a="1"/>
  <c r="C68" i="53" a="1"/>
  <c r="C22" i="40" a="1"/>
  <c r="E31" i="53" a="1"/>
  <c r="C57" i="53" a="1"/>
  <c r="C14" i="53" a="1"/>
  <c r="C9" i="11" a="1"/>
  <c r="C12" i="11" a="1"/>
  <c r="C58" i="53" a="1"/>
  <c r="C2" i="15" a="1"/>
  <c r="C15" i="11" a="1"/>
  <c r="C64" i="53" a="1"/>
  <c r="C37" i="53" a="1"/>
  <c r="C31" i="53" a="1"/>
  <c r="E32" i="53" a="1"/>
  <c r="C39" i="53" a="1"/>
  <c r="E2" i="46" a="1"/>
  <c r="C38" i="40" a="1"/>
  <c r="C6" i="53" a="1"/>
  <c r="C43" i="53" a="1"/>
  <c r="C19" i="11" a="1"/>
  <c r="C16" i="11" a="1"/>
  <c r="E30" i="53" a="1"/>
  <c r="E43" i="53" a="1"/>
  <c r="E34" i="53" a="1"/>
  <c r="E3" i="53" a="1"/>
  <c r="C26" i="53" a="1"/>
  <c r="C3" i="11" a="1"/>
  <c r="C16" i="53" a="1"/>
  <c r="C6" i="40" a="1"/>
  <c r="C41" i="53" a="1"/>
  <c r="C49" i="53" a="1"/>
  <c r="C20" i="40" a="1"/>
  <c r="C40" i="53" a="1"/>
  <c r="C45" i="53" a="1"/>
  <c r="C31" i="11" a="1"/>
  <c r="C3" i="40" a="1"/>
  <c r="E56" i="53" a="1"/>
  <c r="C51" i="40" a="1"/>
  <c r="C8" i="40" a="1"/>
  <c r="E59" i="53" a="1"/>
  <c r="C62" i="53" a="1"/>
  <c r="C15" i="53" a="1"/>
  <c r="E39" i="53" a="1"/>
  <c r="C52" i="40" a="1"/>
  <c r="C10" i="11" a="1"/>
  <c r="C40" i="40" a="1"/>
  <c r="E13" i="53" a="1"/>
  <c r="E36" i="53" a="1"/>
  <c r="C50" i="40" a="1"/>
  <c r="C25" i="53" a="1"/>
  <c r="E49" i="4" a="1"/>
  <c r="C12" i="40" a="1"/>
  <c r="C2" i="11" a="1"/>
  <c r="E24" i="53" a="1"/>
  <c r="E20" i="53" a="1"/>
  <c r="E17" i="53" a="1"/>
  <c r="C34" i="53" a="1"/>
  <c r="C56" i="53" a="1"/>
  <c r="C3" i="53" a="1"/>
  <c r="C27" i="11" a="1"/>
  <c r="C49" i="40" a="1"/>
  <c r="E48" i="53" a="1"/>
  <c r="C5" i="53" a="1"/>
  <c r="C30" i="40" a="1"/>
  <c r="C17" i="40" a="1"/>
  <c r="E63" i="53" a="1"/>
  <c r="C18" i="11" a="1"/>
  <c r="I2" i="11" a="1"/>
  <c r="C24" i="40" a="1"/>
  <c r="C25" i="11" a="1"/>
  <c r="G2" i="46" a="1"/>
  <c r="E61" i="53" a="1"/>
  <c r="C50" i="53" a="1"/>
  <c r="E66" i="53" a="1"/>
  <c r="E2" i="15" a="1"/>
  <c r="E47" i="53" a="1"/>
  <c r="C19" i="40" a="1"/>
  <c r="E40" i="53" a="1"/>
  <c r="C4" i="53" a="1"/>
  <c r="C15" i="40" a="1"/>
  <c r="C18" i="53" a="1"/>
  <c r="E2" i="9" a="1"/>
  <c r="C34" i="40" a="1"/>
  <c r="E58" i="53" a="1"/>
  <c r="C29" i="53" a="1"/>
  <c r="C61" i="53" a="1"/>
  <c r="E8" i="53" a="1"/>
  <c r="C48" i="53" a="1"/>
  <c r="C8" i="11" a="1"/>
  <c r="C22" i="11" a="1"/>
  <c r="C36" i="53" a="1"/>
  <c r="C69" i="53" a="1"/>
  <c r="E55" i="53" a="1"/>
  <c r="C63" i="53" a="1"/>
  <c r="C60" i="53" a="1"/>
  <c r="C2" i="40" a="1"/>
  <c r="E45" i="53" a="1"/>
  <c r="C4" i="40" a="1"/>
  <c r="C37" i="40" a="1"/>
  <c r="C33" i="53" a="1"/>
  <c r="C4" i="11" a="1"/>
  <c r="C32" i="11" a="1"/>
  <c r="C31" i="40" a="1"/>
  <c r="E57" i="53" a="1"/>
  <c r="C27" i="53" a="1"/>
  <c r="E18" i="53" a="1"/>
  <c r="C23" i="40" a="1"/>
  <c r="C8" i="53" a="1"/>
  <c r="C49" i="4" a="1"/>
  <c r="C12" i="53" a="1"/>
  <c r="E38" i="53" a="1"/>
  <c r="E7" i="53" a="1"/>
  <c r="C28" i="11" a="1"/>
  <c r="C7" i="11" a="1"/>
  <c r="C29" i="40" a="1"/>
  <c r="C11" i="53" a="1"/>
  <c r="C65" i="53" a="1"/>
  <c r="C55" i="40" a="1"/>
  <c r="E16" i="53" a="1"/>
  <c r="E37" i="53" a="1"/>
  <c r="C13" i="53" a="1"/>
  <c r="C30" i="11" a="1"/>
  <c r="C28" i="40" a="1"/>
  <c r="E15" i="53" a="1"/>
  <c r="C54" i="53" a="1"/>
  <c r="C7" i="53" a="1"/>
  <c r="C44" i="40" a="1"/>
  <c r="C19" i="53" a="1"/>
  <c r="E64" i="53" a="1"/>
  <c r="E14" i="53" a="1"/>
  <c r="G2" i="15" a="1"/>
  <c r="C32" i="53" a="1"/>
  <c r="C35" i="11" a="1"/>
  <c r="C5" i="11" a="1"/>
  <c r="E9" i="53" a="1"/>
  <c r="C43" i="40" a="1"/>
  <c r="E67" i="53" a="1"/>
  <c r="E11" i="53" a="1"/>
  <c r="C21" i="40" a="1"/>
  <c r="C67" i="53" a="1"/>
  <c r="C14" i="11" a="1"/>
  <c r="C26" i="40" a="1"/>
  <c r="E6" i="53" a="1"/>
  <c r="C5" i="40" a="1"/>
  <c r="C22" i="53" a="1"/>
  <c r="C2" i="53" a="1"/>
  <c r="E49" i="53" a="1"/>
  <c r="E68" i="53" a="1"/>
  <c r="C20" i="53" a="1"/>
  <c r="C23" i="11" a="1"/>
  <c r="C33" i="11" a="1"/>
  <c r="C44" i="53" a="1"/>
  <c r="C46" i="53" a="1"/>
  <c r="E22" i="53" a="1"/>
  <c r="C53" i="53" a="1"/>
  <c r="E52" i="53" a="1"/>
  <c r="C11" i="11" a="1"/>
  <c r="C33" i="40" a="1"/>
  <c r="C21" i="11" a="1"/>
  <c r="C55" i="53" a="1"/>
  <c r="C13" i="40" a="1"/>
  <c r="E29" i="53" a="1"/>
  <c r="C16" i="40" a="1"/>
  <c r="C30" i="53" a="1"/>
  <c r="C54" i="40" a="1"/>
  <c r="E44" i="53" a="1"/>
  <c r="C51" i="53" a="1"/>
  <c r="C32" i="40" a="1"/>
  <c r="C17" i="11" a="1"/>
  <c r="C26" i="11" a="1"/>
  <c r="E60" i="53" a="1"/>
  <c r="C66" i="53" a="1"/>
  <c r="C9" i="53" a="1"/>
  <c r="C11" i="40" a="1"/>
  <c r="C24" i="11" a="1"/>
  <c r="E21" i="53" a="1"/>
  <c r="C53" i="40" a="1"/>
  <c r="E12" i="53" a="1"/>
  <c r="C28" i="53" a="1"/>
  <c r="C34" i="11" a="1"/>
  <c r="E23" i="53" a="1"/>
  <c r="E2" i="50" a="1"/>
  <c r="E50" i="53" a="1"/>
  <c r="C45" i="40" a="1"/>
  <c r="E4" i="53" a="1"/>
  <c r="C27" i="40" a="1"/>
  <c r="C39" i="40" a="1"/>
  <c r="E2" i="53" a="1"/>
  <c r="C35" i="53" a="1"/>
  <c r="E26" i="53" a="1"/>
  <c r="E33" i="53" a="1"/>
  <c r="E62" i="53" a="1"/>
  <c r="C17" i="53" a="1"/>
  <c r="C7" i="40" a="1"/>
  <c r="E42" i="53" a="1"/>
  <c r="C38" i="53" a="1"/>
  <c r="E5" i="53" a="1"/>
  <c r="C20" i="11" a="1"/>
  <c r="C42" i="53" a="1"/>
  <c r="C36" i="40" a="1"/>
  <c r="E27" i="53" a="1"/>
  <c r="C47" i="53" a="1"/>
  <c r="E54" i="53" a="1"/>
  <c r="E25" i="53" a="1"/>
  <c r="C41" i="40" a="1"/>
  <c r="C29" i="11" a="1"/>
  <c r="C94" i="12" a="1"/>
  <c r="C8" i="12" a="1"/>
  <c r="C35" i="12" a="1"/>
  <c r="C86" i="12" a="1"/>
  <c r="C76" i="12" a="1"/>
  <c r="C89" i="12" a="1"/>
  <c r="G42" i="12" a="1"/>
  <c r="C51" i="12" a="1"/>
  <c r="C31" i="12" a="1"/>
  <c r="C88" i="12" a="1"/>
  <c r="C48" i="12" a="1"/>
  <c r="C22" i="12" a="1"/>
  <c r="C100" i="12" a="1"/>
  <c r="C83" i="12" a="1"/>
  <c r="C3" i="12" a="1"/>
  <c r="C54" i="12" a="1"/>
  <c r="C13" i="12" a="1"/>
  <c r="C26" i="12" a="1"/>
  <c r="C80" i="12" a="1"/>
  <c r="C6" i="12" a="1"/>
  <c r="C84" i="12" a="1"/>
  <c r="C92" i="12" a="1"/>
  <c r="C33" i="12" a="1"/>
  <c r="C108" i="12" a="1"/>
  <c r="C38" i="12" a="1"/>
  <c r="C32" i="12" a="1"/>
  <c r="C121" i="12" a="1"/>
  <c r="C47" i="12" a="1"/>
  <c r="G167" i="12" a="1"/>
  <c r="C95" i="12" a="1"/>
  <c r="C131" i="12" a="1"/>
  <c r="C25" i="12" a="1"/>
  <c r="C50" i="12" a="1"/>
  <c r="C61" i="12" a="1"/>
  <c r="C67" i="12" a="1"/>
  <c r="C72" i="12" a="1"/>
  <c r="C60" i="12" a="1"/>
  <c r="C93" i="12" a="1"/>
  <c r="C29" i="12" a="1"/>
  <c r="C120" i="12" a="1"/>
  <c r="C5" i="12" a="1"/>
  <c r="C55" i="12" a="1"/>
  <c r="C15" i="12" a="1"/>
  <c r="C122" i="12" a="1"/>
  <c r="C62" i="12" a="1"/>
  <c r="C110" i="12" a="1"/>
  <c r="C16" i="12" a="1"/>
  <c r="C118" i="12" a="1"/>
  <c r="C96" i="12" a="1"/>
  <c r="G145" i="12" a="1"/>
  <c r="C90" i="12" a="1"/>
  <c r="C79" i="12" a="1"/>
  <c r="C46" i="12" a="1"/>
  <c r="C99" i="12" a="1"/>
  <c r="C98" i="12" a="1"/>
  <c r="C4" i="12" a="1"/>
  <c r="E14" i="12" a="1"/>
  <c r="C37" i="12" a="1"/>
  <c r="C81" i="12" a="1"/>
  <c r="C49" i="12" a="1"/>
  <c r="C109" i="12" a="1"/>
  <c r="C20" i="12" a="1"/>
  <c r="C82" i="12" a="1"/>
  <c r="C85" i="12" a="1"/>
  <c r="C2" i="12" a="1"/>
  <c r="C115" i="12" a="1"/>
  <c r="C112" i="12" a="1"/>
  <c r="C124" i="12" a="1"/>
  <c r="C68" i="12" a="1"/>
  <c r="C39" i="12" a="1"/>
  <c r="C107" i="12" a="1"/>
  <c r="C10" i="12" a="1"/>
  <c r="C19" i="12" a="1"/>
  <c r="C28" i="12" a="1"/>
  <c r="C36" i="12" a="1"/>
  <c r="C125" i="12" a="1"/>
  <c r="C91" i="12" a="1"/>
  <c r="C73" i="12" a="1"/>
  <c r="C52" i="12" a="1"/>
  <c r="C75" i="12" a="1"/>
  <c r="C129" i="12" a="1"/>
  <c r="C77" i="12" a="1"/>
  <c r="C123" i="12" a="1"/>
  <c r="C56" i="12" a="1"/>
  <c r="C117" i="12" a="1"/>
  <c r="C9" i="12" a="1"/>
  <c r="C113" i="12" a="1"/>
  <c r="C69" i="12" a="1"/>
  <c r="C59" i="12" a="1"/>
  <c r="C111" i="12" a="1"/>
  <c r="E15" i="12" a="1"/>
  <c r="C101" i="12" a="1"/>
  <c r="C116" i="12" a="1"/>
  <c r="C53" i="12" a="1"/>
  <c r="G17" i="12" a="1"/>
  <c r="C74" i="12" a="1"/>
  <c r="C78" i="12" a="1"/>
  <c r="C106" i="12" a="1"/>
  <c r="C71" i="12" a="1"/>
  <c r="C40" i="12" a="1"/>
  <c r="C27" i="12" a="1"/>
  <c r="C130" i="12" a="1"/>
  <c r="C70" i="12" a="1"/>
  <c r="C14" i="12" a="1"/>
  <c r="G184" i="12" a="1"/>
  <c r="C114" i="12" a="1"/>
  <c r="E16" i="12" a="1"/>
  <c r="C58" i="12" a="1"/>
  <c r="C66" i="12" a="1"/>
  <c r="C105" i="12" a="1"/>
  <c r="C87" i="12" a="1"/>
  <c r="C23" i="12" a="1"/>
  <c r="G220" i="12" a="1"/>
  <c r="C65" i="12" a="1"/>
  <c r="E13" i="12" a="1"/>
  <c r="C64" i="12" a="1"/>
  <c r="C7" i="12" a="1"/>
  <c r="C24" i="12" a="1"/>
  <c r="C30" i="12" a="1"/>
  <c r="C2" i="47" a="1"/>
  <c r="G167" i="12" l="1"/>
  <c r="G220" i="12"/>
  <c r="G17" i="12"/>
  <c r="G145" i="12"/>
  <c r="G42" i="12"/>
  <c r="G184" i="12"/>
  <c r="F154" i="12"/>
  <c r="F219" i="12"/>
  <c r="F210" i="12"/>
  <c r="F183" i="12"/>
  <c r="F166" i="12"/>
  <c r="F160" i="12"/>
  <c r="F144" i="12"/>
  <c r="F41" i="12"/>
  <c r="F17" i="12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3" i="12"/>
  <c r="C37" i="12"/>
  <c r="C84" i="12"/>
  <c r="C5" i="12"/>
  <c r="C31" i="12"/>
  <c r="C75" i="12"/>
  <c r="C76" i="12"/>
  <c r="C85" i="12"/>
  <c r="C125" i="12"/>
  <c r="C9" i="12"/>
  <c r="C26" i="12"/>
  <c r="C67" i="12"/>
  <c r="C22" i="12"/>
  <c r="C23" i="12"/>
  <c r="C93" i="12"/>
  <c r="C107" i="12"/>
  <c r="C112" i="12"/>
  <c r="C117" i="12"/>
  <c r="C80" i="12"/>
  <c r="C120" i="12"/>
  <c r="C124" i="12"/>
  <c r="C49" i="12"/>
  <c r="C96" i="12"/>
  <c r="C131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4" i="12"/>
  <c r="C7" i="12"/>
  <c r="C29" i="12"/>
  <c r="C35" i="12"/>
  <c r="C47" i="12"/>
  <c r="C58" i="12"/>
  <c r="C69" i="12"/>
  <c r="C78" i="12"/>
  <c r="C87" i="12"/>
  <c r="C91" i="12"/>
  <c r="C105" i="12"/>
  <c r="C115" i="12"/>
  <c r="C129" i="12"/>
  <c r="C8" i="12"/>
  <c r="C30" i="12"/>
  <c r="C36" i="12"/>
  <c r="C48" i="12"/>
  <c r="C59" i="12"/>
  <c r="C70" i="12"/>
  <c r="C79" i="12"/>
  <c r="C95" i="12"/>
  <c r="C92" i="12"/>
  <c r="C106" i="12"/>
  <c r="C116" i="12"/>
  <c r="C130" i="12"/>
  <c r="C122" i="12"/>
  <c r="C10" i="12"/>
  <c r="C32" i="12"/>
  <c r="C38" i="12"/>
  <c r="C50" i="12"/>
  <c r="C61" i="12"/>
  <c r="C72" i="12"/>
  <c r="C98" i="12"/>
  <c r="C94" i="12"/>
  <c r="C108" i="12"/>
  <c r="C118" i="12"/>
  <c r="C121" i="12"/>
  <c r="C33" i="12"/>
  <c r="C51" i="12"/>
  <c r="C62" i="12"/>
  <c r="C73" i="12"/>
  <c r="C81" i="12"/>
  <c r="C99" i="12"/>
  <c r="C109" i="12"/>
  <c r="C19" i="12"/>
  <c r="C39" i="12"/>
  <c r="C52" i="12"/>
  <c r="C64" i="12"/>
  <c r="C74" i="12"/>
  <c r="C82" i="12"/>
  <c r="C100" i="12"/>
  <c r="C110" i="12"/>
  <c r="C123" i="12"/>
  <c r="C3" i="12"/>
  <c r="C25" i="12"/>
  <c r="C20" i="12"/>
  <c r="C40" i="12"/>
  <c r="C53" i="12"/>
  <c r="C65" i="12"/>
  <c r="C83" i="12"/>
  <c r="C101" i="12"/>
  <c r="C111" i="12"/>
  <c r="C2" i="12"/>
  <c r="C49" i="4"/>
  <c r="E49" i="4"/>
  <c r="C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2" i="11"/>
  <c r="L2" i="11" s="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8" i="12"/>
  <c r="A117" i="12"/>
  <c r="A116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C2" i="38" a="1"/>
  <c r="G81" i="12" a="1"/>
  <c r="G120" i="12" a="1"/>
  <c r="G35" i="12" a="1"/>
  <c r="G168" i="12" a="1"/>
  <c r="G124" i="12" a="1"/>
  <c r="G64" i="12" a="1"/>
  <c r="G88" i="12" a="1"/>
  <c r="G46" i="12" a="1"/>
  <c r="G20" i="12" a="1"/>
  <c r="G70" i="12" a="1"/>
  <c r="G95" i="12" a="1"/>
  <c r="G18" i="12" a="1"/>
  <c r="G75" i="12" a="1"/>
  <c r="G146" i="12" a="1"/>
  <c r="G105" i="12" a="1"/>
  <c r="G43" i="12" a="1"/>
  <c r="G185" i="12" a="1"/>
  <c r="G129" i="12" a="1"/>
  <c r="G58" i="12" a="1"/>
  <c r="G25" i="12" a="1"/>
  <c r="G13" i="12" a="1"/>
  <c r="C2" i="38" l="1"/>
  <c r="G124" i="12"/>
  <c r="G35" i="12"/>
  <c r="G120" i="12"/>
  <c r="G81" i="12"/>
  <c r="G95" i="12"/>
  <c r="G70" i="12"/>
  <c r="G13" i="12"/>
  <c r="G20" i="12"/>
  <c r="G25" i="12"/>
  <c r="G46" i="12"/>
  <c r="G58" i="12"/>
  <c r="G129" i="12"/>
  <c r="G185" i="12"/>
  <c r="G43" i="12"/>
  <c r="G105" i="12"/>
  <c r="G146" i="12"/>
  <c r="G75" i="12"/>
  <c r="G18" i="12"/>
  <c r="G88" i="12"/>
  <c r="G64" i="12"/>
  <c r="G168" i="12"/>
  <c r="F220" i="12"/>
  <c r="F184" i="12"/>
  <c r="F167" i="12"/>
  <c r="F145" i="12"/>
  <c r="F42" i="12"/>
  <c r="G186" i="12" a="1"/>
  <c r="G44" i="12" a="1"/>
  <c r="G106" i="12" a="1"/>
  <c r="G147" i="12" a="1"/>
  <c r="G82" i="12" a="1"/>
  <c r="G14" i="12" a="1"/>
  <c r="G59" i="12" a="1"/>
  <c r="G76" i="12" a="1"/>
  <c r="G19" i="12" a="1"/>
  <c r="G89" i="12" a="1"/>
  <c r="G71" i="12" a="1"/>
  <c r="G21" i="12" a="1"/>
  <c r="G47" i="12" a="1"/>
  <c r="G130" i="12" a="1"/>
  <c r="G125" i="12" a="1"/>
  <c r="G65" i="12" a="1"/>
  <c r="G36" i="12" a="1"/>
  <c r="G121" i="12" a="1"/>
  <c r="G96" i="12" a="1"/>
  <c r="G26" i="12" a="1"/>
  <c r="G89" i="12" l="1"/>
  <c r="G19" i="12"/>
  <c r="G76" i="12"/>
  <c r="G147" i="12"/>
  <c r="G106" i="12"/>
  <c r="G44" i="12"/>
  <c r="G186" i="12"/>
  <c r="G130" i="12"/>
  <c r="G59" i="12"/>
  <c r="G47" i="12"/>
  <c r="G26" i="12"/>
  <c r="G21" i="12"/>
  <c r="G14" i="12"/>
  <c r="G71" i="12"/>
  <c r="G96" i="12"/>
  <c r="G82" i="12"/>
  <c r="G121" i="12"/>
  <c r="G36" i="12"/>
  <c r="G65" i="12"/>
  <c r="G125" i="12"/>
  <c r="F185" i="12"/>
  <c r="F168" i="12"/>
  <c r="A129" i="12"/>
  <c r="A130" i="12"/>
  <c r="A131" i="12"/>
  <c r="C6" i="31" a="1"/>
  <c r="E381" i="27" a="1"/>
  <c r="E291" i="27" a="1"/>
  <c r="C346" i="27" a="1"/>
  <c r="C279" i="27" a="1"/>
  <c r="E29" i="27" a="1"/>
  <c r="E248" i="27" a="1"/>
  <c r="E172" i="27" a="1"/>
  <c r="C318" i="27" a="1"/>
  <c r="C155" i="27" a="1"/>
  <c r="E89" i="27" a="1"/>
  <c r="E225" i="27" a="1"/>
  <c r="C222" i="27" a="1"/>
  <c r="E312" i="27" a="1"/>
  <c r="E367" i="27" a="1"/>
  <c r="E73" i="27" a="1"/>
  <c r="E52" i="27" a="1"/>
  <c r="E189" i="27" a="1"/>
  <c r="C280" i="27" a="1"/>
  <c r="C4" i="27" a="1"/>
  <c r="E267" i="27" a="1"/>
  <c r="E228" i="27" a="1"/>
  <c r="C37" i="4" a="1"/>
  <c r="E103" i="27" a="1"/>
  <c r="G30" i="40" a="1"/>
  <c r="E6" i="40" a="1"/>
  <c r="E349" i="27" a="1"/>
  <c r="C54" i="27" a="1"/>
  <c r="F2" i="22" a="1"/>
  <c r="E8" i="27" a="1"/>
  <c r="E373" i="27" a="1"/>
  <c r="C111" i="27" a="1"/>
  <c r="E10" i="31" a="1"/>
  <c r="E364" i="27" a="1"/>
  <c r="E5" i="27" a="1"/>
  <c r="E32" i="4" a="1"/>
  <c r="E314" i="27" a="1"/>
  <c r="C284" i="27" a="1"/>
  <c r="C295" i="27" a="1"/>
  <c r="E220" i="27" a="1"/>
  <c r="G8" i="40" a="1"/>
  <c r="E46" i="27" a="1"/>
  <c r="G11" i="40" a="1"/>
  <c r="E309" i="27" a="1"/>
  <c r="E281" i="27" a="1"/>
  <c r="E2" i="31" a="1"/>
  <c r="C5" i="31" a="1"/>
  <c r="E3" i="40" a="1"/>
  <c r="C223" i="27" a="1"/>
  <c r="C272" i="27" a="1"/>
  <c r="C367" i="27" a="1"/>
  <c r="E14" i="27" a="1"/>
  <c r="E27" i="4" a="1"/>
  <c r="E19" i="40" a="1"/>
  <c r="E29" i="40" a="1"/>
  <c r="E43" i="4" a="1"/>
  <c r="C100" i="27" a="1"/>
  <c r="E18" i="40" a="1"/>
  <c r="E376" i="27" a="1"/>
  <c r="C370" i="27" a="1"/>
  <c r="C72" i="27" a="1"/>
  <c r="C157" i="27" a="1"/>
  <c r="E7" i="4" a="1"/>
  <c r="C373" i="27" a="1"/>
  <c r="E262" i="27" a="1"/>
  <c r="C106" i="27" a="1"/>
  <c r="E120" i="27" a="1"/>
  <c r="E192" i="27" a="1"/>
  <c r="C49" i="27" a="1"/>
  <c r="E9" i="31" a="1"/>
  <c r="C181" i="27" a="1"/>
  <c r="C14" i="4" a="1"/>
  <c r="C10" i="31" a="1"/>
  <c r="C211" i="27" a="1"/>
  <c r="C180" i="27" a="1"/>
  <c r="C131" i="27" a="1"/>
  <c r="C357" i="27" a="1"/>
  <c r="E77" i="27" a="1"/>
  <c r="C191" i="27" a="1"/>
  <c r="G48" i="40" a="1"/>
  <c r="E32" i="40" a="1"/>
  <c r="E223" i="27" a="1"/>
  <c r="E20" i="40" a="1"/>
  <c r="E50" i="40" a="1"/>
  <c r="C3" i="4" a="1"/>
  <c r="D18" i="37" a="1"/>
  <c r="E35" i="40" a="1"/>
  <c r="E332" i="27" a="1"/>
  <c r="C273" i="27" a="1"/>
  <c r="E221" i="27" a="1"/>
  <c r="C377" i="27" a="1"/>
  <c r="E154" i="27" a="1"/>
  <c r="E152" i="27" a="1"/>
  <c r="C368" i="27" a="1"/>
  <c r="E176" i="27" a="1"/>
  <c r="E274" i="27" a="1"/>
  <c r="E21" i="4" a="1"/>
  <c r="C325" i="27" a="1"/>
  <c r="E206" i="27" a="1"/>
  <c r="C47" i="4" a="1"/>
  <c r="C307" i="27" a="1"/>
  <c r="H2" i="38" a="1"/>
  <c r="C33" i="27" a="1"/>
  <c r="E31" i="40" a="1"/>
  <c r="G50" i="40" a="1"/>
  <c r="E5" i="40" a="1"/>
  <c r="E2" i="4" a="1"/>
  <c r="C338" i="27" a="1"/>
  <c r="E48" i="40" a="1"/>
  <c r="E38" i="40" a="1"/>
  <c r="E10" i="27" a="1"/>
  <c r="E144" i="27" a="1"/>
  <c r="C378" i="27" a="1"/>
  <c r="E25" i="4" a="1"/>
  <c r="E71" i="27" a="1"/>
  <c r="E2" i="40" a="1"/>
  <c r="G24" i="40" a="1"/>
  <c r="C121" i="27" a="1"/>
  <c r="E132" i="27" a="1"/>
  <c r="E341" i="27" a="1"/>
  <c r="E380" i="27" a="1"/>
  <c r="C66" i="27" a="1"/>
  <c r="E13" i="4" a="1"/>
  <c r="C4" i="4" a="1"/>
  <c r="E360" i="27" a="1"/>
  <c r="E161" i="27" a="1"/>
  <c r="E30" i="40" a="1"/>
  <c r="E55" i="27" a="1"/>
  <c r="C270" i="27" a="1"/>
  <c r="C5" i="4" a="1"/>
  <c r="C77" i="27" a="1"/>
  <c r="C365" i="27" a="1"/>
  <c r="C104" i="27" a="1"/>
  <c r="E246" i="27" a="1"/>
  <c r="C73" i="27" a="1"/>
  <c r="E237" i="27" a="1"/>
  <c r="C371" i="27" a="1"/>
  <c r="E234" i="27" a="1"/>
  <c r="C376" i="27" a="1"/>
  <c r="C360" i="27" a="1"/>
  <c r="E119" i="27" a="1"/>
  <c r="C217" i="27" a="1"/>
  <c r="C287" i="27" a="1"/>
  <c r="E30" i="27" a="1"/>
  <c r="E298" i="27" a="1"/>
  <c r="E41" i="4" a="1"/>
  <c r="E13" i="27" a="1"/>
  <c r="E207" i="27" a="1"/>
  <c r="G19" i="40" a="1"/>
  <c r="C285" i="27" a="1"/>
  <c r="C255" i="27" a="1"/>
  <c r="G13" i="40" a="1"/>
  <c r="E17" i="27" a="1"/>
  <c r="E39" i="27" a="1"/>
  <c r="C27" i="4" a="1"/>
  <c r="E150" i="27" a="1"/>
  <c r="C204" i="27" a="1"/>
  <c r="C379" i="27" a="1"/>
  <c r="E263" i="27" a="1"/>
  <c r="E365" i="27" a="1"/>
  <c r="E371" i="27" a="1"/>
  <c r="C315" i="27" a="1"/>
  <c r="E6" i="27" a="1"/>
  <c r="E255" i="27" a="1"/>
  <c r="E86" i="27" a="1"/>
  <c r="E72" i="27" a="1"/>
  <c r="E14" i="40" a="1"/>
  <c r="C40" i="27" a="1"/>
  <c r="E4" i="27" a="1"/>
  <c r="E166" i="27" a="1"/>
  <c r="E159" i="27" a="1"/>
  <c r="C170" i="27" a="1"/>
  <c r="E268" i="27" a="1"/>
  <c r="E106" i="27" a="1"/>
  <c r="G16" i="40" a="1"/>
  <c r="C327" i="27" a="1"/>
  <c r="C67" i="27" a="1"/>
  <c r="C25" i="4" a="1"/>
  <c r="E4" i="40" a="1"/>
  <c r="C293" i="27" a="1"/>
  <c r="C207" i="27" a="1"/>
  <c r="C118" i="27" a="1"/>
  <c r="E374" i="27" a="1"/>
  <c r="C48" i="27" a="1"/>
  <c r="C81" i="27" a="1"/>
  <c r="C8" i="4" a="1"/>
  <c r="E336" i="27" a="1"/>
  <c r="E42" i="27" a="1"/>
  <c r="E366" i="27" a="1"/>
  <c r="E335" i="27" a="1"/>
  <c r="E138" i="27" a="1"/>
  <c r="E122" i="27" a="1"/>
  <c r="E24" i="4" a="1"/>
  <c r="E118" i="27" a="1"/>
  <c r="E344" i="27" a="1"/>
  <c r="G52" i="40" a="1"/>
  <c r="C197" i="27" a="1"/>
  <c r="E38" i="4" a="1"/>
  <c r="E230" i="27" a="1"/>
  <c r="C372" i="27" a="1"/>
  <c r="C375" i="27" a="1"/>
  <c r="E197" i="27" a="1"/>
  <c r="E11" i="4" a="1"/>
  <c r="G46" i="40" a="1"/>
  <c r="E69" i="27" a="1"/>
  <c r="E256" i="27" a="1"/>
  <c r="C50" i="27" a="1"/>
  <c r="C243" i="27" a="1"/>
  <c r="C263" i="27" a="1"/>
  <c r="E66" i="27" a="1"/>
  <c r="C172" i="27" a="1"/>
  <c r="C113" i="27" a="1"/>
  <c r="E372" i="27" a="1"/>
  <c r="C175" i="27" a="1"/>
  <c r="C21" i="27" a="1"/>
  <c r="C332" i="27" a="1"/>
  <c r="C38" i="4" a="1"/>
  <c r="E100" i="27" a="1"/>
  <c r="C326" i="27" a="1"/>
  <c r="C53" i="27" a="1"/>
  <c r="E353" i="27" a="1"/>
  <c r="C30" i="27" a="1"/>
  <c r="E16" i="4" a="1"/>
  <c r="C292" i="27" a="1"/>
  <c r="E99" i="27" a="1"/>
  <c r="C89" i="27" a="1"/>
  <c r="E288" i="27" a="1"/>
  <c r="E31" i="4" a="1"/>
  <c r="C262" i="27" a="1"/>
  <c r="C310" i="27" a="1"/>
  <c r="C46" i="27" a="1"/>
  <c r="E29" i="4" a="1"/>
  <c r="E7" i="40" a="1"/>
  <c r="E54" i="27" a="1"/>
  <c r="E136" i="27" a="1"/>
  <c r="C35" i="4" a="1"/>
  <c r="C246" i="27" a="1"/>
  <c r="E28" i="27" a="1"/>
  <c r="E236" i="27" a="1"/>
  <c r="C277" i="27" a="1"/>
  <c r="C299" i="27" a="1"/>
  <c r="E330" i="27" a="1"/>
  <c r="E208" i="27" a="1"/>
  <c r="E101" i="27" a="1"/>
  <c r="C129" i="27" a="1"/>
  <c r="C208" i="27" a="1"/>
  <c r="G31" i="40" a="1"/>
  <c r="C137" i="27" a="1"/>
  <c r="C114" i="27" a="1"/>
  <c r="C302" i="27" a="1"/>
  <c r="C102" i="27" a="1"/>
  <c r="E20" i="27" a="1"/>
  <c r="C59" i="27" a="1"/>
  <c r="E53" i="40" a="1"/>
  <c r="C158" i="27" a="1"/>
  <c r="E61" i="27" a="1"/>
  <c r="G51" i="40" a="1"/>
  <c r="C291" i="27" a="1"/>
  <c r="E23" i="40" a="1"/>
  <c r="D19" i="37" a="1"/>
  <c r="C11" i="31" a="1"/>
  <c r="C286" i="27" a="1"/>
  <c r="E40" i="27" a="1"/>
  <c r="E139" i="27" a="1"/>
  <c r="C161" i="27" a="1"/>
  <c r="E368" i="27" a="1"/>
  <c r="E303" i="27" a="1"/>
  <c r="C34" i="4" a="1"/>
  <c r="D5" i="37" a="1"/>
  <c r="C82" i="27" a="1"/>
  <c r="E33" i="27" a="1"/>
  <c r="C179" i="27" a="1"/>
  <c r="C260" i="27" a="1"/>
  <c r="E286" i="27" a="1"/>
  <c r="E338" i="27" a="1"/>
  <c r="E65" i="27" a="1"/>
  <c r="E183" i="27" a="1"/>
  <c r="E63" i="27" a="1"/>
  <c r="C145" i="27" a="1"/>
  <c r="G2" i="40" a="1"/>
  <c r="E35" i="27" a="1"/>
  <c r="E354" i="27" a="1"/>
  <c r="G10" i="40" a="1"/>
  <c r="E215" i="27" a="1"/>
  <c r="C85" i="27" a="1"/>
  <c r="D15" i="37" a="1"/>
  <c r="C178" i="27" a="1"/>
  <c r="E7" i="31" a="1"/>
  <c r="E209" i="27" a="1"/>
  <c r="C19" i="31" a="1"/>
  <c r="E135" i="27" a="1"/>
  <c r="E47" i="27" a="1"/>
  <c r="C164" i="27" a="1"/>
  <c r="E18" i="4" a="1"/>
  <c r="E126" i="27" a="1"/>
  <c r="C37" i="27" a="1"/>
  <c r="E6" i="4" a="1"/>
  <c r="C359" i="27" a="1"/>
  <c r="E57" i="27" a="1"/>
  <c r="C205" i="27" a="1"/>
  <c r="E149" i="27" a="1"/>
  <c r="C274" i="27" a="1"/>
  <c r="C333" i="27" a="1"/>
  <c r="C124" i="27" a="1"/>
  <c r="C224" i="27" a="1"/>
  <c r="C13" i="31" a="1"/>
  <c r="E301" i="27" a="1"/>
  <c r="E177" i="27" a="1"/>
  <c r="E224" i="27" a="1"/>
  <c r="E356" i="27" a="1"/>
  <c r="G23" i="40" a="1"/>
  <c r="C23" i="27" a="1"/>
  <c r="E105" i="27" a="1"/>
  <c r="C335" i="27" a="1"/>
  <c r="E49" i="27" a="1"/>
  <c r="C27" i="27" a="1"/>
  <c r="E334" i="27" a="1"/>
  <c r="C314" i="27" a="1"/>
  <c r="E253" i="27" a="1"/>
  <c r="C71" i="27" a="1"/>
  <c r="C201" i="27" a="1"/>
  <c r="E18" i="27" a="1"/>
  <c r="C345" i="27" a="1"/>
  <c r="E110" i="27" a="1"/>
  <c r="E125" i="27" a="1"/>
  <c r="E185" i="27" a="1"/>
  <c r="C253" i="27" a="1"/>
  <c r="C297" i="27" a="1"/>
  <c r="E22" i="40" a="1"/>
  <c r="C347" i="27" a="1"/>
  <c r="G45" i="40" a="1"/>
  <c r="E50" i="27" a="1"/>
  <c r="E15" i="27" a="1"/>
  <c r="E36" i="40" a="1"/>
  <c r="G3" i="40" a="1"/>
  <c r="E322" i="27" a="1"/>
  <c r="E317" i="27" a="1"/>
  <c r="E280" i="27" a="1"/>
  <c r="E140" i="27" a="1"/>
  <c r="C14" i="31" a="1"/>
  <c r="E348" i="27" a="1"/>
  <c r="E94" i="27" a="1"/>
  <c r="G32" i="40" a="1"/>
  <c r="E19" i="4" a="1"/>
  <c r="C15" i="27" a="1"/>
  <c r="C343" i="27" a="1"/>
  <c r="G40" i="40" a="1"/>
  <c r="G27" i="40" a="1"/>
  <c r="G14" i="40" a="1"/>
  <c r="E347" i="27" a="1"/>
  <c r="C55" i="27" a="1"/>
  <c r="C110" i="27" a="1"/>
  <c r="E13" i="31" a="1"/>
  <c r="E313" i="27" a="1"/>
  <c r="E70" i="27" a="1"/>
  <c r="C86" i="27" a="1"/>
  <c r="C251" i="27" a="1"/>
  <c r="E325" i="27" a="1"/>
  <c r="E243" i="27" a="1"/>
  <c r="C353" i="27" a="1"/>
  <c r="E141" i="27" a="1"/>
  <c r="E167" i="27" a="1"/>
  <c r="C18" i="4" a="1"/>
  <c r="E75" i="27" a="1"/>
  <c r="D4" i="37" a="1"/>
  <c r="E11" i="27" a="1"/>
  <c r="E128" i="27" a="1"/>
  <c r="C65" i="27" a="1"/>
  <c r="C311" i="27" a="1"/>
  <c r="E41" i="40" a="1"/>
  <c r="E42" i="40" a="1"/>
  <c r="E326" i="27" a="1"/>
  <c r="E8" i="40" a="1"/>
  <c r="E361" i="27" a="1"/>
  <c r="E377" i="27" a="1"/>
  <c r="C231" i="27" a="1"/>
  <c r="C79" i="27" a="1"/>
  <c r="C99" i="27" a="1"/>
  <c r="E5" i="31" a="1"/>
  <c r="C62" i="27" a="1"/>
  <c r="E328" i="27" a="1"/>
  <c r="C39" i="4" a="1"/>
  <c r="E121" i="27" a="1"/>
  <c r="C185" i="27" a="1"/>
  <c r="C268" i="27" a="1"/>
  <c r="E271" i="27" a="1"/>
  <c r="E175" i="27" a="1"/>
  <c r="C250" i="27" a="1"/>
  <c r="C43" i="4" a="1"/>
  <c r="E21" i="40" a="1"/>
  <c r="C364" i="27" a="1"/>
  <c r="E24" i="27" a="1"/>
  <c r="C304" i="27" a="1"/>
  <c r="C64" i="27" a="1"/>
  <c r="E279" i="27" a="1"/>
  <c r="C256" i="27" a="1"/>
  <c r="C80" i="27" a="1"/>
  <c r="E260" i="27" a="1"/>
  <c r="E375" i="27" a="1"/>
  <c r="C48" i="4" a="1"/>
  <c r="C34" i="27" a="1"/>
  <c r="E83" i="27" a="1"/>
  <c r="E287" i="27" a="1"/>
  <c r="E244" i="27" a="1"/>
  <c r="C334" i="27" a="1"/>
  <c r="E37" i="40" a="1"/>
  <c r="C313" i="27" a="1"/>
  <c r="E47" i="4" a="1"/>
  <c r="C237" i="27" a="1"/>
  <c r="E186" i="27" a="1"/>
  <c r="C324" i="27" a="1"/>
  <c r="E33" i="40" a="1"/>
  <c r="E33" i="4" a="1"/>
  <c r="G22" i="40" a="1"/>
  <c r="E82" i="27" a="1"/>
  <c r="E307" i="27" a="1"/>
  <c r="E14" i="31" a="1"/>
  <c r="E297" i="27" a="1"/>
  <c r="C182" i="27" a="1"/>
  <c r="E102" i="27" a="1"/>
  <c r="E113" i="27" a="1"/>
  <c r="E98" i="27" a="1"/>
  <c r="C12" i="27" a="1"/>
  <c r="E339" i="27" a="1"/>
  <c r="C2" i="22" a="1"/>
  <c r="E182" i="27" a="1"/>
  <c r="E213" i="27" a="1"/>
  <c r="E16" i="27" a="1"/>
  <c r="E3" i="4" a="1"/>
  <c r="E190" i="27" a="1"/>
  <c r="C363" i="27" a="1"/>
  <c r="C200" i="27" a="1"/>
  <c r="E26" i="27" a="1"/>
  <c r="C95" i="27" a="1"/>
  <c r="E378" i="27" a="1"/>
  <c r="E143" i="27" a="1"/>
  <c r="E18" i="31" a="1"/>
  <c r="E9" i="4" a="1"/>
  <c r="E11" i="40" a="1"/>
  <c r="C288" i="27" a="1"/>
  <c r="C61" i="27" a="1"/>
  <c r="C254" i="27" a="1"/>
  <c r="C337" i="27" a="1"/>
  <c r="G20" i="40" a="1"/>
  <c r="C2" i="31" a="1"/>
  <c r="C354" i="27" a="1"/>
  <c r="E45" i="27" a="1"/>
  <c r="C309" i="27" a="1"/>
  <c r="G33" i="40" a="1"/>
  <c r="C187" i="27" a="1"/>
  <c r="C83" i="27" a="1"/>
  <c r="C36" i="27" a="1"/>
  <c r="C196" i="27" a="1"/>
  <c r="C87" i="27" a="1"/>
  <c r="C159" i="27" a="1"/>
  <c r="E249" i="27" a="1"/>
  <c r="E233" i="27" a="1"/>
  <c r="E44" i="40" a="1"/>
  <c r="C134" i="27" a="1"/>
  <c r="C355" i="27" a="1"/>
  <c r="G34" i="40" a="1"/>
  <c r="E276" i="27" a="1"/>
  <c r="E36" i="27" a="1"/>
  <c r="E131" i="27" a="1"/>
  <c r="C30" i="4" a="1"/>
  <c r="E153" i="27" a="1"/>
  <c r="E127" i="27" a="1"/>
  <c r="E181" i="27" a="1"/>
  <c r="C336" i="27" a="1"/>
  <c r="C258" i="27" a="1"/>
  <c r="C319" i="27" a="1"/>
  <c r="E295" i="27" a="1"/>
  <c r="G55" i="40" a="1"/>
  <c r="C92" i="27" a="1"/>
  <c r="C321" i="27" a="1"/>
  <c r="C242" i="27" a="1"/>
  <c r="G4" i="40" a="1"/>
  <c r="E34" i="4" a="1"/>
  <c r="E284" i="27" a="1"/>
  <c r="C42" i="27" a="1"/>
  <c r="C362" i="27" a="1"/>
  <c r="E34" i="40" a="1"/>
  <c r="E242" i="27" a="1"/>
  <c r="E258" i="27" a="1"/>
  <c r="E329" i="27" a="1"/>
  <c r="E270" i="27" a="1"/>
  <c r="C12" i="31" a="1"/>
  <c r="E36" i="4" a="1"/>
  <c r="E194" i="27" a="1"/>
  <c r="D2" i="37" a="1"/>
  <c r="C11" i="4" a="1"/>
  <c r="E46" i="4" a="1"/>
  <c r="C15" i="31" a="1"/>
  <c r="E43" i="40" a="1"/>
  <c r="E12" i="4" a="1"/>
  <c r="C29" i="4" a="1"/>
  <c r="C330" i="27" a="1"/>
  <c r="E163" i="27" a="1"/>
  <c r="C156" i="27" a="1"/>
  <c r="C202" i="27" a="1"/>
  <c r="D6" i="37" a="1"/>
  <c r="G5" i="40" a="1"/>
  <c r="E321" i="27" a="1"/>
  <c r="C2" i="27" a="1"/>
  <c r="E158" i="27" a="1"/>
  <c r="C266" i="27" a="1"/>
  <c r="E76" i="27" a="1"/>
  <c r="C98" i="27" a="1"/>
  <c r="E164" i="27" a="1"/>
  <c r="C42" i="4" a="1"/>
  <c r="C249" i="27" a="1"/>
  <c r="C148" i="27" a="1"/>
  <c r="C38" i="27" a="1"/>
  <c r="C32" i="4" a="1"/>
  <c r="G26" i="40" a="1"/>
  <c r="E245" i="27" a="1"/>
  <c r="E4" i="4" a="1"/>
  <c r="E273" i="27" a="1"/>
  <c r="C195" i="27" a="1"/>
  <c r="C226" i="27" a="1"/>
  <c r="E111" i="27" a="1"/>
  <c r="E81" i="27" a="1"/>
  <c r="E40" i="40" a="1"/>
  <c r="E8" i="31" a="1"/>
  <c r="C20" i="27" a="1"/>
  <c r="E6" i="31" a="1"/>
  <c r="C19" i="4" a="1"/>
  <c r="C17" i="31" a="1"/>
  <c r="C171" i="27" a="1"/>
  <c r="E162" i="27" a="1"/>
  <c r="E28" i="40" a="1"/>
  <c r="E340" i="27" a="1"/>
  <c r="E130" i="27" a="1"/>
  <c r="C130" i="27" a="1"/>
  <c r="C259" i="27" a="1"/>
  <c r="E311" i="27" a="1"/>
  <c r="C22" i="27" a="1"/>
  <c r="E45" i="40" a="1"/>
  <c r="C361" i="27" a="1"/>
  <c r="C9" i="27" a="1"/>
  <c r="E8" i="4" a="1"/>
  <c r="C209" i="27" a="1"/>
  <c r="E14" i="4" a="1"/>
  <c r="C44" i="4" a="1"/>
  <c r="E283" i="27" a="1"/>
  <c r="C12" i="4" a="1"/>
  <c r="C93" i="27" a="1"/>
  <c r="C276" i="27" a="1"/>
  <c r="C23" i="4" a="1"/>
  <c r="G43" i="40" a="1"/>
  <c r="E319" i="27" a="1"/>
  <c r="E259" i="27" a="1"/>
  <c r="E205" i="27" a="1"/>
  <c r="C257" i="27" a="1"/>
  <c r="E96" i="27" a="1"/>
  <c r="D3" i="37" a="1"/>
  <c r="C186" i="27" a="1"/>
  <c r="E232" i="27" a="1"/>
  <c r="E17" i="40" a="1"/>
  <c r="E363" i="27" a="1"/>
  <c r="E34" i="27" a="1"/>
  <c r="C339" i="27" a="1"/>
  <c r="E357" i="27" a="1"/>
  <c r="D9" i="37" a="1"/>
  <c r="E293" i="27" a="1"/>
  <c r="C228" i="27" a="1"/>
  <c r="E93" i="27" a="1"/>
  <c r="E217" i="27" a="1"/>
  <c r="E275" i="27" a="1"/>
  <c r="E218" i="27" a="1"/>
  <c r="C10" i="4" a="1"/>
  <c r="C94" i="27" a="1"/>
  <c r="E21" i="27" a="1"/>
  <c r="E180" i="27" a="1"/>
  <c r="E370" i="27" a="1"/>
  <c r="G12" i="40" a="1"/>
  <c r="E64" i="27" a="1"/>
  <c r="D17" i="37" a="1"/>
  <c r="C44" i="27" a="1"/>
  <c r="C19" i="27" a="1"/>
  <c r="C227" i="27" a="1"/>
  <c r="E17" i="4" a="1"/>
  <c r="C136" i="27" a="1"/>
  <c r="C322" i="27" a="1"/>
  <c r="C13" i="4" a="1"/>
  <c r="E16" i="40" a="1"/>
  <c r="C301" i="27" a="1"/>
  <c r="C6" i="4" a="1"/>
  <c r="C141" i="27" a="1"/>
  <c r="C51" i="27" a="1"/>
  <c r="C215" i="27" a="1"/>
  <c r="E4" i="31" a="1"/>
  <c r="C135" i="27" a="1"/>
  <c r="C13" i="27" a="1"/>
  <c r="C352" i="27" a="1"/>
  <c r="E359" i="27" a="1"/>
  <c r="C213" i="27" a="1"/>
  <c r="E97" i="27" a="1"/>
  <c r="E327" i="27" a="1"/>
  <c r="C26" i="4" a="1"/>
  <c r="C235" i="27" a="1"/>
  <c r="C344" i="27" a="1"/>
  <c r="E3" i="27" a="1"/>
  <c r="C188" i="27" a="1"/>
  <c r="C306" i="27" a="1"/>
  <c r="C7" i="31" a="1"/>
  <c r="C127" i="27" a="1"/>
  <c r="E55" i="40" a="1"/>
  <c r="E369" i="27" a="1"/>
  <c r="C126" i="27" a="1"/>
  <c r="C219" i="27" a="1"/>
  <c r="E254" i="27" a="1"/>
  <c r="E53" i="27" a="1"/>
  <c r="E204" i="27" a="1"/>
  <c r="E198" i="27" a="1"/>
  <c r="C2" i="9" a="1"/>
  <c r="C296" i="27" a="1"/>
  <c r="C41" i="4" a="1"/>
  <c r="G36" i="40" a="1"/>
  <c r="E315" i="27" a="1"/>
  <c r="C241" i="27" a="1"/>
  <c r="G49" i="40" a="1"/>
  <c r="C329" i="27" a="1"/>
  <c r="E160" i="27" a="1"/>
  <c r="C176" i="27" a="1"/>
  <c r="E44" i="27" a="1"/>
  <c r="E235" i="27" a="1"/>
  <c r="E300" i="27" a="1"/>
  <c r="C46" i="4" a="1"/>
  <c r="E10" i="4" a="1"/>
  <c r="C154" i="27" a="1"/>
  <c r="E289" i="27" a="1"/>
  <c r="E27" i="40" a="1"/>
  <c r="C275" i="27" a="1"/>
  <c r="C358" i="27" a="1"/>
  <c r="C193" i="27" a="1"/>
  <c r="C144" i="27" a="1"/>
  <c r="C7" i="27" a="1"/>
  <c r="C356" i="27" a="1"/>
  <c r="E202" i="27" a="1"/>
  <c r="C74" i="27" a="1"/>
  <c r="C107" i="27" a="1"/>
  <c r="E222" i="27" a="1"/>
  <c r="C11" i="27" a="1"/>
  <c r="E266" i="27" a="1"/>
  <c r="E174" i="27" a="1"/>
  <c r="C160" i="27" a="1"/>
  <c r="C2" i="5" a="1"/>
  <c r="C24" i="4" a="1"/>
  <c r="E156" i="27" a="1"/>
  <c r="C312" i="27" a="1"/>
  <c r="C63" i="27" a="1"/>
  <c r="C320" i="27" a="1"/>
  <c r="C236" i="27" a="1"/>
  <c r="E27" i="27" a="1"/>
  <c r="C33" i="4" a="1"/>
  <c r="E247" i="27" a="1"/>
  <c r="C149" i="27" a="1"/>
  <c r="G6" i="40" a="1"/>
  <c r="E12" i="27" a="1"/>
  <c r="E133" i="27" a="1"/>
  <c r="E196" i="27" a="1"/>
  <c r="E10" i="40" a="1"/>
  <c r="C380" i="27" a="1"/>
  <c r="C152" i="27" a="1"/>
  <c r="C348" i="27" a="1"/>
  <c r="E155" i="27" a="1"/>
  <c r="C269" i="27" a="1"/>
  <c r="C369" i="27" a="1"/>
  <c r="E11" i="31" a="1"/>
  <c r="C146" i="27" a="1"/>
  <c r="C308" i="27" a="1"/>
  <c r="C252" i="27" a="1"/>
  <c r="C75" i="27" a="1"/>
  <c r="C167" i="27" a="1"/>
  <c r="E68" i="27" a="1"/>
  <c r="E31" i="27" a="1"/>
  <c r="D20" i="37" a="1"/>
  <c r="E49" i="40" a="1"/>
  <c r="E43" i="27" a="1"/>
  <c r="E304" i="27" a="1"/>
  <c r="C41" i="27" a="1"/>
  <c r="E23" i="4" a="1"/>
  <c r="C8" i="27" a="1"/>
  <c r="E285" i="27" a="1"/>
  <c r="D7" i="37" a="1"/>
  <c r="C165" i="27" a="1"/>
  <c r="C151" i="27" a="1"/>
  <c r="E35" i="4" a="1"/>
  <c r="C173" i="27" a="1"/>
  <c r="C128" i="27" a="1"/>
  <c r="C244" i="27" a="1"/>
  <c r="E39" i="40" a="1"/>
  <c r="E91" i="27" a="1"/>
  <c r="C69" i="27" a="1"/>
  <c r="C84" i="27" a="1"/>
  <c r="E5" i="4" a="1"/>
  <c r="E146" i="27" a="1"/>
  <c r="E92" i="27" a="1"/>
  <c r="E199" i="27" a="1"/>
  <c r="E32" i="27" a="1"/>
  <c r="G37" i="40" a="1"/>
  <c r="E320" i="27" a="1"/>
  <c r="E316" i="27" a="1"/>
  <c r="E184" i="27" a="1"/>
  <c r="E261" i="27" a="1"/>
  <c r="E26" i="40" a="1"/>
  <c r="E250" i="27" a="1"/>
  <c r="C2" i="4" a="1"/>
  <c r="C20" i="4" a="1"/>
  <c r="E324" i="27" a="1"/>
  <c r="E87" i="27" a="1"/>
  <c r="C57" i="27" a="1"/>
  <c r="E210" i="27" a="1"/>
  <c r="C232" i="27" a="1"/>
  <c r="E305" i="27" a="1"/>
  <c r="C281" i="27" a="1"/>
  <c r="C10" i="27" a="1"/>
  <c r="E74" i="27" a="1"/>
  <c r="E171" i="27" a="1"/>
  <c r="E343" i="27" a="1"/>
  <c r="E151" i="27" a="1"/>
  <c r="G42" i="40" a="1"/>
  <c r="E352" i="27" a="1"/>
  <c r="C328" i="27" a="1"/>
  <c r="E58" i="27" a="1"/>
  <c r="C45" i="27" a="1"/>
  <c r="C166" i="27" a="1"/>
  <c r="C138" i="27" a="1"/>
  <c r="C229" i="27" a="1"/>
  <c r="G18" i="40" a="1"/>
  <c r="C239" i="27" a="1"/>
  <c r="E38" i="27" a="1"/>
  <c r="E252" i="27" a="1"/>
  <c r="E84" i="27" a="1"/>
  <c r="E212" i="27" a="1"/>
  <c r="C220" i="27" a="1"/>
  <c r="C6" i="27" a="1"/>
  <c r="E148" i="27" a="1"/>
  <c r="E231" i="27" a="1"/>
  <c r="C190" i="27" a="1"/>
  <c r="G47" i="40" a="1"/>
  <c r="C8" i="31" a="1"/>
  <c r="C305" i="27" a="1"/>
  <c r="E323" i="27" a="1"/>
  <c r="E20" i="31" a="1"/>
  <c r="C117" i="27" a="1"/>
  <c r="C169" i="27" a="1"/>
  <c r="E19" i="27" a="1"/>
  <c r="C21" i="4" a="1"/>
  <c r="C210" i="27" a="1"/>
  <c r="C119" i="27" a="1"/>
  <c r="C112" i="27" a="1"/>
  <c r="E310" i="27" a="1"/>
  <c r="E227" i="27" a="1"/>
  <c r="C105" i="27" a="1"/>
  <c r="C139" i="27" a="1"/>
  <c r="E25" i="27" a="1"/>
  <c r="C16" i="31" a="1"/>
  <c r="E241" i="27" a="1"/>
  <c r="C20" i="31" a="1"/>
  <c r="C323" i="27" a="1"/>
  <c r="E47" i="40" a="1"/>
  <c r="E88" i="27" a="1"/>
  <c r="C212" i="27" a="1"/>
  <c r="E24" i="40" a="1"/>
  <c r="E15" i="40" a="1"/>
  <c r="C174" i="27" a="1"/>
  <c r="E37" i="4" a="1"/>
  <c r="E351" i="27" a="1"/>
  <c r="C216" i="27" a="1"/>
  <c r="E46" i="40" a="1"/>
  <c r="C24" i="27" a="1"/>
  <c r="E20" i="4" a="1"/>
  <c r="C9" i="4" a="1"/>
  <c r="C366" i="27" a="1"/>
  <c r="E282" i="27" a="1"/>
  <c r="C267" i="27" a="1"/>
  <c r="E379" i="27" a="1"/>
  <c r="E19" i="31" a="1"/>
  <c r="C240" i="27" a="1"/>
  <c r="G41" i="40" a="1"/>
  <c r="C234" i="27" a="1"/>
  <c r="G54" i="40" a="1"/>
  <c r="C101" i="27" a="1"/>
  <c r="E23" i="27" a="1"/>
  <c r="E350" i="27" a="1"/>
  <c r="E157" i="27" a="1"/>
  <c r="E191" i="27" a="1"/>
  <c r="D16" i="37" a="1"/>
  <c r="E7" i="27" a="1"/>
  <c r="E39" i="4" a="1"/>
  <c r="E85" i="27" a="1"/>
  <c r="C58" i="27" a="1"/>
  <c r="C68" i="27" a="1"/>
  <c r="E264" i="27" a="1"/>
  <c r="C109" i="27" a="1"/>
  <c r="C351" i="27" a="1"/>
  <c r="C218" i="27" a="1"/>
  <c r="E80" i="27" a="1"/>
  <c r="C278" i="27" a="1"/>
  <c r="C350" i="27" a="1"/>
  <c r="C43" i="27" a="1"/>
  <c r="E22" i="27" a="1"/>
  <c r="C31" i="27" a="1"/>
  <c r="C247" i="27" a="1"/>
  <c r="E265" i="27" a="1"/>
  <c r="E318" i="27" a="1"/>
  <c r="C108" i="27" a="1"/>
  <c r="E362" i="27" a="1"/>
  <c r="C163" i="27" a="1"/>
  <c r="C90" i="27" a="1"/>
  <c r="E299" i="27" a="1"/>
  <c r="E219" i="27" a="1"/>
  <c r="C125" i="27" a="1"/>
  <c r="E308" i="27" a="1"/>
  <c r="E114" i="27" a="1"/>
  <c r="C340" i="27" a="1"/>
  <c r="G29" i="40" a="1"/>
  <c r="C40" i="4" a="1"/>
  <c r="E51" i="27" a="1"/>
  <c r="G38" i="40" a="1"/>
  <c r="C3" i="31" a="1"/>
  <c r="E292" i="27" a="1"/>
  <c r="C300" i="27" a="1"/>
  <c r="C17" i="27" a="1"/>
  <c r="C52" i="27" a="1"/>
  <c r="C289" i="27" a="1"/>
  <c r="C16" i="27" a="1"/>
  <c r="C18" i="31" a="1"/>
  <c r="C199" i="27" a="1"/>
  <c r="C341" i="27" a="1"/>
  <c r="D14" i="37" a="1"/>
  <c r="E115" i="27" a="1"/>
  <c r="C162" i="27" a="1"/>
  <c r="C35" i="27" a="1"/>
  <c r="C283" i="27" a="1"/>
  <c r="E238" i="27" a="1"/>
  <c r="E112" i="27" a="1"/>
  <c r="E193" i="27" a="1"/>
  <c r="C248" i="27" a="1"/>
  <c r="E294" i="27" a="1"/>
  <c r="E67" i="27" a="1"/>
  <c r="E95" i="27" a="1"/>
  <c r="E226" i="27" a="1"/>
  <c r="C271" i="27" a="1"/>
  <c r="C203" i="27" a="1"/>
  <c r="C36" i="4" a="1"/>
  <c r="E62" i="27" a="1"/>
  <c r="E48" i="4" a="1"/>
  <c r="E48" i="27" a="1"/>
  <c r="E188" i="27" a="1"/>
  <c r="E251" i="27" a="1"/>
  <c r="E30" i="4" a="1"/>
  <c r="E296" i="27" a="1"/>
  <c r="C298" i="27" a="1"/>
  <c r="E168" i="27" a="1"/>
  <c r="E257" i="27" a="1"/>
  <c r="C153" i="27" a="1"/>
  <c r="E42" i="4" a="1"/>
  <c r="C96" i="27" a="1"/>
  <c r="C142" i="27" a="1"/>
  <c r="E169" i="27" a="1"/>
  <c r="C31" i="4" a="1"/>
  <c r="E117" i="27" a="1"/>
  <c r="E59" i="27" a="1"/>
  <c r="G25" i="40" a="1"/>
  <c r="G17" i="40" a="1"/>
  <c r="C28" i="27" a="1"/>
  <c r="E239" i="27" a="1"/>
  <c r="C123" i="27" a="1"/>
  <c r="E28" i="4" a="1"/>
  <c r="C194" i="27" a="1"/>
  <c r="C238" i="27" a="1"/>
  <c r="C349" i="27" a="1"/>
  <c r="C9" i="31" a="1"/>
  <c r="D10" i="37" a="1"/>
  <c r="E203" i="27" a="1"/>
  <c r="E355" i="27" a="1"/>
  <c r="C5" i="27" a="1"/>
  <c r="E107" i="27" a="1"/>
  <c r="C189" i="27" a="1"/>
  <c r="E3" i="31" a="1"/>
  <c r="D11" i="37" a="1"/>
  <c r="E54" i="40" a="1"/>
  <c r="C177" i="27" a="1"/>
  <c r="C17" i="4" a="1"/>
  <c r="C56" i="27" a="1"/>
  <c r="G35" i="40" a="1"/>
  <c r="C120" i="27" a="1"/>
  <c r="G15" i="40" a="1"/>
  <c r="E25" i="40" a="1"/>
  <c r="E346" i="27" a="1"/>
  <c r="C7" i="4" a="1"/>
  <c r="E17" i="31" a="1"/>
  <c r="E9" i="40" a="1"/>
  <c r="C25" i="27" a="1"/>
  <c r="G7" i="40" a="1"/>
  <c r="C230" i="27" a="1"/>
  <c r="E41" i="27" a="1"/>
  <c r="C150" i="27" a="1"/>
  <c r="E306" i="27" a="1"/>
  <c r="E165" i="27" a="1"/>
  <c r="C192" i="27" a="1"/>
  <c r="E52" i="40" a="1"/>
  <c r="D13" i="37" a="1"/>
  <c r="C331" i="27" a="1"/>
  <c r="E56" i="27" a="1"/>
  <c r="E173" i="27" a="1"/>
  <c r="E187" i="27" a="1"/>
  <c r="E147" i="27" a="1"/>
  <c r="E195" i="27" a="1"/>
  <c r="E9" i="27" a="1"/>
  <c r="C183" i="27" a="1"/>
  <c r="C28" i="4" a="1"/>
  <c r="C381" i="27" a="1"/>
  <c r="C97" i="27" a="1"/>
  <c r="C16" i="4" a="1"/>
  <c r="E104" i="27" a="1"/>
  <c r="C282" i="27" a="1"/>
  <c r="C60" i="27" a="1"/>
  <c r="E79" i="27" a="1"/>
  <c r="C265" i="27" a="1"/>
  <c r="D8" i="37" a="1"/>
  <c r="C184" i="27" a="1"/>
  <c r="C78" i="27" a="1"/>
  <c r="E145" i="27" a="1"/>
  <c r="E12" i="31" a="1"/>
  <c r="C122" i="27" a="1"/>
  <c r="E170" i="27" a="1"/>
  <c r="G39" i="40" a="1"/>
  <c r="C26" i="27" a="1"/>
  <c r="E269" i="27" a="1"/>
  <c r="C245" i="27" a="1"/>
  <c r="C103" i="27" a="1"/>
  <c r="C29" i="27" a="1"/>
  <c r="E2" i="27" a="1"/>
  <c r="E78" i="27" a="1"/>
  <c r="E12" i="40" a="1"/>
  <c r="E123" i="27" a="1"/>
  <c r="E40" i="4" a="1"/>
  <c r="G53" i="40" a="1"/>
  <c r="C290" i="27" a="1"/>
  <c r="E179" i="27" a="1"/>
  <c r="C115" i="27" a="1"/>
  <c r="C47" i="27" a="1"/>
  <c r="E342" i="27" a="1"/>
  <c r="C214" i="27" a="1"/>
  <c r="C76" i="27" a="1"/>
  <c r="E278" i="27" a="1"/>
  <c r="C198" i="27" a="1"/>
  <c r="C221" i="27" a="1"/>
  <c r="E333" i="27" a="1"/>
  <c r="C140" i="27" a="1"/>
  <c r="C147" i="27" a="1"/>
  <c r="E60" i="27" a="1"/>
  <c r="E13" i="40" a="1"/>
  <c r="C374" i="27" a="1"/>
  <c r="E240" i="27" a="1"/>
  <c r="C143" i="27" a="1"/>
  <c r="C3" i="27" a="1"/>
  <c r="E16" i="31" a="1"/>
  <c r="C91" i="27" a="1"/>
  <c r="C88" i="27" a="1"/>
  <c r="E116" i="27" a="1"/>
  <c r="C18" i="27" a="1"/>
  <c r="E200" i="27" a="1"/>
  <c r="E129" i="27" a="1"/>
  <c r="C32" i="27" a="1"/>
  <c r="C303" i="27" a="1"/>
  <c r="E211" i="27" a="1"/>
  <c r="E345" i="27" a="1"/>
  <c r="E108" i="27" a="1"/>
  <c r="E214" i="27" a="1"/>
  <c r="E15" i="31" a="1"/>
  <c r="C206" i="27" a="1"/>
  <c r="G28" i="40" a="1"/>
  <c r="E229" i="27" a="1"/>
  <c r="E44" i="4" a="1"/>
  <c r="E331" i="27" a="1"/>
  <c r="C70" i="27" a="1"/>
  <c r="G44" i="40" a="1"/>
  <c r="C14" i="27" a="1"/>
  <c r="E90" i="27" a="1"/>
  <c r="C264" i="27" a="1"/>
  <c r="E124" i="27" a="1"/>
  <c r="E216" i="27" a="1"/>
  <c r="E51" i="40" a="1"/>
  <c r="C225" i="27" a="1"/>
  <c r="E337" i="27" a="1"/>
  <c r="C168" i="27" a="1"/>
  <c r="E37" i="27" a="1"/>
  <c r="C116" i="27" a="1"/>
  <c r="E277" i="27" a="1"/>
  <c r="E302" i="27" a="1"/>
  <c r="E142" i="27" a="1"/>
  <c r="E178" i="27" a="1"/>
  <c r="G21" i="40" a="1"/>
  <c r="E272" i="27" a="1"/>
  <c r="D12" i="37" a="1"/>
  <c r="C4" i="31" a="1"/>
  <c r="E290" i="27" a="1"/>
  <c r="E137" i="27" a="1"/>
  <c r="C261" i="27" a="1"/>
  <c r="C317" i="27" a="1"/>
  <c r="E358" i="27" a="1"/>
  <c r="E134" i="27" a="1"/>
  <c r="E26" i="4" a="1"/>
  <c r="C133" i="27" a="1"/>
  <c r="E201" i="27" a="1"/>
  <c r="C132" i="27" a="1"/>
  <c r="C316" i="27" a="1"/>
  <c r="C233" i="27" a="1"/>
  <c r="C342" i="27" a="1"/>
  <c r="G9" i="40" a="1"/>
  <c r="C294" i="27" a="1"/>
  <c r="C39" i="27" a="1"/>
  <c r="E109" i="27" a="1"/>
  <c r="G148" i="12" a="1"/>
  <c r="G22" i="12" a="1"/>
  <c r="E37" i="12" a="1"/>
  <c r="E116" i="12" a="1"/>
  <c r="E91" i="12" a="1"/>
  <c r="E84" i="12" a="1"/>
  <c r="G90" i="12" a="1"/>
  <c r="E90" i="12" a="1"/>
  <c r="E87" i="12" a="1"/>
  <c r="E107" i="12" a="1"/>
  <c r="G66" i="12" a="1"/>
  <c r="G126" i="12" a="1"/>
  <c r="E3" i="12" a="1"/>
  <c r="E109" i="12" a="1"/>
  <c r="G72" i="12" a="1"/>
  <c r="E73" i="12" a="1"/>
  <c r="E74" i="12" a="1"/>
  <c r="E117" i="12" a="1"/>
  <c r="E129" i="12" a="1"/>
  <c r="E114" i="12" a="1"/>
  <c r="E89" i="12" a="1"/>
  <c r="E75" i="12" a="1"/>
  <c r="E110" i="12" a="1"/>
  <c r="E7" i="12" a="1"/>
  <c r="G83" i="12" a="1"/>
  <c r="E111" i="12" a="1"/>
  <c r="G48" i="12" a="1"/>
  <c r="E122" i="12" a="1"/>
  <c r="E54" i="12" a="1"/>
  <c r="E26" i="12" a="1"/>
  <c r="G45" i="12" a="1"/>
  <c r="E61" i="12" a="1"/>
  <c r="E46" i="12" a="1"/>
  <c r="E50" i="12" a="1"/>
  <c r="E66" i="12" a="1"/>
  <c r="E58" i="12" a="1"/>
  <c r="E20" i="12" a="1"/>
  <c r="E56" i="12" a="1"/>
  <c r="G2" i="12" a="1"/>
  <c r="E25" i="12" a="1"/>
  <c r="G27" i="12" a="1"/>
  <c r="E95" i="12" a="1"/>
  <c r="E65" i="12" a="1"/>
  <c r="E27" i="12" a="1"/>
  <c r="E23" i="12" a="1"/>
  <c r="E130" i="12" a="1"/>
  <c r="E81" i="12" a="1"/>
  <c r="E101" i="12" a="1"/>
  <c r="G187" i="12" a="1"/>
  <c r="E120" i="12" a="1"/>
  <c r="E32" i="12" a="1"/>
  <c r="E4" i="12" a="1"/>
  <c r="G60" i="12" a="1"/>
  <c r="E70" i="12" a="1"/>
  <c r="E35" i="12" a="1"/>
  <c r="E93" i="12" a="1"/>
  <c r="E49" i="12" a="1"/>
  <c r="E31" i="12" a="1"/>
  <c r="E98" i="12" a="1"/>
  <c r="E52" i="12" a="1"/>
  <c r="E100" i="12" a="1"/>
  <c r="E96" i="12" a="1"/>
  <c r="E115" i="12" a="1"/>
  <c r="E83" i="12" a="1"/>
  <c r="E80" i="12" a="1"/>
  <c r="E22" i="12" a="1"/>
  <c r="E94" i="12" a="1"/>
  <c r="E33" i="12" a="1"/>
  <c r="E30" i="12" a="1"/>
  <c r="E108" i="12" a="1"/>
  <c r="E92" i="12" a="1"/>
  <c r="G77" i="12" a="1"/>
  <c r="E77" i="12" a="1"/>
  <c r="E64" i="12" a="1"/>
  <c r="E9" i="12" a="1"/>
  <c r="E118" i="12" a="1"/>
  <c r="E29" i="12" a="1"/>
  <c r="E106" i="12" a="1"/>
  <c r="E19" i="12" a="1"/>
  <c r="E105" i="12" a="1"/>
  <c r="E6" i="12" a="1"/>
  <c r="E2" i="12" a="1"/>
  <c r="E131" i="12" a="1"/>
  <c r="E10" i="12" a="1"/>
  <c r="E79" i="12" a="1"/>
  <c r="E123" i="12" a="1"/>
  <c r="G97" i="12" a="1"/>
  <c r="E8" i="12" a="1"/>
  <c r="E40" i="12" a="1"/>
  <c r="E48" i="12" a="1"/>
  <c r="E62" i="12" a="1"/>
  <c r="G15" i="12" a="1"/>
  <c r="E72" i="12" a="1"/>
  <c r="E125" i="12" a="1"/>
  <c r="E71" i="12" a="1"/>
  <c r="E36" i="12" a="1"/>
  <c r="E68" i="12" a="1"/>
  <c r="E85" i="12" a="1"/>
  <c r="E121" i="12" a="1"/>
  <c r="E53" i="12" a="1"/>
  <c r="G107" i="12" a="1"/>
  <c r="E113" i="12" a="1"/>
  <c r="E124" i="12" a="1"/>
  <c r="E24" i="12" a="1"/>
  <c r="E28" i="12" a="1"/>
  <c r="G131" i="12" a="1"/>
  <c r="E99" i="12" a="1"/>
  <c r="E67" i="12" a="1"/>
  <c r="E59" i="12" a="1"/>
  <c r="E82" i="12" a="1"/>
  <c r="E60" i="12" a="1"/>
  <c r="E47" i="12" a="1"/>
  <c r="E39" i="12" a="1"/>
  <c r="G122" i="12" a="1"/>
  <c r="E86" i="12" a="1"/>
  <c r="E38" i="12" a="1"/>
  <c r="E76" i="12" a="1"/>
  <c r="E51" i="12" a="1"/>
  <c r="E69" i="12" a="1"/>
  <c r="E88" i="12" a="1"/>
  <c r="E78" i="12" a="1"/>
  <c r="E5" i="12" a="1"/>
  <c r="E55" i="12" a="1"/>
  <c r="E112" i="12" a="1"/>
  <c r="G37" i="12" a="1"/>
  <c r="C14" i="3" a="1"/>
  <c r="C2" i="3" a="1"/>
  <c r="C9" i="3" a="1"/>
  <c r="C17" i="3" a="1"/>
  <c r="C15" i="3" a="1"/>
  <c r="C11" i="3" a="1"/>
  <c r="C19" i="3" a="1"/>
  <c r="C7" i="3" a="1"/>
  <c r="C20" i="3" a="1"/>
  <c r="C3" i="3" a="1"/>
  <c r="C10" i="3" a="1"/>
  <c r="C18" i="3" a="1"/>
  <c r="C8" i="3" a="1"/>
  <c r="C12" i="3" a="1"/>
  <c r="C16" i="3" a="1"/>
  <c r="C13" i="3" a="1"/>
  <c r="C6" i="3" a="1"/>
  <c r="C5" i="3" a="1"/>
  <c r="C4" i="3" a="1"/>
  <c r="G97" i="12" l="1"/>
  <c r="G66" i="12"/>
  <c r="G122" i="12"/>
  <c r="G83" i="12"/>
  <c r="G72" i="12"/>
  <c r="G15" i="12"/>
  <c r="G27" i="12"/>
  <c r="G48" i="12"/>
  <c r="G60" i="12"/>
  <c r="G131" i="12"/>
  <c r="G187" i="12"/>
  <c r="G37" i="12"/>
  <c r="G22" i="12"/>
  <c r="G45" i="12"/>
  <c r="G107" i="12"/>
  <c r="G148" i="12"/>
  <c r="G77" i="12"/>
  <c r="G126" i="12"/>
  <c r="G90" i="12"/>
  <c r="C272" i="27"/>
  <c r="E199" i="27"/>
  <c r="E90" i="12"/>
  <c r="E304" i="27"/>
  <c r="D3" i="37"/>
  <c r="C159" i="27"/>
  <c r="E15" i="27"/>
  <c r="E113" i="27"/>
  <c r="E135" i="27"/>
  <c r="D15" i="37"/>
  <c r="E59" i="12"/>
  <c r="C93" i="27"/>
  <c r="E162" i="27"/>
  <c r="E81" i="27"/>
  <c r="C292" i="27"/>
  <c r="E268" i="27"/>
  <c r="C42" i="4"/>
  <c r="D6" i="37"/>
  <c r="E191" i="27"/>
  <c r="C24" i="27"/>
  <c r="C139" i="27"/>
  <c r="C307" i="27"/>
  <c r="C223" i="27"/>
  <c r="C190" i="27"/>
  <c r="C328" i="27"/>
  <c r="C28" i="4"/>
  <c r="C116" i="27"/>
  <c r="C230" i="27"/>
  <c r="G35" i="40"/>
  <c r="C5" i="27"/>
  <c r="C11" i="3"/>
  <c r="E50" i="27"/>
  <c r="G23" i="40"/>
  <c r="C12" i="3"/>
  <c r="E16" i="4"/>
  <c r="C170" i="27"/>
  <c r="C85" i="27"/>
  <c r="C123" i="27"/>
  <c r="E6" i="12"/>
  <c r="C142" i="27"/>
  <c r="E92" i="27"/>
  <c r="E218" i="27"/>
  <c r="C47" i="4"/>
  <c r="E3" i="40"/>
  <c r="C269" i="27"/>
  <c r="E156" i="27"/>
  <c r="E62" i="12"/>
  <c r="E29" i="12"/>
  <c r="C356" i="27"/>
  <c r="E315" i="27"/>
  <c r="E164" i="27"/>
  <c r="C8" i="3"/>
  <c r="E251" i="27"/>
  <c r="E95" i="27"/>
  <c r="E37" i="27"/>
  <c r="C14" i="27"/>
  <c r="E214" i="27"/>
  <c r="C30" i="27"/>
  <c r="E92" i="12"/>
  <c r="E24" i="12"/>
  <c r="E7" i="12"/>
  <c r="E159" i="27"/>
  <c r="C87" i="27"/>
  <c r="G45" i="40"/>
  <c r="E102" i="27"/>
  <c r="C19" i="31"/>
  <c r="E215" i="27"/>
  <c r="E206" i="27"/>
  <c r="C5" i="31"/>
  <c r="D14" i="37"/>
  <c r="G29" i="40"/>
  <c r="E22" i="27"/>
  <c r="E157" i="27"/>
  <c r="E108" i="12"/>
  <c r="E46" i="40"/>
  <c r="C105" i="27"/>
  <c r="E231" i="27"/>
  <c r="E146" i="27"/>
  <c r="E275" i="27"/>
  <c r="E96" i="27"/>
  <c r="C12" i="4"/>
  <c r="E353" i="27"/>
  <c r="E166" i="27"/>
  <c r="C7" i="27"/>
  <c r="E111" i="27"/>
  <c r="C188" i="27"/>
  <c r="C92" i="27"/>
  <c r="E70" i="27"/>
  <c r="E83" i="12"/>
  <c r="C325" i="27"/>
  <c r="E2" i="31"/>
  <c r="C347" i="27"/>
  <c r="E356" i="27"/>
  <c r="E209" i="27"/>
  <c r="G10" i="40"/>
  <c r="C202" i="27"/>
  <c r="E72" i="12"/>
  <c r="E352" i="27"/>
  <c r="E116" i="27"/>
  <c r="E60" i="27"/>
  <c r="E124" i="12"/>
  <c r="E342" i="27"/>
  <c r="E78" i="27"/>
  <c r="C122" i="27"/>
  <c r="C53" i="27"/>
  <c r="E4" i="27"/>
  <c r="E120" i="12"/>
  <c r="C184" i="27"/>
  <c r="E79" i="27"/>
  <c r="E290" i="27"/>
  <c r="E142" i="27"/>
  <c r="E56" i="27"/>
  <c r="E27" i="12"/>
  <c r="E21" i="4"/>
  <c r="E281" i="27"/>
  <c r="G7" i="40"/>
  <c r="E5" i="4"/>
  <c r="E43" i="27"/>
  <c r="E106" i="12"/>
  <c r="C196" i="27"/>
  <c r="E11" i="40"/>
  <c r="C182" i="27"/>
  <c r="C34" i="27"/>
  <c r="E354" i="27"/>
  <c r="E155" i="27"/>
  <c r="C24" i="4"/>
  <c r="C144" i="27"/>
  <c r="C326" i="27"/>
  <c r="C40" i="27"/>
  <c r="G36" i="40"/>
  <c r="C98" i="27"/>
  <c r="E117" i="12"/>
  <c r="E95" i="12"/>
  <c r="C156" i="27"/>
  <c r="C56" i="27"/>
  <c r="C341" i="27"/>
  <c r="E274" i="27"/>
  <c r="E309" i="27"/>
  <c r="C340" i="27"/>
  <c r="C43" i="27"/>
  <c r="E100" i="12"/>
  <c r="E98" i="12"/>
  <c r="E32" i="12"/>
  <c r="E350" i="27"/>
  <c r="C216" i="27"/>
  <c r="E227" i="27"/>
  <c r="E148" i="27"/>
  <c r="G55" i="40"/>
  <c r="E313" i="27"/>
  <c r="E22" i="40"/>
  <c r="E224" i="27"/>
  <c r="E7" i="31"/>
  <c r="E100" i="27"/>
  <c r="E14" i="40"/>
  <c r="E35" i="27"/>
  <c r="E52" i="12"/>
  <c r="E4" i="12"/>
  <c r="G42" i="40"/>
  <c r="E355" i="27"/>
  <c r="E239" i="27"/>
  <c r="C96" i="27"/>
  <c r="E176" i="27"/>
  <c r="G11" i="40"/>
  <c r="C44" i="27"/>
  <c r="E217" i="27"/>
  <c r="C257" i="27"/>
  <c r="E283" i="27"/>
  <c r="C193" i="27"/>
  <c r="C226" i="27"/>
  <c r="E76" i="27"/>
  <c r="E163" i="27"/>
  <c r="E188" i="27"/>
  <c r="E67" i="27"/>
  <c r="E41" i="40"/>
  <c r="C38" i="4"/>
  <c r="E72" i="27"/>
  <c r="C36" i="27"/>
  <c r="C297" i="27"/>
  <c r="E26" i="12"/>
  <c r="E297" i="27"/>
  <c r="C48" i="4"/>
  <c r="G2" i="40"/>
  <c r="C368" i="27"/>
  <c r="E46" i="27"/>
  <c r="C168" i="27"/>
  <c r="G44" i="40"/>
  <c r="E108" i="27"/>
  <c r="C88" i="27"/>
  <c r="E89" i="12"/>
  <c r="C147" i="27"/>
  <c r="C47" i="27"/>
  <c r="E2" i="27"/>
  <c r="C199" i="27"/>
  <c r="E122" i="12"/>
  <c r="E114" i="27"/>
  <c r="C350" i="27"/>
  <c r="C84" i="27"/>
  <c r="C332" i="27"/>
  <c r="E86" i="27"/>
  <c r="E49" i="40"/>
  <c r="C4" i="3"/>
  <c r="E36" i="12"/>
  <c r="C2" i="5"/>
  <c r="E295" i="27"/>
  <c r="E13" i="31"/>
  <c r="E22" i="12"/>
  <c r="E152" i="27"/>
  <c r="G8" i="40"/>
  <c r="E121" i="12"/>
  <c r="E55" i="12"/>
  <c r="E9" i="4"/>
  <c r="E177" i="27"/>
  <c r="E375" i="27"/>
  <c r="C145" i="27"/>
  <c r="C171" i="27"/>
  <c r="C41" i="4"/>
  <c r="C266" i="27"/>
  <c r="C330" i="27"/>
  <c r="E23" i="27"/>
  <c r="E351" i="27"/>
  <c r="E310" i="27"/>
  <c r="C21" i="27"/>
  <c r="E255" i="27"/>
  <c r="E79" i="12"/>
  <c r="E88" i="12"/>
  <c r="C6" i="27"/>
  <c r="E151" i="27"/>
  <c r="E109" i="27"/>
  <c r="C233" i="27"/>
  <c r="E134" i="27"/>
  <c r="E154" i="27"/>
  <c r="E220" i="27"/>
  <c r="C4" i="31"/>
  <c r="C183" i="27"/>
  <c r="C311" i="27"/>
  <c r="C5" i="3"/>
  <c r="C253" i="27"/>
  <c r="E14" i="31"/>
  <c r="E20" i="12"/>
  <c r="C178" i="27"/>
  <c r="E63" i="27"/>
  <c r="C331" i="27"/>
  <c r="C25" i="27"/>
  <c r="C69" i="27"/>
  <c r="C175" i="27"/>
  <c r="E6" i="27"/>
  <c r="E93" i="27"/>
  <c r="E205" i="27"/>
  <c r="C44" i="4"/>
  <c r="C358" i="27"/>
  <c r="C195" i="27"/>
  <c r="C377" i="27"/>
  <c r="E78" i="12"/>
  <c r="C295" i="27"/>
  <c r="E3" i="27"/>
  <c r="C29" i="4"/>
  <c r="C16" i="3"/>
  <c r="E203" i="27"/>
  <c r="C28" i="27"/>
  <c r="E42" i="4"/>
  <c r="C319" i="27"/>
  <c r="C110" i="27"/>
  <c r="E185" i="27"/>
  <c r="E301" i="27"/>
  <c r="E260" i="27"/>
  <c r="E372" i="27"/>
  <c r="E116" i="12"/>
  <c r="E38" i="12"/>
  <c r="C315" i="27"/>
  <c r="E183" i="27"/>
  <c r="E48" i="27"/>
  <c r="C18" i="31"/>
  <c r="E308" i="27"/>
  <c r="C278" i="27"/>
  <c r="E221" i="27"/>
  <c r="C284" i="27"/>
  <c r="C101" i="27"/>
  <c r="E37" i="4"/>
  <c r="C112" i="27"/>
  <c r="C220" i="27"/>
  <c r="D17" i="37"/>
  <c r="D20" i="37"/>
  <c r="C348" i="27"/>
  <c r="C160" i="27"/>
  <c r="C275" i="27"/>
  <c r="E110" i="12"/>
  <c r="E23" i="12"/>
  <c r="H2" i="38"/>
  <c r="C296" i="27"/>
  <c r="C65" i="27"/>
  <c r="C113" i="27"/>
  <c r="E371" i="27"/>
  <c r="C83" i="27"/>
  <c r="E18" i="31"/>
  <c r="E307" i="27"/>
  <c r="C80" i="27"/>
  <c r="E65" i="27"/>
  <c r="C273" i="27"/>
  <c r="E314" i="27"/>
  <c r="E158" i="27"/>
  <c r="E12" i="4"/>
  <c r="E343" i="27"/>
  <c r="E294" i="27"/>
  <c r="E337" i="27"/>
  <c r="E91" i="12"/>
  <c r="E51" i="12"/>
  <c r="C70" i="27"/>
  <c r="E345" i="27"/>
  <c r="C91" i="27"/>
  <c r="C140" i="27"/>
  <c r="C115" i="27"/>
  <c r="C29" i="27"/>
  <c r="C172" i="27"/>
  <c r="E365" i="27"/>
  <c r="E12" i="31"/>
  <c r="C316" i="27"/>
  <c r="C60" i="27"/>
  <c r="C258" i="27"/>
  <c r="C55" i="27"/>
  <c r="E332" i="27"/>
  <c r="E32" i="4"/>
  <c r="E125" i="27"/>
  <c r="C13" i="31"/>
  <c r="C256" i="27"/>
  <c r="E123" i="12"/>
  <c r="E58" i="12"/>
  <c r="E338" i="27"/>
  <c r="E91" i="27"/>
  <c r="C228" i="27"/>
  <c r="C152" i="27"/>
  <c r="E174" i="27"/>
  <c r="E27" i="40"/>
  <c r="C2" i="9"/>
  <c r="C2" i="27"/>
  <c r="E66" i="27"/>
  <c r="E85" i="12"/>
  <c r="E37" i="12"/>
  <c r="E84" i="12"/>
  <c r="E263" i="27"/>
  <c r="E43" i="40"/>
  <c r="D12" i="37"/>
  <c r="C16" i="27"/>
  <c r="C125" i="27"/>
  <c r="E80" i="27"/>
  <c r="E35" i="40"/>
  <c r="E5" i="27"/>
  <c r="G54" i="40"/>
  <c r="C174" i="27"/>
  <c r="E128" i="27"/>
  <c r="C187" i="27"/>
  <c r="E143" i="27"/>
  <c r="E82" i="27"/>
  <c r="E279" i="27"/>
  <c r="E286" i="27"/>
  <c r="C119" i="27"/>
  <c r="E212" i="27"/>
  <c r="E171" i="27"/>
  <c r="C263" i="27"/>
  <c r="C379" i="27"/>
  <c r="E9" i="27"/>
  <c r="D13" i="37"/>
  <c r="E9" i="40"/>
  <c r="E64" i="27"/>
  <c r="E31" i="27"/>
  <c r="D18" i="37"/>
  <c r="E364" i="27"/>
  <c r="C380" i="27"/>
  <c r="E65" i="12"/>
  <c r="E14" i="4"/>
  <c r="E289" i="27"/>
  <c r="E273" i="27"/>
  <c r="C344" i="27"/>
  <c r="C15" i="31"/>
  <c r="C336" i="27"/>
  <c r="E347" i="27"/>
  <c r="E110" i="27"/>
  <c r="C224" i="27"/>
  <c r="E130" i="12"/>
  <c r="C13" i="3"/>
  <c r="C243" i="27"/>
  <c r="C204" i="27"/>
  <c r="C260" i="27"/>
  <c r="C17" i="4"/>
  <c r="D10" i="37"/>
  <c r="G17" i="40"/>
  <c r="C153" i="27"/>
  <c r="E96" i="12"/>
  <c r="C3" i="4"/>
  <c r="E10" i="31"/>
  <c r="E48" i="4"/>
  <c r="C248" i="27"/>
  <c r="C225" i="27"/>
  <c r="E331" i="27"/>
  <c r="E211" i="27"/>
  <c r="C289" i="27"/>
  <c r="E219" i="27"/>
  <c r="C218" i="27"/>
  <c r="E39" i="40"/>
  <c r="E68" i="27"/>
  <c r="E181" i="27"/>
  <c r="C50" i="27"/>
  <c r="E150" i="27"/>
  <c r="G33" i="40"/>
  <c r="E378" i="27"/>
  <c r="G22" i="40"/>
  <c r="F186" i="12"/>
  <c r="E77" i="12"/>
  <c r="E129" i="12"/>
  <c r="C64" i="27"/>
  <c r="C179" i="27"/>
  <c r="E50" i="40"/>
  <c r="C111" i="27"/>
  <c r="E259" i="27"/>
  <c r="E266" i="27"/>
  <c r="C154" i="27"/>
  <c r="E198" i="27"/>
  <c r="E321" i="27"/>
  <c r="E46" i="4"/>
  <c r="C234" i="27"/>
  <c r="E15" i="40"/>
  <c r="C210" i="27"/>
  <c r="E84" i="27"/>
  <c r="E74" i="27"/>
  <c r="E256" i="27"/>
  <c r="C27" i="4"/>
  <c r="E16" i="31"/>
  <c r="E333" i="27"/>
  <c r="E179" i="27"/>
  <c r="E11" i="27"/>
  <c r="G14" i="40"/>
  <c r="E20" i="40"/>
  <c r="E373" i="27"/>
  <c r="C345" i="27"/>
  <c r="E93" i="12"/>
  <c r="C124" i="27"/>
  <c r="C304" i="27"/>
  <c r="E33" i="27"/>
  <c r="C103" i="27"/>
  <c r="C39" i="27"/>
  <c r="C132" i="27"/>
  <c r="C18" i="3"/>
  <c r="G12" i="40"/>
  <c r="E293" i="27"/>
  <c r="E10" i="40"/>
  <c r="E69" i="27"/>
  <c r="E39" i="27"/>
  <c r="C11" i="27"/>
  <c r="C15" i="3"/>
  <c r="E204" i="27"/>
  <c r="C235" i="27"/>
  <c r="C11" i="4"/>
  <c r="E223" i="27"/>
  <c r="E8" i="27"/>
  <c r="E358" i="27"/>
  <c r="E272" i="27"/>
  <c r="E127" i="27"/>
  <c r="C309" i="27"/>
  <c r="C95" i="27"/>
  <c r="C333" i="27"/>
  <c r="E24" i="27"/>
  <c r="E64" i="12"/>
  <c r="E99" i="12"/>
  <c r="C82" i="27"/>
  <c r="E195" i="27"/>
  <c r="E52" i="40"/>
  <c r="E17" i="31"/>
  <c r="G46" i="40"/>
  <c r="E17" i="27"/>
  <c r="C177" i="27"/>
  <c r="C52" i="27"/>
  <c r="E299" i="27"/>
  <c r="C351" i="27"/>
  <c r="G41" i="40"/>
  <c r="E32" i="40"/>
  <c r="F2" i="22"/>
  <c r="E24" i="40"/>
  <c r="C2" i="4"/>
  <c r="C244" i="27"/>
  <c r="C167" i="27"/>
  <c r="E196" i="27"/>
  <c r="C209" i="27"/>
  <c r="D4" i="37"/>
  <c r="G27" i="40"/>
  <c r="E18" i="27"/>
  <c r="E33" i="4"/>
  <c r="C364" i="27"/>
  <c r="E11" i="4"/>
  <c r="G13" i="40"/>
  <c r="D5" i="37"/>
  <c r="E10" i="4"/>
  <c r="E4" i="4"/>
  <c r="G5" i="40"/>
  <c r="D2" i="37"/>
  <c r="G48" i="40"/>
  <c r="C54" i="27"/>
  <c r="C21" i="4"/>
  <c r="E252" i="27"/>
  <c r="C10" i="27"/>
  <c r="C9" i="31"/>
  <c r="G25" i="40"/>
  <c r="E257" i="27"/>
  <c r="E62" i="27"/>
  <c r="E193" i="27"/>
  <c r="E51" i="40"/>
  <c r="E44" i="4"/>
  <c r="E153" i="27"/>
  <c r="C3" i="3"/>
  <c r="C255" i="27"/>
  <c r="E45" i="27"/>
  <c r="E26" i="27"/>
  <c r="C274" i="27"/>
  <c r="E21" i="40"/>
  <c r="C34" i="4"/>
  <c r="E70" i="12"/>
  <c r="G2" i="12"/>
  <c r="E111" i="12"/>
  <c r="C191" i="27"/>
  <c r="E349" i="27"/>
  <c r="C303" i="27"/>
  <c r="C13" i="4"/>
  <c r="E370" i="27"/>
  <c r="C2" i="3"/>
  <c r="E133" i="27"/>
  <c r="E222" i="27"/>
  <c r="C17" i="31"/>
  <c r="E53" i="27"/>
  <c r="C26" i="4"/>
  <c r="E194" i="27"/>
  <c r="C3" i="27"/>
  <c r="E197" i="27"/>
  <c r="C285" i="27"/>
  <c r="C221" i="27"/>
  <c r="C290" i="27"/>
  <c r="C245" i="27"/>
  <c r="C6" i="3"/>
  <c r="G40" i="40"/>
  <c r="E77" i="27"/>
  <c r="E6" i="40"/>
  <c r="C201" i="27"/>
  <c r="E149" i="27"/>
  <c r="C43" i="4"/>
  <c r="E303" i="27"/>
  <c r="E53" i="12"/>
  <c r="E107" i="12"/>
  <c r="E40" i="12"/>
  <c r="C17" i="27"/>
  <c r="C90" i="27"/>
  <c r="C109" i="27"/>
  <c r="C240" i="27"/>
  <c r="C212" i="27"/>
  <c r="E19" i="27"/>
  <c r="E38" i="27"/>
  <c r="C375" i="27"/>
  <c r="G19" i="40"/>
  <c r="E250" i="27"/>
  <c r="C128" i="27"/>
  <c r="C75" i="27"/>
  <c r="E12" i="27"/>
  <c r="E8" i="4"/>
  <c r="C357" i="27"/>
  <c r="G30" i="40"/>
  <c r="C46" i="4"/>
  <c r="E245" i="27"/>
  <c r="C30" i="4"/>
  <c r="C354" i="27"/>
  <c r="C200" i="27"/>
  <c r="E33" i="40"/>
  <c r="C250" i="27"/>
  <c r="E368" i="27"/>
  <c r="E327" i="27"/>
  <c r="E36" i="4"/>
  <c r="C281" i="27"/>
  <c r="C372" i="27"/>
  <c r="E207" i="27"/>
  <c r="E145" i="27"/>
  <c r="E201" i="27"/>
  <c r="C282" i="27"/>
  <c r="C16" i="4"/>
  <c r="E302" i="27"/>
  <c r="C131" i="27"/>
  <c r="E103" i="27"/>
  <c r="C192" i="27"/>
  <c r="C7" i="4"/>
  <c r="E54" i="40"/>
  <c r="C349" i="27"/>
  <c r="E59" i="27"/>
  <c r="C322" i="27"/>
  <c r="E75" i="27"/>
  <c r="C343" i="27"/>
  <c r="C71" i="27"/>
  <c r="C205" i="27"/>
  <c r="E175" i="27"/>
  <c r="E230" i="27"/>
  <c r="E13" i="27"/>
  <c r="C161" i="27"/>
  <c r="C173" i="27"/>
  <c r="D9" i="37"/>
  <c r="E31" i="12"/>
  <c r="E10" i="12"/>
  <c r="E56" i="12"/>
  <c r="E39" i="12"/>
  <c r="G6" i="40"/>
  <c r="C107" i="27"/>
  <c r="C180" i="27"/>
  <c r="C37" i="4"/>
  <c r="E300" i="27"/>
  <c r="E254" i="27"/>
  <c r="E97" i="27"/>
  <c r="C12" i="31"/>
  <c r="E168" i="27"/>
  <c r="C36" i="4"/>
  <c r="C300" i="27"/>
  <c r="C163" i="27"/>
  <c r="E264" i="27"/>
  <c r="E19" i="31"/>
  <c r="E131" i="27"/>
  <c r="E38" i="4"/>
  <c r="E41" i="4"/>
  <c r="C2" i="31"/>
  <c r="C363" i="27"/>
  <c r="E57" i="27"/>
  <c r="E271" i="27"/>
  <c r="E139" i="27"/>
  <c r="C211" i="27"/>
  <c r="C20" i="3"/>
  <c r="E88" i="27"/>
  <c r="C169" i="27"/>
  <c r="C239" i="27"/>
  <c r="E305" i="27"/>
  <c r="E112" i="27"/>
  <c r="E26" i="40"/>
  <c r="E180" i="27"/>
  <c r="C252" i="27"/>
  <c r="C149" i="27"/>
  <c r="C9" i="27"/>
  <c r="E235" i="27"/>
  <c r="C197" i="27"/>
  <c r="E298" i="27"/>
  <c r="E2" i="12"/>
  <c r="E131" i="12"/>
  <c r="E60" i="12"/>
  <c r="G26" i="40"/>
  <c r="C213" i="27"/>
  <c r="E270" i="27"/>
  <c r="C18" i="4"/>
  <c r="C15" i="27"/>
  <c r="C10" i="31"/>
  <c r="E228" i="27"/>
  <c r="E253" i="27"/>
  <c r="C324" i="27"/>
  <c r="C268" i="27"/>
  <c r="E40" i="27"/>
  <c r="E216" i="27"/>
  <c r="E229" i="27"/>
  <c r="C32" i="27"/>
  <c r="C143" i="27"/>
  <c r="C198" i="27"/>
  <c r="G53" i="40"/>
  <c r="G31" i="40"/>
  <c r="G52" i="40"/>
  <c r="E30" i="27"/>
  <c r="E269" i="27"/>
  <c r="C294" i="27"/>
  <c r="C133" i="27"/>
  <c r="C317" i="27"/>
  <c r="G21" i="40"/>
  <c r="C14" i="4"/>
  <c r="E267" i="27"/>
  <c r="C136" i="27"/>
  <c r="E35" i="4"/>
  <c r="E357" i="27"/>
  <c r="E36" i="27"/>
  <c r="G20" i="40"/>
  <c r="C314" i="27"/>
  <c r="C359" i="27"/>
  <c r="C185" i="27"/>
  <c r="C286" i="27"/>
  <c r="E247" i="27"/>
  <c r="C208" i="27"/>
  <c r="E344" i="27"/>
  <c r="C287" i="27"/>
  <c r="C361" i="27"/>
  <c r="C19" i="4"/>
  <c r="C219" i="27"/>
  <c r="E359" i="27"/>
  <c r="E329" i="27"/>
  <c r="C181" i="27"/>
  <c r="C4" i="27"/>
  <c r="E292" i="27"/>
  <c r="E362" i="27"/>
  <c r="C68" i="27"/>
  <c r="E25" i="12"/>
  <c r="E94" i="12"/>
  <c r="E125" i="12"/>
  <c r="E379" i="27"/>
  <c r="E47" i="40"/>
  <c r="C117" i="27"/>
  <c r="G18" i="40"/>
  <c r="C232" i="27"/>
  <c r="E167" i="27"/>
  <c r="E19" i="4"/>
  <c r="C129" i="27"/>
  <c r="E118" i="27"/>
  <c r="C217" i="27"/>
  <c r="E190" i="27"/>
  <c r="E186" i="27"/>
  <c r="E121" i="27"/>
  <c r="C11" i="31"/>
  <c r="E380" i="27"/>
  <c r="E9" i="31"/>
  <c r="C280" i="27"/>
  <c r="E147" i="27"/>
  <c r="E165" i="27"/>
  <c r="E346" i="27"/>
  <c r="E261" i="27"/>
  <c r="C151" i="27"/>
  <c r="C308" i="27"/>
  <c r="C33" i="4"/>
  <c r="C74" i="27"/>
  <c r="E44" i="27"/>
  <c r="C32" i="4"/>
  <c r="E101" i="27"/>
  <c r="E24" i="4"/>
  <c r="E119" i="27"/>
  <c r="C352" i="27"/>
  <c r="E258" i="27"/>
  <c r="D11" i="37"/>
  <c r="C238" i="27"/>
  <c r="C7" i="3"/>
  <c r="C49" i="27"/>
  <c r="E189" i="27"/>
  <c r="E69" i="12"/>
  <c r="E80" i="12"/>
  <c r="E8" i="12"/>
  <c r="E118" i="12"/>
  <c r="E28" i="12"/>
  <c r="E141" i="27"/>
  <c r="C337" i="27"/>
  <c r="E334" i="27"/>
  <c r="E6" i="4"/>
  <c r="C39" i="4"/>
  <c r="D19" i="37"/>
  <c r="E117" i="27"/>
  <c r="C298" i="27"/>
  <c r="C203" i="27"/>
  <c r="E238" i="27"/>
  <c r="E208" i="27"/>
  <c r="E122" i="27"/>
  <c r="C360" i="27"/>
  <c r="E124" i="27"/>
  <c r="G28" i="40"/>
  <c r="E129" i="27"/>
  <c r="C3" i="31"/>
  <c r="E341" i="27"/>
  <c r="E192" i="27"/>
  <c r="C9" i="3"/>
  <c r="C108" i="27"/>
  <c r="E17" i="4"/>
  <c r="E21" i="27"/>
  <c r="C339" i="27"/>
  <c r="E319" i="27"/>
  <c r="E45" i="40"/>
  <c r="E276" i="27"/>
  <c r="G32" i="40"/>
  <c r="C27" i="27"/>
  <c r="C37" i="27"/>
  <c r="E330" i="27"/>
  <c r="E74" i="12"/>
  <c r="E5" i="12"/>
  <c r="E50" i="12"/>
  <c r="E49" i="12"/>
  <c r="E76" i="12"/>
  <c r="E138" i="27"/>
  <c r="C376" i="27"/>
  <c r="E328" i="27"/>
  <c r="E23" i="40"/>
  <c r="C176" i="27"/>
  <c r="C126" i="27"/>
  <c r="E132" i="27"/>
  <c r="E120" i="27"/>
  <c r="E52" i="27"/>
  <c r="C13" i="27"/>
  <c r="E242" i="27"/>
  <c r="C58" i="27"/>
  <c r="C267" i="27"/>
  <c r="C323" i="27"/>
  <c r="E20" i="31"/>
  <c r="C229" i="27"/>
  <c r="E210" i="27"/>
  <c r="E240" i="27"/>
  <c r="E278" i="27"/>
  <c r="C299" i="27"/>
  <c r="E335" i="27"/>
  <c r="E234" i="27"/>
  <c r="E40" i="4"/>
  <c r="C26" i="27"/>
  <c r="C353" i="27"/>
  <c r="C254" i="27"/>
  <c r="C121" i="27"/>
  <c r="C106" i="27"/>
  <c r="E73" i="27"/>
  <c r="E3" i="4"/>
  <c r="E126" i="27"/>
  <c r="C62" i="27"/>
  <c r="C291" i="27"/>
  <c r="G9" i="40"/>
  <c r="E184" i="27"/>
  <c r="C165" i="27"/>
  <c r="E34" i="27"/>
  <c r="E27" i="27"/>
  <c r="C22" i="27"/>
  <c r="C277" i="27"/>
  <c r="E366" i="27"/>
  <c r="C371" i="27"/>
  <c r="E6" i="31"/>
  <c r="C38" i="27"/>
  <c r="C135" i="27"/>
  <c r="E34" i="40"/>
  <c r="G24" i="40"/>
  <c r="E262" i="27"/>
  <c r="E367" i="27"/>
  <c r="D8" i="37"/>
  <c r="C261" i="27"/>
  <c r="C97" i="27"/>
  <c r="E187" i="27"/>
  <c r="G34" i="40"/>
  <c r="E94" i="27"/>
  <c r="E49" i="27"/>
  <c r="C237" i="27"/>
  <c r="E61" i="12"/>
  <c r="E3" i="12"/>
  <c r="E5" i="31"/>
  <c r="G51" i="40"/>
  <c r="E236" i="27"/>
  <c r="E42" i="27"/>
  <c r="E237" i="27"/>
  <c r="E306" i="27"/>
  <c r="E25" i="40"/>
  <c r="E3" i="31"/>
  <c r="G38" i="40"/>
  <c r="E2" i="40"/>
  <c r="C373" i="27"/>
  <c r="E312" i="27"/>
  <c r="E318" i="27"/>
  <c r="E85" i="27"/>
  <c r="E282" i="27"/>
  <c r="C227" i="27"/>
  <c r="D7" i="37"/>
  <c r="C146" i="27"/>
  <c r="E54" i="12"/>
  <c r="C236" i="27"/>
  <c r="E311" i="27"/>
  <c r="E160" i="27"/>
  <c r="C148" i="27"/>
  <c r="E28" i="27"/>
  <c r="E336" i="27"/>
  <c r="C73" i="27"/>
  <c r="E243" i="27"/>
  <c r="E348" i="27"/>
  <c r="E16" i="27"/>
  <c r="E18" i="4"/>
  <c r="E71" i="27"/>
  <c r="E7" i="4"/>
  <c r="C222" i="27"/>
  <c r="C99" i="27"/>
  <c r="E61" i="27"/>
  <c r="E4" i="31"/>
  <c r="C362" i="27"/>
  <c r="C20" i="31"/>
  <c r="E323" i="27"/>
  <c r="E87" i="12"/>
  <c r="E66" i="12"/>
  <c r="E75" i="12"/>
  <c r="E81" i="12"/>
  <c r="E86" i="12"/>
  <c r="E115" i="12"/>
  <c r="C138" i="27"/>
  <c r="C57" i="27"/>
  <c r="C194" i="27"/>
  <c r="C31" i="4"/>
  <c r="C246" i="27"/>
  <c r="C8" i="4"/>
  <c r="E246" i="27"/>
  <c r="E296" i="27"/>
  <c r="C271" i="27"/>
  <c r="C283" i="27"/>
  <c r="C264" i="27"/>
  <c r="E25" i="4"/>
  <c r="C157" i="27"/>
  <c r="E225" i="27"/>
  <c r="C206" i="27"/>
  <c r="E316" i="27"/>
  <c r="C355" i="27"/>
  <c r="C61" i="27"/>
  <c r="C335" i="27"/>
  <c r="C164" i="27"/>
  <c r="C10" i="3"/>
  <c r="C158" i="27"/>
  <c r="E285" i="27"/>
  <c r="E363" i="27"/>
  <c r="C35" i="4"/>
  <c r="C81" i="27"/>
  <c r="C104" i="27"/>
  <c r="G43" i="40"/>
  <c r="E202" i="27"/>
  <c r="C20" i="27"/>
  <c r="C249" i="27"/>
  <c r="C378" i="27"/>
  <c r="C72" i="27"/>
  <c r="E89" i="27"/>
  <c r="C215" i="27"/>
  <c r="C42" i="27"/>
  <c r="E200" i="27"/>
  <c r="C374" i="27"/>
  <c r="C76" i="27"/>
  <c r="E123" i="27"/>
  <c r="G39" i="40"/>
  <c r="C14" i="3"/>
  <c r="E325" i="27"/>
  <c r="C14" i="31"/>
  <c r="E136" i="27"/>
  <c r="C48" i="27"/>
  <c r="C365" i="27"/>
  <c r="E213" i="27"/>
  <c r="E47" i="27"/>
  <c r="C79" i="27"/>
  <c r="E53" i="40"/>
  <c r="E144" i="27"/>
  <c r="C370" i="27"/>
  <c r="C155" i="27"/>
  <c r="E265" i="27"/>
  <c r="E39" i="4"/>
  <c r="C366" i="27"/>
  <c r="E241" i="27"/>
  <c r="C305" i="27"/>
  <c r="C17" i="3"/>
  <c r="C8" i="27"/>
  <c r="E11" i="31"/>
  <c r="C320" i="27"/>
  <c r="C259" i="27"/>
  <c r="E54" i="27"/>
  <c r="E374" i="27"/>
  <c r="C77" i="27"/>
  <c r="C329" i="27"/>
  <c r="E369" i="27"/>
  <c r="C51" i="27"/>
  <c r="E284" i="27"/>
  <c r="E10" i="27"/>
  <c r="E376" i="27"/>
  <c r="C318" i="27"/>
  <c r="C134" i="27"/>
  <c r="E140" i="27"/>
  <c r="E105" i="27"/>
  <c r="E47" i="4"/>
  <c r="C231" i="27"/>
  <c r="C59" i="27"/>
  <c r="C166" i="27"/>
  <c r="E87" i="27"/>
  <c r="C78" i="27"/>
  <c r="C265" i="27"/>
  <c r="E7" i="40"/>
  <c r="C118" i="27"/>
  <c r="C5" i="4"/>
  <c r="E104" i="27"/>
  <c r="E178" i="27"/>
  <c r="E112" i="12"/>
  <c r="E47" i="12"/>
  <c r="E173" i="27"/>
  <c r="C150" i="27"/>
  <c r="E38" i="40"/>
  <c r="E18" i="40"/>
  <c r="E172" i="27"/>
  <c r="G15" i="40"/>
  <c r="C189" i="27"/>
  <c r="E28" i="4"/>
  <c r="E320" i="27"/>
  <c r="C94" i="27"/>
  <c r="E17" i="40"/>
  <c r="C251" i="27"/>
  <c r="E280" i="27"/>
  <c r="E182" i="27"/>
  <c r="C313" i="27"/>
  <c r="E29" i="4"/>
  <c r="C207" i="27"/>
  <c r="C270" i="27"/>
  <c r="E377" i="27"/>
  <c r="E20" i="27"/>
  <c r="C63" i="27"/>
  <c r="C130" i="27"/>
  <c r="E48" i="40"/>
  <c r="C100" i="27"/>
  <c r="E248" i="27"/>
  <c r="E8" i="31"/>
  <c r="E55" i="40"/>
  <c r="C141" i="27"/>
  <c r="E114" i="12"/>
  <c r="E73" i="12"/>
  <c r="E35" i="12"/>
  <c r="E105" i="12"/>
  <c r="E9" i="12"/>
  <c r="E67" i="12"/>
  <c r="E34" i="4"/>
  <c r="E169" i="27"/>
  <c r="E30" i="4"/>
  <c r="C162" i="27"/>
  <c r="E51" i="27"/>
  <c r="C247" i="27"/>
  <c r="E7" i="27"/>
  <c r="C46" i="27"/>
  <c r="C293" i="27"/>
  <c r="E55" i="27"/>
  <c r="C9" i="4"/>
  <c r="C16" i="31"/>
  <c r="E44" i="40"/>
  <c r="E317" i="27"/>
  <c r="C338" i="27"/>
  <c r="E43" i="4"/>
  <c r="E29" i="27"/>
  <c r="C23" i="27"/>
  <c r="E37" i="40"/>
  <c r="E361" i="27"/>
  <c r="C102" i="27"/>
  <c r="C8" i="31"/>
  <c r="C45" i="27"/>
  <c r="E324" i="27"/>
  <c r="G37" i="40"/>
  <c r="E23" i="4"/>
  <c r="C369" i="27"/>
  <c r="C310" i="27"/>
  <c r="E4" i="40"/>
  <c r="E30" i="40"/>
  <c r="C23" i="4"/>
  <c r="E130" i="27"/>
  <c r="G49" i="40"/>
  <c r="C127" i="27"/>
  <c r="E2" i="4"/>
  <c r="E29" i="40"/>
  <c r="C279" i="27"/>
  <c r="C6" i="4"/>
  <c r="G4" i="40"/>
  <c r="E226" i="27"/>
  <c r="C35" i="27"/>
  <c r="E233" i="27"/>
  <c r="E322" i="27"/>
  <c r="C2" i="22"/>
  <c r="C334" i="27"/>
  <c r="E8" i="40"/>
  <c r="C302" i="27"/>
  <c r="C262" i="27"/>
  <c r="C25" i="4"/>
  <c r="E161" i="27"/>
  <c r="E90" i="27"/>
  <c r="E15" i="31"/>
  <c r="C18" i="27"/>
  <c r="E13" i="40"/>
  <c r="E5" i="40"/>
  <c r="E19" i="40"/>
  <c r="C346" i="27"/>
  <c r="C214" i="27"/>
  <c r="E12" i="40"/>
  <c r="E170" i="27"/>
  <c r="C342" i="27"/>
  <c r="E68" i="12"/>
  <c r="E71" i="12"/>
  <c r="E101" i="12"/>
  <c r="E26" i="4"/>
  <c r="E32" i="27"/>
  <c r="C10" i="4"/>
  <c r="E232" i="27"/>
  <c r="C312" i="27"/>
  <c r="E340" i="27"/>
  <c r="E31" i="4"/>
  <c r="C67" i="27"/>
  <c r="E360" i="27"/>
  <c r="C86" i="27"/>
  <c r="G3" i="40"/>
  <c r="E339" i="27"/>
  <c r="E244" i="27"/>
  <c r="G50" i="40"/>
  <c r="E27" i="4"/>
  <c r="E30" i="12"/>
  <c r="E113" i="12"/>
  <c r="E291" i="27"/>
  <c r="E326" i="27"/>
  <c r="C114" i="27"/>
  <c r="E40" i="40"/>
  <c r="E82" i="12"/>
  <c r="E109" i="12"/>
  <c r="E19" i="12"/>
  <c r="E33" i="12"/>
  <c r="E48" i="12"/>
  <c r="E46" i="12"/>
  <c r="C7" i="31"/>
  <c r="C301" i="27"/>
  <c r="C242" i="27"/>
  <c r="E115" i="27"/>
  <c r="C40" i="4"/>
  <c r="C31" i="27"/>
  <c r="D16" i="37"/>
  <c r="E288" i="27"/>
  <c r="C327" i="27"/>
  <c r="C4" i="4"/>
  <c r="E20" i="4"/>
  <c r="E25" i="27"/>
  <c r="G47" i="40"/>
  <c r="E58" i="27"/>
  <c r="E31" i="40"/>
  <c r="E14" i="27"/>
  <c r="E381" i="27"/>
  <c r="C20" i="4"/>
  <c r="E137" i="27"/>
  <c r="E249" i="27"/>
  <c r="E36" i="40"/>
  <c r="C12" i="27"/>
  <c r="E287" i="27"/>
  <c r="E42" i="40"/>
  <c r="C137" i="27"/>
  <c r="C381" i="27"/>
  <c r="C19" i="27"/>
  <c r="C89" i="27"/>
  <c r="G16" i="40"/>
  <c r="E13" i="4"/>
  <c r="C41" i="27"/>
  <c r="C186" i="27"/>
  <c r="C276" i="27"/>
  <c r="E28" i="40"/>
  <c r="C33" i="27"/>
  <c r="C367" i="27"/>
  <c r="C6" i="31"/>
  <c r="C241" i="27"/>
  <c r="C306" i="27"/>
  <c r="E16" i="40"/>
  <c r="C321" i="27"/>
  <c r="E277" i="27"/>
  <c r="E41" i="27"/>
  <c r="C120" i="27"/>
  <c r="E107" i="27"/>
  <c r="C19" i="3"/>
  <c r="C288" i="27"/>
  <c r="E99" i="27"/>
  <c r="E106" i="27"/>
  <c r="C66" i="27"/>
  <c r="E98" i="27"/>
  <c r="E83" i="27"/>
  <c r="F105" i="12"/>
  <c r="F146" i="12"/>
  <c r="F124" i="12"/>
  <c r="F13" i="12"/>
  <c r="F88" i="12"/>
  <c r="F81" i="12"/>
  <c r="F35" i="12"/>
  <c r="F64" i="12"/>
  <c r="F18" i="12"/>
  <c r="F70" i="12"/>
  <c r="F95" i="12"/>
  <c r="A94" i="12"/>
  <c r="D2" i="38" a="1"/>
  <c r="C2" i="46" a="1"/>
  <c r="D2" i="22" a="1"/>
  <c r="G61" i="12" a="1"/>
  <c r="G188" i="12" a="1"/>
  <c r="G98" i="12" a="1"/>
  <c r="G49" i="12" a="1"/>
  <c r="G38" i="12" a="1"/>
  <c r="G23" i="12" a="1"/>
  <c r="G91" i="12" a="1"/>
  <c r="G123" i="12" a="1"/>
  <c r="G84" i="12" a="1"/>
  <c r="G73" i="12" a="1"/>
  <c r="G108" i="12" a="1"/>
  <c r="G78" i="12" a="1"/>
  <c r="G127" i="12" a="1"/>
  <c r="G3" i="12" a="1"/>
  <c r="G67" i="12" a="1"/>
  <c r="G16" i="12" a="1"/>
  <c r="G28" i="12" a="1"/>
  <c r="D2" i="38" l="1"/>
  <c r="G98" i="12"/>
  <c r="G28" i="12"/>
  <c r="G16" i="12"/>
  <c r="G73" i="12"/>
  <c r="G84" i="12"/>
  <c r="G123" i="12"/>
  <c r="G67" i="12"/>
  <c r="G91" i="12"/>
  <c r="G3" i="12"/>
  <c r="G127" i="12"/>
  <c r="G78" i="12"/>
  <c r="G108" i="12"/>
  <c r="G23" i="12"/>
  <c r="G38" i="12"/>
  <c r="G188" i="12"/>
  <c r="G61" i="12"/>
  <c r="G49" i="12"/>
  <c r="F2" i="12"/>
  <c r="F3" i="12" s="1"/>
  <c r="D2" i="22"/>
  <c r="F14" i="12"/>
  <c r="F19" i="12"/>
  <c r="C2" i="46"/>
  <c r="F20" i="12"/>
  <c r="F43" i="12"/>
  <c r="F120" i="12"/>
  <c r="F121" i="12" s="1"/>
  <c r="F58" i="12"/>
  <c r="F46" i="12"/>
  <c r="F25" i="12"/>
  <c r="F26" i="12" s="1"/>
  <c r="F129" i="12"/>
  <c r="F130" i="12" s="1"/>
  <c r="F75" i="12"/>
  <c r="F76" i="12" s="1"/>
  <c r="F47" i="12"/>
  <c r="F187" i="12"/>
  <c r="F82" i="12"/>
  <c r="F147" i="12"/>
  <c r="F125" i="12"/>
  <c r="F89" i="12"/>
  <c r="F96" i="12"/>
  <c r="F97" i="12" s="1"/>
  <c r="A89" i="12"/>
  <c r="G2" i="22" a="1"/>
  <c r="G29" i="12" a="1"/>
  <c r="G74" i="12" a="1"/>
  <c r="G68" i="12" a="1"/>
  <c r="G62" i="12" a="1"/>
  <c r="G50" i="12" a="1"/>
  <c r="G99" i="12" a="1"/>
  <c r="G92" i="12" a="1"/>
  <c r="G4" i="12" a="1"/>
  <c r="G128" i="12" a="1"/>
  <c r="G79" i="12" a="1"/>
  <c r="G109" i="12" a="1"/>
  <c r="G24" i="12" a="1"/>
  <c r="G39" i="12" a="1"/>
  <c r="G189" i="12" a="1"/>
  <c r="G85" i="12" a="1"/>
  <c r="G99" i="12" l="1"/>
  <c r="F98" i="12"/>
  <c r="G85" i="12"/>
  <c r="G50" i="12"/>
  <c r="G62" i="12"/>
  <c r="G189" i="12"/>
  <c r="G39" i="12"/>
  <c r="G24" i="12"/>
  <c r="G109" i="12"/>
  <c r="G79" i="12"/>
  <c r="G128" i="12"/>
  <c r="G4" i="12"/>
  <c r="G92" i="12"/>
  <c r="G68" i="12"/>
  <c r="G74" i="12"/>
  <c r="G29" i="12"/>
  <c r="G2" i="22"/>
  <c r="F59" i="12"/>
  <c r="F60" i="12" s="1"/>
  <c r="F44" i="12"/>
  <c r="F45" i="12" s="1"/>
  <c r="F36" i="12"/>
  <c r="F37" i="12" s="1"/>
  <c r="F106" i="12"/>
  <c r="F107" i="12" s="1"/>
  <c r="F65" i="12"/>
  <c r="F66" i="12" s="1"/>
  <c r="F71" i="12"/>
  <c r="F21" i="12"/>
  <c r="F22" i="12" s="1"/>
  <c r="F15" i="12"/>
  <c r="F188" i="12"/>
  <c r="F72" i="12"/>
  <c r="F122" i="12"/>
  <c r="F48" i="12"/>
  <c r="F27" i="12"/>
  <c r="F90" i="12"/>
  <c r="F131" i="12"/>
  <c r="F148" i="12"/>
  <c r="A73" i="12"/>
  <c r="A72" i="12"/>
  <c r="A87" i="12"/>
  <c r="A61" i="12"/>
  <c r="G93" i="12" a="1"/>
  <c r="G69" i="12" a="1"/>
  <c r="G86" i="12" a="1"/>
  <c r="G30" i="12" a="1"/>
  <c r="G110" i="12" a="1"/>
  <c r="G80" i="12" a="1"/>
  <c r="G5" i="12" a="1"/>
  <c r="G100" i="12" a="1"/>
  <c r="G51" i="12" a="1"/>
  <c r="G63" i="12" a="1"/>
  <c r="G40" i="12" a="1"/>
  <c r="G100" i="12" l="1"/>
  <c r="F99" i="12"/>
  <c r="G5" i="12"/>
  <c r="G80" i="12"/>
  <c r="G110" i="12"/>
  <c r="G30" i="12"/>
  <c r="G69" i="12"/>
  <c r="G93" i="12"/>
  <c r="G40" i="12"/>
  <c r="G63" i="12"/>
  <c r="G51" i="12"/>
  <c r="G86" i="12"/>
  <c r="F189" i="12"/>
  <c r="F38" i="12"/>
  <c r="F16" i="12"/>
  <c r="F123" i="12"/>
  <c r="F108" i="12"/>
  <c r="F4" i="12"/>
  <c r="F77" i="12"/>
  <c r="F78" i="12" s="1"/>
  <c r="F126" i="12"/>
  <c r="F127" i="12" s="1"/>
  <c r="F83" i="12"/>
  <c r="F84" i="12" s="1"/>
  <c r="F91" i="12"/>
  <c r="F28" i="12"/>
  <c r="F73" i="12"/>
  <c r="F49" i="12"/>
  <c r="A54" i="12"/>
  <c r="A56" i="12"/>
  <c r="A55" i="12"/>
  <c r="A53" i="12"/>
  <c r="A52" i="12"/>
  <c r="A48" i="12"/>
  <c r="G101" i="12" a="1"/>
  <c r="G6" i="12" a="1"/>
  <c r="G111" i="12" a="1"/>
  <c r="G31" i="12" a="1"/>
  <c r="G94" i="12" a="1"/>
  <c r="G52" i="12" a="1"/>
  <c r="G87" i="12" a="1"/>
  <c r="F5" i="12" l="1"/>
  <c r="F6" i="12" s="1"/>
  <c r="G101" i="12"/>
  <c r="F100" i="12"/>
  <c r="G87" i="12"/>
  <c r="G52" i="12"/>
  <c r="G94" i="12"/>
  <c r="G31" i="12"/>
  <c r="G111" i="12"/>
  <c r="G6" i="12"/>
  <c r="F128" i="12"/>
  <c r="F29" i="12"/>
  <c r="F74" i="12"/>
  <c r="F61" i="12"/>
  <c r="F62" i="12" s="1"/>
  <c r="F67" i="12"/>
  <c r="F68" i="12" s="1"/>
  <c r="F23" i="12"/>
  <c r="F24" i="12" s="1"/>
  <c r="F85" i="12"/>
  <c r="F109" i="12"/>
  <c r="F92" i="12"/>
  <c r="F3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41" i="13" a="1"/>
  <c r="C34" i="13" a="1"/>
  <c r="C40" i="13" a="1"/>
  <c r="C38" i="13" a="1"/>
  <c r="C39" i="13" a="1"/>
  <c r="C33" i="13" a="1"/>
  <c r="C37" i="13" a="1"/>
  <c r="C31" i="13" a="1"/>
  <c r="C30" i="13" a="1"/>
  <c r="C35" i="13" a="1"/>
  <c r="C36" i="13" a="1"/>
  <c r="C32" i="13" a="1"/>
  <c r="G102" i="12" a="1"/>
  <c r="G53" i="12" a="1"/>
  <c r="G32" i="12" a="1"/>
  <c r="G112" i="12" a="1"/>
  <c r="G7" i="12" a="1"/>
  <c r="G102" i="12" l="1"/>
  <c r="F101" i="12"/>
  <c r="G7" i="12"/>
  <c r="G112" i="12"/>
  <c r="G32" i="12"/>
  <c r="G53" i="12"/>
  <c r="F63" i="12"/>
  <c r="F79" i="12"/>
  <c r="F80" i="12" s="1"/>
  <c r="F50" i="12"/>
  <c r="F51" i="12" s="1"/>
  <c r="F93" i="12"/>
  <c r="F40" i="12"/>
  <c r="F30" i="12"/>
  <c r="F86" i="12"/>
  <c r="F7" i="12"/>
  <c r="F69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103" i="12" a="1"/>
  <c r="G8" i="12" a="1"/>
  <c r="G113" i="12" a="1"/>
  <c r="G33" i="12" a="1"/>
  <c r="G54" i="12" a="1"/>
  <c r="G103" i="12" l="1"/>
  <c r="F102" i="12"/>
  <c r="G54" i="12"/>
  <c r="G33" i="12"/>
  <c r="G113" i="12"/>
  <c r="G8" i="12"/>
  <c r="F94" i="12"/>
  <c r="F110" i="12"/>
  <c r="F31" i="12"/>
  <c r="F52" i="12"/>
  <c r="F111" i="12"/>
  <c r="F87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H5" i="6" a="1"/>
  <c r="C3" i="6" a="1"/>
  <c r="H3" i="6" a="1"/>
  <c r="C5" i="6" a="1"/>
  <c r="H4" i="6" a="1"/>
  <c r="C4" i="6" a="1"/>
  <c r="G104" i="12" a="1"/>
  <c r="G55" i="12" a="1"/>
  <c r="G114" i="12" a="1"/>
  <c r="G9" i="12" a="1"/>
  <c r="G34" i="12" a="1"/>
  <c r="G104" i="12" l="1"/>
  <c r="F103" i="12"/>
  <c r="G9" i="12"/>
  <c r="G114" i="12"/>
  <c r="G34" i="12"/>
  <c r="G55" i="12"/>
  <c r="F8" i="12"/>
  <c r="F32" i="12"/>
  <c r="F53" i="12"/>
  <c r="F112" i="12"/>
  <c r="F9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H4" i="6"/>
  <c r="H3" i="6"/>
  <c r="C3" i="6"/>
  <c r="C5" i="6"/>
  <c r="H5" i="6"/>
  <c r="E18" i="14" a="1"/>
  <c r="E7" i="42" a="1"/>
  <c r="C18" i="42" a="1"/>
  <c r="E19" i="42" a="1"/>
  <c r="E9" i="42" a="1"/>
  <c r="C15" i="42" a="1"/>
  <c r="E19" i="14" a="1"/>
  <c r="C2" i="41" a="1"/>
  <c r="E16" i="42" a="1"/>
  <c r="C3" i="42" a="1"/>
  <c r="C29" i="42" a="1"/>
  <c r="C13" i="42" a="1"/>
  <c r="E15" i="42" a="1"/>
  <c r="E17" i="42" a="1"/>
  <c r="C27" i="42" a="1"/>
  <c r="E26" i="42" a="1"/>
  <c r="E3" i="42" a="1"/>
  <c r="C8" i="42" a="1"/>
  <c r="C28" i="42" a="1"/>
  <c r="C5" i="42" a="1"/>
  <c r="E27" i="14" a="1"/>
  <c r="E10" i="14" a="1"/>
  <c r="E2" i="42" a="1"/>
  <c r="E24" i="14" a="1"/>
  <c r="C4" i="42" a="1"/>
  <c r="E28" i="14" a="1"/>
  <c r="E22" i="42" a="1"/>
  <c r="E4" i="42" a="1"/>
  <c r="E16" i="14" a="1"/>
  <c r="E24" i="42" a="1"/>
  <c r="E26" i="14" a="1"/>
  <c r="E7" i="14" a="1"/>
  <c r="E2" i="14" a="1"/>
  <c r="E22" i="14" a="1"/>
  <c r="C19" i="42" a="1"/>
  <c r="E13" i="14" a="1"/>
  <c r="E3" i="14" a="1"/>
  <c r="E18" i="42" a="1"/>
  <c r="E14" i="42" a="1"/>
  <c r="C23" i="42" a="1"/>
  <c r="E14" i="14" a="1"/>
  <c r="C20" i="42" a="1"/>
  <c r="C10" i="42" a="1"/>
  <c r="E27" i="42" a="1"/>
  <c r="E23" i="42" a="1"/>
  <c r="C11" i="42" a="1"/>
  <c r="E6" i="14" a="1"/>
  <c r="E21" i="14" a="1"/>
  <c r="C9" i="42" a="1"/>
  <c r="E13" i="42" a="1"/>
  <c r="C6" i="42" a="1"/>
  <c r="E8" i="42" a="1"/>
  <c r="C22" i="42" a="1"/>
  <c r="E15" i="14" a="1"/>
  <c r="C2" i="42" a="1"/>
  <c r="C12" i="42" a="1"/>
  <c r="E25" i="42" a="1"/>
  <c r="C2" i="6" a="1"/>
  <c r="C26" i="42" a="1"/>
  <c r="E6" i="42" a="1"/>
  <c r="C25" i="42" a="1"/>
  <c r="C16" i="42" a="1"/>
  <c r="E20" i="14" a="1"/>
  <c r="C24" i="42" a="1"/>
  <c r="E21" i="42" a="1"/>
  <c r="H2" i="6" a="1"/>
  <c r="C21" i="42" a="1"/>
  <c r="E17" i="14" a="1"/>
  <c r="E9" i="14" a="1"/>
  <c r="E12" i="14" a="1"/>
  <c r="E4" i="14" a="1"/>
  <c r="C7" i="42" a="1"/>
  <c r="E20" i="42" a="1"/>
  <c r="E23" i="14" a="1"/>
  <c r="C14" i="42" a="1"/>
  <c r="E12" i="42" a="1"/>
  <c r="E25" i="14" a="1"/>
  <c r="E8" i="14" a="1"/>
  <c r="C17" i="42" a="1"/>
  <c r="E28" i="42" a="1"/>
  <c r="E10" i="42" a="1"/>
  <c r="G115" i="12" a="1"/>
  <c r="G10" i="12" a="1"/>
  <c r="G56" i="12" a="1"/>
  <c r="F104" i="12" l="1"/>
  <c r="G56" i="12"/>
  <c r="G115" i="12"/>
  <c r="G10" i="12"/>
  <c r="F54" i="12"/>
  <c r="F10" i="12"/>
  <c r="F33" i="12"/>
  <c r="F113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15" i="42"/>
  <c r="E25" i="42"/>
  <c r="E2" i="42"/>
  <c r="E12" i="42"/>
  <c r="E22" i="42"/>
  <c r="E9" i="42"/>
  <c r="E19" i="42"/>
  <c r="E7" i="14"/>
  <c r="E17" i="14"/>
  <c r="E27" i="14"/>
  <c r="E8" i="14"/>
  <c r="E18" i="14"/>
  <c r="E28" i="14"/>
  <c r="E9" i="14"/>
  <c r="E19" i="14"/>
  <c r="E10" i="14"/>
  <c r="E20" i="14"/>
  <c r="E21" i="14"/>
  <c r="E12" i="14"/>
  <c r="E22" i="14"/>
  <c r="E3" i="14"/>
  <c r="E13" i="14"/>
  <c r="E23" i="14"/>
  <c r="E4" i="14"/>
  <c r="E14" i="14"/>
  <c r="E24" i="14"/>
  <c r="E15" i="14"/>
  <c r="E25" i="14"/>
  <c r="E6" i="14"/>
  <c r="E16" i="14"/>
  <c r="E26" i="14"/>
  <c r="E2" i="14"/>
  <c r="C2" i="41"/>
  <c r="G57" i="12" a="1"/>
  <c r="G116" i="12" a="1"/>
  <c r="G11" i="12" a="1"/>
  <c r="G11" i="12" l="1"/>
  <c r="G116" i="12"/>
  <c r="G57" i="12"/>
  <c r="A25" i="11"/>
  <c r="C20" i="14" a="1"/>
  <c r="C13" i="14" a="1"/>
  <c r="C23" i="14" a="1"/>
  <c r="C21" i="14" a="1"/>
  <c r="C18" i="13" a="1"/>
  <c r="E29" i="14" a="1"/>
  <c r="C3" i="33" a="1"/>
  <c r="C7" i="13" a="1"/>
  <c r="C27" i="14" a="1"/>
  <c r="C26" i="14" a="1"/>
  <c r="C20" i="13" a="1"/>
  <c r="C25" i="14" a="1"/>
  <c r="C2" i="14" a="1"/>
  <c r="C27" i="13" a="1"/>
  <c r="E5" i="42" a="1"/>
  <c r="C23" i="13" a="1"/>
  <c r="C16" i="14" a="1"/>
  <c r="C28" i="14" a="1"/>
  <c r="E5" i="14" a="1"/>
  <c r="C3" i="13" a="1"/>
  <c r="C8" i="14" a="1"/>
  <c r="C19" i="13" a="1"/>
  <c r="C3" i="14" a="1"/>
  <c r="C22" i="14" a="1"/>
  <c r="C26" i="13" a="1"/>
  <c r="C21" i="13" a="1"/>
  <c r="C19" i="14" a="1"/>
  <c r="C11" i="13" a="1"/>
  <c r="C11" i="14" a="1"/>
  <c r="C9" i="13" a="1"/>
  <c r="C17" i="14" a="1"/>
  <c r="C6" i="13" a="1"/>
  <c r="C17" i="13" a="1"/>
  <c r="C9" i="14" a="1"/>
  <c r="E29" i="42" a="1"/>
  <c r="C29" i="14" a="1"/>
  <c r="C4" i="13" a="1"/>
  <c r="C12" i="13" a="1"/>
  <c r="C3" i="7" a="1"/>
  <c r="C16" i="13" a="1"/>
  <c r="C14" i="13" a="1"/>
  <c r="C2" i="7" a="1"/>
  <c r="C25" i="13" a="1"/>
  <c r="C28" i="13" a="1"/>
  <c r="C10" i="13" a="1"/>
  <c r="C22" i="13" a="1"/>
  <c r="C14" i="14" a="1"/>
  <c r="C4" i="33" a="1"/>
  <c r="C10" i="14" a="1"/>
  <c r="C13" i="13" a="1"/>
  <c r="C5" i="13" a="1"/>
  <c r="C6" i="14" a="1"/>
  <c r="C12" i="14" a="1"/>
  <c r="C24" i="13" a="1"/>
  <c r="C8" i="13" a="1"/>
  <c r="C2" i="13" a="1"/>
  <c r="C29" i="13" a="1"/>
  <c r="C5" i="14" a="1"/>
  <c r="C15" i="14" a="1"/>
  <c r="C4" i="14" a="1"/>
  <c r="C15" i="13" a="1"/>
  <c r="C7" i="14" a="1"/>
  <c r="C2" i="33" a="1"/>
  <c r="C24" i="14" a="1"/>
  <c r="C18" i="14" a="1"/>
  <c r="G12" i="12" a="1"/>
  <c r="G117" i="12" a="1"/>
  <c r="G117" i="12" l="1"/>
  <c r="G12" i="12"/>
  <c r="F12" i="12" s="1"/>
  <c r="E5" i="14"/>
  <c r="E5" i="42"/>
  <c r="F55" i="12"/>
  <c r="F34" i="12"/>
  <c r="F114" i="12"/>
  <c r="F11" i="12"/>
  <c r="F56" i="12"/>
  <c r="F115" i="12"/>
  <c r="E29" i="14"/>
  <c r="E29" i="4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E11" i="42" a="1"/>
  <c r="E11" i="14" a="1"/>
  <c r="G118" i="12" a="1"/>
  <c r="G118" i="12" l="1"/>
  <c r="E11" i="42"/>
  <c r="E11" i="14"/>
  <c r="F116" i="12"/>
  <c r="F57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119" i="12" a="1"/>
  <c r="G119" i="12" l="1"/>
  <c r="A28" i="11"/>
  <c r="A27" i="11"/>
  <c r="F117" i="12" l="1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F118" i="12" l="1"/>
  <c r="F119" i="12" s="1"/>
  <c r="A4" i="3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5" i="12" l="1"/>
  <c r="A124" i="12"/>
  <c r="A26" i="11"/>
  <c r="A15" i="11"/>
  <c r="A110" i="12" l="1"/>
  <c r="A6" i="12"/>
  <c r="A8" i="13" l="1"/>
  <c r="A85" i="12"/>
  <c r="A40" i="12" l="1"/>
  <c r="A3" i="7" l="1"/>
  <c r="A122" i="12"/>
  <c r="A19" i="13"/>
  <c r="A15" i="13"/>
  <c r="A11" i="13"/>
  <c r="A98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3" i="12"/>
  <c r="A121" i="12"/>
  <c r="A120" i="12"/>
  <c r="A7" i="12"/>
  <c r="A5" i="12"/>
  <c r="A4" i="12"/>
  <c r="A8" i="12"/>
  <c r="A3" i="12"/>
  <c r="A2" i="12"/>
  <c r="A24" i="12"/>
  <c r="A20" i="12"/>
  <c r="A19" i="12"/>
  <c r="A115" i="12"/>
  <c r="A114" i="12"/>
  <c r="A113" i="12"/>
  <c r="A112" i="12"/>
  <c r="A111" i="12"/>
  <c r="A109" i="12"/>
  <c r="A108" i="12"/>
  <c r="A107" i="12"/>
  <c r="A106" i="12"/>
  <c r="A105" i="12"/>
  <c r="A90" i="12"/>
  <c r="A93" i="12"/>
  <c r="A91" i="12"/>
  <c r="A88" i="12"/>
  <c r="A101" i="12"/>
  <c r="A100" i="12"/>
  <c r="A99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23" i="2" a="1"/>
  <c r="C34" i="2" a="1"/>
  <c r="C27" i="2" a="1"/>
  <c r="C19" i="2" a="1"/>
  <c r="G16" i="11" a="1"/>
  <c r="C9" i="2" a="1"/>
  <c r="C22" i="2" a="1"/>
  <c r="H2" i="34" a="1"/>
  <c r="G13" i="11" a="1"/>
  <c r="C15" i="2" a="1"/>
  <c r="C38" i="2" a="1"/>
  <c r="C12" i="2" a="1"/>
  <c r="G6" i="11" a="1"/>
  <c r="C26" i="2" a="1"/>
  <c r="C2" i="2" a="1"/>
  <c r="G7" i="11" a="1"/>
  <c r="G10" i="11" a="1"/>
  <c r="C36" i="2" a="1"/>
  <c r="C13" i="2" a="1"/>
  <c r="G14" i="11" a="1"/>
  <c r="G5" i="11" a="1"/>
  <c r="C39" i="2" a="1"/>
  <c r="C37" i="2" a="1"/>
  <c r="G32" i="11" a="1"/>
  <c r="G22" i="11" a="1"/>
  <c r="C6" i="2" a="1"/>
  <c r="C30" i="2" a="1"/>
  <c r="G26" i="11" a="1"/>
  <c r="G2" i="11" a="1"/>
  <c r="C3" i="2" a="1"/>
  <c r="C31" i="2" a="1"/>
  <c r="G9" i="11" a="1"/>
  <c r="G20" i="11" a="1"/>
  <c r="C5" i="2" a="1"/>
  <c r="L2" i="34" a="1"/>
  <c r="G27" i="11" a="1"/>
  <c r="G4" i="11" a="1"/>
  <c r="C16" i="2" a="1"/>
  <c r="G33" i="11" a="1"/>
  <c r="G19" i="11" a="1"/>
  <c r="C20" i="2" a="1"/>
  <c r="G25" i="11" a="1"/>
  <c r="C24" i="2" a="1"/>
  <c r="C28" i="2" a="1"/>
  <c r="G21" i="11" a="1"/>
  <c r="C4" i="2" a="1"/>
  <c r="C32" i="2" a="1"/>
  <c r="G11" i="11" a="1"/>
  <c r="G15" i="11" a="1"/>
  <c r="C14" i="2" a="1"/>
  <c r="C10" i="2" a="1"/>
  <c r="G18" i="11" a="1"/>
  <c r="G24" i="11" a="1"/>
  <c r="C11" i="2" a="1"/>
  <c r="C29" i="2" a="1"/>
  <c r="G28" i="11" a="1"/>
  <c r="G12" i="11" a="1"/>
  <c r="H4" i="34" a="1"/>
  <c r="C18" i="2" a="1"/>
  <c r="G17" i="11" a="1"/>
  <c r="G29" i="11" a="1"/>
  <c r="C21" i="2" a="1"/>
  <c r="C35" i="2" a="1"/>
  <c r="G34" i="11" a="1"/>
  <c r="G30" i="11" a="1"/>
  <c r="C33" i="2" a="1"/>
  <c r="H3" i="34" a="1"/>
  <c r="G3" i="11" a="1"/>
  <c r="G35" i="11" a="1"/>
  <c r="C8" i="2" a="1"/>
  <c r="C25" i="2" a="1"/>
  <c r="G8" i="11" a="1"/>
  <c r="C7" i="2" a="1"/>
  <c r="C17" i="2" a="1"/>
  <c r="G31" i="11" a="1"/>
  <c r="G23" i="11" a="1"/>
  <c r="H4" i="34" l="1"/>
  <c r="H3" i="34"/>
  <c r="H2" i="34"/>
  <c r="L2" i="34"/>
  <c r="G16" i="1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4" i="4" a="1"/>
  <c r="F38" i="4" a="1"/>
  <c r="F27" i="4" a="1"/>
  <c r="F34" i="4" a="1"/>
  <c r="F29" i="4" a="1"/>
  <c r="F6" i="4" a="1"/>
  <c r="F3" i="4" a="1"/>
  <c r="F23" i="4" a="1"/>
  <c r="F45" i="4" a="1"/>
  <c r="F51" i="4" a="1"/>
  <c r="F2" i="4" a="1"/>
  <c r="F47" i="4" a="1"/>
  <c r="F20" i="4" a="1"/>
  <c r="F9" i="4" a="1"/>
  <c r="F12" i="4" a="1"/>
  <c r="F10" i="4" a="1"/>
  <c r="F46" i="4" a="1"/>
  <c r="F40" i="4" a="1"/>
  <c r="F35" i="4" a="1"/>
  <c r="F26" i="4" a="1"/>
  <c r="F49" i="4" a="1"/>
  <c r="F28" i="4" a="1"/>
  <c r="F17" i="4" a="1"/>
  <c r="F33" i="4" a="1"/>
  <c r="F48" i="4" a="1"/>
  <c r="F8" i="4" a="1"/>
  <c r="F32" i="4" a="1"/>
  <c r="F21" i="4" a="1"/>
  <c r="F7" i="4" a="1"/>
  <c r="F14" i="4" a="1"/>
  <c r="F31" i="4" a="1"/>
  <c r="F30" i="4" a="1"/>
  <c r="F50" i="4" a="1"/>
  <c r="F44" i="4" a="1"/>
  <c r="F43" i="4" a="1"/>
  <c r="F41" i="4" a="1"/>
  <c r="F42" i="4" a="1"/>
  <c r="F39" i="4" a="1"/>
  <c r="F37" i="4" a="1"/>
  <c r="F53" i="4" a="1"/>
  <c r="F18" i="4" a="1"/>
  <c r="F25" i="4" a="1"/>
  <c r="F19" i="4" a="1"/>
  <c r="F52" i="4" a="1"/>
  <c r="F11" i="4" a="1"/>
  <c r="F5" i="4" a="1"/>
  <c r="F15" i="4" a="1"/>
  <c r="F36" i="4" a="1"/>
  <c r="F22" i="4" a="1"/>
  <c r="F13" i="4" a="1"/>
  <c r="F24" i="4" a="1"/>
  <c r="F16" i="4" a="1"/>
  <c r="F52" i="4" l="1"/>
  <c r="F51" i="4"/>
  <c r="F53" i="4"/>
  <c r="F15" i="4"/>
  <c r="F36" i="4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<sst xmlns="http://schemas.openxmlformats.org/spreadsheetml/2006/main" count="2517" uniqueCount="922">
  <si>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</si>
  <si>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</si>
  <si>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</si>
  <si>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</si>
  <si>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</si>
  <si>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</si>
  <si>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</si>
  <si>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</si>
  <si>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</si>
  <si>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</si>
  <si>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</si>
  <si>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</si>
  <si>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</si>
  <si>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</si>
  <si>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</si>
  <si>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</si>
  <si>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</si>
  <si>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</si>
  <si>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</si>
  <si>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</si>
  <si>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</si>
  <si>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</si>
  <si>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</si>
  <si>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</si>
  <si>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</si>
  <si>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</si>
  <si>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</si>
  <si>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</si>
  <si>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</si>
  <si>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</si>
  <si>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</si>
  <si>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</si>
  <si>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</si>
  <si>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</si>
  <si>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</si>
  <si>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</si>
  <si>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</si>
  <si>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</si>
  <si>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</si>
  <si>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</si>
  <si>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</si>
  <si>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</si>
  <si>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</si>
  <si>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</si>
  <si>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</si>
  <si>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</si>
  <si>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</si>
  <si>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</si>
  <si>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</si>
  <si>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</si>
  <si>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</si>
  <si>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</si>
  <si>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</si>
  <si>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</si>
  <si>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</si>
  <si>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</si>
  <si>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</si>
  <si>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</si>
  <si>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</si>
  <si>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</si>
  <si>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</si>
  <si>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</si>
  <si>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</si>
  <si>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</si>
  <si>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</si>
  <si>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</si>
  <si>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</si>
  <si>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</si>
  <si>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</si>
  <si>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</si>
  <si>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</si>
  <si>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</si>
  <si>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</si>
  <si>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</si>
  <si>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</si>
  <si>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</si>
  <si>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</si>
  <si>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</si>
  <si>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</si>
  <si>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</si>
  <si>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</si>
  <si>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</si>
  <si>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</si>
  <si>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</si>
  <si>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</si>
  <si>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</si>
  <si>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</si>
  <si>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</si>
  <si>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</si>
  <si>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</si>
  <si>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</si>
  <si>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</si>
  <si>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</si>
  <si>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</si>
  <si>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</si>
  <si>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</si>
  <si>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</si>
  <si>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</si>
  <si>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</si>
  <si>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</si>
  <si>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</si>
  <si>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</si>
  <si>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</si>
  <si>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</si>
  <si>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</si>
  <si>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</si>
  <si>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</si>
  <si>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</si>
  <si>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</si>
  <si>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</si>
  <si>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</si>
  <si>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</si>
  <si>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</si>
  <si>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</si>
  <si>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</si>
  <si>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</si>
  <si>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</si>
  <si>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</si>
  <si>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</si>
  <si>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</si>
  <si>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</si>
  <si>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</si>
  <si>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</si>
  <si>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</si>
  <si>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</si>
  <si>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</si>
  <si>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</si>
  <si>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</si>
  <si>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</si>
  <si>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</si>
  <si>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</si>
  <si>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</si>
  <si>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</si>
  <si>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</si>
  <si>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</si>
  <si>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</si>
  <si>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</si>
  <si>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</si>
  <si>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</si>
  <si>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</si>
  <si>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</si>
  <si>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</si>
  <si>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</si>
  <si>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</si>
  <si>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</si>
  <si>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</si>
  <si>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</si>
  <si>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</si>
  <si>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</si>
  <si>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</si>
  <si>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</si>
  <si>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</si>
  <si>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</si>
  <si>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</si>
  <si>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</si>
  <si>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</si>
  <si>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</si>
  <si>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</si>
  <si>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</si>
  <si>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</si>
  <si>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</si>
  <si>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</si>
  <si>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</si>
  <si>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</si>
  <si>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</si>
  <si>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</si>
  <si>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</si>
  <si>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</si>
  <si>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</si>
  <si>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</si>
  <si>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</si>
  <si>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</si>
  <si>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</si>
  <si>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</si>
  <si>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</si>
  <si>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</si>
  <si>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</si>
  <si>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</si>
  <si>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</si>
  <si>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</si>
  <si>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</si>
  <si>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</si>
  <si>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</si>
  <si>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</si>
  <si>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</si>
  <si>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</si>
  <si>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</si>
  <si>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</si>
  <si>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</si>
  <si>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</si>
  <si>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</si>
  <si>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</si>
  <si>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</si>
  <si>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</si>
  <si>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</si>
  <si>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</si>
  <si>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</si>
  <si>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</si>
  <si>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</si>
  <si>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</si>
  <si>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</si>
  <si>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</si>
  <si>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</si>
  <si>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</si>
  <si>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</si>
  <si>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</si>
  <si>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</si>
  <si>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</si>
  <si>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</si>
  <si>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</si>
  <si>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</si>
  <si>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</si>
  <si>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</si>
  <si>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</si>
  <si>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</si>
  <si>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</si>
  <si>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</si>
  <si>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</si>
  <si>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</si>
  <si>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</si>
  <si>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</si>
  <si>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</si>
  <si>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</si>
  <si>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</si>
  <si>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</si>
  <si>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</si>
  <si>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</si>
  <si>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</si>
  <si>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</si>
  <si>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</si>
  <si>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</si>
  <si>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</si>
  <si>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</si>
  <si>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</si>
  <si>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</si>
  <si>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</si>
  <si>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</si>
  <si>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</si>
  <si>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</si>
  <si>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</si>
  <si>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</si>
  <si>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</si>
  <si>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</si>
  <si>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</si>
  <si>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</si>
  <si>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</si>
  <si>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</si>
  <si>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</si>
  <si>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</si>
  <si>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</si>
  <si>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</si>
  <si>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</si>
  <si>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</si>
  <si>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</si>
  <si>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</si>
  <si>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</si>
  <si>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</si>
  <si>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</si>
  <si>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</si>
  <si>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</si>
  <si>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</si>
  <si>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</si>
  <si>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</si>
  <si>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</si>
  <si>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</si>
  <si>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</si>
  <si>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</si>
  <si>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</si>
  <si>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</si>
  <si>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</si>
  <si>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</si>
  <si>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</si>
  <si>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</si>
  <si>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</si>
  <si>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</si>
  <si>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</si>
  <si>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</si>
  <si>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</si>
  <si>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</si>
  <si>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</si>
  <si>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</si>
  <si>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</si>
  <si>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</si>
  <si>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</si>
  <si>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</si>
  <si>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</si>
  <si>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</si>
  <si>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</si>
  <si>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</si>
  <si>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</si>
  <si>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</si>
  <si>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</si>
  <si>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</si>
  <si>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</si>
  <si>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</si>
  <si>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</si>
  <si>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</si>
  <si>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</si>
  <si>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</si>
  <si>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</si>
  <si>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</si>
  <si>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</si>
  <si>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</si>
  <si>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</si>
  <si>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</si>
  <si>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</si>
  <si>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</si>
  <si>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</si>
  <si>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</si>
  <si>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</si>
  <si>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</si>
  <si>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</si>
  <si>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</si>
  <si>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</si>
  <si>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</si>
  <si>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</si>
  <si>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</si>
  <si>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</si>
  <si>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</si>
  <si>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</si>
  <si>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</si>
  <si>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</si>
  <si>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</si>
  <si>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</si>
  <si>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</si>
  <si>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</si>
  <si>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</si>
  <si>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</si>
  <si>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</si>
  <si>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</si>
  <si>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</si>
  <si>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</si>
  <si>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</si>
  <si>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</si>
  <si>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</si>
  <si>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</si>
  <si>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</si>
  <si>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</si>
  <si>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</si>
  <si>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</si>
  <si>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</si>
  <si>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</si>
  <si>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</si>
  <si>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</si>
  <si>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</si>
  <si>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</si>
  <si>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</si>
  <si>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</si>
  <si>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</si>
  <si>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</si>
  <si>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</si>
  <si>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</si>
  <si>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</si>
  <si>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</si>
  <si>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</si>
  <si>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</si>
  <si>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</si>
  <si>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</si>
  <si>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</si>
  <si>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</si>
  <si>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</si>
  <si>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</si>
  <si>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</si>
  <si>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</si>
  <si>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</si>
  <si>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</si>
  <si>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</si>
  <si>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</si>
  <si>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</si>
  <si>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</si>
  <si>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</si>
  <si>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</si>
  <si>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</si>
  <si>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</si>
  <si>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</si>
  <si>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</si>
  <si>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</si>
  <si>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</si>
  <si>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</si>
  <si>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</si>
  <si>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</si>
  <si>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</si>
  <si>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</si>
  <si>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</si>
  <si>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</si>
  <si>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</si>
  <si>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</si>
  <si>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</si>
  <si>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</si>
  <si>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</si>
  <si>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</si>
  <si>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</si>
  <si>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</si>
  <si>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</si>
  <si>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</si>
  <si>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</si>
  <si>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</si>
  <si>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</si>
  <si>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</si>
  <si>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</si>
  <si>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</si>
  <si>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</si>
  <si>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</si>
  <si>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</si>
  <si>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</si>
  <si>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</si>
  <si>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</si>
  <si>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</si>
  <si>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</si>
  <si>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</si>
  <si>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</si>
  <si>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</si>
  <si>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</si>
  <si>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</si>
  <si>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</si>
  <si>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</si>
  <si>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</si>
  <si>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</si>
  <si>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</si>
  <si>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</si>
  <si>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</si>
  <si>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</si>
  <si>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</si>
  <si>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</si>
  <si>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</si>
  <si>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</si>
  <si>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</si>
  <si>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</si>
  <si>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</si>
  <si>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</si>
  <si>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</si>
  <si>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</si>
  <si>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</si>
  <si>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</si>
  <si>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</si>
  <si>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</si>
  <si>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</si>
  <si>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</si>
  <si>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</si>
  <si>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</si>
  <si>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</si>
  <si>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</si>
  <si>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</si>
  <si>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</si>
  <si>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</si>
  <si>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</si>
  <si>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</si>
  <si>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</si>
  <si>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</si>
  <si>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</si>
  <si>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</si>
  <si>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</si>
  <si>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</si>
  <si>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</si>
  <si>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</si>
  <si>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</si>
  <si>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</si>
  <si>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</si>
  <si>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</si>
  <si>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</si>
  <si>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</si>
  <si>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</si>
  <si>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</si>
  <si>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</si>
  <si>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</si>
  <si>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</si>
  <si>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</si>
  <si>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</si>
  <si>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</si>
  <si>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</si>
  <si>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</si>
  <si>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</si>
  <si>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</si>
  <si>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</si>
  <si>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</si>
  <si>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</si>
  <si>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</si>
  <si>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</si>
  <si>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</si>
  <si>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</si>
  <si>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</si>
  <si>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</si>
  <si>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</si>
  <si>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</si>
  <si>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</si>
  <si>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</si>
  <si>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</si>
  <si>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</si>
  <si>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</si>
  <si>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</si>
  <si>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</si>
  <si>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</si>
  <si>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</si>
  <si>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</si>
  <si>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</si>
  <si>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</si>
  <si>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Provedor do SGBD</t>
  </si>
  <si>
    <t>Provedor</t>
  </si>
  <si>
    <t>Pede Diretório?</t>
  </si>
  <si>
    <t>Diretório?</t>
  </si>
  <si>
    <t>LeftParenthesis</t>
  </si>
  <si>
    <t>RightParenthesis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</si>
  <si>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</si>
  <si>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</si>
  <si>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</si>
  <si>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</si>
  <si>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</si>
  <si>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</si>
  <si>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</si>
  <si>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</si>
  <si>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</si>
  <si>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</si>
  <si>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</si>
  <si>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</si>
  <si>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</si>
  <si>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</si>
  <si>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</si>
  <si>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</si>
  <si>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</si>
  <si>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</si>
  <si>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</si>
  <si>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</si>
  <si>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</si>
  <si>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</si>
  <si>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</si>
  <si>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</si>
  <si>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</si>
  <si>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</si>
  <si>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</si>
  <si>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</si>
  <si>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</si>
  <si>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</si>
  <si>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</si>
  <si>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</si>
  <si>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</si>
  <si>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</si>
  <si>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</si>
  <si>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</si>
  <si>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</si>
  <si>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</si>
  <si>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</si>
  <si>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</si>
  <si>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</si>
  <si>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</si>
  <si>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</si>
  <si>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</si>
  <si>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</si>
  <si>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</si>
  <si>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</si>
  <si>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</si>
  <si>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</si>
  <si>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</si>
  <si>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</si>
  <si>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</si>
  <si>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</si>
  <si>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</si>
  <si>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</si>
  <si>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</si>
  <si>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</si>
  <si>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</si>
  <si>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</si>
  <si>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</si>
  <si>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</si>
  <si>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</si>
  <si>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</si>
  <si>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</si>
  <si>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</si>
  <si>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</si>
  <si>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</si>
  <si>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</si>
  <si>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</si>
  <si>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</si>
  <si>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</si>
  <si>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</si>
  <si>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</si>
  <si>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</si>
  <si>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</si>
  <si>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</si>
  <si>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</si>
  <si>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</si>
  <si>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</si>
  <si>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</si>
  <si>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</si>
  <si>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</si>
  <si>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</si>
  <si>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</si>
  <si>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</si>
  <si>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</si>
  <si>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</si>
  <si>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</si>
  <si>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</si>
  <si>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</si>
  <si>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</si>
  <si>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</si>
  <si>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</si>
  <si>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</si>
  <si>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</si>
  <si>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</si>
  <si>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</si>
  <si>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</si>
  <si>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</si>
  <si>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</si>
  <si>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</si>
  <si>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</si>
  <si>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</si>
  <si>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IsBirectional</t>
  </si>
  <si>
    <t>Coluna</t>
  </si>
  <si>
    <t>LeftColumnId</t>
  </si>
  <si>
    <t>RightColumnId</t>
  </si>
  <si>
    <t>#RightTableColumnName</t>
  </si>
  <si>
    <t>#LeftTableColumnName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</si>
  <si>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</si>
  <si>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</si>
  <si>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</si>
  <si>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</si>
  <si>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</si>
  <si>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</si>
  <si>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</si>
  <si>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</si>
  <si>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</si>
  <si>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</si>
  <si>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</si>
  <si>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</si>
  <si>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</si>
  <si>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</si>
  <si>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</si>
  <si>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</si>
  <si>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</si>
  <si>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</si>
  <si>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</si>
  <si>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</si>
  <si>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</si>
  <si>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</si>
  <si>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</si>
  <si>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</si>
  <si>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</si>
  <si>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</si>
  <si>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</si>
  <si>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</si>
  <si>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</si>
  <si>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</si>
  <si>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</si>
  <si>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</si>
  <si>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</si>
  <si>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</si>
  <si>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</si>
  <si>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</si>
  <si>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</si>
  <si>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</si>
  <si>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</si>
  <si>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</si>
  <si>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</si>
  <si>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</si>
  <si>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</si>
  <si>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</si>
  <si>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</si>
  <si>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</si>
  <si>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</si>
  <si>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</si>
  <si>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</si>
  <si>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</si>
  <si>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</si>
  <si>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</si>
  <si>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</si>
  <si>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</si>
  <si>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</si>
  <si>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</si>
  <si>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</si>
  <si>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</si>
  <si>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</si>
  <si>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</si>
  <si>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</si>
  <si>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</si>
  <si>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</si>
  <si>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</si>
  <si>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</si>
  <si>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</si>
  <si>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</si>
  <si>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</si>
  <si>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</si>
  <si>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</si>
  <si>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</si>
  <si>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</si>
  <si>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</si>
  <si>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</si>
  <si>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</si>
  <si>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</si>
  <si>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</si>
  <si>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</si>
  <si>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</si>
  <si>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</si>
  <si>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</si>
  <si>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</si>
  <si>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</si>
  <si>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</si>
  <si>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</si>
  <si>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</si>
  <si>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</si>
  <si>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</si>
  <si>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</si>
  <si>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</si>
  <si>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</si>
  <si>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</si>
  <si>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</si>
  <si>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</si>
  <si>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</si>
  <si>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</si>
  <si>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</si>
  <si>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</si>
  <si>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</si>
  <si>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</si>
  <si>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</si>
  <si>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</si>
  <si>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</si>
  <si>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</si>
  <si>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</si>
  <si>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</si>
  <si>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</si>
  <si>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</si>
  <si>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</si>
  <si>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</si>
  <si>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</si>
  <si>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</si>
  <si>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</si>
  <si>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</si>
  <si>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</si>
  <si>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</si>
  <si>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</si>
  <si>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</si>
  <si>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</si>
  <si>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Sessões de Logins</t>
  </si>
  <si>
    <t>Categ. x Comparad.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</si>
  <si>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</si>
  <si>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</si>
  <si>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</si>
  <si>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</si>
  <si>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</si>
  <si>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</si>
  <si>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</si>
  <si>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</si>
  <si>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</si>
  <si>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</si>
  <si>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</si>
  <si>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</si>
  <si>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</si>
  <si>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</si>
  <si>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</si>
  <si>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</si>
  <si>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</si>
  <si>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</si>
  <si>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</si>
  <si>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</si>
  <si>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</si>
  <si>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</si>
  <si>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</si>
  <si>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</si>
  <si>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</si>
  <si>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</si>
  <si>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</si>
  <si>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</si>
  <si>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</si>
  <si>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</si>
  <si>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</si>
  <si>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</si>
  <si>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</si>
  <si>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</si>
  <si>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</si>
  <si>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</si>
  <si>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</si>
  <si>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</si>
  <si>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</si>
  <si>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</si>
  <si>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</si>
  <si>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</si>
  <si>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</si>
  <si>
    <t>#RightTableAlias</t>
  </si>
  <si>
    <t>#LeftTableAlias</t>
  </si>
  <si>
    <t>#LeftColumnName</t>
  </si>
  <si>
    <t>#RightColumnName</t>
  </si>
  <si>
    <t>Id da inclusão de índice</t>
  </si>
  <si>
    <t>Id da unicidade cruzada</t>
  </si>
  <si>
    <t>Id da coluna à esquerda</t>
  </si>
  <si>
    <t>Id da coluna à direita</t>
  </si>
  <si>
    <t>É bidirecional?</t>
  </si>
  <si>
    <t>Coluna à esquerda</t>
  </si>
  <si>
    <t>Coluna à direita</t>
  </si>
  <si>
    <t>Bidirecional?</t>
  </si>
  <si>
    <t>Id da expressão lógica</t>
  </si>
  <si>
    <t>Nome da expressão lógica</t>
  </si>
  <si>
    <t>Id da condição lógica</t>
  </si>
  <si>
    <t>Sequência da condição lógica</t>
  </si>
  <si>
    <t>Conector lógico</t>
  </si>
  <si>
    <t>Parênteses à esquerda</t>
  </si>
  <si>
    <t>Valor à direita</t>
  </si>
  <si>
    <t>Parênteses à direita</t>
  </si>
  <si>
    <t>Expressão</t>
  </si>
  <si>
    <t>Conector</t>
  </si>
  <si>
    <t>#ComparatorSymbol</t>
  </si>
  <si>
    <t>Id da referência</t>
  </si>
  <si>
    <t>Id do usuário</t>
  </si>
  <si>
    <t>Senha</t>
  </si>
  <si>
    <t>Tentativas de logins</t>
  </si>
  <si>
    <t>Usuário é ativo?</t>
  </si>
  <si>
    <t>Tentativas</t>
  </si>
  <si>
    <t>Id da permissão</t>
  </si>
  <si>
    <t>Id da usuário</t>
  </si>
  <si>
    <t>Pode incluir?</t>
  </si>
  <si>
    <t>Pode consultar?</t>
  </si>
  <si>
    <t>Pode alterar?</t>
  </si>
  <si>
    <t>Pode excluir?</t>
  </si>
  <si>
    <t>Usuário</t>
  </si>
  <si>
    <t>Incluir?</t>
  </si>
  <si>
    <t>Consultar?</t>
  </si>
  <si>
    <t>Alterar?</t>
  </si>
  <si>
    <t>Excluir?</t>
  </si>
  <si>
    <t>Descrição da propriedade</t>
  </si>
  <si>
    <t>Propriedade é ativa?</t>
  </si>
  <si>
    <t>Id da propriedade</t>
  </si>
  <si>
    <t>Nome da propriedade</t>
  </si>
  <si>
    <t>Id da categoria da propriedade</t>
  </si>
  <si>
    <t>Ativa?</t>
  </si>
  <si>
    <t>Propriedade</t>
  </si>
  <si>
    <t>Valor</t>
  </si>
  <si>
    <t>Valor da propriedade</t>
  </si>
  <si>
    <t>Id do agendamento</t>
  </si>
  <si>
    <t>Cliente do agendamento</t>
  </si>
  <si>
    <t>Nome do agendamento</t>
  </si>
  <si>
    <t>Intervalo do agendamento</t>
  </si>
  <si>
    <t>Periodicidade do agendamento</t>
  </si>
  <si>
    <t>Hora do dia do agendamento</t>
  </si>
  <si>
    <t>Dia do mês do agendamento</t>
  </si>
  <si>
    <t>Data da próxima execução do agendamento</t>
  </si>
  <si>
    <t>É dia útil?</t>
  </si>
  <si>
    <t>Agendamento é ativo?</t>
  </si>
  <si>
    <t>Agendamento executa apenas uma vez?</t>
  </si>
  <si>
    <t>É primeiro ou último dia?</t>
  </si>
  <si>
    <t>Intervalo</t>
  </si>
  <si>
    <t>Periodicidade</t>
  </si>
  <si>
    <t>Hora</t>
  </si>
  <si>
    <t>Dia</t>
  </si>
  <si>
    <t>Próxima data</t>
  </si>
  <si>
    <t>Primeiro/último dia?</t>
  </si>
  <si>
    <t>Dia útil?</t>
  </si>
  <si>
    <t>Uma vez?</t>
  </si>
  <si>
    <t>Id do comportamento</t>
  </si>
  <si>
    <t>Id do gancho</t>
  </si>
  <si>
    <t>É pré-CRUD?</t>
  </si>
  <si>
    <t>Gancho é ativo?</t>
  </si>
  <si>
    <t>Pré-CRUD?</t>
  </si>
  <si>
    <t>Id do script</t>
  </si>
  <si>
    <t>Gancho</t>
  </si>
  <si>
    <t>Id da URL</t>
  </si>
  <si>
    <t>URL</t>
  </si>
  <si>
    <t>Sequência do script</t>
  </si>
  <si>
    <t>Sequência da URL</t>
  </si>
  <si>
    <t>Método da URL</t>
  </si>
  <si>
    <t>Método</t>
  </si>
  <si>
    <t>Id da sessão</t>
  </si>
  <si>
    <t>Id do sistema</t>
  </si>
  <si>
    <t>Chave pública</t>
  </si>
  <si>
    <t>Sessão está conectada?</t>
  </si>
  <si>
    <t>Conectada?</t>
  </si>
  <si>
    <t>Id da transação</t>
  </si>
  <si>
    <t>Transação confirmada?</t>
  </si>
  <si>
    <t>Sessão</t>
  </si>
  <si>
    <t>Confirmada?</t>
  </si>
  <si>
    <t>Id da operação</t>
  </si>
  <si>
    <t>Ação da operação</t>
  </si>
  <si>
    <t>Registro anterior da operação</t>
  </si>
  <si>
    <t>Registro atual da operação</t>
  </si>
  <si>
    <t>Operação é confirmada?</t>
  </si>
  <si>
    <t>Transação</t>
  </si>
  <si>
    <t>Ação</t>
  </si>
  <si>
    <t>Registro anterior</t>
  </si>
  <si>
    <t>Registro atual</t>
  </si>
  <si>
    <t>Id da t abela</t>
  </si>
  <si>
    <t>Nome do índice</t>
  </si>
  <si>
    <t>É índice único?</t>
  </si>
  <si>
    <t>Único?</t>
  </si>
  <si>
    <t>Id da coluna chave</t>
  </si>
  <si>
    <t>Sequência da coluna chave</t>
  </si>
  <si>
    <t>É unicidade bidirecional?</t>
  </si>
  <si>
    <t>Id do comparador lógico</t>
  </si>
  <si>
    <t>Alias da referência</t>
  </si>
  <si>
    <t>URL's</t>
  </si>
  <si>
    <t>Scripts de Snipers</t>
  </si>
  <si>
    <t>URL's HTTP/HTTPS de Snipers</t>
  </si>
  <si>
    <t>Snipers</t>
  </si>
  <si>
    <t>Snp</t>
  </si>
  <si>
    <t>Snipers Pré/Pós CRUD</t>
  </si>
  <si>
    <t>Id do sniper</t>
  </si>
  <si>
    <t>Tabela do sniper</t>
  </si>
  <si>
    <t>Nome do sniper</t>
  </si>
  <si>
    <t>IsVirtual</t>
  </si>
  <si>
    <t>É virtual?</t>
  </si>
  <si>
    <t>Virtual?</t>
  </si>
  <si>
    <t>Cadastro</t>
  </si>
  <si>
    <t>Associação</t>
  </si>
  <si>
    <t>Manutenção de Tabelas de Definição</t>
  </si>
  <si>
    <t>Definição</t>
  </si>
  <si>
    <t>Engine</t>
  </si>
  <si>
    <t>IsParentChild</t>
  </si>
  <si>
    <t>Tabela complementar</t>
  </si>
  <si>
    <t>#SniperName</t>
  </si>
  <si>
    <t>Expressions</t>
  </si>
  <si>
    <t>Expression 0001</t>
  </si>
  <si>
    <t>SniperId</t>
  </si>
  <si>
    <t>ValidMask: 9 = numérico; A = alfabético; X = alfanumérico; # = alfanumérico ou especial</t>
  </si>
  <si>
    <t>RightValues</t>
  </si>
  <si>
    <t>5;10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</si>
  <si>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</si>
  <si>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</si>
  <si>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</si>
  <si>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</si>
  <si>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</si>
  <si>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</si>
  <si>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</si>
  <si>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</si>
  <si>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</si>
  <si>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</si>
  <si>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((</t>
  </si>
  <si>
    <t>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</si>
</sst>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D15" sqref="D15"/>
    </sheetView>
  </sheetViews>
  <sheetFormatPr defaultColWidth="11.6640625" defaultRowHeight="14.4"/>
  <cols>
    <col min="1" max="1" width="3" bestFit="1" customWidth="1"/>
    <col min="2" max="2" width="10.33203125" bestFit="1" customWidth="1"/>
    <col min="3" max="3" width="12.44140625" bestFit="1" customWidth="1"/>
    <col min="4" max="4" width="12.88671875" bestFit="1" customWidth="1"/>
    <col min="5" max="5" width="13.33203125" bestFit="1" customWidth="1"/>
    <col min="6" max="8" width="12.44140625" bestFit="1" customWidth="1"/>
    <col min="9" max="9" width="12.6640625" bestFit="1" customWidth="1"/>
    <col min="10" max="10" width="13.109375" style="6" bestFit="1" customWidth="1"/>
    <col min="11" max="11" width="12.441406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170</v>
      </c>
      <c r="G1" s="1" t="s">
        <v>2</v>
      </c>
      <c r="H1" s="1" t="s">
        <v>167</v>
      </c>
      <c r="I1" s="1" t="s">
        <v>23</v>
      </c>
      <c r="J1" s="1" t="s">
        <v>591</v>
      </c>
      <c r="K1" s="1" t="s">
        <v>518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207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tabSelected="1" workbookViewId="0">
      <pane ySplit="1" topLeftCell="A2" activePane="bottomLeft" state="frozen"/>
      <selection pane="bottomLeft" activeCell="B15" sqref="B15"/>
    </sheetView>
  </sheetViews>
  <sheetFormatPr defaultColWidth="9.109375" defaultRowHeight="14.4"/>
  <cols>
    <col min="1" max="1" width="3" bestFit="1" customWidth="1"/>
    <col min="2" max="2" width="7.5546875" style="6" bestFit="1" customWidth="1"/>
    <col min="3" max="3" width="22" bestFit="1" customWidth="1"/>
    <col min="4" max="4" width="5.33203125" bestFit="1" customWidth="1"/>
  </cols>
  <sheetData>
    <row r="1" spans="1:4" s="1" customFormat="1">
      <c r="A1" s="1" t="s">
        <v>0</v>
      </c>
      <c r="B1" s="1" t="s">
        <v>611</v>
      </c>
      <c r="C1" s="1" t="s">
        <v>66</v>
      </c>
      <c r="D1" s="1" t="s">
        <v>612</v>
      </c>
    </row>
    <row r="2" spans="1:4">
      <c r="A2">
        <f>ROW(A2)-1</f>
        <v>1</v>
      </c>
      <c r="B2" s="6" t="s">
        <v>368</v>
      </c>
      <c r="C2" t="s">
        <v>693</v>
      </c>
      <c r="D2">
        <v>2</v>
      </c>
    </row>
    <row r="3" spans="1:4">
      <c r="A3">
        <f>ROW(A3)-1</f>
        <v>2</v>
      </c>
      <c r="B3" s="6" t="s">
        <v>613</v>
      </c>
      <c r="C3" t="s">
        <v>626</v>
      </c>
      <c r="D3">
        <v>2</v>
      </c>
    </row>
    <row r="4" spans="1:4">
      <c r="A4">
        <f>ROW(A4)-1</f>
        <v>3</v>
      </c>
      <c r="B4" s="6" t="s">
        <v>451</v>
      </c>
      <c r="C4" t="s">
        <v>627</v>
      </c>
      <c r="D4">
        <v>2</v>
      </c>
    </row>
    <row r="5" spans="1:4">
      <c r="A5">
        <f>ROW(A5)-1</f>
        <v>4</v>
      </c>
      <c r="B5" s="6" t="s">
        <v>614</v>
      </c>
      <c r="C5" t="s">
        <v>628</v>
      </c>
      <c r="D5">
        <v>2</v>
      </c>
    </row>
    <row r="6" spans="1:4">
      <c r="A6">
        <f t="shared" ref="A6:A15" si="0">ROW(A6)-1</f>
        <v>5</v>
      </c>
      <c r="B6" s="6" t="s">
        <v>615</v>
      </c>
      <c r="C6" t="s">
        <v>624</v>
      </c>
      <c r="D6">
        <v>2</v>
      </c>
    </row>
    <row r="7" spans="1:4">
      <c r="A7">
        <f t="shared" si="0"/>
        <v>6</v>
      </c>
      <c r="B7" s="6" t="s">
        <v>369</v>
      </c>
      <c r="C7" t="s">
        <v>625</v>
      </c>
      <c r="D7">
        <v>2</v>
      </c>
    </row>
    <row r="8" spans="1:4">
      <c r="A8">
        <f t="shared" si="0"/>
        <v>7</v>
      </c>
      <c r="B8" s="6" t="s">
        <v>616</v>
      </c>
      <c r="C8" t="s">
        <v>629</v>
      </c>
    </row>
    <row r="9" spans="1:4">
      <c r="A9">
        <f t="shared" si="0"/>
        <v>8</v>
      </c>
      <c r="B9" s="6" t="s">
        <v>617</v>
      </c>
      <c r="C9" t="s">
        <v>630</v>
      </c>
    </row>
    <row r="10" spans="1:4">
      <c r="A10">
        <f t="shared" si="0"/>
        <v>9</v>
      </c>
      <c r="B10" s="6" t="s">
        <v>618</v>
      </c>
      <c r="C10" t="s">
        <v>631</v>
      </c>
      <c r="D10">
        <v>2</v>
      </c>
    </row>
    <row r="11" spans="1:4">
      <c r="A11">
        <f t="shared" si="0"/>
        <v>10</v>
      </c>
      <c r="B11" s="6" t="s">
        <v>619</v>
      </c>
      <c r="C11" t="s">
        <v>632</v>
      </c>
      <c r="D11">
        <v>2</v>
      </c>
    </row>
    <row r="12" spans="1:4">
      <c r="A12">
        <f t="shared" si="0"/>
        <v>11</v>
      </c>
      <c r="B12" s="6" t="s">
        <v>620</v>
      </c>
      <c r="C12" t="s">
        <v>634</v>
      </c>
      <c r="D12">
        <v>3</v>
      </c>
    </row>
    <row r="13" spans="1:4">
      <c r="A13">
        <f t="shared" si="0"/>
        <v>12</v>
      </c>
      <c r="B13" s="6" t="s">
        <v>621</v>
      </c>
      <c r="C13" t="s">
        <v>633</v>
      </c>
      <c r="D13">
        <v>3</v>
      </c>
    </row>
    <row r="14" spans="1:4">
      <c r="A14">
        <f t="shared" si="0"/>
        <v>13</v>
      </c>
      <c r="B14" s="6" t="s">
        <v>622</v>
      </c>
      <c r="C14" t="s">
        <v>635</v>
      </c>
      <c r="D14">
        <v>1</v>
      </c>
    </row>
    <row r="15" spans="1:4">
      <c r="A15">
        <f t="shared" si="0"/>
        <v>14</v>
      </c>
      <c r="B15" s="6" t="s">
        <v>623</v>
      </c>
      <c r="C15" t="s">
        <v>636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2" activePane="bottomLeft" state="frozen"/>
      <selection pane="bottomLeft" activeCell="E69" sqref="E69"/>
    </sheetView>
  </sheetViews>
  <sheetFormatPr defaultColWidth="10.44140625" defaultRowHeight="14.4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0</v>
      </c>
      <c r="B1" s="1" t="s">
        <v>16</v>
      </c>
      <c r="C1" s="1" t="s">
        <v>146</v>
      </c>
      <c r="D1" s="1" t="s">
        <v>647</v>
      </c>
      <c r="E1" s="1" t="s">
        <v>797</v>
      </c>
      <c r="F1" s="1" t="s">
        <v>692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1"/>
  <sheetViews>
    <sheetView workbookViewId="0">
      <pane ySplit="1" topLeftCell="A2" activePane="bottomLeft" state="frozen"/>
      <selection pane="bottomLeft" activeCell="D23" sqref="D23"/>
    </sheetView>
  </sheetViews>
  <sheetFormatPr defaultColWidth="12.77734375" defaultRowHeight="14.4"/>
  <cols>
    <col min="1" max="1" width="3" bestFit="1" customWidth="1"/>
    <col min="2" max="2" width="12.6640625" bestFit="1" customWidth="1"/>
    <col min="3" max="3" width="29.77734375" bestFit="1" customWidth="1"/>
    <col min="4" max="4" width="11.77734375" bestFit="1" customWidth="1"/>
    <col min="5" max="5" width="29" bestFit="1" customWidth="1"/>
    <col min="6" max="6" width="14.44140625" bestFit="1" customWidth="1"/>
    <col min="7" max="7" width="11.77734375" bestFit="1" customWidth="1"/>
  </cols>
  <sheetData>
    <row r="1" spans="1:7" s="1" customFormat="1">
      <c r="A1" s="1" t="s">
        <v>0</v>
      </c>
      <c r="B1" s="1" t="s">
        <v>1</v>
      </c>
      <c r="C1" s="1" t="s">
        <v>462</v>
      </c>
      <c r="D1" s="1" t="s">
        <v>469</v>
      </c>
      <c r="E1" s="1" t="s">
        <v>914</v>
      </c>
      <c r="F1" s="1" t="s">
        <v>915</v>
      </c>
      <c r="G1" s="1" t="s">
        <v>24</v>
      </c>
    </row>
    <row r="2" spans="1:7">
      <c r="A2">
        <f>ROW(A2)-1</f>
        <v>1</v>
      </c>
      <c r="B2" t="s">
        <v>219</v>
      </c>
      <c r="C2" t="s">
        <v>463</v>
      </c>
      <c r="D2" t="b">
        <v>1</v>
      </c>
      <c r="E2" t="s">
        <v>463</v>
      </c>
      <c r="G2" t="b">
        <v>1</v>
      </c>
    </row>
    <row r="3" spans="1:7">
      <c r="A3">
        <f t="shared" ref="A3:A11" si="0">ROW(A3)-1</f>
        <v>2</v>
      </c>
      <c r="B3" t="s">
        <v>220</v>
      </c>
      <c r="C3" t="s">
        <v>464</v>
      </c>
      <c r="D3" t="b">
        <v>0</v>
      </c>
      <c r="E3" t="s">
        <v>910</v>
      </c>
      <c r="G3" t="b">
        <v>0</v>
      </c>
    </row>
    <row r="4" spans="1:7">
      <c r="A4">
        <f t="shared" si="0"/>
        <v>3</v>
      </c>
      <c r="B4" t="s">
        <v>221</v>
      </c>
      <c r="C4" t="s">
        <v>506</v>
      </c>
      <c r="D4" t="b">
        <v>0</v>
      </c>
      <c r="E4" t="s">
        <v>506</v>
      </c>
      <c r="G4" t="b">
        <v>0</v>
      </c>
    </row>
    <row r="5" spans="1:7">
      <c r="A5">
        <f t="shared" si="0"/>
        <v>4</v>
      </c>
      <c r="B5" t="s">
        <v>222</v>
      </c>
      <c r="C5" t="s">
        <v>465</v>
      </c>
      <c r="D5" t="b">
        <v>0</v>
      </c>
      <c r="E5" t="s">
        <v>465</v>
      </c>
      <c r="G5" t="b">
        <v>0</v>
      </c>
    </row>
    <row r="6" spans="1:7">
      <c r="A6">
        <f t="shared" si="0"/>
        <v>5</v>
      </c>
      <c r="B6" t="s">
        <v>223</v>
      </c>
      <c r="C6" s="15" t="s">
        <v>466</v>
      </c>
      <c r="D6" t="b">
        <v>1</v>
      </c>
      <c r="E6" t="s">
        <v>466</v>
      </c>
      <c r="G6" t="b">
        <v>0</v>
      </c>
    </row>
    <row r="7" spans="1:7">
      <c r="A7">
        <f t="shared" si="0"/>
        <v>6</v>
      </c>
      <c r="B7" t="s">
        <v>269</v>
      </c>
      <c r="C7" s="15" t="s">
        <v>507</v>
      </c>
      <c r="D7" t="b">
        <v>1</v>
      </c>
      <c r="E7" t="s">
        <v>507</v>
      </c>
      <c r="G7" t="b">
        <v>0</v>
      </c>
    </row>
    <row r="8" spans="1:7">
      <c r="A8">
        <f t="shared" si="0"/>
        <v>7</v>
      </c>
      <c r="B8" t="s">
        <v>270</v>
      </c>
      <c r="C8" s="15" t="s">
        <v>467</v>
      </c>
      <c r="D8" t="b">
        <v>1</v>
      </c>
      <c r="E8" t="s">
        <v>911</v>
      </c>
      <c r="F8" t="s">
        <v>913</v>
      </c>
      <c r="G8" t="b">
        <v>0</v>
      </c>
    </row>
    <row r="9" spans="1:7">
      <c r="A9">
        <f t="shared" si="0"/>
        <v>8</v>
      </c>
      <c r="B9" t="s">
        <v>271</v>
      </c>
      <c r="C9" s="15" t="s">
        <v>468</v>
      </c>
      <c r="D9" t="b">
        <v>0</v>
      </c>
      <c r="E9" t="s">
        <v>912</v>
      </c>
      <c r="G9" t="b">
        <v>0</v>
      </c>
    </row>
    <row r="10" spans="1:7">
      <c r="A10">
        <f t="shared" si="0"/>
        <v>9</v>
      </c>
      <c r="B10" t="s">
        <v>272</v>
      </c>
      <c r="C10" s="15" t="s">
        <v>916</v>
      </c>
      <c r="D10" t="b">
        <v>0</v>
      </c>
      <c r="E10" t="s">
        <v>508</v>
      </c>
      <c r="G10" t="b">
        <v>0</v>
      </c>
    </row>
    <row r="11" spans="1:7">
      <c r="A11">
        <f t="shared" si="0"/>
        <v>10</v>
      </c>
      <c r="B11" t="s">
        <v>273</v>
      </c>
      <c r="C11" s="10" t="s">
        <v>917</v>
      </c>
      <c r="D11" t="b">
        <v>0</v>
      </c>
      <c r="E11" t="s">
        <v>509</v>
      </c>
      <c r="G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6" sqref="D6"/>
    </sheetView>
  </sheetViews>
  <sheetFormatPr defaultColWidth="10" defaultRowHeight="14.4"/>
  <cols>
    <col min="1" max="1" width="3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1" width="12.44140625" bestFit="1" customWidth="1"/>
    <col min="13" max="13" width="22.6640625" customWidth="1"/>
  </cols>
  <sheetData>
    <row r="1" spans="1:11" s="1" customFormat="1">
      <c r="A1" s="1" t="s">
        <v>0</v>
      </c>
      <c r="B1" s="1" t="s">
        <v>16</v>
      </c>
      <c r="C1" s="1" t="s">
        <v>146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488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490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360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197</v>
      </c>
      <c r="F6" s="4" t="s">
        <v>198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199</v>
      </c>
      <c r="F7" s="4" t="s">
        <v>200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361</v>
      </c>
      <c r="E8" s="4" t="s">
        <v>201</v>
      </c>
      <c r="F8" s="4" t="s">
        <v>202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362</v>
      </c>
      <c r="E9" s="4" t="s">
        <v>201</v>
      </c>
      <c r="F9" s="4" t="s">
        <v>202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363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364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359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344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343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347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177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203</v>
      </c>
      <c r="F24" s="4" t="s">
        <v>204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491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365</v>
      </c>
      <c r="E30" s="4" t="s">
        <v>205</v>
      </c>
      <c r="F30" s="4" t="s">
        <v>206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489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346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178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345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176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214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56" activePane="bottomLeft" state="frozen"/>
      <selection pane="bottomLeft" activeCell="E83" sqref="E83"/>
    </sheetView>
  </sheetViews>
  <sheetFormatPr defaultColWidth="9.44140625" defaultRowHeight="14.4"/>
  <cols>
    <col min="1" max="1" width="4" bestFit="1" customWidth="1"/>
    <col min="2" max="2" width="8.6640625" bestFit="1" customWidth="1"/>
    <col min="3" max="3" width="14" bestFit="1" customWidth="1"/>
    <col min="4" max="4" width="7" bestFit="1" customWidth="1"/>
    <col min="5" max="5" width="16.88671875" bestFit="1" customWidth="1"/>
    <col min="6" max="6" width="43.5546875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455</v>
      </c>
      <c r="C1" s="7" t="s">
        <v>254</v>
      </c>
      <c r="D1" s="7" t="s">
        <v>53</v>
      </c>
      <c r="E1" s="7" t="s">
        <v>147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177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178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176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177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224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243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239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226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227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244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244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228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267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230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245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245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246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247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267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226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248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268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234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248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238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244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225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267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241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234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248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233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228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249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226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250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246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234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248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248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65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224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243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239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226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227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244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244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228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267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230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245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245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246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247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267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226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248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268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234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248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238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244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225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267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241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234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248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233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228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249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226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250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246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234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248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248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65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224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251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239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226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227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228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228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229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268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236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252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245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251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231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268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226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241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268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234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241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232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228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225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268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274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644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241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233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228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225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253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251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251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234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241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235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274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224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243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225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226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227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228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228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229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267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236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237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231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267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226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275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268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234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275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238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228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225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267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275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234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275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233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228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225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226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237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276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234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275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275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275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224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243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225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226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227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228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228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229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267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236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237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231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267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226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275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268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234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275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238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228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225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267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275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234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275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233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228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225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226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237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276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234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275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275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275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224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243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225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226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227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228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228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229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267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236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279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231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267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226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278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268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234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278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238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228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225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267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278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234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278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233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228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225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226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279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276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234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278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278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278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280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281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239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226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227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282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286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283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267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238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281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231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267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240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241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267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242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241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238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282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225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267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284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284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241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285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286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225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226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281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281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234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241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287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65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289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288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289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226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227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227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228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229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289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290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291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291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276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289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289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240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287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289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292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287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293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227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289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289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294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295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287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227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228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289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288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276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276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295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287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296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65</v>
      </c>
    </row>
    <row r="344" spans="1:7" ht="13.95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224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276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225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226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227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228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228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229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267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230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277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276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231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267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297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287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268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298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287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232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228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225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267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235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234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287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233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228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225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226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276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276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234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287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235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65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C7" sqref="C7"/>
    </sheetView>
  </sheetViews>
  <sheetFormatPr defaultRowHeight="14.4"/>
  <cols>
    <col min="1" max="1" width="2.6640625" bestFit="1" customWidth="1"/>
    <col min="2" max="2" width="9" bestFit="1" customWidth="1"/>
    <col min="3" max="3" width="143.109375" customWidth="1"/>
    <col min="4" max="4" width="8.6640625" bestFit="1" customWidth="1"/>
    <col min="5" max="5" width="13.44140625" bestFit="1" customWidth="1"/>
    <col min="6" max="6" width="12.44140625" bestFit="1" customWidth="1"/>
  </cols>
  <sheetData>
    <row r="1" spans="1:6" s="1" customFormat="1">
      <c r="A1" s="1" t="s">
        <v>0</v>
      </c>
      <c r="B1" s="1" t="s">
        <v>1</v>
      </c>
      <c r="C1" s="1" t="s">
        <v>255</v>
      </c>
      <c r="D1" s="1" t="s">
        <v>455</v>
      </c>
      <c r="E1" s="1" t="s">
        <v>254</v>
      </c>
      <c r="F1" s="1" t="s">
        <v>24</v>
      </c>
    </row>
    <row r="2" spans="1:6">
      <c r="A2">
        <f>ROW(A2)-1</f>
        <v>1</v>
      </c>
      <c r="B2" t="s">
        <v>367</v>
      </c>
      <c r="C2" t="s">
        <v>256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257</v>
      </c>
      <c r="C3" t="s">
        <v>258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259</v>
      </c>
      <c r="C4" t="s">
        <v>260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261</v>
      </c>
      <c r="C5" t="s">
        <v>262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263</v>
      </c>
      <c r="C6" t="s">
        <v>264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3"/>
  <sheetViews>
    <sheetView zoomScaleNormal="100" workbookViewId="0">
      <pane ySplit="1" topLeftCell="A26" activePane="bottomLeft" state="frozen"/>
      <selection pane="bottomLeft" activeCell="O49" sqref="O49"/>
    </sheetView>
  </sheetViews>
  <sheetFormatPr defaultColWidth="54.88671875" defaultRowHeight="14.4"/>
  <cols>
    <col min="1" max="1" width="3" bestFit="1" customWidth="1"/>
    <col min="2" max="2" width="8" bestFit="1" customWidth="1"/>
    <col min="3" max="3" width="12.5546875" bestFit="1" customWidth="1"/>
    <col min="4" max="4" width="7" bestFit="1" customWidth="1"/>
    <col min="5" max="5" width="16.44140625" bestFit="1" customWidth="1"/>
    <col min="6" max="6" width="15.33203125" bestFit="1" customWidth="1"/>
    <col min="7" max="7" width="17.6640625" bestFit="1" customWidth="1"/>
    <col min="8" max="8" width="7" bestFit="1" customWidth="1"/>
    <col min="9" max="9" width="9" bestFit="1" customWidth="1"/>
    <col min="10" max="10" width="7.5546875" bestFit="1" customWidth="1"/>
    <col min="11" max="11" width="9.6640625" bestFit="1" customWidth="1"/>
    <col min="12" max="12" width="10" bestFit="1" customWidth="1"/>
    <col min="13" max="13" width="10.44140625" bestFit="1" customWidth="1"/>
    <col min="14" max="14" width="40" bestFit="1" customWidth="1"/>
    <col min="15" max="15" width="26.5546875" bestFit="1" customWidth="1"/>
  </cols>
  <sheetData>
    <row r="1" spans="1:15" s="1" customFormat="1">
      <c r="A1" s="1" t="s">
        <v>0</v>
      </c>
      <c r="B1" s="1" t="s">
        <v>415</v>
      </c>
      <c r="C1" s="1" t="s">
        <v>335</v>
      </c>
      <c r="D1" s="1" t="s">
        <v>53</v>
      </c>
      <c r="E1" s="1" t="s">
        <v>147</v>
      </c>
      <c r="F1" s="1" t="s">
        <v>146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505</v>
      </c>
      <c r="N1" s="1" t="s">
        <v>140</v>
      </c>
      <c r="O1" s="1" t="s">
        <v>734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244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179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180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181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182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183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429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741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423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424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425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426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427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430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740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428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299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300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301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341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303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304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305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307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308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309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338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339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340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418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419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420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421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422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366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64</v>
      </c>
    </row>
    <row r="44" spans="1:15">
      <c r="A44">
        <f t="shared" ref="A44:A53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487</v>
      </c>
      <c r="H44">
        <v>10</v>
      </c>
      <c r="N44" t="s">
        <v>651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414</v>
      </c>
      <c r="H45">
        <v>10</v>
      </c>
      <c r="M45" s="10"/>
      <c r="N45" s="10" t="s">
        <v>737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739</v>
      </c>
      <c r="H46">
        <v>5</v>
      </c>
      <c r="M46" s="10"/>
      <c r="N46" s="10" t="s">
        <v>486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503</v>
      </c>
      <c r="H47">
        <v>10</v>
      </c>
      <c r="M47" s="10" t="s">
        <v>446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504</v>
      </c>
      <c r="H48">
        <v>10</v>
      </c>
      <c r="M48" s="10" t="s">
        <v>447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681</v>
      </c>
      <c r="H49">
        <v>10</v>
      </c>
      <c r="N49" t="s">
        <v>682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735</v>
      </c>
      <c r="O50" t="s">
        <v>736</v>
      </c>
    </row>
    <row r="51" spans="1:15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38</v>
      </c>
      <c r="E51" t="str" cm="1">
        <f t="array" ref="E51">GetValue("Typ",D51,"Name")</f>
        <v>json</v>
      </c>
      <c r="F51" t="str" cm="1">
        <f t="array" ref="F51">GetValue("Typ",D51,"#CategoryName")</f>
        <v>text</v>
      </c>
      <c r="G51" t="s">
        <v>65</v>
      </c>
      <c r="O51" t="s">
        <v>736</v>
      </c>
    </row>
    <row r="52" spans="1:15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29</v>
      </c>
      <c r="E52" t="str" cm="1">
        <f t="array" ref="E52">GetValue("Typ",D52,"Name")</f>
        <v>time(s)</v>
      </c>
      <c r="F52" t="str" cm="1">
        <f t="array" ref="F52">GetValue("Typ",D52,"#CategoryName")</f>
        <v>time</v>
      </c>
      <c r="G52" t="s">
        <v>233</v>
      </c>
      <c r="O52" t="s">
        <v>736</v>
      </c>
    </row>
    <row r="53" spans="1:15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5</v>
      </c>
      <c r="E53" t="str" cm="1">
        <f t="array" ref="E53">GetValue("Typ",D53,"Name")</f>
        <v>date</v>
      </c>
      <c r="F53" t="str" cm="1">
        <f t="array" ref="F53">GetValue("Typ",D53,"#CategoryName")</f>
        <v>date</v>
      </c>
      <c r="G53" t="s">
        <v>227</v>
      </c>
      <c r="O53" t="s">
        <v>736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H20"/>
  <sheetViews>
    <sheetView workbookViewId="0">
      <pane ySplit="1" topLeftCell="A2" activePane="bottomLeft" state="frozen"/>
      <selection pane="bottomLeft" activeCell="E2" sqref="E2"/>
    </sheetView>
  </sheetViews>
  <sheetFormatPr defaultRowHeight="14.4"/>
  <cols>
    <col min="1" max="1" width="3.6640625" bestFit="1" customWidth="1"/>
    <col min="2" max="2" width="7.44140625" bestFit="1" customWidth="1"/>
    <col min="3" max="3" width="11.6640625" bestFit="1" customWidth="1"/>
    <col min="4" max="4" width="17.33203125" bestFit="1" customWidth="1"/>
    <col min="5" max="5" width="18.5546875" style="2" bestFit="1" customWidth="1"/>
    <col min="6" max="6" width="11.6640625" bestFit="1" customWidth="1"/>
    <col min="8" max="8" width="79.88671875" bestFit="1" customWidth="1"/>
  </cols>
  <sheetData>
    <row r="1" spans="1:8" s="1" customFormat="1">
      <c r="A1" s="1" t="s">
        <v>0</v>
      </c>
      <c r="B1" s="1" t="s">
        <v>415</v>
      </c>
      <c r="C1" s="1" t="s">
        <v>335</v>
      </c>
      <c r="D1" s="13" t="s">
        <v>1</v>
      </c>
      <c r="E1" s="25" t="s">
        <v>918</v>
      </c>
      <c r="F1" s="1" t="s">
        <v>637</v>
      </c>
    </row>
    <row r="2" spans="1:8">
      <c r="A2">
        <f>ROW(A2)-1</f>
        <v>1</v>
      </c>
      <c r="B2">
        <v>1</v>
      </c>
      <c r="C2" t="str" cm="1">
        <f t="array" ref="C2">GetValue("Cli",B2,"Name")</f>
        <v>SoftLab</v>
      </c>
      <c r="D2" t="s">
        <v>310</v>
      </c>
      <c r="E2" s="26">
        <v>99999999</v>
      </c>
      <c r="F2" t="s">
        <v>732</v>
      </c>
    </row>
    <row r="3" spans="1:8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299</v>
      </c>
      <c r="E3" s="2" t="s">
        <v>656</v>
      </c>
      <c r="F3" t="s">
        <v>732</v>
      </c>
      <c r="H3" t="s">
        <v>502</v>
      </c>
    </row>
    <row r="4" spans="1:8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300</v>
      </c>
      <c r="E4" s="2" t="s">
        <v>657</v>
      </c>
      <c r="F4" t="s">
        <v>732</v>
      </c>
      <c r="H4" t="s">
        <v>907</v>
      </c>
    </row>
    <row r="5" spans="1:8">
      <c r="A5">
        <f>ROW(A5)-1</f>
        <v>4</v>
      </c>
      <c r="B5">
        <v>1</v>
      </c>
      <c r="C5" t="str" cm="1">
        <f t="array" ref="C5">GetValue("Cli",B5,"Name")</f>
        <v>SoftLab</v>
      </c>
      <c r="D5" t="s">
        <v>341</v>
      </c>
      <c r="E5" s="2" t="s">
        <v>658</v>
      </c>
      <c r="F5" t="s">
        <v>732</v>
      </c>
    </row>
    <row r="6" spans="1:8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431</v>
      </c>
      <c r="E6" s="2" t="s">
        <v>659</v>
      </c>
      <c r="F6" t="s">
        <v>732</v>
      </c>
    </row>
    <row r="7" spans="1:8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304</v>
      </c>
      <c r="E7" s="2">
        <v>99999999999</v>
      </c>
      <c r="F7" t="s">
        <v>732</v>
      </c>
    </row>
    <row r="8" spans="1:8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305</v>
      </c>
      <c r="E8" s="2">
        <v>99999999</v>
      </c>
      <c r="F8" t="s">
        <v>732</v>
      </c>
    </row>
    <row r="9" spans="1:8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306</v>
      </c>
      <c r="E9" s="2" t="s">
        <v>660</v>
      </c>
      <c r="F9" t="s">
        <v>732</v>
      </c>
    </row>
    <row r="10" spans="1:8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307</v>
      </c>
      <c r="E10" s="2" t="s">
        <v>661</v>
      </c>
      <c r="F10" t="s">
        <v>732</v>
      </c>
    </row>
    <row r="11" spans="1:8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308</v>
      </c>
      <c r="E11" s="2" t="s">
        <v>662</v>
      </c>
      <c r="F11" t="s">
        <v>732</v>
      </c>
    </row>
    <row r="12" spans="1:8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309</v>
      </c>
      <c r="E12" s="2" t="s">
        <v>663</v>
      </c>
      <c r="F12" t="s">
        <v>733</v>
      </c>
    </row>
    <row r="13" spans="1:8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338</v>
      </c>
      <c r="E13" s="2" t="s">
        <v>664</v>
      </c>
      <c r="F13" t="s">
        <v>732</v>
      </c>
    </row>
    <row r="14" spans="1:8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418</v>
      </c>
      <c r="E14" s="2" t="s">
        <v>665</v>
      </c>
      <c r="F14" t="s">
        <v>732</v>
      </c>
    </row>
    <row r="15" spans="1:8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419</v>
      </c>
      <c r="E15" s="2" t="s">
        <v>666</v>
      </c>
      <c r="F15" t="s">
        <v>732</v>
      </c>
    </row>
    <row r="16" spans="1:8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420</v>
      </c>
      <c r="E16" s="4" t="s">
        <v>667</v>
      </c>
      <c r="F16" t="s">
        <v>733</v>
      </c>
    </row>
    <row r="17" spans="1:6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421</v>
      </c>
      <c r="E17" s="4" t="s">
        <v>668</v>
      </c>
      <c r="F17" t="s">
        <v>733</v>
      </c>
    </row>
    <row r="18" spans="1:6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339</v>
      </c>
      <c r="E18" s="2" t="s">
        <v>669</v>
      </c>
      <c r="F18" t="s">
        <v>732</v>
      </c>
    </row>
    <row r="19" spans="1:6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422</v>
      </c>
      <c r="E19" s="2" t="s">
        <v>670</v>
      </c>
      <c r="F19" t="s">
        <v>732</v>
      </c>
    </row>
    <row r="20" spans="1:6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340</v>
      </c>
      <c r="E20" s="2">
        <v>99999999999</v>
      </c>
      <c r="F20" t="s">
        <v>732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546875" defaultRowHeight="14.4"/>
  <cols>
    <col min="1" max="1" width="3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0</v>
      </c>
      <c r="B1" s="1" t="s">
        <v>96</v>
      </c>
      <c r="C1" s="1" t="s">
        <v>153</v>
      </c>
      <c r="D1" s="1" t="s">
        <v>54</v>
      </c>
      <c r="E1" s="1" t="s">
        <v>148</v>
      </c>
      <c r="F1" s="8" t="s">
        <v>432</v>
      </c>
      <c r="G1" s="8" t="s">
        <v>433</v>
      </c>
      <c r="H1" s="9" t="s">
        <v>434</v>
      </c>
    </row>
    <row r="2" spans="1:8">
      <c r="A2">
        <f>ROW(A2)-1</f>
        <v>1</v>
      </c>
      <c r="B2">
        <v>21</v>
      </c>
      <c r="C2" t="str" cm="1">
        <f t="array" ref="C2">GetValue("Dmn",B2,"Name")</f>
        <v>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645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646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313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314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313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314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315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316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342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317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318</v>
      </c>
      <c r="H13" s="12" t="s">
        <v>302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317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319</v>
      </c>
      <c r="H15" s="12" t="s">
        <v>302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8.6640625" bestFit="1" customWidth="1"/>
    <col min="5" max="5" width="13.44140625" bestFit="1" customWidth="1"/>
    <col min="6" max="6" width="7" bestFit="1" customWidth="1"/>
    <col min="7" max="7" width="13.109375" bestFit="1" customWidth="1"/>
  </cols>
  <sheetData>
    <row r="1" spans="1:7" s="1" customFormat="1">
      <c r="A1" s="1" t="s">
        <v>0</v>
      </c>
      <c r="B1" s="1" t="s">
        <v>415</v>
      </c>
      <c r="C1" s="1" t="s">
        <v>335</v>
      </c>
      <c r="D1" s="1" t="s">
        <v>455</v>
      </c>
      <c r="E1" s="1" t="s">
        <v>254</v>
      </c>
      <c r="F1" s="1" t="s">
        <v>1</v>
      </c>
      <c r="G1" s="1" t="s">
        <v>66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168</v>
      </c>
      <c r="G2" t="s">
        <v>169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12.44140625" bestFit="1" customWidth="1"/>
    <col min="5" max="5" width="39.109375" bestFit="1" customWidth="1"/>
    <col min="6" max="6" width="154.10937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84</v>
      </c>
      <c r="C1" s="1" t="s">
        <v>151</v>
      </c>
      <c r="D1" s="1" t="s">
        <v>416</v>
      </c>
      <c r="E1" s="1" t="s">
        <v>311</v>
      </c>
      <c r="F1" s="1" t="s">
        <v>215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216</v>
      </c>
      <c r="E2" t="s">
        <v>209</v>
      </c>
      <c r="F2" t="s">
        <v>439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265</v>
      </c>
      <c r="E3" t="s">
        <v>209</v>
      </c>
      <c r="F3" t="s">
        <v>440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266</v>
      </c>
      <c r="E4" t="s">
        <v>209</v>
      </c>
      <c r="F4" t="s">
        <v>441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D6" sqref="D6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0</v>
      </c>
      <c r="B1" s="1" t="s">
        <v>84</v>
      </c>
      <c r="C1" s="1" t="s">
        <v>151</v>
      </c>
      <c r="D1" s="1" t="s">
        <v>336</v>
      </c>
      <c r="E1" s="1" t="s">
        <v>1</v>
      </c>
      <c r="F1" s="1" t="s">
        <v>66</v>
      </c>
      <c r="G1" s="1" t="s">
        <v>67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337</v>
      </c>
      <c r="E2" t="s">
        <v>168</v>
      </c>
      <c r="F2" t="s">
        <v>169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9.109375" bestFit="1" customWidth="1"/>
    <col min="3" max="3" width="13.88671875" bestFit="1" customWidth="1"/>
    <col min="4" max="4" width="9.6640625" bestFit="1" customWidth="1"/>
    <col min="5" max="5" width="12" bestFit="1" customWidth="1"/>
    <col min="6" max="6" width="33.88671875" bestFit="1" customWidth="1"/>
    <col min="7" max="7" width="14" bestFit="1" customWidth="1"/>
    <col min="8" max="8" width="20.33203125" bestFit="1" customWidth="1"/>
    <col min="9" max="9" width="12.44140625" bestFit="1" customWidth="1"/>
  </cols>
  <sheetData>
    <row r="1" spans="1:9" s="1" customFormat="1">
      <c r="A1" s="1" t="s">
        <v>0</v>
      </c>
      <c r="B1" s="1" t="s">
        <v>68</v>
      </c>
      <c r="C1" s="1" t="s">
        <v>150</v>
      </c>
      <c r="D1" s="1" t="s">
        <v>69</v>
      </c>
      <c r="E1" s="1" t="s">
        <v>70</v>
      </c>
      <c r="F1" s="1" t="s">
        <v>71</v>
      </c>
      <c r="G1" s="1" t="s">
        <v>73</v>
      </c>
      <c r="H1" s="1" t="s">
        <v>165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456</v>
      </c>
      <c r="F2" t="s">
        <v>457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896</v>
      </c>
      <c r="F3" t="s">
        <v>458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899</v>
      </c>
      <c r="F4" t="s">
        <v>898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897</v>
      </c>
      <c r="F5" t="s">
        <v>459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14" activePane="bottomLeft" state="frozen"/>
      <selection pane="bottomLeft" activeCell="A13" sqref="A13:XFD13"/>
    </sheetView>
  </sheetViews>
  <sheetFormatPr defaultColWidth="10.5546875" defaultRowHeight="14.4"/>
  <cols>
    <col min="1" max="1" width="3" bestFit="1" customWidth="1"/>
    <col min="2" max="2" width="10.88671875" bestFit="1" customWidth="1"/>
    <col min="3" max="3" width="15.5546875" bestFit="1" customWidth="1"/>
    <col min="4" max="4" width="12.33203125" bestFit="1" customWidth="1"/>
    <col min="5" max="5" width="5.33203125" bestFit="1" customWidth="1"/>
    <col min="6" max="6" width="38.6640625" bestFit="1" customWidth="1"/>
    <col min="7" max="7" width="9.44140625" bestFit="1" customWidth="1"/>
    <col min="8" max="8" width="8" bestFit="1" customWidth="1"/>
    <col min="9" max="9" width="14.33203125" bestFit="1" customWidth="1"/>
    <col min="10" max="10" width="15.109375" bestFit="1" customWidth="1"/>
    <col min="11" max="11" width="19.44140625" bestFit="1" customWidth="1"/>
    <col min="12" max="12" width="49.88671875" bestFit="1" customWidth="1"/>
  </cols>
  <sheetData>
    <row r="1" spans="1:12" s="1" customFormat="1">
      <c r="A1" s="1" t="s">
        <v>0</v>
      </c>
      <c r="B1" s="1" t="s">
        <v>84</v>
      </c>
      <c r="C1" s="1" t="s">
        <v>151</v>
      </c>
      <c r="D1" s="1" t="s">
        <v>1</v>
      </c>
      <c r="E1" s="1" t="s">
        <v>83</v>
      </c>
      <c r="F1" s="1" t="s">
        <v>66</v>
      </c>
      <c r="G1" s="1" t="s">
        <v>163</v>
      </c>
      <c r="H1" s="1" t="s">
        <v>437</v>
      </c>
      <c r="I1" s="1" t="s">
        <v>438</v>
      </c>
      <c r="J1" s="1" t="s">
        <v>652</v>
      </c>
      <c r="K1" s="1" t="s">
        <v>653</v>
      </c>
      <c r="L1" s="1" t="s">
        <v>654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94</v>
      </c>
      <c r="E2" t="s">
        <v>320</v>
      </c>
      <c r="F2" t="s">
        <v>714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695</v>
      </c>
      <c r="L2" t="str">
        <f>I2&amp;" de "&amp;F2</f>
        <v>Manutenção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648</v>
      </c>
      <c r="E3" t="s">
        <v>649</v>
      </c>
      <c r="F3" t="s">
        <v>650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650</v>
      </c>
      <c r="L3" t="str">
        <f t="shared" ref="L3:L35" si="1">I3&amp;" de "&amp;F3</f>
        <v>Manutenção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763</v>
      </c>
      <c r="E4" t="s">
        <v>764</v>
      </c>
      <c r="F4" t="s">
        <v>655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731</v>
      </c>
      <c r="L4" t="str">
        <f t="shared" si="1"/>
        <v>Manutenção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349</v>
      </c>
      <c r="E5" t="s">
        <v>352</v>
      </c>
      <c r="F5" t="s">
        <v>356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356</v>
      </c>
      <c r="L5" t="str">
        <f t="shared" si="1"/>
        <v>Manutenção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85</v>
      </c>
      <c r="E6" t="s">
        <v>321</v>
      </c>
      <c r="F6" t="s">
        <v>74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74</v>
      </c>
      <c r="L6" t="str">
        <f t="shared" si="1"/>
        <v>Manutenção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759</v>
      </c>
      <c r="E7" t="s">
        <v>760</v>
      </c>
      <c r="F7" t="s">
        <v>357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357</v>
      </c>
      <c r="L7" t="str">
        <f t="shared" si="1"/>
        <v>Manutenção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348</v>
      </c>
      <c r="E8" t="s">
        <v>351</v>
      </c>
      <c r="F8" t="s">
        <v>355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355</v>
      </c>
      <c r="L8" t="str">
        <f t="shared" si="1"/>
        <v>Manutenção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86</v>
      </c>
      <c r="E9" t="s">
        <v>323</v>
      </c>
      <c r="F9" t="s">
        <v>715</v>
      </c>
      <c r="G9" cm="1">
        <f t="array" ref="G9">GetLastId(A9)</f>
        <v>52</v>
      </c>
      <c r="H9">
        <v>2</v>
      </c>
      <c r="I9" t="str" cm="1">
        <f t="array" ref="I9">GetValue("Mnu",H9,"Caption")</f>
        <v>Cadastro</v>
      </c>
      <c r="J9">
        <v>5</v>
      </c>
      <c r="K9" t="s">
        <v>696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87</v>
      </c>
      <c r="E10" t="s">
        <v>322</v>
      </c>
      <c r="F10" t="s">
        <v>716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</v>
      </c>
      <c r="J10">
        <f t="shared" si="2"/>
        <v>10</v>
      </c>
      <c r="K10" t="s">
        <v>697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761</v>
      </c>
      <c r="E11" t="s">
        <v>762</v>
      </c>
      <c r="F11" t="s">
        <v>694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</v>
      </c>
      <c r="J11">
        <f t="shared" si="2"/>
        <v>15</v>
      </c>
      <c r="K11" t="s">
        <v>694</v>
      </c>
      <c r="L11" t="str">
        <f t="shared" si="1"/>
        <v>Cadastro de Domínios x Máscaras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90</v>
      </c>
      <c r="E12" t="s">
        <v>327</v>
      </c>
      <c r="F12" t="s">
        <v>358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</v>
      </c>
      <c r="J12">
        <f t="shared" si="2"/>
        <v>20</v>
      </c>
      <c r="K12" t="s">
        <v>358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436</v>
      </c>
      <c r="E13" t="s">
        <v>558</v>
      </c>
      <c r="F13" t="s">
        <v>717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</v>
      </c>
      <c r="J13">
        <f t="shared" si="2"/>
        <v>25</v>
      </c>
      <c r="K13" t="s">
        <v>698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88</v>
      </c>
      <c r="E14" t="s">
        <v>324</v>
      </c>
      <c r="F14" t="s">
        <v>78</v>
      </c>
      <c r="G14" cm="1">
        <f t="array" ref="G14">GetLastId(A14)</f>
        <v>1</v>
      </c>
      <c r="H14">
        <v>3</v>
      </c>
      <c r="I14" t="str" cm="1">
        <f t="array" ref="I14">GetValue("Mnu",H14,"Caption")</f>
        <v>Definição</v>
      </c>
      <c r="J14">
        <v>5</v>
      </c>
      <c r="K14" t="s">
        <v>78</v>
      </c>
      <c r="L14" t="str">
        <f t="shared" si="1"/>
        <v>Definição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77</v>
      </c>
      <c r="E15" t="s">
        <v>325</v>
      </c>
      <c r="F15" t="s">
        <v>718</v>
      </c>
      <c r="G15" cm="1">
        <f t="array" ref="G15">GetLastId(A15)</f>
        <v>4</v>
      </c>
      <c r="H15">
        <v>3</v>
      </c>
      <c r="I15" t="str" cm="1">
        <f t="array" ref="I15">GetValue("Mnu",H15,"Caption")</f>
        <v>Definição</v>
      </c>
      <c r="J15">
        <f t="shared" si="2"/>
        <v>10</v>
      </c>
      <c r="K15" t="s">
        <v>77</v>
      </c>
      <c r="L15" t="str">
        <f t="shared" si="1"/>
        <v>Definição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91</v>
      </c>
      <c r="E16" t="s">
        <v>328</v>
      </c>
      <c r="F16" t="s">
        <v>76</v>
      </c>
      <c r="G16" cm="1">
        <f t="array" ref="G16">GetLastId(A16)</f>
        <v>34</v>
      </c>
      <c r="H16">
        <v>3</v>
      </c>
      <c r="I16" t="str" cm="1">
        <f t="array" ref="I16">GetValue("Mnu",H16,"Caption")</f>
        <v>Definição</v>
      </c>
      <c r="J16">
        <f t="shared" si="2"/>
        <v>15</v>
      </c>
      <c r="K16" t="s">
        <v>76</v>
      </c>
      <c r="L16" t="str">
        <f t="shared" si="1"/>
        <v>Definição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92</v>
      </c>
      <c r="E17" t="s">
        <v>329</v>
      </c>
      <c r="F17" t="s">
        <v>719</v>
      </c>
      <c r="G17" cm="1">
        <f t="array" ref="G17">GetLastId(A17)</f>
        <v>224</v>
      </c>
      <c r="H17">
        <v>3</v>
      </c>
      <c r="I17" t="str" cm="1">
        <f t="array" ref="I17">GetValue("Mnu",H17,"Caption")</f>
        <v>Definição</v>
      </c>
      <c r="J17">
        <f t="shared" si="2"/>
        <v>20</v>
      </c>
      <c r="K17" t="s">
        <v>699</v>
      </c>
      <c r="L17" t="str">
        <f t="shared" si="1"/>
        <v>Definição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93</v>
      </c>
      <c r="E18" t="s">
        <v>330</v>
      </c>
      <c r="F18" t="s">
        <v>720</v>
      </c>
      <c r="G18" cm="1">
        <f t="array" ref="G18">GetLastId(A18)</f>
        <v>40</v>
      </c>
      <c r="H18">
        <v>3</v>
      </c>
      <c r="I18" t="str" cm="1">
        <f t="array" ref="I18">GetValue("Mnu",H18,"Caption")</f>
        <v>Definição</v>
      </c>
      <c r="J18">
        <f t="shared" si="2"/>
        <v>25</v>
      </c>
      <c r="K18" t="s">
        <v>700</v>
      </c>
      <c r="L18" t="str">
        <f t="shared" si="1"/>
        <v>Definição de Índices de Tabelas</v>
      </c>
    </row>
    <row r="19" spans="1:12" ht="13.95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138</v>
      </c>
      <c r="E19" t="s">
        <v>353</v>
      </c>
      <c r="F19" t="s">
        <v>721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Associação</v>
      </c>
      <c r="J19">
        <v>5</v>
      </c>
      <c r="K19" t="s">
        <v>701</v>
      </c>
      <c r="L19" t="str">
        <f t="shared" si="1"/>
        <v>Associação de Chaves de Índices</v>
      </c>
    </row>
    <row r="20" spans="1:12" ht="13.95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453</v>
      </c>
      <c r="E20" t="s">
        <v>454</v>
      </c>
      <c r="F20" t="s">
        <v>722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Associação</v>
      </c>
      <c r="J20">
        <f t="shared" si="2"/>
        <v>10</v>
      </c>
      <c r="K20" t="s">
        <v>702</v>
      </c>
      <c r="L20" t="str">
        <f t="shared" si="1"/>
        <v>Associação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208</v>
      </c>
      <c r="E21" t="s">
        <v>334</v>
      </c>
      <c r="F21" t="s">
        <v>723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Associação</v>
      </c>
      <c r="J21">
        <f t="shared" si="2"/>
        <v>15</v>
      </c>
      <c r="K21" t="s">
        <v>703</v>
      </c>
      <c r="L21" t="str">
        <f t="shared" si="1"/>
        <v>Associação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904</v>
      </c>
      <c r="E22" t="s">
        <v>452</v>
      </c>
      <c r="F22" t="s">
        <v>724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Associação</v>
      </c>
      <c r="J22">
        <f t="shared" si="2"/>
        <v>20</v>
      </c>
      <c r="K22" t="s">
        <v>713</v>
      </c>
      <c r="L22" t="str">
        <f t="shared" si="1"/>
        <v>Associação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350</v>
      </c>
      <c r="E23" t="s">
        <v>354</v>
      </c>
      <c r="F23" t="s">
        <v>725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Associação</v>
      </c>
      <c r="J23">
        <f t="shared" si="2"/>
        <v>25</v>
      </c>
      <c r="K23" t="s">
        <v>704</v>
      </c>
      <c r="L23" t="str">
        <f t="shared" si="1"/>
        <v>Associação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476</v>
      </c>
      <c r="E24" t="s">
        <v>475</v>
      </c>
      <c r="F24" t="s">
        <v>726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Associação</v>
      </c>
      <c r="J24">
        <f t="shared" si="2"/>
        <v>30</v>
      </c>
      <c r="K24" t="s">
        <v>705</v>
      </c>
      <c r="L24" t="str">
        <f t="shared" si="1"/>
        <v>Associação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89</v>
      </c>
      <c r="E25" t="s">
        <v>326</v>
      </c>
      <c r="F25" t="s">
        <v>75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Associação</v>
      </c>
      <c r="J25">
        <f t="shared" si="2"/>
        <v>35</v>
      </c>
      <c r="K25" t="s">
        <v>75</v>
      </c>
      <c r="L25" t="str">
        <f t="shared" si="1"/>
        <v>Associação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470</v>
      </c>
      <c r="E26" t="s">
        <v>671</v>
      </c>
      <c r="F26" t="s">
        <v>727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Associação</v>
      </c>
      <c r="J26">
        <f t="shared" si="2"/>
        <v>40</v>
      </c>
      <c r="K26" t="s">
        <v>706</v>
      </c>
      <c r="L26" t="str">
        <f t="shared" si="1"/>
        <v>Associação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409</v>
      </c>
      <c r="E27" t="s">
        <v>408</v>
      </c>
      <c r="F27" t="s">
        <v>413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Associação</v>
      </c>
      <c r="J27">
        <f t="shared" si="2"/>
        <v>45</v>
      </c>
      <c r="K27" t="s">
        <v>707</v>
      </c>
      <c r="L27" t="str">
        <f t="shared" si="1"/>
        <v>Associação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411</v>
      </c>
      <c r="E28" t="s">
        <v>412</v>
      </c>
      <c r="F28" t="s">
        <v>728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Associação</v>
      </c>
      <c r="J28">
        <f t="shared" si="2"/>
        <v>50</v>
      </c>
      <c r="K28" t="s">
        <v>708</v>
      </c>
      <c r="L28" t="str">
        <f t="shared" si="1"/>
        <v>Associação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492</v>
      </c>
      <c r="E29" t="s">
        <v>493</v>
      </c>
      <c r="F29" t="s">
        <v>729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Associação</v>
      </c>
      <c r="J29">
        <f t="shared" si="2"/>
        <v>55</v>
      </c>
      <c r="K29" t="s">
        <v>709</v>
      </c>
      <c r="L29" t="str">
        <f t="shared" si="1"/>
        <v>Associação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887</v>
      </c>
      <c r="E30" t="s">
        <v>888</v>
      </c>
      <c r="F30" t="s">
        <v>889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Associação</v>
      </c>
      <c r="J30">
        <f t="shared" si="2"/>
        <v>60</v>
      </c>
      <c r="K30" t="s">
        <v>887</v>
      </c>
      <c r="L30" t="str">
        <f t="shared" si="1"/>
        <v>Associação de Snipers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494</v>
      </c>
      <c r="E31" t="s">
        <v>495</v>
      </c>
      <c r="F31" t="s">
        <v>885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Associação</v>
      </c>
      <c r="J31">
        <f t="shared" si="2"/>
        <v>65</v>
      </c>
      <c r="K31" t="s">
        <v>494</v>
      </c>
      <c r="L31" t="str">
        <f t="shared" si="1"/>
        <v>Associação de Scripts de Snipers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773</v>
      </c>
      <c r="E32" t="s">
        <v>774</v>
      </c>
      <c r="F32" t="s">
        <v>886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Associação</v>
      </c>
      <c r="J32">
        <f t="shared" si="2"/>
        <v>70</v>
      </c>
      <c r="K32" t="s">
        <v>884</v>
      </c>
      <c r="L32" t="str">
        <f t="shared" si="1"/>
        <v>Associação de URL's HTTP/HTTPS de Snipers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210</v>
      </c>
      <c r="E33" t="s">
        <v>331</v>
      </c>
      <c r="F33" t="s">
        <v>730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Associação</v>
      </c>
      <c r="J33">
        <f t="shared" si="2"/>
        <v>75</v>
      </c>
      <c r="K33" t="s">
        <v>710</v>
      </c>
      <c r="L33" t="str">
        <f t="shared" si="1"/>
        <v>Associação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187</v>
      </c>
      <c r="E34" t="s">
        <v>332</v>
      </c>
      <c r="F34" t="s">
        <v>472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Associação</v>
      </c>
      <c r="J34">
        <f t="shared" si="2"/>
        <v>80</v>
      </c>
      <c r="K34" t="s">
        <v>711</v>
      </c>
      <c r="L34" t="str">
        <f t="shared" si="1"/>
        <v>Associação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188</v>
      </c>
      <c r="E35" t="s">
        <v>333</v>
      </c>
      <c r="F35" t="s">
        <v>471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Associação</v>
      </c>
      <c r="J35">
        <f t="shared" si="2"/>
        <v>85</v>
      </c>
      <c r="K35" t="s">
        <v>712</v>
      </c>
      <c r="L35" t="str">
        <f t="shared" si="1"/>
        <v>Associação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Q220"/>
  <sheetViews>
    <sheetView zoomScale="95" zoomScaleNormal="95" workbookViewId="0">
      <pane ySplit="1" topLeftCell="A2" activePane="bottomLeft" state="frozen"/>
      <selection pane="bottomLeft" activeCell="G4" sqref="G4"/>
    </sheetView>
  </sheetViews>
  <sheetFormatPr defaultRowHeight="14.4"/>
  <cols>
    <col min="1" max="1" width="4.33203125" bestFit="1" customWidth="1"/>
    <col min="2" max="2" width="7.5546875" bestFit="1" customWidth="1"/>
    <col min="3" max="3" width="11.109375" bestFit="1" customWidth="1"/>
    <col min="4" max="4" width="9.5546875" bestFit="1" customWidth="1"/>
    <col min="5" max="5" width="15.44140625" bestFit="1" customWidth="1"/>
    <col min="6" max="6" width="9.6640625" bestFit="1" customWidth="1"/>
    <col min="7" max="7" width="26.33203125" bestFit="1" customWidth="1"/>
    <col min="8" max="8" width="39.6640625" bestFit="1" customWidth="1"/>
    <col min="9" max="9" width="21.6640625" bestFit="1" customWidth="1"/>
    <col min="10" max="11" width="12.44140625" bestFit="1" customWidth="1"/>
    <col min="12" max="14" width="11.6640625" bestFit="1" customWidth="1"/>
    <col min="15" max="15" width="11.33203125" bestFit="1" customWidth="1"/>
    <col min="16" max="16" width="10" bestFit="1" customWidth="1"/>
    <col min="17" max="17" width="8" bestFit="1" customWidth="1"/>
  </cols>
  <sheetData>
    <row r="1" spans="1:17" s="1" customFormat="1">
      <c r="A1" s="17" t="s">
        <v>0</v>
      </c>
      <c r="B1" s="17" t="s">
        <v>95</v>
      </c>
      <c r="C1" s="17" t="s">
        <v>474</v>
      </c>
      <c r="D1" s="17" t="s">
        <v>96</v>
      </c>
      <c r="E1" s="17" t="s">
        <v>153</v>
      </c>
      <c r="F1" s="17" t="s">
        <v>69</v>
      </c>
      <c r="G1" s="17" t="s">
        <v>1</v>
      </c>
      <c r="H1" s="17" t="s">
        <v>66</v>
      </c>
      <c r="I1" s="17" t="s">
        <v>70</v>
      </c>
      <c r="J1" s="17" t="s">
        <v>596</v>
      </c>
      <c r="K1" s="17" t="s">
        <v>597</v>
      </c>
      <c r="L1" s="17" t="s">
        <v>598</v>
      </c>
      <c r="M1" s="17" t="s">
        <v>599</v>
      </c>
      <c r="N1" s="17" t="s">
        <v>602</v>
      </c>
      <c r="O1" s="17" t="s">
        <v>601</v>
      </c>
      <c r="P1" s="17" t="s">
        <v>600</v>
      </c>
      <c r="Q1" s="17" t="s">
        <v>893</v>
      </c>
    </row>
    <row r="2" spans="1:17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683</v>
      </c>
      <c r="I2" s="20" t="s">
        <v>0</v>
      </c>
      <c r="J2" s="20" t="b">
        <v>1</v>
      </c>
      <c r="K2" s="20" t="b">
        <v>1</v>
      </c>
      <c r="L2" s="20" t="b">
        <v>0</v>
      </c>
      <c r="M2" s="20" t="b">
        <v>0</v>
      </c>
      <c r="N2" s="20"/>
      <c r="O2" s="20"/>
      <c r="P2" s="20" t="b">
        <v>0</v>
      </c>
      <c r="Q2" s="20" t="b">
        <v>0</v>
      </c>
    </row>
    <row r="3" spans="1:17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1">IF(G3="Id",5,F2+5)</f>
        <v>10</v>
      </c>
      <c r="G3" s="20" t="str" cm="1">
        <f t="array" ref="G3">GetColumnName(C3,IF(B3=B2,G2,""))</f>
        <v>Name</v>
      </c>
      <c r="H3" s="20" t="s">
        <v>124</v>
      </c>
      <c r="I3" s="20" t="s">
        <v>97</v>
      </c>
      <c r="J3" s="20" t="b">
        <v>1</v>
      </c>
      <c r="K3" s="20" t="b">
        <v>1</v>
      </c>
      <c r="L3" s="20" t="b">
        <v>1</v>
      </c>
      <c r="M3" s="20" t="b">
        <v>1</v>
      </c>
      <c r="N3" s="20" t="b">
        <v>1</v>
      </c>
      <c r="O3" s="20" t="b">
        <v>0</v>
      </c>
      <c r="P3" s="20" t="s">
        <v>26</v>
      </c>
      <c r="Q3" s="20" t="b">
        <v>0</v>
      </c>
    </row>
    <row r="4" spans="1:17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1"/>
        <v>15</v>
      </c>
      <c r="G4" s="20" t="str" cm="1">
        <f t="array" ref="G4">GetColumnName(C4,IF(B4=B3,G3,""))</f>
        <v>AskDefault</v>
      </c>
      <c r="H4" s="20" t="s">
        <v>175</v>
      </c>
      <c r="I4" s="20" t="s">
        <v>126</v>
      </c>
      <c r="J4" s="20" t="b">
        <v>1</v>
      </c>
      <c r="K4" s="20" t="b">
        <v>1</v>
      </c>
      <c r="L4" s="20" t="b">
        <v>1</v>
      </c>
      <c r="M4" s="20" t="b">
        <v>1</v>
      </c>
      <c r="N4" s="20"/>
      <c r="O4" s="20"/>
      <c r="P4" s="20" t="s">
        <v>26</v>
      </c>
      <c r="Q4" s="20" t="b">
        <v>0</v>
      </c>
    </row>
    <row r="5" spans="1:17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1"/>
        <v>20</v>
      </c>
      <c r="G5" s="20" t="str" cm="1">
        <f t="array" ref="G5">GetColumnName(C5,IF(B5=B4,G4,""))</f>
        <v>AskMinimum</v>
      </c>
      <c r="H5" s="20" t="s">
        <v>174</v>
      </c>
      <c r="I5" s="20" t="s">
        <v>127</v>
      </c>
      <c r="J5" s="20" t="b">
        <v>1</v>
      </c>
      <c r="K5" s="20" t="b">
        <v>1</v>
      </c>
      <c r="L5" s="20" t="b">
        <v>1</v>
      </c>
      <c r="M5" s="20" t="b">
        <v>1</v>
      </c>
      <c r="N5" s="20"/>
      <c r="O5" s="20"/>
      <c r="P5" s="20" t="s">
        <v>26</v>
      </c>
      <c r="Q5" s="20" t="b">
        <v>0</v>
      </c>
    </row>
    <row r="6" spans="1:17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1"/>
        <v>25</v>
      </c>
      <c r="G6" s="20" t="str" cm="1">
        <f t="array" ref="G6">GetColumnName(C6,IF(B6=B5,G5,""))</f>
        <v>AskMaximum</v>
      </c>
      <c r="H6" s="20" t="s">
        <v>173</v>
      </c>
      <c r="I6" s="20" t="s">
        <v>128</v>
      </c>
      <c r="J6" s="20" t="b">
        <v>1</v>
      </c>
      <c r="K6" s="20" t="b">
        <v>1</v>
      </c>
      <c r="L6" s="20" t="b">
        <v>1</v>
      </c>
      <c r="M6" s="20" t="b">
        <v>1</v>
      </c>
      <c r="N6" s="20"/>
      <c r="O6" s="20"/>
      <c r="P6" s="20" t="s">
        <v>26</v>
      </c>
      <c r="Q6" s="20" t="b">
        <v>0</v>
      </c>
    </row>
    <row r="7" spans="1:17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1"/>
        <v>30</v>
      </c>
      <c r="G7" s="20" t="str" cm="1">
        <f t="array" ref="G7">GetColumnName(C7,IF(B7=B6,G6,""))</f>
        <v>AskInWords</v>
      </c>
      <c r="H7" s="20" t="s">
        <v>172</v>
      </c>
      <c r="I7" s="20" t="s">
        <v>171</v>
      </c>
      <c r="J7" s="20" t="b">
        <v>1</v>
      </c>
      <c r="K7" s="20" t="b">
        <v>1</v>
      </c>
      <c r="L7" s="20" t="b">
        <v>1</v>
      </c>
      <c r="M7" s="20" t="b">
        <v>1</v>
      </c>
      <c r="N7" s="20"/>
      <c r="O7" s="20"/>
      <c r="P7" s="20" t="s">
        <v>26</v>
      </c>
      <c r="Q7" s="20" t="b">
        <v>0</v>
      </c>
    </row>
    <row r="8" spans="1:17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1"/>
        <v>35</v>
      </c>
      <c r="G8" s="20" t="str" cm="1">
        <f t="array" ref="G8">GetColumnName(C8,IF(B8=B7,G7,""))</f>
        <v>AskMask</v>
      </c>
      <c r="H8" s="20" t="s">
        <v>517</v>
      </c>
      <c r="I8" s="20" t="s">
        <v>125</v>
      </c>
      <c r="J8" s="20" t="b">
        <v>1</v>
      </c>
      <c r="K8" s="20" t="b">
        <v>1</v>
      </c>
      <c r="L8" s="20" t="b">
        <v>1</v>
      </c>
      <c r="M8" s="20" t="b">
        <v>1</v>
      </c>
      <c r="N8" s="20"/>
      <c r="O8" s="20"/>
      <c r="P8" s="20" t="s">
        <v>26</v>
      </c>
      <c r="Q8" s="20" t="b">
        <v>0</v>
      </c>
    </row>
    <row r="9" spans="1:17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1"/>
        <v>40</v>
      </c>
      <c r="G9" s="20" t="str" cm="1">
        <f t="array" ref="G9">GetColumnName(C9,IF(B9=B8,G8,""))</f>
        <v>AskGridable</v>
      </c>
      <c r="H9" s="20" t="s">
        <v>516</v>
      </c>
      <c r="I9" s="20" t="s">
        <v>515</v>
      </c>
      <c r="J9" s="20" t="b">
        <v>1</v>
      </c>
      <c r="K9" s="20" t="b">
        <v>1</v>
      </c>
      <c r="L9" s="20" t="b">
        <v>1</v>
      </c>
      <c r="M9" s="20" t="b">
        <v>1</v>
      </c>
      <c r="N9" s="20"/>
      <c r="O9" s="20"/>
      <c r="P9" s="20" t="s">
        <v>26</v>
      </c>
      <c r="Q9" s="20" t="b">
        <v>0</v>
      </c>
    </row>
    <row r="10" spans="1:17">
      <c r="A10" s="20">
        <f t="shared" ref="A10:A83" si="2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1"/>
        <v>45</v>
      </c>
      <c r="G10" s="20" t="str" cm="1">
        <f t="array" ref="G10">GetColumnName(C10,IF(B10=B9,G9,""))</f>
        <v>AskFilterable</v>
      </c>
      <c r="H10" s="20" t="s">
        <v>510</v>
      </c>
      <c r="I10" s="20" t="s">
        <v>514</v>
      </c>
      <c r="J10" s="20" t="b">
        <v>1</v>
      </c>
      <c r="K10" s="20" t="b">
        <v>1</v>
      </c>
      <c r="L10" s="20" t="b">
        <v>1</v>
      </c>
      <c r="M10" s="20" t="b">
        <v>1</v>
      </c>
      <c r="N10" s="20"/>
      <c r="O10" s="20"/>
      <c r="P10" s="20" t="s">
        <v>26</v>
      </c>
      <c r="Q10" s="20" t="b">
        <v>0</v>
      </c>
    </row>
    <row r="11" spans="1:17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1"/>
        <v>50</v>
      </c>
      <c r="G11" s="20" t="str" cm="1">
        <f t="array" ref="G11">GetColumnName(C11,IF(B11=B10,G10,""))</f>
        <v>AskEncrypted</v>
      </c>
      <c r="H11" s="20" t="s">
        <v>511</v>
      </c>
      <c r="I11" s="20" t="s">
        <v>512</v>
      </c>
      <c r="J11" s="20" t="b">
        <v>1</v>
      </c>
      <c r="K11" s="20" t="b">
        <v>1</v>
      </c>
      <c r="L11" s="20" t="b">
        <v>1</v>
      </c>
      <c r="M11" s="20" t="b">
        <v>1</v>
      </c>
      <c r="N11" s="20"/>
      <c r="O11" s="20"/>
      <c r="P11" s="20" t="s">
        <v>26</v>
      </c>
      <c r="Q11" s="20" t="b">
        <v>0</v>
      </c>
    </row>
    <row r="12" spans="1:17">
      <c r="A12" s="20">
        <f t="shared" si="2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1"/>
        <v>55</v>
      </c>
      <c r="G12" s="20" t="str" cm="1">
        <f t="array" ref="G12">GetColumnName(C12,IF(B12=B11,G11,""))</f>
        <v>AskListable</v>
      </c>
      <c r="H12" s="20" t="s">
        <v>513</v>
      </c>
      <c r="I12" s="20" t="s">
        <v>519</v>
      </c>
      <c r="J12" s="20" t="b">
        <v>1</v>
      </c>
      <c r="K12" s="20" t="b">
        <v>1</v>
      </c>
      <c r="L12" s="20" t="b">
        <v>1</v>
      </c>
      <c r="M12" s="20" t="b">
        <v>1</v>
      </c>
      <c r="N12" s="20"/>
      <c r="O12" s="20"/>
      <c r="P12" s="20" t="s">
        <v>26</v>
      </c>
      <c r="Q12" s="20" t="b">
        <v>0</v>
      </c>
    </row>
    <row r="13" spans="1:17">
      <c r="A13" s="18">
        <f t="shared" si="2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1"/>
        <v>5</v>
      </c>
      <c r="G13" s="18" t="str" cm="1">
        <f t="array" ref="G13">GetColumnName(C13,IF(B13=B12,G12,""))</f>
        <v>Id</v>
      </c>
      <c r="H13" s="18" t="s">
        <v>684</v>
      </c>
      <c r="I13" s="18" t="s">
        <v>0</v>
      </c>
      <c r="J13" s="18" t="b">
        <v>1</v>
      </c>
      <c r="K13" s="18" t="b">
        <v>1</v>
      </c>
      <c r="L13" s="18" t="b">
        <v>0</v>
      </c>
      <c r="M13" s="18" t="b">
        <v>0</v>
      </c>
      <c r="N13" s="18"/>
      <c r="O13" s="18"/>
      <c r="P13" s="18" t="b">
        <v>0</v>
      </c>
      <c r="Q13" s="18" t="b">
        <v>0</v>
      </c>
    </row>
    <row r="14" spans="1:17">
      <c r="A14" s="18">
        <f t="shared" si="2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1"/>
        <v>10</v>
      </c>
      <c r="G14" s="18" t="str" cm="1">
        <f t="array" ref="G14">GetColumnName(C14,IF(B14=B13,G13,""))</f>
        <v>Symbol</v>
      </c>
      <c r="H14" s="18" t="s">
        <v>685</v>
      </c>
      <c r="I14" s="18" t="s">
        <v>687</v>
      </c>
      <c r="J14" s="18" t="b">
        <v>1</v>
      </c>
      <c r="K14" s="18" t="b">
        <v>1</v>
      </c>
      <c r="L14" s="18" t="b">
        <v>1</v>
      </c>
      <c r="M14" s="18" t="s">
        <v>26</v>
      </c>
      <c r="N14" s="18" t="b">
        <v>1</v>
      </c>
      <c r="O14" s="18" t="b">
        <v>0</v>
      </c>
      <c r="P14" s="18" t="s">
        <v>26</v>
      </c>
      <c r="Q14" s="18" t="b">
        <v>0</v>
      </c>
    </row>
    <row r="15" spans="1:17">
      <c r="A15" s="18">
        <f t="shared" si="2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1"/>
        <v>15</v>
      </c>
      <c r="G15" s="18" t="str" cm="1">
        <f t="array" ref="G15">GetColumnName(C15,IF(B15=B14,G14,""))</f>
        <v>Description</v>
      </c>
      <c r="H15" s="18" t="s">
        <v>686</v>
      </c>
      <c r="I15" s="18" t="s">
        <v>109</v>
      </c>
      <c r="J15" s="18" t="b">
        <v>1</v>
      </c>
      <c r="K15" s="18" t="b">
        <v>1</v>
      </c>
      <c r="L15" s="18" t="b">
        <v>1</v>
      </c>
      <c r="M15" s="18" t="s">
        <v>26</v>
      </c>
      <c r="N15" s="18" t="b">
        <v>0</v>
      </c>
      <c r="O15" s="18"/>
      <c r="P15" s="18" t="s">
        <v>26</v>
      </c>
      <c r="Q15" s="18" t="b">
        <v>0</v>
      </c>
    </row>
    <row r="16" spans="1:17">
      <c r="A16" s="18">
        <f t="shared" si="2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1"/>
        <v>20</v>
      </c>
      <c r="G16" s="18" t="str" cm="1">
        <f t="array" ref="G16">GetColumnName(C16,IF(B16=B15,G15,""))</f>
        <v>Arity</v>
      </c>
      <c r="H16" s="18" t="s">
        <v>688</v>
      </c>
      <c r="I16" s="18" t="s">
        <v>689</v>
      </c>
      <c r="J16" s="18" t="b">
        <v>0</v>
      </c>
      <c r="K16" s="18" t="b">
        <v>1</v>
      </c>
      <c r="L16" s="18" t="b">
        <v>1</v>
      </c>
      <c r="M16" s="18" t="s">
        <v>26</v>
      </c>
      <c r="N16" s="18"/>
      <c r="O16" s="18"/>
      <c r="P16" s="18" t="b">
        <v>0</v>
      </c>
      <c r="Q16" s="18" t="b">
        <v>0</v>
      </c>
    </row>
    <row r="17" spans="1:17">
      <c r="A17" s="20">
        <f t="shared" si="2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690</v>
      </c>
      <c r="I17" s="20" t="s">
        <v>0</v>
      </c>
      <c r="J17" s="20" t="b">
        <v>1</v>
      </c>
      <c r="K17" s="20" t="b">
        <v>1</v>
      </c>
      <c r="L17" s="20" t="b">
        <v>0</v>
      </c>
      <c r="M17" s="20" t="b">
        <v>0</v>
      </c>
      <c r="N17" s="20"/>
      <c r="O17" s="20"/>
      <c r="P17" s="20" t="b">
        <v>0</v>
      </c>
      <c r="Q17" s="20" t="b">
        <v>0</v>
      </c>
    </row>
    <row r="18" spans="1:17">
      <c r="A18" s="20">
        <f t="shared" si="2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1"/>
        <v>10</v>
      </c>
      <c r="G18" s="20" t="str" cm="1">
        <f t="array" ref="G18">GetColumnName(C18,IF(B18=B17,G17,""))</f>
        <v>CategoryId</v>
      </c>
      <c r="H18" s="20" t="s">
        <v>691</v>
      </c>
      <c r="I18" s="20" t="s">
        <v>98</v>
      </c>
      <c r="J18" s="20" t="s">
        <v>26</v>
      </c>
      <c r="K18" s="20" t="s">
        <v>26</v>
      </c>
      <c r="L18" s="20" t="s">
        <v>26</v>
      </c>
      <c r="M18" s="20" t="s">
        <v>26</v>
      </c>
      <c r="N18" s="20"/>
      <c r="O18" s="20"/>
      <c r="P18" s="20" t="s">
        <v>26</v>
      </c>
      <c r="Q18" s="20" t="b">
        <v>0</v>
      </c>
    </row>
    <row r="19" spans="1:17">
      <c r="A19" s="20">
        <f t="shared" ref="A19:A27" si="3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1"/>
        <v>15</v>
      </c>
      <c r="G19" s="20" t="str" cm="1">
        <f t="array" ref="G19">GetColumnName(C19,IF(B19=B18,G18,""))</f>
        <v>ComparatorId</v>
      </c>
      <c r="H19" s="20" t="s">
        <v>738</v>
      </c>
      <c r="I19" s="20" t="s">
        <v>738</v>
      </c>
      <c r="J19" s="20" t="s">
        <v>26</v>
      </c>
      <c r="K19" s="20" t="s">
        <v>26</v>
      </c>
      <c r="L19" s="20" t="s">
        <v>26</v>
      </c>
      <c r="M19" s="20" t="s">
        <v>26</v>
      </c>
      <c r="N19" s="20"/>
      <c r="O19" s="20"/>
      <c r="P19" s="20" t="s">
        <v>26</v>
      </c>
      <c r="Q19" s="20" t="b">
        <v>0</v>
      </c>
    </row>
    <row r="20" spans="1:17">
      <c r="A20" s="18">
        <f t="shared" si="3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1"/>
        <v>5</v>
      </c>
      <c r="G20" s="18" t="str" cm="1">
        <f t="array" ref="G20">GetColumnName(C20,IF(B20=B19,G19,""))</f>
        <v>Id</v>
      </c>
      <c r="H20" s="18" t="s">
        <v>417</v>
      </c>
      <c r="I20" s="18" t="s">
        <v>0</v>
      </c>
      <c r="J20" s="18" t="b">
        <v>1</v>
      </c>
      <c r="K20" s="18" t="b">
        <v>1</v>
      </c>
      <c r="L20" s="18" t="b">
        <v>0</v>
      </c>
      <c r="M20" s="18" t="b">
        <v>0</v>
      </c>
      <c r="N20" s="18"/>
      <c r="O20" s="18"/>
      <c r="P20" s="18" t="b">
        <v>0</v>
      </c>
      <c r="Q20" s="18" t="b">
        <v>0</v>
      </c>
    </row>
    <row r="21" spans="1:17">
      <c r="A21" s="18">
        <f t="shared" si="3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1"/>
        <v>10</v>
      </c>
      <c r="G21" s="18" t="str" cm="1">
        <f t="array" ref="G21">GetColumnName(C21,IF(B21=B20,G20,""))</f>
        <v>Name</v>
      </c>
      <c r="H21" s="18" t="s">
        <v>743</v>
      </c>
      <c r="I21" s="18" t="s">
        <v>97</v>
      </c>
      <c r="J21" s="18" t="s">
        <v>26</v>
      </c>
      <c r="K21" s="18" t="s">
        <v>26</v>
      </c>
      <c r="L21" s="18" t="s">
        <v>26</v>
      </c>
      <c r="M21" s="18" t="s">
        <v>26</v>
      </c>
      <c r="N21" s="18"/>
      <c r="O21" s="18"/>
      <c r="P21" s="18" t="s">
        <v>26</v>
      </c>
      <c r="Q21" s="18" t="b">
        <v>0</v>
      </c>
    </row>
    <row r="22" spans="1:17">
      <c r="A22" s="18">
        <f t="shared" si="3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1"/>
        <v>15</v>
      </c>
      <c r="G22" s="18" t="str" cm="1">
        <f t="array" ref="G22">GetColumnName(C22,IF(B22=B21,G21,""))</f>
        <v>Provider</v>
      </c>
      <c r="H22" s="18" t="s">
        <v>496</v>
      </c>
      <c r="I22" s="18" t="s">
        <v>497</v>
      </c>
      <c r="J22" s="18" t="s">
        <v>26</v>
      </c>
      <c r="K22" s="18" t="s">
        <v>26</v>
      </c>
      <c r="L22" s="18" t="s">
        <v>26</v>
      </c>
      <c r="M22" s="18" t="s">
        <v>26</v>
      </c>
      <c r="N22" s="18"/>
      <c r="O22" s="18"/>
      <c r="P22" s="18" t="s">
        <v>26</v>
      </c>
      <c r="Q22" s="18" t="b">
        <v>0</v>
      </c>
    </row>
    <row r="23" spans="1:17">
      <c r="A23" s="18">
        <f t="shared" si="3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1"/>
        <v>20</v>
      </c>
      <c r="G23" s="18" t="str" cm="1">
        <f t="array" ref="G23">GetColumnName(C23,IF(B23=B22,G22,""))</f>
        <v>AskDirectory</v>
      </c>
      <c r="H23" s="18" t="s">
        <v>498</v>
      </c>
      <c r="I23" s="18" t="s">
        <v>499</v>
      </c>
      <c r="J23" s="18" t="s">
        <v>26</v>
      </c>
      <c r="K23" s="18" t="s">
        <v>26</v>
      </c>
      <c r="L23" s="18" t="s">
        <v>26</v>
      </c>
      <c r="M23" s="18" t="s">
        <v>26</v>
      </c>
      <c r="N23" s="18"/>
      <c r="O23" s="18"/>
      <c r="P23" s="18" t="s">
        <v>26</v>
      </c>
      <c r="Q23" s="18" t="b">
        <v>0</v>
      </c>
    </row>
    <row r="24" spans="1:17">
      <c r="A24" s="18">
        <f t="shared" si="3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1"/>
        <v>25</v>
      </c>
      <c r="G24" s="18" t="str" cm="1">
        <f t="array" ref="G24">GetColumnName(C24,IF(B24=B23,G23,""))</f>
        <v>IsActive</v>
      </c>
      <c r="H24" s="18" t="s">
        <v>750</v>
      </c>
      <c r="I24" s="18" t="s">
        <v>112</v>
      </c>
      <c r="J24" s="18" t="s">
        <v>26</v>
      </c>
      <c r="K24" s="18" t="s">
        <v>26</v>
      </c>
      <c r="L24" s="18" t="s">
        <v>26</v>
      </c>
      <c r="M24" s="18" t="s">
        <v>26</v>
      </c>
      <c r="N24" s="18"/>
      <c r="O24" s="18"/>
      <c r="P24" s="18" t="s">
        <v>26</v>
      </c>
      <c r="Q24" s="18" t="b">
        <v>0</v>
      </c>
    </row>
    <row r="25" spans="1:17">
      <c r="A25" s="20">
        <f t="shared" si="3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1"/>
        <v>5</v>
      </c>
      <c r="G25" s="20" t="str" cm="1">
        <f t="array" ref="G25">GetColumnName(C25,IF(B25=B24,G24,""))</f>
        <v>Id</v>
      </c>
      <c r="H25" s="20" t="s">
        <v>520</v>
      </c>
      <c r="I25" s="20" t="s">
        <v>0</v>
      </c>
      <c r="J25" s="20" t="b">
        <v>1</v>
      </c>
      <c r="K25" s="20" t="b">
        <v>1</v>
      </c>
      <c r="L25" s="20" t="b">
        <v>0</v>
      </c>
      <c r="M25" s="20" t="b">
        <v>0</v>
      </c>
      <c r="N25" s="20"/>
      <c r="O25" s="20"/>
      <c r="P25" s="20" t="b">
        <v>0</v>
      </c>
      <c r="Q25" s="20" t="b">
        <v>0</v>
      </c>
    </row>
    <row r="26" spans="1:17">
      <c r="A26" s="20">
        <f t="shared" si="3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1"/>
        <v>10</v>
      </c>
      <c r="G26" s="20" t="str" cm="1">
        <f t="array" ref="G26">GetColumnName(C26,IF(B26=B25,G25,""))</f>
        <v>CategoryId</v>
      </c>
      <c r="H26" s="20" t="s">
        <v>744</v>
      </c>
      <c r="I26" s="20" t="s">
        <v>98</v>
      </c>
      <c r="J26" s="20" t="s">
        <v>26</v>
      </c>
      <c r="K26" s="20" t="s">
        <v>26</v>
      </c>
      <c r="L26" s="20" t="s">
        <v>26</v>
      </c>
      <c r="M26" s="20" t="s">
        <v>26</v>
      </c>
      <c r="N26" s="20"/>
      <c r="O26" s="20"/>
      <c r="P26" s="20" t="s">
        <v>26</v>
      </c>
      <c r="Q26" s="20" t="b">
        <v>0</v>
      </c>
    </row>
    <row r="27" spans="1:17">
      <c r="A27" s="20">
        <f t="shared" si="3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1"/>
        <v>15</v>
      </c>
      <c r="G27" s="20" t="str" cm="1">
        <f t="array" ref="G27">GetColumnName(C27,IF(B27=B26,G26,""))</f>
        <v>Name</v>
      </c>
      <c r="H27" s="20" t="s">
        <v>521</v>
      </c>
      <c r="I27" s="20" t="s">
        <v>97</v>
      </c>
      <c r="J27" s="20" t="s">
        <v>26</v>
      </c>
      <c r="K27" s="20" t="s">
        <v>26</v>
      </c>
      <c r="L27" s="20" t="s">
        <v>26</v>
      </c>
      <c r="M27" s="20" t="s">
        <v>26</v>
      </c>
      <c r="N27" s="20"/>
      <c r="O27" s="20"/>
      <c r="P27" s="20" t="s">
        <v>26</v>
      </c>
      <c r="Q27" s="20" t="b">
        <v>0</v>
      </c>
    </row>
    <row r="28" spans="1:17">
      <c r="A28" s="20">
        <f t="shared" si="2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1"/>
        <v>20</v>
      </c>
      <c r="G28" s="20" t="str" cm="1">
        <f t="array" ref="G28">GetColumnName(C28,IF(B28=B27,G27,""))</f>
        <v>Minimum</v>
      </c>
      <c r="H28" s="20" t="s">
        <v>522</v>
      </c>
      <c r="I28" s="20" t="s">
        <v>523</v>
      </c>
      <c r="J28" s="20" t="s">
        <v>26</v>
      </c>
      <c r="K28" s="20" t="s">
        <v>26</v>
      </c>
      <c r="L28" s="20" t="s">
        <v>26</v>
      </c>
      <c r="M28" s="20" t="s">
        <v>26</v>
      </c>
      <c r="N28" s="20"/>
      <c r="O28" s="20"/>
      <c r="P28" s="20" t="s">
        <v>26</v>
      </c>
      <c r="Q28" s="20" t="b">
        <v>0</v>
      </c>
    </row>
    <row r="29" spans="1:17">
      <c r="A29" s="20">
        <f t="shared" si="2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1"/>
        <v>25</v>
      </c>
      <c r="G29" s="20" t="str" cm="1">
        <f t="array" ref="G29">GetColumnName(C29,IF(B29=B28,G28,""))</f>
        <v>Maximum</v>
      </c>
      <c r="H29" s="20" t="s">
        <v>524</v>
      </c>
      <c r="I29" s="20" t="s">
        <v>528</v>
      </c>
      <c r="J29" s="20" t="s">
        <v>26</v>
      </c>
      <c r="K29" s="20" t="s">
        <v>26</v>
      </c>
      <c r="L29" s="20" t="s">
        <v>26</v>
      </c>
      <c r="M29" s="20" t="s">
        <v>26</v>
      </c>
      <c r="N29" s="20"/>
      <c r="O29" s="20"/>
      <c r="P29" s="20" t="s">
        <v>26</v>
      </c>
      <c r="Q29" s="20" t="b">
        <v>0</v>
      </c>
    </row>
    <row r="30" spans="1:17">
      <c r="A30" s="20">
        <f t="shared" si="2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1"/>
        <v>30</v>
      </c>
      <c r="G30" s="20" t="str" cm="1">
        <f t="array" ref="G30">GetColumnName(C30,IF(B30=B29,G29,""))</f>
        <v>AskLength</v>
      </c>
      <c r="H30" s="20" t="s">
        <v>525</v>
      </c>
      <c r="I30" s="20" t="s">
        <v>525</v>
      </c>
      <c r="J30" s="20" t="s">
        <v>26</v>
      </c>
      <c r="K30" s="20" t="s">
        <v>26</v>
      </c>
      <c r="L30" s="20" t="s">
        <v>26</v>
      </c>
      <c r="M30" s="20" t="s">
        <v>26</v>
      </c>
      <c r="N30" s="20"/>
      <c r="O30" s="20"/>
      <c r="P30" s="20" t="s">
        <v>26</v>
      </c>
      <c r="Q30" s="20" t="b">
        <v>0</v>
      </c>
    </row>
    <row r="31" spans="1:17">
      <c r="A31" s="20">
        <f t="shared" si="2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1"/>
        <v>35</v>
      </c>
      <c r="G31" s="20" t="str" cm="1">
        <f t="array" ref="G31">GetColumnName(C31,IF(B31=B30,G30,""))</f>
        <v>AskDecimals</v>
      </c>
      <c r="H31" s="20" t="s">
        <v>526</v>
      </c>
      <c r="I31" s="20" t="s">
        <v>526</v>
      </c>
      <c r="J31" s="20" t="s">
        <v>26</v>
      </c>
      <c r="K31" s="20" t="s">
        <v>26</v>
      </c>
      <c r="L31" s="20" t="s">
        <v>26</v>
      </c>
      <c r="M31" s="20" t="s">
        <v>26</v>
      </c>
      <c r="N31" s="20"/>
      <c r="O31" s="20"/>
      <c r="P31" s="20" t="s">
        <v>26</v>
      </c>
      <c r="Q31" s="20" t="b">
        <v>0</v>
      </c>
    </row>
    <row r="32" spans="1:17">
      <c r="A32" s="20">
        <f t="shared" si="2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1"/>
        <v>40</v>
      </c>
      <c r="G32" s="20" t="str" cm="1">
        <f t="array" ref="G32">GetColumnName(C32,IF(B32=B31,G31,""))</f>
        <v>AskPrimarykey</v>
      </c>
      <c r="H32" s="20" t="s">
        <v>758</v>
      </c>
      <c r="I32" s="20" t="s">
        <v>758</v>
      </c>
      <c r="J32" s="20" t="s">
        <v>26</v>
      </c>
      <c r="K32" s="20" t="s">
        <v>26</v>
      </c>
      <c r="L32" s="20" t="s">
        <v>26</v>
      </c>
      <c r="M32" s="20" t="s">
        <v>26</v>
      </c>
      <c r="N32" s="20"/>
      <c r="O32" s="20"/>
      <c r="P32" s="20" t="s">
        <v>26</v>
      </c>
      <c r="Q32" s="20" t="b">
        <v>0</v>
      </c>
    </row>
    <row r="33" spans="1:17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1"/>
        <v>45</v>
      </c>
      <c r="G33" s="20" t="str" cm="1">
        <f t="array" ref="G33">GetColumnName(C33,IF(B33=B32,G32,""))</f>
        <v>AskAutoincrement</v>
      </c>
      <c r="H33" s="20" t="s">
        <v>527</v>
      </c>
      <c r="I33" s="20" t="s">
        <v>527</v>
      </c>
      <c r="J33" s="20" t="s">
        <v>26</v>
      </c>
      <c r="K33" s="20" t="s">
        <v>26</v>
      </c>
      <c r="L33" s="20" t="s">
        <v>26</v>
      </c>
      <c r="M33" s="20" t="s">
        <v>26</v>
      </c>
      <c r="N33" s="20"/>
      <c r="O33" s="20"/>
      <c r="P33" s="20" t="s">
        <v>26</v>
      </c>
      <c r="Q33" s="20" t="b">
        <v>0</v>
      </c>
    </row>
    <row r="34" spans="1:17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1"/>
        <v>50</v>
      </c>
      <c r="G34" s="20" t="str" cm="1">
        <f t="array" ref="G34">GetColumnName(C34,IF(B34=B33,G33,""))</f>
        <v>IsActive</v>
      </c>
      <c r="H34" s="20" t="s">
        <v>532</v>
      </c>
      <c r="I34" s="20" t="s">
        <v>112</v>
      </c>
      <c r="J34" s="20" t="s">
        <v>26</v>
      </c>
      <c r="K34" s="20" t="s">
        <v>26</v>
      </c>
      <c r="L34" s="20" t="s">
        <v>26</v>
      </c>
      <c r="M34" s="20" t="s">
        <v>26</v>
      </c>
      <c r="N34" s="20"/>
      <c r="O34" s="20"/>
      <c r="P34" s="20" t="s">
        <v>26</v>
      </c>
      <c r="Q34" s="20" t="b">
        <v>0</v>
      </c>
    </row>
    <row r="35" spans="1:17">
      <c r="A35" s="18">
        <f t="shared" si="2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1"/>
        <v>5</v>
      </c>
      <c r="G35" s="18" t="str" cm="1">
        <f t="array" ref="G35">GetColumnName(C35,IF(B35=B34,G34,""))</f>
        <v>Id</v>
      </c>
      <c r="H35" s="18" t="s">
        <v>545</v>
      </c>
      <c r="I35" s="18" t="s">
        <v>0</v>
      </c>
      <c r="J35" s="18" t="b">
        <v>1</v>
      </c>
      <c r="K35" s="18" t="b">
        <v>1</v>
      </c>
      <c r="L35" s="18" t="b">
        <v>0</v>
      </c>
      <c r="M35" s="18" t="b">
        <v>0</v>
      </c>
      <c r="N35" s="18"/>
      <c r="O35" s="18"/>
      <c r="P35" s="18" t="b">
        <v>0</v>
      </c>
      <c r="Q35" s="18" t="b">
        <v>0</v>
      </c>
    </row>
    <row r="36" spans="1:17">
      <c r="A36" s="18">
        <f t="shared" si="2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1"/>
        <v>10</v>
      </c>
      <c r="G36" s="18" t="str" cm="1">
        <f t="array" ref="G36">GetColumnName(C36,IF(B36=B35,G35,""))</f>
        <v>EngineId</v>
      </c>
      <c r="H36" s="18" t="s">
        <v>751</v>
      </c>
      <c r="I36" s="18" t="s">
        <v>435</v>
      </c>
      <c r="J36" s="18" t="s">
        <v>26</v>
      </c>
      <c r="K36" s="18" t="s">
        <v>26</v>
      </c>
      <c r="L36" s="18" t="s">
        <v>26</v>
      </c>
      <c r="M36" s="18" t="s">
        <v>26</v>
      </c>
      <c r="N36" s="18"/>
      <c r="O36" s="18"/>
      <c r="P36" s="18" t="s">
        <v>26</v>
      </c>
      <c r="Q36" s="18" t="b">
        <v>0</v>
      </c>
    </row>
    <row r="37" spans="1:17">
      <c r="A37" s="18">
        <f t="shared" si="2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1"/>
        <v>15</v>
      </c>
      <c r="G37" s="18" t="str" cm="1">
        <f t="array" ref="G37">GetColumnName(C37,IF(B37=B36,G36,""))</f>
        <v>TypeId</v>
      </c>
      <c r="H37" s="18" t="s">
        <v>520</v>
      </c>
      <c r="I37" s="18" t="s">
        <v>99</v>
      </c>
      <c r="J37" s="18" t="s">
        <v>26</v>
      </c>
      <c r="K37" s="18" t="s">
        <v>26</v>
      </c>
      <c r="L37" s="18" t="s">
        <v>26</v>
      </c>
      <c r="M37" s="18" t="s">
        <v>26</v>
      </c>
      <c r="N37" s="18"/>
      <c r="O37" s="18"/>
      <c r="P37" s="18" t="s">
        <v>26</v>
      </c>
      <c r="Q37" s="18" t="b">
        <v>0</v>
      </c>
    </row>
    <row r="38" spans="1:17">
      <c r="A38" s="18">
        <f t="shared" si="2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1"/>
        <v>20</v>
      </c>
      <c r="G38" s="18" t="str" cm="1">
        <f t="array" ref="G38">GetColumnName(C38,IF(B38=B37,G37,""))</f>
        <v>Name</v>
      </c>
      <c r="H38" s="18" t="s">
        <v>546</v>
      </c>
      <c r="I38" s="18" t="s">
        <v>97</v>
      </c>
      <c r="J38" s="18" t="s">
        <v>26</v>
      </c>
      <c r="K38" s="18" t="s">
        <v>26</v>
      </c>
      <c r="L38" s="18" t="s">
        <v>26</v>
      </c>
      <c r="M38" s="18" t="s">
        <v>26</v>
      </c>
      <c r="N38" s="18"/>
      <c r="O38" s="18"/>
      <c r="P38" s="18" t="s">
        <v>26</v>
      </c>
      <c r="Q38" s="18" t="b">
        <v>0</v>
      </c>
    </row>
    <row r="39" spans="1:17">
      <c r="A39" s="18">
        <f t="shared" si="2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1"/>
        <v>25</v>
      </c>
      <c r="G39" s="18" t="str" cm="1">
        <f t="array" ref="G39">GetColumnName(C39,IF(B39=B38,G38,""))</f>
        <v>Length</v>
      </c>
      <c r="H39" s="18" t="s">
        <v>745</v>
      </c>
      <c r="I39" s="18" t="s">
        <v>102</v>
      </c>
      <c r="J39" s="18" t="s">
        <v>26</v>
      </c>
      <c r="K39" s="18" t="s">
        <v>26</v>
      </c>
      <c r="L39" s="18" t="s">
        <v>26</v>
      </c>
      <c r="M39" s="18" t="s">
        <v>26</v>
      </c>
      <c r="N39" s="18"/>
      <c r="O39" s="18"/>
      <c r="P39" s="18" t="s">
        <v>26</v>
      </c>
      <c r="Q39" s="18" t="b">
        <v>0</v>
      </c>
    </row>
    <row r="40" spans="1:17">
      <c r="A40" s="18">
        <f t="shared" si="2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1"/>
        <v>30</v>
      </c>
      <c r="G40" s="18" t="str" cm="1">
        <f t="array" ref="G40">GetColumnName(C40,IF(B40=B39,G39,""))</f>
        <v>Decimals</v>
      </c>
      <c r="H40" s="18" t="s">
        <v>746</v>
      </c>
      <c r="I40" s="18" t="s">
        <v>104</v>
      </c>
      <c r="J40" s="18" t="s">
        <v>26</v>
      </c>
      <c r="K40" s="18" t="s">
        <v>26</v>
      </c>
      <c r="L40" s="18" t="s">
        <v>26</v>
      </c>
      <c r="M40" s="18" t="s">
        <v>26</v>
      </c>
      <c r="N40" s="18"/>
      <c r="O40" s="18"/>
      <c r="P40" s="18" t="s">
        <v>26</v>
      </c>
      <c r="Q40" s="18" t="b">
        <v>0</v>
      </c>
    </row>
    <row r="41" spans="1:17">
      <c r="A41" s="20">
        <f t="shared" si="2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1"/>
        <v>5</v>
      </c>
      <c r="G41" s="20" t="str" cm="1">
        <f t="array" ref="G41">GetColumnName(C41,IF(B41=B40,G40,""))</f>
        <v>Id</v>
      </c>
      <c r="H41" s="20" t="s">
        <v>554</v>
      </c>
      <c r="I41" s="20" t="s">
        <v>0</v>
      </c>
      <c r="J41" s="20" t="b">
        <v>1</v>
      </c>
      <c r="K41" s="20" t="b">
        <v>1</v>
      </c>
      <c r="L41" s="20" t="b">
        <v>0</v>
      </c>
      <c r="M41" s="20" t="b">
        <v>0</v>
      </c>
      <c r="N41" s="20"/>
      <c r="O41" s="20"/>
      <c r="P41" s="20" t="b">
        <v>0</v>
      </c>
      <c r="Q41" s="20" t="b">
        <v>0</v>
      </c>
    </row>
    <row r="42" spans="1:17">
      <c r="A42" s="20">
        <f t="shared" si="2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1"/>
        <v>10</v>
      </c>
      <c r="G42" s="20" t="str" cm="1">
        <f t="array" ref="G42">GetColumnName(C42,IF(B42=B41,G41,""))</f>
        <v>Name</v>
      </c>
      <c r="H42" s="20" t="s">
        <v>529</v>
      </c>
      <c r="I42" s="20" t="s">
        <v>97</v>
      </c>
      <c r="J42" s="20" t="s">
        <v>26</v>
      </c>
      <c r="K42" s="20" t="s">
        <v>26</v>
      </c>
      <c r="L42" s="20" t="s">
        <v>26</v>
      </c>
      <c r="M42" s="20" t="s">
        <v>26</v>
      </c>
      <c r="N42" s="20"/>
      <c r="O42" s="20"/>
      <c r="P42" s="20" t="s">
        <v>26</v>
      </c>
      <c r="Q42" s="20" t="b">
        <v>0</v>
      </c>
    </row>
    <row r="43" spans="1:17">
      <c r="A43" s="20">
        <f t="shared" si="2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1"/>
        <v>15</v>
      </c>
      <c r="G43" s="20" t="str" cm="1">
        <f t="array" ref="G43">GetColumnName(C43,IF(B43=B42,G42,""))</f>
        <v>Logo</v>
      </c>
      <c r="H43" s="20" t="s">
        <v>742</v>
      </c>
      <c r="I43" s="20" t="s">
        <v>531</v>
      </c>
      <c r="J43" s="20" t="s">
        <v>26</v>
      </c>
      <c r="K43" s="20" t="s">
        <v>26</v>
      </c>
      <c r="L43" s="20" t="s">
        <v>26</v>
      </c>
      <c r="M43" s="20" t="s">
        <v>26</v>
      </c>
      <c r="N43" s="20"/>
      <c r="O43" s="20"/>
      <c r="P43" s="20" t="s">
        <v>26</v>
      </c>
      <c r="Q43" s="20" t="b">
        <v>0</v>
      </c>
    </row>
    <row r="44" spans="1:17">
      <c r="A44" s="20">
        <f t="shared" si="2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1"/>
        <v>20</v>
      </c>
      <c r="G44" s="20" t="str" cm="1">
        <f t="array" ref="G44">GetColumnName(C44,IF(B44=B43,G43,""))</f>
        <v>EngineId</v>
      </c>
      <c r="H44" s="20" t="s">
        <v>417</v>
      </c>
      <c r="I44" s="20" t="s">
        <v>435</v>
      </c>
      <c r="J44" s="20" t="s">
        <v>26</v>
      </c>
      <c r="K44" s="20" t="s">
        <v>26</v>
      </c>
      <c r="L44" s="20" t="s">
        <v>26</v>
      </c>
      <c r="M44" s="20" t="s">
        <v>26</v>
      </c>
      <c r="N44" s="20"/>
      <c r="O44" s="20"/>
      <c r="P44" s="20" t="s">
        <v>26</v>
      </c>
      <c r="Q44" s="20" t="b">
        <v>0</v>
      </c>
    </row>
    <row r="45" spans="1:17">
      <c r="A45" s="20">
        <f t="shared" si="2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1"/>
        <v>25</v>
      </c>
      <c r="G45" s="20" t="str" cm="1">
        <f t="array" ref="G45">GetColumnName(C45,IF(B45=B44,G44,""))</f>
        <v>IsActive</v>
      </c>
      <c r="H45" s="20" t="s">
        <v>752</v>
      </c>
      <c r="I45" s="20" t="s">
        <v>112</v>
      </c>
      <c r="J45" s="20" t="s">
        <v>26</v>
      </c>
      <c r="K45" s="20" t="s">
        <v>26</v>
      </c>
      <c r="L45" s="20" t="s">
        <v>26</v>
      </c>
      <c r="M45" s="20" t="s">
        <v>26</v>
      </c>
      <c r="N45" s="20"/>
      <c r="O45" s="20"/>
      <c r="P45" s="20" t="s">
        <v>26</v>
      </c>
      <c r="Q45" s="20" t="b">
        <v>0</v>
      </c>
    </row>
    <row r="46" spans="1:17">
      <c r="A46" s="18">
        <f t="shared" si="2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1"/>
        <v>5</v>
      </c>
      <c r="G46" s="18" t="str" cm="1">
        <f t="array" ref="G46">GetColumnName(C46,IF(B46=B45,G45,""))</f>
        <v>Id</v>
      </c>
      <c r="H46" s="18" t="s">
        <v>533</v>
      </c>
      <c r="I46" s="18" t="s">
        <v>0</v>
      </c>
      <c r="J46" s="18" t="b">
        <v>1</v>
      </c>
      <c r="K46" s="18" t="b">
        <v>1</v>
      </c>
      <c r="L46" s="18" t="b">
        <v>0</v>
      </c>
      <c r="M46" s="18" t="b">
        <v>0</v>
      </c>
      <c r="N46" s="18"/>
      <c r="O46" s="18"/>
      <c r="P46" s="18" t="b">
        <v>0</v>
      </c>
      <c r="Q46" s="18" t="b">
        <v>0</v>
      </c>
    </row>
    <row r="47" spans="1:17">
      <c r="A47" s="18">
        <f t="shared" si="2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1"/>
        <v>10</v>
      </c>
      <c r="G47" s="18" t="str" cm="1">
        <f t="array" ref="G47">GetColumnName(C47,IF(B47=B46,G46,""))</f>
        <v>ClientId</v>
      </c>
      <c r="H47" s="18" t="s">
        <v>534</v>
      </c>
      <c r="I47" s="18" t="s">
        <v>99</v>
      </c>
      <c r="J47" s="18" t="s">
        <v>26</v>
      </c>
      <c r="K47" s="18" t="s">
        <v>26</v>
      </c>
      <c r="L47" s="18" t="s">
        <v>26</v>
      </c>
      <c r="M47" s="18" t="s">
        <v>26</v>
      </c>
      <c r="N47" s="18"/>
      <c r="O47" s="18"/>
      <c r="P47" s="18" t="s">
        <v>26</v>
      </c>
      <c r="Q47" s="18" t="b">
        <v>0</v>
      </c>
    </row>
    <row r="48" spans="1:17">
      <c r="A48" s="18">
        <f t="shared" si="2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1"/>
        <v>15</v>
      </c>
      <c r="G48" s="18" t="str" cm="1">
        <f t="array" ref="G48">GetColumnName(C48,IF(B48=B47,G47,""))</f>
        <v>TypeId</v>
      </c>
      <c r="H48" s="18" t="s">
        <v>100</v>
      </c>
      <c r="I48" s="18" t="s">
        <v>97</v>
      </c>
      <c r="J48" s="18" t="s">
        <v>26</v>
      </c>
      <c r="K48" s="18" t="s">
        <v>26</v>
      </c>
      <c r="L48" s="18" t="s">
        <v>26</v>
      </c>
      <c r="M48" s="18" t="s">
        <v>26</v>
      </c>
      <c r="N48" s="18"/>
      <c r="O48" s="18"/>
      <c r="P48" s="18" t="s">
        <v>26</v>
      </c>
      <c r="Q48" s="18" t="b">
        <v>0</v>
      </c>
    </row>
    <row r="49" spans="1:17">
      <c r="A49" s="18">
        <f t="shared" si="2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1"/>
        <v>20</v>
      </c>
      <c r="G49" s="18" t="str" cm="1">
        <f t="array" ref="G49">GetColumnName(C49,IF(B49=B48,G48,""))</f>
        <v>Name</v>
      </c>
      <c r="H49" s="18" t="s">
        <v>101</v>
      </c>
      <c r="I49" s="18" t="s">
        <v>102</v>
      </c>
      <c r="J49" s="18" t="s">
        <v>26</v>
      </c>
      <c r="K49" s="18" t="s">
        <v>26</v>
      </c>
      <c r="L49" s="18" t="s">
        <v>26</v>
      </c>
      <c r="M49" s="18" t="s">
        <v>26</v>
      </c>
      <c r="N49" s="18"/>
      <c r="O49" s="18"/>
      <c r="P49" s="18" t="s">
        <v>26</v>
      </c>
      <c r="Q49" s="18" t="b">
        <v>0</v>
      </c>
    </row>
    <row r="50" spans="1:17">
      <c r="A50" s="18">
        <f t="shared" si="2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1"/>
        <v>25</v>
      </c>
      <c r="G50" s="18" t="str" cm="1">
        <f t="array" ref="G50">GetColumnName(C50,IF(B50=B49,G49,""))</f>
        <v>Length</v>
      </c>
      <c r="H50" s="18" t="s">
        <v>103</v>
      </c>
      <c r="I50" s="18" t="s">
        <v>104</v>
      </c>
      <c r="J50" s="18" t="s">
        <v>26</v>
      </c>
      <c r="K50" s="18" t="s">
        <v>26</v>
      </c>
      <c r="L50" s="18" t="s">
        <v>26</v>
      </c>
      <c r="M50" s="18" t="s">
        <v>26</v>
      </c>
      <c r="N50" s="18"/>
      <c r="O50" s="18"/>
      <c r="P50" s="18" t="s">
        <v>26</v>
      </c>
      <c r="Q50" s="18" t="b">
        <v>0</v>
      </c>
    </row>
    <row r="51" spans="1:17">
      <c r="A51" s="18">
        <f t="shared" si="2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1"/>
        <v>30</v>
      </c>
      <c r="G51" s="18" t="str" cm="1">
        <f t="array" ref="G51">GetColumnName(C51,IF(B51=B50,G50,""))</f>
        <v>Decimals</v>
      </c>
      <c r="H51" s="18" t="s">
        <v>535</v>
      </c>
      <c r="I51" s="18" t="s">
        <v>139</v>
      </c>
      <c r="J51" s="18" t="s">
        <v>26</v>
      </c>
      <c r="K51" s="18" t="s">
        <v>26</v>
      </c>
      <c r="L51" s="18" t="s">
        <v>26</v>
      </c>
      <c r="M51" s="18" t="s">
        <v>26</v>
      </c>
      <c r="N51" s="18"/>
      <c r="O51" s="18"/>
      <c r="P51" s="18" t="s">
        <v>26</v>
      </c>
      <c r="Q51" s="18" t="b">
        <v>0</v>
      </c>
    </row>
    <row r="52" spans="1:17">
      <c r="A52" s="18">
        <f t="shared" si="2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1"/>
        <v>35</v>
      </c>
      <c r="G52" s="18" t="str" cm="1">
        <f t="array" ref="G52">GetColumnName(C52,IF(B52=B51,G51,""))</f>
        <v>Default</v>
      </c>
      <c r="H52" s="18" t="s">
        <v>536</v>
      </c>
      <c r="I52" s="18" t="s">
        <v>537</v>
      </c>
      <c r="J52" s="18" t="s">
        <v>26</v>
      </c>
      <c r="K52" s="18" t="s">
        <v>26</v>
      </c>
      <c r="L52" s="18" t="s">
        <v>26</v>
      </c>
      <c r="M52" s="18" t="s">
        <v>26</v>
      </c>
      <c r="N52" s="18"/>
      <c r="O52" s="18"/>
      <c r="P52" s="18" t="s">
        <v>26</v>
      </c>
      <c r="Q52" s="18" t="b">
        <v>0</v>
      </c>
    </row>
    <row r="53" spans="1:17">
      <c r="A53" s="18">
        <f t="shared" si="2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1"/>
        <v>40</v>
      </c>
      <c r="G53" s="18" t="str" cm="1">
        <f t="array" ref="G53">GetColumnName(C53,IF(B53=B52,G52,""))</f>
        <v>Minimum</v>
      </c>
      <c r="H53" s="18" t="s">
        <v>538</v>
      </c>
      <c r="I53" s="18" t="s">
        <v>539</v>
      </c>
      <c r="J53" s="18" t="s">
        <v>26</v>
      </c>
      <c r="K53" s="18" t="s">
        <v>26</v>
      </c>
      <c r="L53" s="18" t="s">
        <v>26</v>
      </c>
      <c r="M53" s="18" t="s">
        <v>26</v>
      </c>
      <c r="N53" s="18"/>
      <c r="O53" s="18"/>
      <c r="P53" s="18" t="s">
        <v>26</v>
      </c>
      <c r="Q53" s="18" t="b">
        <v>0</v>
      </c>
    </row>
    <row r="54" spans="1:17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1"/>
        <v>45</v>
      </c>
      <c r="G54" s="18" t="str" cm="1">
        <f t="array" ref="G54">GetColumnName(C54,IF(B54=B53,G53,""))</f>
        <v>Maximum</v>
      </c>
      <c r="H54" s="18" t="s">
        <v>107</v>
      </c>
      <c r="I54" s="18" t="s">
        <v>540</v>
      </c>
      <c r="J54" s="18" t="s">
        <v>26</v>
      </c>
      <c r="K54" s="18" t="s">
        <v>26</v>
      </c>
      <c r="L54" s="18" t="s">
        <v>26</v>
      </c>
      <c r="M54" s="18" t="s">
        <v>26</v>
      </c>
      <c r="N54" s="18"/>
      <c r="O54" s="18"/>
      <c r="P54" s="18" t="s">
        <v>26</v>
      </c>
      <c r="Q54" s="18" t="b">
        <v>0</v>
      </c>
    </row>
    <row r="55" spans="1:17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1"/>
        <v>50</v>
      </c>
      <c r="G55" s="18" t="str" cm="1">
        <f t="array" ref="G55">GetColumnName(C55,IF(B55=B54,G54,""))</f>
        <v>ValidChars</v>
      </c>
      <c r="H55" s="18" t="s">
        <v>105</v>
      </c>
      <c r="I55" s="18" t="s">
        <v>523</v>
      </c>
      <c r="J55" s="18" t="s">
        <v>26</v>
      </c>
      <c r="K55" s="18" t="s">
        <v>26</v>
      </c>
      <c r="L55" s="18" t="s">
        <v>26</v>
      </c>
      <c r="M55" s="18" t="s">
        <v>26</v>
      </c>
      <c r="N55" s="18"/>
      <c r="O55" s="18"/>
      <c r="P55" s="18" t="s">
        <v>26</v>
      </c>
      <c r="Q55" s="18" t="b">
        <v>0</v>
      </c>
    </row>
    <row r="56" spans="1:17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1"/>
        <v>55</v>
      </c>
      <c r="G56" s="18" t="str" cm="1">
        <f t="array" ref="G56">GetColumnName(C56,IF(B56=B55,G55,""))</f>
        <v>ValidValues</v>
      </c>
      <c r="H56" s="18" t="s">
        <v>106</v>
      </c>
      <c r="I56" s="18" t="s">
        <v>528</v>
      </c>
      <c r="J56" s="18" t="s">
        <v>26</v>
      </c>
      <c r="K56" s="18" t="s">
        <v>26</v>
      </c>
      <c r="L56" s="18" t="s">
        <v>26</v>
      </c>
      <c r="M56" s="18" t="s">
        <v>26</v>
      </c>
      <c r="N56" s="18"/>
      <c r="O56" s="18"/>
      <c r="P56" s="18" t="s">
        <v>26</v>
      </c>
      <c r="Q56" s="18" t="b">
        <v>0</v>
      </c>
    </row>
    <row r="57" spans="1:17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1"/>
        <v>60</v>
      </c>
      <c r="G57" s="18" t="str" cm="1">
        <f t="array" ref="G57">GetColumnName(C57,IF(B57=B56,G56,""))</f>
        <v>ListValues</v>
      </c>
      <c r="H57" s="18" t="s">
        <v>106</v>
      </c>
      <c r="I57" s="18" t="s">
        <v>528</v>
      </c>
      <c r="J57" s="18" t="s">
        <v>26</v>
      </c>
      <c r="K57" s="18" t="s">
        <v>26</v>
      </c>
      <c r="L57" s="18" t="s">
        <v>26</v>
      </c>
      <c r="M57" s="18" t="s">
        <v>26</v>
      </c>
      <c r="N57" s="18"/>
      <c r="O57" s="18"/>
      <c r="P57" s="18" t="s">
        <v>26</v>
      </c>
      <c r="Q57" s="18" t="b">
        <v>0</v>
      </c>
    </row>
    <row r="58" spans="1:17">
      <c r="A58" s="20">
        <f t="shared" si="2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1"/>
        <v>5</v>
      </c>
      <c r="G58" s="20" t="str" cm="1">
        <f t="array" ref="G58">GetColumnName(C58,IF(B58=B57,G57,""))</f>
        <v>Id</v>
      </c>
      <c r="H58" s="20" t="s">
        <v>541</v>
      </c>
      <c r="I58" s="20" t="s">
        <v>0</v>
      </c>
      <c r="J58" s="20" t="b">
        <v>1</v>
      </c>
      <c r="K58" s="20" t="b">
        <v>1</v>
      </c>
      <c r="L58" s="20" t="b">
        <v>0</v>
      </c>
      <c r="M58" s="20" t="b">
        <v>0</v>
      </c>
      <c r="N58" s="20"/>
      <c r="O58" s="20"/>
      <c r="P58" s="20" t="b">
        <v>0</v>
      </c>
      <c r="Q58" s="20" t="b">
        <v>0</v>
      </c>
    </row>
    <row r="59" spans="1:17">
      <c r="A59" s="20">
        <f t="shared" si="2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1"/>
        <v>10</v>
      </c>
      <c r="G59" s="20" t="str" cm="1">
        <f t="array" ref="G59">GetColumnName(C59,IF(B59=B58,G58,""))</f>
        <v>ClientId</v>
      </c>
      <c r="H59" s="20" t="s">
        <v>747</v>
      </c>
      <c r="I59" s="20" t="s">
        <v>555</v>
      </c>
      <c r="J59" s="20" t="s">
        <v>26</v>
      </c>
      <c r="K59" s="20" t="s">
        <v>26</v>
      </c>
      <c r="L59" s="20" t="s">
        <v>26</v>
      </c>
      <c r="M59" s="20" t="s">
        <v>26</v>
      </c>
      <c r="N59" s="20"/>
      <c r="O59" s="20"/>
      <c r="P59" s="20" t="s">
        <v>26</v>
      </c>
      <c r="Q59" s="20" t="b">
        <v>0</v>
      </c>
    </row>
    <row r="60" spans="1:17">
      <c r="A60" s="20">
        <f t="shared" si="2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"/>
        <v>15</v>
      </c>
      <c r="G60" s="20" t="str" cm="1">
        <f t="array" ref="G60">GetColumnName(C60,IF(B60=B59,G59,""))</f>
        <v>Name</v>
      </c>
      <c r="H60" s="20" t="s">
        <v>542</v>
      </c>
      <c r="I60" s="20" t="s">
        <v>97</v>
      </c>
      <c r="J60" s="20" t="s">
        <v>26</v>
      </c>
      <c r="K60" s="20" t="s">
        <v>26</v>
      </c>
      <c r="L60" s="20" t="s">
        <v>26</v>
      </c>
      <c r="M60" s="20" t="s">
        <v>26</v>
      </c>
      <c r="N60" s="20"/>
      <c r="O60" s="20"/>
      <c r="P60" s="20" t="s">
        <v>26</v>
      </c>
      <c r="Q60" s="20" t="b">
        <v>0</v>
      </c>
    </row>
    <row r="61" spans="1:17">
      <c r="A61" s="20">
        <f t="shared" si="2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1"/>
        <v>20</v>
      </c>
      <c r="G61" s="20" t="str" cm="1">
        <f t="array" ref="G61">GetColumnName(C61,IF(B61=B60,G60,""))</f>
        <v>EditMask</v>
      </c>
      <c r="H61" s="20" t="s">
        <v>108</v>
      </c>
      <c r="I61" s="20" t="s">
        <v>748</v>
      </c>
      <c r="J61" s="20" t="s">
        <v>26</v>
      </c>
      <c r="K61" s="20" t="s">
        <v>26</v>
      </c>
      <c r="L61" s="20" t="s">
        <v>26</v>
      </c>
      <c r="M61" s="20" t="s">
        <v>26</v>
      </c>
      <c r="N61" s="20"/>
      <c r="O61" s="20"/>
      <c r="P61" s="20" t="s">
        <v>26</v>
      </c>
      <c r="Q61" s="20" t="b">
        <v>0</v>
      </c>
    </row>
    <row r="62" spans="1:17">
      <c r="A62" s="20">
        <f t="shared" si="2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"/>
        <v>25</v>
      </c>
      <c r="G62" s="20" t="str" cm="1">
        <f t="array" ref="G62">GetColumnName(C62,IF(B62=B61,G61,""))</f>
        <v>ValidMask</v>
      </c>
      <c r="H62" s="20" t="s">
        <v>543</v>
      </c>
      <c r="I62" s="20" t="s">
        <v>749</v>
      </c>
      <c r="J62" s="20" t="s">
        <v>26</v>
      </c>
      <c r="K62" s="20" t="s">
        <v>26</v>
      </c>
      <c r="L62" s="20" t="s">
        <v>26</v>
      </c>
      <c r="M62" s="20" t="s">
        <v>26</v>
      </c>
      <c r="N62" s="20"/>
      <c r="O62" s="20"/>
      <c r="P62" s="20" t="s">
        <v>26</v>
      </c>
      <c r="Q62" s="20" t="b">
        <v>0</v>
      </c>
    </row>
    <row r="63" spans="1:17">
      <c r="A63" s="20">
        <f t="shared" si="2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1"/>
        <v>30</v>
      </c>
      <c r="G63" s="20" t="str" cm="1">
        <f t="array" ref="G63">GetColumnName(C63,IF(B63=B62,G62,""))</f>
        <v>Modificators</v>
      </c>
      <c r="H63" s="20" t="s">
        <v>112</v>
      </c>
      <c r="I63" s="20" t="s">
        <v>112</v>
      </c>
      <c r="J63" s="20" t="s">
        <v>26</v>
      </c>
      <c r="K63" s="20" t="s">
        <v>26</v>
      </c>
      <c r="L63" s="20" t="s">
        <v>26</v>
      </c>
      <c r="M63" s="20" t="s">
        <v>26</v>
      </c>
      <c r="N63" s="20"/>
      <c r="O63" s="20"/>
      <c r="P63" s="20" t="s">
        <v>26</v>
      </c>
      <c r="Q63" s="20" t="b">
        <v>0</v>
      </c>
    </row>
    <row r="64" spans="1:17">
      <c r="A64" s="18">
        <f t="shared" si="2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1"/>
        <v>5</v>
      </c>
      <c r="G64" s="18" t="str" cm="1">
        <f t="array" ref="G64">GetColumnName(C64,IF(B64=B63,G63,""))</f>
        <v>Id</v>
      </c>
      <c r="H64" s="18" t="s">
        <v>547</v>
      </c>
      <c r="I64" s="18" t="s">
        <v>0</v>
      </c>
      <c r="J64" s="18" t="b">
        <v>1</v>
      </c>
      <c r="K64" s="18" t="b">
        <v>1</v>
      </c>
      <c r="L64" s="18" t="b">
        <v>0</v>
      </c>
      <c r="M64" s="18" t="b">
        <v>0</v>
      </c>
      <c r="N64" s="18"/>
      <c r="O64" s="18"/>
      <c r="P64" s="18" t="b">
        <v>0</v>
      </c>
      <c r="Q64" s="18" t="b">
        <v>0</v>
      </c>
    </row>
    <row r="65" spans="1:17">
      <c r="A65" s="18">
        <f t="shared" si="2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1"/>
        <v>10</v>
      </c>
      <c r="G65" s="18" t="str" cm="1">
        <f t="array" ref="G65">GetColumnName(C65,IF(B65=B64,G64,""))</f>
        <v>DomainId</v>
      </c>
      <c r="H65" s="18" t="s">
        <v>544</v>
      </c>
      <c r="I65" s="18" t="s">
        <v>118</v>
      </c>
      <c r="J65" s="18" t="s">
        <v>26</v>
      </c>
      <c r="K65" s="18" t="s">
        <v>26</v>
      </c>
      <c r="L65" s="18" t="s">
        <v>26</v>
      </c>
      <c r="M65" s="18" t="s">
        <v>26</v>
      </c>
      <c r="N65" s="18"/>
      <c r="O65" s="18"/>
      <c r="P65" s="18" t="s">
        <v>26</v>
      </c>
      <c r="Q65" s="18" t="b">
        <v>0</v>
      </c>
    </row>
    <row r="66" spans="1:17">
      <c r="A66" s="18">
        <f t="shared" si="2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1"/>
        <v>15</v>
      </c>
      <c r="G66" s="18" t="str" cm="1">
        <f t="array" ref="G66">GetColumnName(C66,IF(B66=B65,G65,""))</f>
        <v>MaskId</v>
      </c>
      <c r="H66" s="18" t="s">
        <v>541</v>
      </c>
      <c r="I66" s="18" t="s">
        <v>108</v>
      </c>
      <c r="J66" s="18" t="s">
        <v>26</v>
      </c>
      <c r="K66" s="18" t="s">
        <v>26</v>
      </c>
      <c r="L66" s="18" t="s">
        <v>26</v>
      </c>
      <c r="M66" s="18" t="s">
        <v>26</v>
      </c>
      <c r="N66" s="18"/>
      <c r="O66" s="18"/>
      <c r="P66" s="18" t="s">
        <v>26</v>
      </c>
      <c r="Q66" s="18" t="b">
        <v>0</v>
      </c>
    </row>
    <row r="67" spans="1:17">
      <c r="A67" s="18">
        <f t="shared" si="2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1" si="4">IF(G67="Id",5,F66+5)</f>
        <v>20</v>
      </c>
      <c r="G67" s="18" t="str" cm="1">
        <f t="array" ref="G67">GetColumnName(C67,IF(B67=B66,G66,""))</f>
        <v>CheckDigitModule</v>
      </c>
      <c r="H67" s="18" t="s">
        <v>548</v>
      </c>
      <c r="I67" s="18" t="s">
        <v>552</v>
      </c>
      <c r="J67" s="18" t="s">
        <v>26</v>
      </c>
      <c r="K67" s="18" t="s">
        <v>26</v>
      </c>
      <c r="L67" s="18" t="s">
        <v>26</v>
      </c>
      <c r="M67" s="18" t="s">
        <v>26</v>
      </c>
      <c r="N67" s="18"/>
      <c r="O67" s="18"/>
      <c r="P67" s="18" t="s">
        <v>26</v>
      </c>
      <c r="Q67" s="18" t="b">
        <v>0</v>
      </c>
    </row>
    <row r="68" spans="1:17">
      <c r="A68" s="18">
        <f t="shared" si="2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4"/>
        <v>25</v>
      </c>
      <c r="G68" s="18" t="str" cm="1">
        <f t="array" ref="G68">GetColumnName(C68,IF(B68=B67,G67,""))</f>
        <v>CheckDigitFactors</v>
      </c>
      <c r="H68" s="18" t="s">
        <v>549</v>
      </c>
      <c r="I68" s="18" t="s">
        <v>551</v>
      </c>
      <c r="J68" s="18" t="s">
        <v>26</v>
      </c>
      <c r="K68" s="18" t="s">
        <v>26</v>
      </c>
      <c r="L68" s="18" t="s">
        <v>26</v>
      </c>
      <c r="M68" s="18" t="s">
        <v>26</v>
      </c>
      <c r="N68" s="18"/>
      <c r="O68" s="18"/>
      <c r="P68" s="18" t="s">
        <v>26</v>
      </c>
      <c r="Q68" s="18" t="b">
        <v>0</v>
      </c>
    </row>
    <row r="69" spans="1:17">
      <c r="A69" s="18">
        <f t="shared" si="2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4"/>
        <v>30</v>
      </c>
      <c r="G69" s="18" t="str" cm="1">
        <f t="array" ref="G69">GetColumnName(C69,IF(B69=B68,G68,""))</f>
        <v>CheckDigitGreaterThanNine</v>
      </c>
      <c r="H69" s="18" t="s">
        <v>550</v>
      </c>
      <c r="I69" s="18" t="s">
        <v>556</v>
      </c>
      <c r="J69" s="18" t="s">
        <v>26</v>
      </c>
      <c r="K69" s="18" t="s">
        <v>26</v>
      </c>
      <c r="L69" s="18" t="s">
        <v>26</v>
      </c>
      <c r="M69" s="18" t="s">
        <v>26</v>
      </c>
      <c r="N69" s="18"/>
      <c r="O69" s="18"/>
      <c r="P69" s="18" t="s">
        <v>26</v>
      </c>
      <c r="Q69" s="18" t="b">
        <v>0</v>
      </c>
    </row>
    <row r="70" spans="1:17">
      <c r="A70" s="20">
        <f t="shared" si="2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4"/>
        <v>5</v>
      </c>
      <c r="G70" s="20" t="str" cm="1">
        <f t="array" ref="G70">GetColumnName(C70,IF(B70=B69,G69,""))</f>
        <v>Id</v>
      </c>
      <c r="H70" s="20" t="s">
        <v>553</v>
      </c>
      <c r="I70" s="20" t="s">
        <v>0</v>
      </c>
      <c r="J70" s="20" t="b">
        <v>1</v>
      </c>
      <c r="K70" s="20" t="b">
        <v>1</v>
      </c>
      <c r="L70" s="20" t="b">
        <v>0</v>
      </c>
      <c r="M70" s="20" t="b">
        <v>0</v>
      </c>
      <c r="N70" s="20"/>
      <c r="O70" s="20"/>
      <c r="P70" s="20" t="b">
        <v>0</v>
      </c>
      <c r="Q70" s="20" t="b">
        <v>0</v>
      </c>
    </row>
    <row r="71" spans="1:17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4"/>
        <v>10</v>
      </c>
      <c r="G71" s="20" t="str" cm="1">
        <f t="array" ref="G71">GetColumnName(C71,IF(B71=B70,G70,""))</f>
        <v>ClientId</v>
      </c>
      <c r="H71" s="20" t="s">
        <v>554</v>
      </c>
      <c r="I71" s="20" t="s">
        <v>555</v>
      </c>
      <c r="J71" s="20" t="s">
        <v>26</v>
      </c>
      <c r="K71" s="20" t="s">
        <v>26</v>
      </c>
      <c r="L71" s="20" t="s">
        <v>26</v>
      </c>
      <c r="M71" s="20" t="s">
        <v>26</v>
      </c>
      <c r="N71" s="20"/>
      <c r="O71" s="20"/>
      <c r="P71" s="20" t="s">
        <v>26</v>
      </c>
      <c r="Q71" s="20" t="b">
        <v>0</v>
      </c>
    </row>
    <row r="72" spans="1:17">
      <c r="A72" s="20">
        <f t="shared" si="2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4"/>
        <v>15</v>
      </c>
      <c r="G72" s="20" t="str" cm="1">
        <f t="array" ref="G72">GetColumnName(C72,IF(B72=B71,G71,""))</f>
        <v>EngineId</v>
      </c>
      <c r="H72" s="20" t="s">
        <v>561</v>
      </c>
      <c r="I72" s="20" t="s">
        <v>97</v>
      </c>
      <c r="J72" s="20" t="s">
        <v>26</v>
      </c>
      <c r="K72" s="20" t="s">
        <v>26</v>
      </c>
      <c r="L72" s="20" t="s">
        <v>26</v>
      </c>
      <c r="M72" s="20" t="s">
        <v>26</v>
      </c>
      <c r="N72" s="20"/>
      <c r="O72" s="20"/>
      <c r="P72" s="20" t="s">
        <v>26</v>
      </c>
      <c r="Q72" s="20" t="b">
        <v>0</v>
      </c>
    </row>
    <row r="73" spans="1:17">
      <c r="A73" s="20">
        <f t="shared" si="2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4"/>
        <v>20</v>
      </c>
      <c r="G73" s="20" t="str" cm="1">
        <f t="array" ref="G73">GetColumnName(C73,IF(B73=B72,G72,""))</f>
        <v>Name</v>
      </c>
      <c r="H73" s="20" t="s">
        <v>576</v>
      </c>
      <c r="I73" s="20" t="s">
        <v>109</v>
      </c>
      <c r="J73" s="20" t="s">
        <v>26</v>
      </c>
      <c r="K73" s="20" t="s">
        <v>26</v>
      </c>
      <c r="L73" s="20" t="s">
        <v>26</v>
      </c>
      <c r="M73" s="20" t="s">
        <v>26</v>
      </c>
      <c r="N73" s="20"/>
      <c r="O73" s="20"/>
      <c r="P73" s="20" t="s">
        <v>26</v>
      </c>
      <c r="Q73" s="20" t="b">
        <v>0</v>
      </c>
    </row>
    <row r="74" spans="1:17">
      <c r="A74" s="20">
        <f t="shared" si="2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4"/>
        <v>25</v>
      </c>
      <c r="G74" s="20" t="str" cm="1">
        <f t="array" ref="G74">GetColumnName(C74,IF(B74=B73,G73,""))</f>
        <v>Description</v>
      </c>
      <c r="H74" s="20" t="s">
        <v>530</v>
      </c>
      <c r="I74" s="20" t="s">
        <v>531</v>
      </c>
      <c r="J74" s="20" t="s">
        <v>26</v>
      </c>
      <c r="K74" s="20" t="s">
        <v>26</v>
      </c>
      <c r="L74" s="20" t="s">
        <v>26</v>
      </c>
      <c r="M74" s="20" t="s">
        <v>26</v>
      </c>
      <c r="N74" s="20"/>
      <c r="O74" s="20"/>
      <c r="P74" s="20" t="s">
        <v>26</v>
      </c>
      <c r="Q74" s="20" t="b">
        <v>0</v>
      </c>
    </row>
    <row r="75" spans="1:17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4"/>
        <v>5</v>
      </c>
      <c r="G75" s="18" t="str" cm="1">
        <f t="array" ref="G75">GetColumnName(C75,IF(B75=B74,G74,""))</f>
        <v>Id</v>
      </c>
      <c r="H75" s="18" t="s">
        <v>557</v>
      </c>
      <c r="I75" s="18" t="s">
        <v>193</v>
      </c>
      <c r="J75" s="18" t="b">
        <v>1</v>
      </c>
      <c r="K75" s="18" t="b">
        <v>1</v>
      </c>
      <c r="L75" s="18" t="b">
        <v>0</v>
      </c>
      <c r="M75" s="18" t="b">
        <v>0</v>
      </c>
      <c r="N75" s="18"/>
      <c r="O75" s="18"/>
      <c r="P75" s="18" t="b">
        <v>0</v>
      </c>
      <c r="Q75" s="18" t="b">
        <v>0</v>
      </c>
    </row>
    <row r="76" spans="1:17">
      <c r="A76" s="18">
        <f t="shared" si="2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4"/>
        <v>10</v>
      </c>
      <c r="G76" s="18" t="str" cm="1">
        <f t="array" ref="G76">GetColumnName(C76,IF(B76=B75,G75,""))</f>
        <v>DatabaseId</v>
      </c>
      <c r="H76" s="18" t="s">
        <v>554</v>
      </c>
      <c r="I76" s="18" t="s">
        <v>555</v>
      </c>
      <c r="J76" s="18" t="s">
        <v>26</v>
      </c>
      <c r="K76" s="18" t="s">
        <v>26</v>
      </c>
      <c r="L76" s="18" t="s">
        <v>26</v>
      </c>
      <c r="M76" s="18" t="s">
        <v>26</v>
      </c>
      <c r="N76" s="18"/>
      <c r="O76" s="18"/>
      <c r="P76" s="18" t="s">
        <v>26</v>
      </c>
      <c r="Q76" s="18" t="b">
        <v>0</v>
      </c>
    </row>
    <row r="77" spans="1:17">
      <c r="A77" s="18">
        <f t="shared" si="2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4"/>
        <v>15</v>
      </c>
      <c r="G77" s="18" t="str" cm="1">
        <f t="array" ref="G77">GetColumnName(C77,IF(B77=B76,G76,""))</f>
        <v>Environment</v>
      </c>
      <c r="H77" s="18" t="s">
        <v>553</v>
      </c>
      <c r="I77" s="18" t="s">
        <v>113</v>
      </c>
      <c r="J77" s="18" t="s">
        <v>26</v>
      </c>
      <c r="K77" s="18" t="s">
        <v>26</v>
      </c>
      <c r="L77" s="18" t="s">
        <v>26</v>
      </c>
      <c r="M77" s="18" t="s">
        <v>26</v>
      </c>
      <c r="N77" s="18"/>
      <c r="O77" s="18"/>
      <c r="P77" s="18" t="s">
        <v>26</v>
      </c>
      <c r="Q77" s="18" t="b">
        <v>0</v>
      </c>
    </row>
    <row r="78" spans="1:17">
      <c r="A78" s="18">
        <f t="shared" si="2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4"/>
        <v>20</v>
      </c>
      <c r="G78" s="18" t="str" cm="1">
        <f t="array" ref="G78">GetColumnName(C78,IF(B78=B77,G77,""))</f>
        <v>Directory</v>
      </c>
      <c r="H78" s="18" t="s">
        <v>559</v>
      </c>
      <c r="I78" s="18" t="s">
        <v>560</v>
      </c>
      <c r="J78" s="18" t="s">
        <v>26</v>
      </c>
      <c r="K78" s="18" t="s">
        <v>26</v>
      </c>
      <c r="L78" s="18" t="s">
        <v>26</v>
      </c>
      <c r="M78" s="18" t="s">
        <v>26</v>
      </c>
      <c r="N78" s="18"/>
      <c r="O78" s="18"/>
      <c r="P78" s="18" t="s">
        <v>26</v>
      </c>
      <c r="Q78" s="18" t="b">
        <v>0</v>
      </c>
    </row>
    <row r="79" spans="1:17">
      <c r="A79" s="18">
        <f t="shared" si="2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4"/>
        <v>25</v>
      </c>
      <c r="G79" s="18" t="str" cm="1">
        <f t="array" ref="G79">GetColumnName(C79,IF(B79=B78,G78,""))</f>
        <v>ConnectionString</v>
      </c>
      <c r="H79" s="18" t="s">
        <v>562</v>
      </c>
      <c r="I79" s="18" t="s">
        <v>563</v>
      </c>
      <c r="J79" s="18" t="s">
        <v>26</v>
      </c>
      <c r="K79" s="18" t="s">
        <v>26</v>
      </c>
      <c r="L79" s="18" t="s">
        <v>26</v>
      </c>
      <c r="M79" s="18" t="s">
        <v>26</v>
      </c>
      <c r="N79" s="18"/>
      <c r="O79" s="18"/>
      <c r="P79" s="18" t="s">
        <v>26</v>
      </c>
      <c r="Q79" s="18" t="b">
        <v>0</v>
      </c>
    </row>
    <row r="80" spans="1:17">
      <c r="A80" s="18">
        <f t="shared" si="2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4"/>
        <v>30</v>
      </c>
      <c r="G80" s="18" t="str" cm="1">
        <f t="array" ref="G80">GetColumnName(C80,IF(B80=B79,G79,""))</f>
        <v>IsActive</v>
      </c>
      <c r="H80" s="18" t="s">
        <v>564</v>
      </c>
      <c r="I80" s="18" t="s">
        <v>565</v>
      </c>
      <c r="J80" s="18" t="s">
        <v>26</v>
      </c>
      <c r="K80" s="18" t="s">
        <v>26</v>
      </c>
      <c r="L80" s="18" t="s">
        <v>26</v>
      </c>
      <c r="M80" s="18" t="s">
        <v>26</v>
      </c>
      <c r="N80" s="18"/>
      <c r="O80" s="18"/>
      <c r="P80" s="18" t="s">
        <v>26</v>
      </c>
      <c r="Q80" s="18" t="b">
        <v>0</v>
      </c>
    </row>
    <row r="81" spans="1:17">
      <c r="A81" s="20">
        <f t="shared" si="2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4"/>
        <v>5</v>
      </c>
      <c r="G81" s="20" t="str" cm="1">
        <f t="array" ref="G81">GetColumnName(C81,IF(B81=B80,G80,""))</f>
        <v>Id</v>
      </c>
      <c r="H81" s="20" t="s">
        <v>566</v>
      </c>
      <c r="I81" s="20" t="s">
        <v>0</v>
      </c>
      <c r="J81" s="20" t="b">
        <v>1</v>
      </c>
      <c r="K81" s="20" t="b">
        <v>1</v>
      </c>
      <c r="L81" s="20" t="b">
        <v>0</v>
      </c>
      <c r="M81" s="20" t="b">
        <v>0</v>
      </c>
      <c r="N81" s="20"/>
      <c r="O81" s="20"/>
      <c r="P81" s="20" t="b">
        <v>0</v>
      </c>
      <c r="Q81" s="20" t="b">
        <v>0</v>
      </c>
    </row>
    <row r="82" spans="1:17">
      <c r="A82" s="20">
        <f t="shared" si="2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4"/>
        <v>10</v>
      </c>
      <c r="G82" s="20" t="str" cm="1">
        <f t="array" ref="G82">GetColumnName(C82,IF(B82=B81,G81,""))</f>
        <v>DatabaseId</v>
      </c>
      <c r="H82" s="20" t="s">
        <v>567</v>
      </c>
      <c r="I82" s="20" t="s">
        <v>113</v>
      </c>
      <c r="J82" s="20" t="s">
        <v>26</v>
      </c>
      <c r="K82" s="20" t="s">
        <v>26</v>
      </c>
      <c r="L82" s="20" t="s">
        <v>26</v>
      </c>
      <c r="M82" s="20" t="s">
        <v>26</v>
      </c>
      <c r="N82" s="20"/>
      <c r="O82" s="20"/>
      <c r="P82" s="20" t="s">
        <v>26</v>
      </c>
      <c r="Q82" s="20" t="b">
        <v>0</v>
      </c>
    </row>
    <row r="83" spans="1:17">
      <c r="A83" s="20">
        <f t="shared" si="2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4"/>
        <v>15</v>
      </c>
      <c r="G83" s="20" t="str" cm="1">
        <f t="array" ref="G83">GetColumnName(C83,IF(B83=B82,G82,""))</f>
        <v>Prefix</v>
      </c>
      <c r="H83" s="20" t="s">
        <v>568</v>
      </c>
      <c r="I83" s="20" t="s">
        <v>569</v>
      </c>
      <c r="J83" s="20" t="s">
        <v>26</v>
      </c>
      <c r="K83" s="20" t="s">
        <v>26</v>
      </c>
      <c r="L83" s="20" t="s">
        <v>26</v>
      </c>
      <c r="M83" s="20" t="s">
        <v>26</v>
      </c>
      <c r="N83" s="20"/>
      <c r="O83" s="20"/>
      <c r="P83" s="20" t="s">
        <v>26</v>
      </c>
      <c r="Q83" s="20" t="b">
        <v>0</v>
      </c>
    </row>
    <row r="84" spans="1:17">
      <c r="A84" s="20">
        <f t="shared" ref="A84:A220" si="5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4"/>
        <v>20</v>
      </c>
      <c r="G84" s="20" t="str" cm="1">
        <f t="array" ref="G84">GetColumnName(C84,IF(B84=B83,G83,""))</f>
        <v>Name</v>
      </c>
      <c r="H84" s="20" t="s">
        <v>570</v>
      </c>
      <c r="I84" s="20" t="s">
        <v>97</v>
      </c>
      <c r="J84" s="20" t="s">
        <v>26</v>
      </c>
      <c r="K84" s="20" t="s">
        <v>26</v>
      </c>
      <c r="L84" s="20" t="s">
        <v>26</v>
      </c>
      <c r="M84" s="20" t="s">
        <v>26</v>
      </c>
      <c r="N84" s="20"/>
      <c r="O84" s="20"/>
      <c r="P84" s="20" t="s">
        <v>26</v>
      </c>
      <c r="Q84" s="20" t="b">
        <v>0</v>
      </c>
    </row>
    <row r="85" spans="1:17">
      <c r="A85" s="20">
        <f t="shared" si="5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4"/>
        <v>25</v>
      </c>
      <c r="G85" s="20" t="str" cm="1">
        <f t="array" ref="G85">GetColumnName(C85,IF(B85=B84,G84,""))</f>
        <v>Description</v>
      </c>
      <c r="H85" s="20" t="s">
        <v>571</v>
      </c>
      <c r="I85" s="20" t="s">
        <v>109</v>
      </c>
      <c r="J85" s="20" t="s">
        <v>26</v>
      </c>
      <c r="K85" s="20" t="s">
        <v>26</v>
      </c>
      <c r="L85" s="20" t="s">
        <v>26</v>
      </c>
      <c r="M85" s="20" t="s">
        <v>26</v>
      </c>
      <c r="N85" s="20"/>
      <c r="O85" s="20"/>
      <c r="P85" s="20" t="s">
        <v>26</v>
      </c>
      <c r="Q85" s="20" t="b">
        <v>0</v>
      </c>
    </row>
    <row r="86" spans="1:17">
      <c r="A86" s="20">
        <f t="shared" si="5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4"/>
        <v>30</v>
      </c>
      <c r="G86" s="20" t="str" cm="1">
        <f t="array" ref="G86">GetColumnName(C86,IF(B86=B85,G85,""))</f>
        <v>MaxRetryLogins</v>
      </c>
      <c r="H86" s="20" t="s">
        <v>572</v>
      </c>
      <c r="I86" s="20" t="s">
        <v>573</v>
      </c>
      <c r="J86" s="20" t="s">
        <v>26</v>
      </c>
      <c r="K86" s="20" t="s">
        <v>26</v>
      </c>
      <c r="L86" s="20" t="s">
        <v>26</v>
      </c>
      <c r="M86" s="20" t="s">
        <v>26</v>
      </c>
      <c r="N86" s="20"/>
      <c r="O86" s="20"/>
      <c r="P86" s="20" t="s">
        <v>26</v>
      </c>
      <c r="Q86" s="20" t="b">
        <v>0</v>
      </c>
    </row>
    <row r="87" spans="1:17">
      <c r="A87" s="20">
        <f t="shared" si="5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4"/>
        <v>35</v>
      </c>
      <c r="G87" s="20" t="str" cm="1">
        <f t="array" ref="G87">GetColumnName(C87,IF(B87=B86,G86,""))</f>
        <v>IsActive</v>
      </c>
      <c r="H87" s="20" t="s">
        <v>574</v>
      </c>
      <c r="I87" s="20" t="s">
        <v>112</v>
      </c>
      <c r="J87" s="20" t="s">
        <v>26</v>
      </c>
      <c r="K87" s="20" t="s">
        <v>26</v>
      </c>
      <c r="L87" s="20" t="s">
        <v>26</v>
      </c>
      <c r="M87" s="20" t="s">
        <v>26</v>
      </c>
      <c r="N87" s="20"/>
      <c r="O87" s="20"/>
      <c r="P87" s="20" t="s">
        <v>26</v>
      </c>
      <c r="Q87" s="20" t="b">
        <v>0</v>
      </c>
    </row>
    <row r="88" spans="1:17">
      <c r="A88" s="18">
        <f t="shared" si="5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4"/>
        <v>5</v>
      </c>
      <c r="G88" s="18" t="str" cm="1">
        <f t="array" ref="G88">GetColumnName(C88,IF(B88=B87,G87,""))</f>
        <v>Id</v>
      </c>
      <c r="H88" s="18" t="s">
        <v>577</v>
      </c>
      <c r="I88" s="18" t="s">
        <v>0</v>
      </c>
      <c r="J88" s="18" t="b">
        <v>1</v>
      </c>
      <c r="K88" s="18" t="b">
        <v>1</v>
      </c>
      <c r="L88" s="18" t="b">
        <v>0</v>
      </c>
      <c r="M88" s="18" t="b">
        <v>0</v>
      </c>
      <c r="N88" s="18"/>
      <c r="O88" s="18"/>
      <c r="P88" s="18" t="b">
        <v>0</v>
      </c>
      <c r="Q88" s="18" t="b">
        <v>0</v>
      </c>
    </row>
    <row r="89" spans="1:17">
      <c r="A89" s="18">
        <f t="shared" si="5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4"/>
        <v>10</v>
      </c>
      <c r="G89" s="18" t="str" cm="1">
        <f t="array" ref="G89">GetColumnName(C89,IF(B89=B88,G88,""))</f>
        <v>SystemId</v>
      </c>
      <c r="H89" s="18" t="s">
        <v>566</v>
      </c>
      <c r="I89" s="18" t="s">
        <v>110</v>
      </c>
      <c r="J89" s="18" t="s">
        <v>26</v>
      </c>
      <c r="K89" s="18" t="s">
        <v>26</v>
      </c>
      <c r="L89" s="18" t="s">
        <v>26</v>
      </c>
      <c r="M89" s="18" t="s">
        <v>26</v>
      </c>
      <c r="N89" s="18"/>
      <c r="O89" s="18"/>
      <c r="P89" s="18" t="s">
        <v>26</v>
      </c>
      <c r="Q89" s="18" t="b">
        <v>0</v>
      </c>
    </row>
    <row r="90" spans="1:17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4"/>
        <v>15</v>
      </c>
      <c r="G90" s="18" t="str" cm="1">
        <f t="array" ref="G90">GetColumnName(C90,IF(B90=B89,G89,""))</f>
        <v>Sequence</v>
      </c>
      <c r="H90" s="18" t="s">
        <v>583</v>
      </c>
      <c r="I90" s="18" t="s">
        <v>584</v>
      </c>
      <c r="J90" s="18" t="s">
        <v>26</v>
      </c>
      <c r="K90" s="18" t="s">
        <v>26</v>
      </c>
      <c r="L90" s="18" t="s">
        <v>26</v>
      </c>
      <c r="M90" s="18" t="s">
        <v>26</v>
      </c>
      <c r="N90" s="18"/>
      <c r="O90" s="18"/>
      <c r="P90" s="18" t="s">
        <v>26</v>
      </c>
      <c r="Q90" s="18" t="b">
        <v>0</v>
      </c>
    </row>
    <row r="91" spans="1:17">
      <c r="A91" s="18">
        <f t="shared" si="5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4"/>
        <v>20</v>
      </c>
      <c r="G91" s="18" t="str" cm="1">
        <f t="array" ref="G91">GetColumnName(C91,IF(B91=B90,G90,""))</f>
        <v>Caption</v>
      </c>
      <c r="H91" s="18" t="s">
        <v>578</v>
      </c>
      <c r="I91" s="18" t="s">
        <v>111</v>
      </c>
      <c r="J91" s="18" t="s">
        <v>26</v>
      </c>
      <c r="K91" s="18" t="s">
        <v>26</v>
      </c>
      <c r="L91" s="18" t="s">
        <v>26</v>
      </c>
      <c r="M91" s="18" t="s">
        <v>26</v>
      </c>
      <c r="N91" s="18"/>
      <c r="O91" s="18"/>
      <c r="P91" s="18" t="s">
        <v>26</v>
      </c>
      <c r="Q91" s="18" t="b">
        <v>0</v>
      </c>
    </row>
    <row r="92" spans="1:17">
      <c r="A92" s="18">
        <f t="shared" si="5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4"/>
        <v>25</v>
      </c>
      <c r="G92" s="18" t="str" cm="1">
        <f t="array" ref="G92">GetColumnName(C92,IF(B92=B91,G91,""))</f>
        <v>Message</v>
      </c>
      <c r="H92" s="18" t="s">
        <v>579</v>
      </c>
      <c r="I92" s="18" t="s">
        <v>580</v>
      </c>
      <c r="J92" s="18" t="s">
        <v>26</v>
      </c>
      <c r="K92" s="18" t="s">
        <v>26</v>
      </c>
      <c r="L92" s="18" t="s">
        <v>26</v>
      </c>
      <c r="M92" s="18" t="s">
        <v>26</v>
      </c>
      <c r="N92" s="18"/>
      <c r="O92" s="18"/>
      <c r="P92" s="18" t="s">
        <v>26</v>
      </c>
      <c r="Q92" s="18" t="b">
        <v>0</v>
      </c>
    </row>
    <row r="93" spans="1:17">
      <c r="A93" s="18">
        <f t="shared" si="5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4"/>
        <v>30</v>
      </c>
      <c r="G93" s="18" t="str" cm="1">
        <f t="array" ref="G93">GetColumnName(C93,IF(B93=B92,G92,""))</f>
        <v>ParentMenuId</v>
      </c>
      <c r="H93" s="18" t="s">
        <v>581</v>
      </c>
      <c r="I93" s="18" t="s">
        <v>582</v>
      </c>
      <c r="J93" s="18" t="s">
        <v>26</v>
      </c>
      <c r="K93" s="18" t="s">
        <v>26</v>
      </c>
      <c r="L93" s="18" t="s">
        <v>26</v>
      </c>
      <c r="M93" s="18" t="s">
        <v>26</v>
      </c>
      <c r="N93" s="18"/>
      <c r="O93" s="18"/>
      <c r="P93" s="18" t="s">
        <v>26</v>
      </c>
      <c r="Q93" s="18" t="b">
        <v>0</v>
      </c>
    </row>
    <row r="94" spans="1:17">
      <c r="A94" s="18">
        <f t="shared" si="5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4"/>
        <v>35</v>
      </c>
      <c r="G94" s="18" t="str" cm="1">
        <f t="array" ref="G94">GetColumnName(C94,IF(B94=B93,G93,""))</f>
        <v>IsActive</v>
      </c>
      <c r="H94" s="18" t="s">
        <v>585</v>
      </c>
      <c r="I94" s="18" t="s">
        <v>112</v>
      </c>
      <c r="J94" s="18" t="s">
        <v>26</v>
      </c>
      <c r="K94" s="18" t="s">
        <v>26</v>
      </c>
      <c r="L94" s="18" t="s">
        <v>26</v>
      </c>
      <c r="M94" s="18" t="s">
        <v>26</v>
      </c>
      <c r="N94" s="18"/>
      <c r="O94" s="18"/>
      <c r="P94" s="18" t="s">
        <v>26</v>
      </c>
      <c r="Q94" s="18" t="b">
        <v>0</v>
      </c>
    </row>
    <row r="95" spans="1:17">
      <c r="A95" s="20">
        <f t="shared" ref="A95:A104" si="6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4"/>
        <v>5</v>
      </c>
      <c r="G95" s="20" t="str" cm="1">
        <f t="array" ref="G95">GetColumnName(C95,IF(B95=B94,G94,""))</f>
        <v>Id</v>
      </c>
      <c r="H95" s="20" t="s">
        <v>575</v>
      </c>
      <c r="I95" s="20" t="s">
        <v>0</v>
      </c>
      <c r="J95" s="20" t="b">
        <v>1</v>
      </c>
      <c r="K95" s="20" t="b">
        <v>1</v>
      </c>
      <c r="L95" s="20" t="b">
        <v>0</v>
      </c>
      <c r="M95" s="20" t="b">
        <v>0</v>
      </c>
      <c r="N95" s="20"/>
      <c r="O95" s="20"/>
      <c r="P95" s="20" t="b">
        <v>0</v>
      </c>
      <c r="Q95" s="20" t="b">
        <v>0</v>
      </c>
    </row>
    <row r="96" spans="1:17">
      <c r="A96" s="20">
        <f t="shared" si="6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4"/>
        <v>10</v>
      </c>
      <c r="G96" s="20" t="str" cm="1">
        <f t="array" ref="G96">GetColumnName(C96,IF(B96=B95,G95,""))</f>
        <v>DatabaseId</v>
      </c>
      <c r="H96" s="20" t="s">
        <v>553</v>
      </c>
      <c r="I96" s="20" t="s">
        <v>113</v>
      </c>
      <c r="J96" s="20" t="s">
        <v>26</v>
      </c>
      <c r="K96" s="20" t="s">
        <v>26</v>
      </c>
      <c r="L96" s="20" t="s">
        <v>26</v>
      </c>
      <c r="M96" s="20" t="s">
        <v>26</v>
      </c>
      <c r="N96" s="20"/>
      <c r="O96" s="20"/>
      <c r="P96" s="20" t="s">
        <v>26</v>
      </c>
      <c r="Q96" s="20" t="b">
        <v>0</v>
      </c>
    </row>
    <row r="97" spans="1:17">
      <c r="A97" s="20">
        <f t="shared" si="6"/>
        <v>96</v>
      </c>
      <c r="B97" s="21">
        <v>15</v>
      </c>
      <c r="C97" s="20" t="str" cm="1">
        <f t="array" ref="C97">GetValue("Tbl",B97,"Alias")</f>
        <v>Tbl</v>
      </c>
      <c r="D97" s="20">
        <v>1</v>
      </c>
      <c r="E97" s="20" t="str" cm="1">
        <f t="array" ref="E97">GetValue("Dmn",D97,"Name")</f>
        <v>BigInteger</v>
      </c>
      <c r="F97" s="20">
        <f t="shared" ref="F97" si="7">IF(G97="Id",5,F96+5)</f>
        <v>15</v>
      </c>
      <c r="G97" s="20" t="str" cm="1">
        <f t="array" ref="G97">GetColumnName(C97,IF(B97=B96,G96,""))</f>
        <v>Name</v>
      </c>
      <c r="H97" s="20" t="s">
        <v>114</v>
      </c>
      <c r="I97" s="20" t="s">
        <v>902</v>
      </c>
      <c r="J97" s="20" t="s">
        <v>26</v>
      </c>
      <c r="K97" s="20" t="s">
        <v>26</v>
      </c>
      <c r="L97" s="20" t="s">
        <v>26</v>
      </c>
      <c r="M97" s="20" t="s">
        <v>26</v>
      </c>
      <c r="N97" s="20"/>
      <c r="O97" s="20"/>
      <c r="P97" s="20" t="s">
        <v>26</v>
      </c>
      <c r="Q97" s="20" t="b">
        <v>0</v>
      </c>
    </row>
    <row r="98" spans="1:17">
      <c r="A98" s="20">
        <f t="shared" si="6"/>
        <v>97</v>
      </c>
      <c r="B98" s="21">
        <v>15</v>
      </c>
      <c r="C98" s="20" t="str" cm="1">
        <f t="array" ref="C98">GetValue("Tbl",B98,"Alias")</f>
        <v>Tbl</v>
      </c>
      <c r="D98" s="20">
        <v>10</v>
      </c>
      <c r="E98" s="20" t="str" cm="1">
        <f t="array" ref="E98">GetValue("Dmn",D98,"Name")</f>
        <v>Nvarchar(25)</v>
      </c>
      <c r="F98" s="20">
        <f>IF(G98="Id",5,F96+5)</f>
        <v>15</v>
      </c>
      <c r="G98" s="20" t="str" cm="1">
        <f t="array" ref="G98">GetColumnName(C98,IF(B98=B97,G97,""))</f>
        <v>Alias</v>
      </c>
      <c r="H98" s="20" t="s">
        <v>115</v>
      </c>
      <c r="I98" s="20" t="s">
        <v>97</v>
      </c>
      <c r="J98" s="20" t="s">
        <v>26</v>
      </c>
      <c r="K98" s="20" t="s">
        <v>26</v>
      </c>
      <c r="L98" s="20" t="s">
        <v>26</v>
      </c>
      <c r="M98" s="20" t="s">
        <v>26</v>
      </c>
      <c r="N98" s="20"/>
      <c r="O98" s="20"/>
      <c r="P98" s="20" t="s">
        <v>26</v>
      </c>
      <c r="Q98" s="20" t="b">
        <v>0</v>
      </c>
    </row>
    <row r="99" spans="1:17">
      <c r="A99" s="20">
        <f t="shared" si="6"/>
        <v>98</v>
      </c>
      <c r="B99" s="21">
        <v>15</v>
      </c>
      <c r="C99" s="20" t="str" cm="1">
        <f t="array" ref="C99">GetValue("Tbl",B99,"Alias")</f>
        <v>Tbl</v>
      </c>
      <c r="D99" s="20">
        <v>9</v>
      </c>
      <c r="E99" s="20" t="str" cm="1">
        <f t="array" ref="E99">GetValue("Dmn",D99,"Name")</f>
        <v>Nvarchar(20)</v>
      </c>
      <c r="F99" s="20">
        <f t="shared" si="4"/>
        <v>20</v>
      </c>
      <c r="G99" s="20" t="str" cm="1">
        <f t="array" ref="G99">GetColumnName(C99,IF(B99=B98,G98,""))</f>
        <v>Description</v>
      </c>
      <c r="H99" s="20" t="s">
        <v>116</v>
      </c>
      <c r="I99" s="20" t="s">
        <v>83</v>
      </c>
      <c r="J99" s="20" t="s">
        <v>26</v>
      </c>
      <c r="K99" s="20" t="s">
        <v>26</v>
      </c>
      <c r="L99" s="20" t="s">
        <v>26</v>
      </c>
      <c r="M99" s="20" t="s">
        <v>26</v>
      </c>
      <c r="N99" s="20"/>
      <c r="O99" s="20"/>
      <c r="P99" s="20" t="s">
        <v>26</v>
      </c>
      <c r="Q99" s="20" t="b">
        <v>0</v>
      </c>
    </row>
    <row r="100" spans="1:17">
      <c r="A100" s="20">
        <f t="shared" si="6"/>
        <v>99</v>
      </c>
      <c r="B100" s="21">
        <v>15</v>
      </c>
      <c r="C100" s="20" t="str" cm="1">
        <f t="array" ref="C100">GetValue("Tbl",B100,"Alias")</f>
        <v>Tbl</v>
      </c>
      <c r="D100" s="20">
        <v>11</v>
      </c>
      <c r="E100" s="20" t="str" cm="1">
        <f t="array" ref="E100">GetValue("Dmn",D100,"Name")</f>
        <v>Nvarchar(50)</v>
      </c>
      <c r="F100" s="20">
        <f t="shared" si="4"/>
        <v>25</v>
      </c>
      <c r="G100" s="20" t="str" cm="1">
        <f t="array" ref="G100">GetColumnName(C100,IF(B100=B99,G99,""))</f>
        <v>CurrentId</v>
      </c>
      <c r="H100" s="20" t="s">
        <v>772</v>
      </c>
      <c r="I100" s="20" t="s">
        <v>109</v>
      </c>
      <c r="J100" s="20" t="s">
        <v>26</v>
      </c>
      <c r="K100" s="20" t="s">
        <v>26</v>
      </c>
      <c r="L100" s="20" t="s">
        <v>26</v>
      </c>
      <c r="M100" s="20" t="s">
        <v>26</v>
      </c>
      <c r="N100" s="20"/>
      <c r="O100" s="20"/>
      <c r="P100" s="20" t="s">
        <v>26</v>
      </c>
      <c r="Q100" s="20" t="b">
        <v>0</v>
      </c>
    </row>
    <row r="101" spans="1:17">
      <c r="A101" s="20">
        <f t="shared" si="6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>IF(G101="Id",5,F100+5)</f>
        <v>30</v>
      </c>
      <c r="G101" s="20" t="str" cm="1">
        <f t="array" ref="G101">GetColumnName(C101,IF(B101=B100,G100,""))</f>
        <v>MenuId</v>
      </c>
      <c r="H101" s="20" t="s">
        <v>765</v>
      </c>
      <c r="I101" s="20" t="s">
        <v>771</v>
      </c>
      <c r="J101" s="20" t="s">
        <v>26</v>
      </c>
      <c r="K101" s="20" t="s">
        <v>26</v>
      </c>
      <c r="L101" s="20" t="s">
        <v>26</v>
      </c>
      <c r="M101" s="20" t="s">
        <v>26</v>
      </c>
      <c r="N101" s="20"/>
      <c r="O101" s="20"/>
      <c r="P101" s="20" t="s">
        <v>26</v>
      </c>
      <c r="Q101" s="20" t="b">
        <v>0</v>
      </c>
    </row>
    <row r="102" spans="1:17">
      <c r="A102" s="20">
        <f t="shared" si="6"/>
        <v>101</v>
      </c>
      <c r="B102" s="21">
        <v>15</v>
      </c>
      <c r="C102" s="20" t="str" cm="1">
        <f t="array" ref="C102">GetValue("Tbl",B102,"Alias")</f>
        <v>Tbl</v>
      </c>
      <c r="D102" s="20">
        <v>1</v>
      </c>
      <c r="E102" s="20" t="str" cm="1">
        <f t="array" ref="E102">GetValue("Dmn",D102,"Name")</f>
        <v>BigInteger</v>
      </c>
      <c r="F102" s="20">
        <f t="shared" ref="F102:F104" si="8">IF(G102="Id",5,F101+5)</f>
        <v>35</v>
      </c>
      <c r="G102" s="20" t="str" cm="1">
        <f t="array" ref="G102">GetColumnName(C102,IF(B102=B101,G101,""))</f>
        <v>MenuSequence</v>
      </c>
      <c r="H102" s="20" t="s">
        <v>766</v>
      </c>
      <c r="I102" s="20" t="s">
        <v>769</v>
      </c>
      <c r="J102" s="20" t="s">
        <v>26</v>
      </c>
      <c r="K102" s="20" t="s">
        <v>26</v>
      </c>
      <c r="L102" s="20" t="s">
        <v>26</v>
      </c>
      <c r="M102" s="20" t="s">
        <v>26</v>
      </c>
      <c r="N102" s="20"/>
      <c r="O102" s="20"/>
      <c r="P102" s="20" t="s">
        <v>26</v>
      </c>
      <c r="Q102" s="20" t="b">
        <v>0</v>
      </c>
    </row>
    <row r="103" spans="1:17">
      <c r="A103" s="20">
        <f t="shared" si="6"/>
        <v>102</v>
      </c>
      <c r="B103" s="21">
        <v>15</v>
      </c>
      <c r="C103" s="20" t="str" cm="1">
        <f t="array" ref="C103">GetValue("Tbl",B103,"Alias")</f>
        <v>Tbl</v>
      </c>
      <c r="D103" s="20">
        <v>2</v>
      </c>
      <c r="E103" s="20" t="str" cm="1">
        <f t="array" ref="E103">GetValue("Dmn",D103,"Name")</f>
        <v>Integer</v>
      </c>
      <c r="F103" s="20">
        <f t="shared" si="8"/>
        <v>40</v>
      </c>
      <c r="G103" s="20" t="str" cm="1">
        <f t="array" ref="G103">GetColumnName(C103,IF(B103=B102,G102,""))</f>
        <v>MenuCaption</v>
      </c>
      <c r="H103" s="20" t="s">
        <v>767</v>
      </c>
      <c r="I103" s="20" t="s">
        <v>111</v>
      </c>
      <c r="J103" s="20" t="s">
        <v>26</v>
      </c>
      <c r="K103" s="20" t="s">
        <v>26</v>
      </c>
      <c r="L103" s="20" t="s">
        <v>26</v>
      </c>
      <c r="M103" s="20" t="s">
        <v>26</v>
      </c>
      <c r="N103" s="20"/>
      <c r="O103" s="20"/>
      <c r="P103" s="20" t="s">
        <v>26</v>
      </c>
      <c r="Q103" s="20" t="b">
        <v>0</v>
      </c>
    </row>
    <row r="104" spans="1:17">
      <c r="A104" s="20">
        <f t="shared" si="6"/>
        <v>103</v>
      </c>
      <c r="B104" s="21">
        <v>15</v>
      </c>
      <c r="C104" s="20" t="str" cm="1">
        <f t="array" ref="C104">GetValue("Tbl",B104,"Alias")</f>
        <v>Tbl</v>
      </c>
      <c r="D104" s="20">
        <v>9</v>
      </c>
      <c r="E104" s="20" t="str" cm="1">
        <f t="array" ref="E104">GetValue("Dmn",D104,"Name")</f>
        <v>Nvarchar(20)</v>
      </c>
      <c r="F104" s="20">
        <f t="shared" si="8"/>
        <v>45</v>
      </c>
      <c r="G104" s="20" t="str" cm="1">
        <f t="array" ref="G104">GetColumnName(C104,IF(B104=B103,G103,""))</f>
        <v>MenuMessage</v>
      </c>
      <c r="H104" s="20" t="s">
        <v>768</v>
      </c>
      <c r="I104" s="20" t="s">
        <v>770</v>
      </c>
      <c r="J104" s="20" t="s">
        <v>26</v>
      </c>
      <c r="K104" s="20" t="s">
        <v>26</v>
      </c>
      <c r="L104" s="20" t="s">
        <v>26</v>
      </c>
      <c r="M104" s="20" t="s">
        <v>26</v>
      </c>
      <c r="N104" s="20"/>
      <c r="O104" s="20"/>
      <c r="P104" s="20" t="s">
        <v>26</v>
      </c>
      <c r="Q104" s="20" t="b">
        <v>0</v>
      </c>
    </row>
    <row r="105" spans="1:17">
      <c r="A105" s="18">
        <f t="shared" si="5"/>
        <v>104</v>
      </c>
      <c r="B105" s="19">
        <v>16</v>
      </c>
      <c r="C105" s="18" t="str" cm="1">
        <f t="array" ref="C105">GetValue("Tbl",B105,"Alias")</f>
        <v>Col</v>
      </c>
      <c r="D105" s="18">
        <v>1</v>
      </c>
      <c r="E105" s="18" t="str" cm="1">
        <f t="array" ref="E105">GetValue("Dmn",D105,"Name")</f>
        <v>BigInteger</v>
      </c>
      <c r="F105" s="18">
        <f>IF(G105="Id",5,F101+5)</f>
        <v>5</v>
      </c>
      <c r="G105" s="18" t="str" cm="1">
        <f t="array" ref="G105">GetColumnName(C105,IF(B105=B101,G101,""))</f>
        <v>Id</v>
      </c>
      <c r="H105" s="18" t="s">
        <v>586</v>
      </c>
      <c r="I105" s="18" t="s">
        <v>0</v>
      </c>
      <c r="J105" s="18" t="b">
        <v>1</v>
      </c>
      <c r="K105" s="18" t="b">
        <v>1</v>
      </c>
      <c r="L105" s="18" t="b">
        <v>0</v>
      </c>
      <c r="M105" s="18" t="b">
        <v>0</v>
      </c>
      <c r="N105" s="18"/>
      <c r="O105" s="18"/>
      <c r="P105" s="18" t="b">
        <v>0</v>
      </c>
      <c r="Q105" s="18" t="b">
        <v>0</v>
      </c>
    </row>
    <row r="106" spans="1:17">
      <c r="A106" s="18">
        <f t="shared" si="5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 t="shared" si="4"/>
        <v>10</v>
      </c>
      <c r="G106" s="18" t="str" cm="1">
        <f t="array" ref="G106">GetColumnName(C106,IF(B106=B105,G105,""))</f>
        <v>TableId</v>
      </c>
      <c r="H106" s="18" t="s">
        <v>575</v>
      </c>
      <c r="I106" s="18" t="s">
        <v>117</v>
      </c>
      <c r="J106" s="18" t="s">
        <v>26</v>
      </c>
      <c r="K106" s="18" t="s">
        <v>26</v>
      </c>
      <c r="L106" s="18" t="s">
        <v>26</v>
      </c>
      <c r="M106" s="18" t="s">
        <v>26</v>
      </c>
      <c r="N106" s="18"/>
      <c r="O106" s="18"/>
      <c r="P106" s="18" t="s">
        <v>26</v>
      </c>
      <c r="Q106" s="18" t="b">
        <v>0</v>
      </c>
    </row>
    <row r="107" spans="1:17">
      <c r="A107" s="18">
        <f t="shared" si="5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4"/>
        <v>15</v>
      </c>
      <c r="G107" s="18" t="str" cm="1">
        <f t="array" ref="G107">GetColumnName(C107,IF(B107=B106,G106,""))</f>
        <v>DomainId</v>
      </c>
      <c r="H107" s="18" t="s">
        <v>587</v>
      </c>
      <c r="I107" s="18" t="s">
        <v>118</v>
      </c>
      <c r="J107" s="18" t="s">
        <v>26</v>
      </c>
      <c r="K107" s="18" t="s">
        <v>26</v>
      </c>
      <c r="L107" s="18" t="s">
        <v>26</v>
      </c>
      <c r="M107" s="18" t="s">
        <v>26</v>
      </c>
      <c r="N107" s="18"/>
      <c r="O107" s="18"/>
      <c r="P107" s="18" t="s">
        <v>26</v>
      </c>
      <c r="Q107" s="18" t="b">
        <v>0</v>
      </c>
    </row>
    <row r="108" spans="1:17">
      <c r="A108" s="18">
        <f t="shared" si="5"/>
        <v>107</v>
      </c>
      <c r="B108" s="19">
        <v>16</v>
      </c>
      <c r="C108" s="18" t="str" cm="1">
        <f t="array" ref="C108">GetValue("Tbl",B108,"Alias")</f>
        <v>Col</v>
      </c>
      <c r="D108" s="18">
        <v>4</v>
      </c>
      <c r="E108" s="18" t="str" cm="1">
        <f t="array" ref="E108">GetValue("Dmn",D108,"Name")</f>
        <v>SmallInteger</v>
      </c>
      <c r="F108" s="18">
        <f t="shared" si="4"/>
        <v>20</v>
      </c>
      <c r="G108" s="18" t="str" cm="1">
        <f t="array" ref="G108">GetColumnName(C108,IF(B108=B107,G107,""))</f>
        <v>Sequence</v>
      </c>
      <c r="H108" s="18" t="s">
        <v>588</v>
      </c>
      <c r="I108" s="18" t="s">
        <v>111</v>
      </c>
      <c r="J108" s="18" t="s">
        <v>26</v>
      </c>
      <c r="K108" s="18" t="s">
        <v>26</v>
      </c>
      <c r="L108" s="18" t="s">
        <v>26</v>
      </c>
      <c r="M108" s="18" t="s">
        <v>26</v>
      </c>
      <c r="N108" s="18"/>
      <c r="O108" s="18"/>
      <c r="P108" s="18" t="s">
        <v>26</v>
      </c>
      <c r="Q108" s="18" t="b">
        <v>0</v>
      </c>
    </row>
    <row r="109" spans="1:17">
      <c r="A109" s="18">
        <f t="shared" si="5"/>
        <v>108</v>
      </c>
      <c r="B109" s="19">
        <v>16</v>
      </c>
      <c r="C109" s="18" t="str" cm="1">
        <f t="array" ref="C109">GetValue("Tbl",B109,"Alias")</f>
        <v>Col</v>
      </c>
      <c r="D109" s="18">
        <v>10</v>
      </c>
      <c r="E109" s="18" t="str" cm="1">
        <f t="array" ref="E109">GetValue("Dmn",D109,"Name")</f>
        <v>Nvarchar(25)</v>
      </c>
      <c r="F109" s="18">
        <f t="shared" si="4"/>
        <v>25</v>
      </c>
      <c r="G109" s="18" t="str" cm="1">
        <f t="array" ref="G109">GetColumnName(C109,IF(B109=B108,G108,""))</f>
        <v>Name</v>
      </c>
      <c r="H109" s="18" t="s">
        <v>119</v>
      </c>
      <c r="I109" s="18" t="s">
        <v>97</v>
      </c>
      <c r="J109" s="18" t="s">
        <v>26</v>
      </c>
      <c r="K109" s="18" t="s">
        <v>26</v>
      </c>
      <c r="L109" s="18" t="s">
        <v>26</v>
      </c>
      <c r="M109" s="18" t="s">
        <v>26</v>
      </c>
      <c r="N109" s="18"/>
      <c r="O109" s="18"/>
      <c r="P109" s="18" t="s">
        <v>26</v>
      </c>
      <c r="Q109" s="18" t="b">
        <v>0</v>
      </c>
    </row>
    <row r="110" spans="1:17">
      <c r="A110" s="18">
        <f t="shared" si="5"/>
        <v>109</v>
      </c>
      <c r="B110" s="19">
        <v>16</v>
      </c>
      <c r="C110" s="18" t="str" cm="1">
        <f t="array" ref="C110">GetValue("Tbl",B110,"Alias")</f>
        <v>Col</v>
      </c>
      <c r="D110" s="18">
        <v>11</v>
      </c>
      <c r="E110" s="18" t="str" cm="1">
        <f t="array" ref="E110">GetValue("Dmn",D110,"Name")</f>
        <v>Nvarchar(50)</v>
      </c>
      <c r="F110" s="18">
        <f t="shared" si="4"/>
        <v>30</v>
      </c>
      <c r="G110" s="18" t="str" cm="1">
        <f t="array" ref="G110">GetColumnName(C110,IF(B110=B109,G109,""))</f>
        <v>Description</v>
      </c>
      <c r="H110" s="18" t="s">
        <v>589</v>
      </c>
      <c r="I110" s="18" t="s">
        <v>109</v>
      </c>
      <c r="J110" s="18" t="s">
        <v>26</v>
      </c>
      <c r="K110" s="18" t="s">
        <v>26</v>
      </c>
      <c r="L110" s="18" t="s">
        <v>26</v>
      </c>
      <c r="M110" s="18" t="s">
        <v>26</v>
      </c>
      <c r="N110" s="18"/>
      <c r="O110" s="18"/>
      <c r="P110" s="18" t="s">
        <v>26</v>
      </c>
      <c r="Q110" s="18" t="b">
        <v>0</v>
      </c>
    </row>
    <row r="111" spans="1:17">
      <c r="A111" s="18">
        <f t="shared" si="5"/>
        <v>110</v>
      </c>
      <c r="B111" s="19">
        <v>16</v>
      </c>
      <c r="C111" s="18" t="str" cm="1">
        <f t="array" ref="C111">GetValue("Tbl",B111,"Alias")</f>
        <v>Col</v>
      </c>
      <c r="D111" s="18">
        <v>10</v>
      </c>
      <c r="E111" s="18" t="str" cm="1">
        <f t="array" ref="E111">GetValue("Dmn",D111,"Name")</f>
        <v>Nvarchar(25)</v>
      </c>
      <c r="F111" s="18">
        <f t="shared" si="4"/>
        <v>35</v>
      </c>
      <c r="G111" s="18" t="str" cm="1">
        <f t="array" ref="G111">GetColumnName(C111,IF(B111=B110,G110,""))</f>
        <v>Caption</v>
      </c>
      <c r="H111" s="18" t="s">
        <v>590</v>
      </c>
      <c r="I111" s="18" t="s">
        <v>580</v>
      </c>
      <c r="J111" s="18" t="s">
        <v>26</v>
      </c>
      <c r="K111" s="18" t="s">
        <v>26</v>
      </c>
      <c r="L111" s="18" t="s">
        <v>26</v>
      </c>
      <c r="M111" s="18" t="s">
        <v>26</v>
      </c>
      <c r="N111" s="18"/>
      <c r="O111" s="18"/>
      <c r="P111" s="18" t="s">
        <v>26</v>
      </c>
      <c r="Q111" s="18" t="b">
        <v>0</v>
      </c>
    </row>
    <row r="112" spans="1:17">
      <c r="A112" s="18">
        <f t="shared" si="5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4"/>
        <v>40</v>
      </c>
      <c r="G112" s="18" t="str" cm="1">
        <f t="array" ref="G112">GetColumnName(C112,IF(B112=B111,G111,""))</f>
        <v>IsRequired</v>
      </c>
      <c r="H112" s="18" t="s">
        <v>592</v>
      </c>
      <c r="I112" s="18" t="s">
        <v>540</v>
      </c>
      <c r="J112" s="18" t="s">
        <v>26</v>
      </c>
      <c r="K112" s="18" t="s">
        <v>26</v>
      </c>
      <c r="L112" s="18" t="s">
        <v>26</v>
      </c>
      <c r="M112" s="18" t="s">
        <v>26</v>
      </c>
      <c r="N112" s="18"/>
      <c r="O112" s="18"/>
      <c r="P112" s="18" t="s">
        <v>26</v>
      </c>
      <c r="Q112" s="18" t="b">
        <v>0</v>
      </c>
    </row>
    <row r="113" spans="1:17">
      <c r="A113" s="18">
        <f t="shared" si="5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4"/>
        <v>45</v>
      </c>
      <c r="G113" s="18" t="str" cm="1">
        <f t="array" ref="G113">GetColumnName(C113,IF(B113=B112,G112,""))</f>
        <v>IsFilterable</v>
      </c>
      <c r="H113" s="18" t="s">
        <v>593</v>
      </c>
      <c r="I113" s="18" t="s">
        <v>523</v>
      </c>
      <c r="J113" s="18" t="s">
        <v>26</v>
      </c>
      <c r="K113" s="18" t="s">
        <v>26</v>
      </c>
      <c r="L113" s="18" t="s">
        <v>26</v>
      </c>
      <c r="M113" s="18" t="s">
        <v>26</v>
      </c>
      <c r="N113" s="18"/>
      <c r="O113" s="18"/>
      <c r="P113" s="18" t="s">
        <v>26</v>
      </c>
      <c r="Q113" s="18" t="b">
        <v>0</v>
      </c>
    </row>
    <row r="114" spans="1:17">
      <c r="A114" s="18">
        <f t="shared" si="5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4"/>
        <v>50</v>
      </c>
      <c r="G114" s="18" t="str" cm="1">
        <f t="array" ref="G114">GetColumnName(C114,IF(B114=B113,G113,""))</f>
        <v>IsEditable</v>
      </c>
      <c r="H114" s="18" t="s">
        <v>594</v>
      </c>
      <c r="I114" s="18" t="s">
        <v>528</v>
      </c>
      <c r="J114" s="18" t="s">
        <v>26</v>
      </c>
      <c r="K114" s="18" t="s">
        <v>26</v>
      </c>
      <c r="L114" s="18" t="s">
        <v>26</v>
      </c>
      <c r="M114" s="18" t="s">
        <v>26</v>
      </c>
      <c r="N114" s="18"/>
      <c r="O114" s="18"/>
      <c r="P114" s="18" t="s">
        <v>26</v>
      </c>
      <c r="Q114" s="18" t="b">
        <v>0</v>
      </c>
    </row>
    <row r="115" spans="1:17">
      <c r="A115" s="18">
        <f t="shared" si="5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4"/>
        <v>55</v>
      </c>
      <c r="G115" s="18" t="str" cm="1">
        <f t="array" ref="G115">GetColumnName(C115,IF(B115=B114,G114,""))</f>
        <v>IsGridable</v>
      </c>
      <c r="H115" s="18" t="s">
        <v>638</v>
      </c>
      <c r="I115" s="18" t="s">
        <v>641</v>
      </c>
      <c r="J115" s="18" t="s">
        <v>26</v>
      </c>
      <c r="K115" s="18" t="s">
        <v>26</v>
      </c>
      <c r="L115" s="18" t="s">
        <v>26</v>
      </c>
      <c r="M115" s="18" t="s">
        <v>26</v>
      </c>
      <c r="N115" s="18"/>
      <c r="O115" s="18"/>
      <c r="P115" s="18" t="s">
        <v>26</v>
      </c>
      <c r="Q115" s="18" t="b">
        <v>0</v>
      </c>
    </row>
    <row r="116" spans="1:17">
      <c r="A116" s="18">
        <f t="shared" si="5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4"/>
        <v>60</v>
      </c>
      <c r="G116" s="18" t="str" cm="1">
        <f t="array" ref="G116">GetColumnName(C116,IF(B116=B115,G115,""))</f>
        <v>IsListable</v>
      </c>
      <c r="H116" s="18" t="s">
        <v>639</v>
      </c>
      <c r="I116" s="18" t="s">
        <v>640</v>
      </c>
      <c r="J116" s="18" t="s">
        <v>26</v>
      </c>
      <c r="K116" s="18" t="s">
        <v>26</v>
      </c>
      <c r="L116" s="18" t="s">
        <v>26</v>
      </c>
      <c r="M116" s="18" t="s">
        <v>26</v>
      </c>
      <c r="N116" s="18"/>
      <c r="O116" s="18"/>
      <c r="P116" s="18" t="s">
        <v>26</v>
      </c>
      <c r="Q116" s="18" t="b">
        <v>0</v>
      </c>
    </row>
    <row r="117" spans="1:17">
      <c r="A117" s="18">
        <f t="shared" si="5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4"/>
        <v>65</v>
      </c>
      <c r="G117" s="18" t="str" cm="1">
        <f t="array" ref="G117">GetColumnName(C117,IF(B117=B116,G116,""))</f>
        <v>IsEncrypted</v>
      </c>
      <c r="H117" s="18" t="s">
        <v>643</v>
      </c>
      <c r="I117" s="18" t="s">
        <v>642</v>
      </c>
      <c r="J117" s="18" t="s">
        <v>26</v>
      </c>
      <c r="K117" s="18" t="s">
        <v>26</v>
      </c>
      <c r="L117" s="18" t="s">
        <v>26</v>
      </c>
      <c r="M117" s="18" t="s">
        <v>26</v>
      </c>
      <c r="N117" s="18"/>
      <c r="O117" s="18"/>
      <c r="P117" s="18" t="s">
        <v>26</v>
      </c>
      <c r="Q117" s="18" t="b">
        <v>0</v>
      </c>
    </row>
    <row r="118" spans="1:17">
      <c r="A118" s="18">
        <f t="shared" si="5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4"/>
        <v>70</v>
      </c>
      <c r="G118" s="18" t="str" cm="1">
        <f t="array" ref="G118">GetColumnName(C118,IF(B118=B117,G117,""))</f>
        <v>IsInWords</v>
      </c>
      <c r="H118" s="18" t="s">
        <v>755</v>
      </c>
      <c r="I118" s="18" t="s">
        <v>756</v>
      </c>
      <c r="J118" s="18" t="s">
        <v>26</v>
      </c>
      <c r="K118" s="18" t="s">
        <v>26</v>
      </c>
      <c r="L118" s="18" t="s">
        <v>26</v>
      </c>
      <c r="M118" s="18" t="s">
        <v>26</v>
      </c>
      <c r="N118" s="18"/>
      <c r="O118" s="18"/>
      <c r="P118" s="18" t="s">
        <v>26</v>
      </c>
      <c r="Q118" s="18" t="b">
        <v>0</v>
      </c>
    </row>
    <row r="119" spans="1:17">
      <c r="A119" s="18">
        <f t="shared" si="5"/>
        <v>118</v>
      </c>
      <c r="B119" s="19">
        <v>16</v>
      </c>
      <c r="C119" s="18" t="str" cm="1">
        <f t="array" ref="C119">GetValue("Tbl",B119,"Alias")</f>
        <v>Col</v>
      </c>
      <c r="D119" s="18">
        <v>6</v>
      </c>
      <c r="E119" s="18" t="str" cm="1">
        <f t="array" ref="E119">GetValue("Dmn",D119,"Name")</f>
        <v>Boolean</v>
      </c>
      <c r="F119" s="18">
        <f t="shared" ref="F119" si="9">IF(G119="Id",5,F118+5)</f>
        <v>75</v>
      </c>
      <c r="G119" s="18" t="str" cm="1">
        <f t="array" ref="G119">GetColumnName(C119,IF(B119=B118,G118,""))</f>
        <v>IsVirtual</v>
      </c>
      <c r="H119" s="18" t="s">
        <v>894</v>
      </c>
      <c r="I119" s="18" t="s">
        <v>895</v>
      </c>
      <c r="J119" s="18" t="s">
        <v>26</v>
      </c>
      <c r="K119" s="18" t="s">
        <v>26</v>
      </c>
      <c r="L119" s="18" t="s">
        <v>26</v>
      </c>
      <c r="M119" s="18" t="s">
        <v>26</v>
      </c>
      <c r="N119" s="18"/>
      <c r="O119" s="18"/>
      <c r="P119" s="18" t="s">
        <v>26</v>
      </c>
      <c r="Q119" s="18" t="b">
        <v>0</v>
      </c>
    </row>
    <row r="120" spans="1:17">
      <c r="A120" s="20">
        <f t="shared" si="5"/>
        <v>119</v>
      </c>
      <c r="B120" s="21">
        <v>17</v>
      </c>
      <c r="C120" s="20" t="str" cm="1">
        <f t="array" ref="C120">GetValue("Tbl",B120,"Alias")</f>
        <v>Idx</v>
      </c>
      <c r="D120" s="20">
        <v>1</v>
      </c>
      <c r="E120" s="20" t="str" cm="1">
        <f t="array" ref="E120">GetValue("Dmn",D120,"Name")</f>
        <v>BigInteger</v>
      </c>
      <c r="F120" s="20">
        <f>IF(G120="Id",5,F118+5)</f>
        <v>5</v>
      </c>
      <c r="G120" s="20" t="str" cm="1">
        <f t="array" ref="G120">GetColumnName(C120,IF(B120=B118,G118,""))</f>
        <v>Id</v>
      </c>
      <c r="H120" s="20" t="s">
        <v>603</v>
      </c>
      <c r="I120" s="20" t="s">
        <v>110</v>
      </c>
      <c r="J120" s="20" t="b">
        <v>1</v>
      </c>
      <c r="K120" s="20" t="b">
        <v>1</v>
      </c>
      <c r="L120" s="20" t="b">
        <v>0</v>
      </c>
      <c r="M120" s="20" t="b">
        <v>0</v>
      </c>
      <c r="N120" s="20"/>
      <c r="O120" s="20"/>
      <c r="P120" s="20" t="b">
        <v>0</v>
      </c>
      <c r="Q120" s="20" t="b">
        <v>0</v>
      </c>
    </row>
    <row r="121" spans="1:17">
      <c r="A121" s="20">
        <f t="shared" si="5"/>
        <v>120</v>
      </c>
      <c r="B121" s="21">
        <v>17</v>
      </c>
      <c r="C121" s="20" t="str" cm="1">
        <f t="array" ref="C121">GetValue("Tbl",B121,"Alias")</f>
        <v>Idx</v>
      </c>
      <c r="D121" s="20">
        <v>1</v>
      </c>
      <c r="E121" s="20" t="str" cm="1">
        <f t="array" ref="E121">GetValue("Dmn",D121,"Name")</f>
        <v>BigInteger</v>
      </c>
      <c r="F121" s="20">
        <f t="shared" si="4"/>
        <v>10</v>
      </c>
      <c r="G121" s="20" t="str" cm="1">
        <f t="array" ref="G121">GetColumnName(C121,IF(B121=B120,G120,""))</f>
        <v>TableId</v>
      </c>
      <c r="H121" s="20" t="s">
        <v>875</v>
      </c>
      <c r="I121" s="20" t="s">
        <v>117</v>
      </c>
      <c r="J121" s="20" t="s">
        <v>26</v>
      </c>
      <c r="K121" s="20" t="s">
        <v>26</v>
      </c>
      <c r="L121" s="20" t="s">
        <v>26</v>
      </c>
      <c r="M121" s="20" t="s">
        <v>26</v>
      </c>
      <c r="N121" s="20"/>
      <c r="O121" s="20"/>
      <c r="P121" s="20" t="s">
        <v>26</v>
      </c>
      <c r="Q121" s="20" t="b">
        <v>0</v>
      </c>
    </row>
    <row r="122" spans="1:17">
      <c r="A122" s="20">
        <f t="shared" si="5"/>
        <v>121</v>
      </c>
      <c r="B122" s="21">
        <v>17</v>
      </c>
      <c r="C122" s="20" t="str" cm="1">
        <f t="array" ref="C122">GetValue("Tbl",B122,"Alias")</f>
        <v>Idx</v>
      </c>
      <c r="D122" s="20">
        <v>10</v>
      </c>
      <c r="E122" s="20" t="str" cm="1">
        <f t="array" ref="E122">GetValue("Dmn",D122,"Name")</f>
        <v>Nvarchar(25)</v>
      </c>
      <c r="F122" s="20">
        <f t="shared" si="4"/>
        <v>15</v>
      </c>
      <c r="G122" s="20" t="str" cm="1">
        <f t="array" ref="G122">GetColumnName(C122,IF(B122=B121,G121,""))</f>
        <v>Name</v>
      </c>
      <c r="H122" s="20" t="s">
        <v>876</v>
      </c>
      <c r="I122" s="20" t="s">
        <v>97</v>
      </c>
      <c r="J122" s="20" t="s">
        <v>26</v>
      </c>
      <c r="K122" s="20" t="s">
        <v>26</v>
      </c>
      <c r="L122" s="20" t="s">
        <v>26</v>
      </c>
      <c r="M122" s="20" t="s">
        <v>26</v>
      </c>
      <c r="N122" s="20"/>
      <c r="O122" s="20"/>
      <c r="P122" s="20" t="s">
        <v>26</v>
      </c>
      <c r="Q122" s="20" t="b">
        <v>0</v>
      </c>
    </row>
    <row r="123" spans="1:17">
      <c r="A123" s="20">
        <f t="shared" si="5"/>
        <v>122</v>
      </c>
      <c r="B123" s="21">
        <v>17</v>
      </c>
      <c r="C123" s="20" t="str" cm="1">
        <f t="array" ref="C123">GetValue("Tbl",B123,"Alias")</f>
        <v>Idx</v>
      </c>
      <c r="D123" s="20">
        <v>4</v>
      </c>
      <c r="E123" s="20" t="str" cm="1">
        <f t="array" ref="E123">GetValue("Dmn",D123,"Name")</f>
        <v>SmallInteger</v>
      </c>
      <c r="F123" s="20">
        <f t="shared" si="4"/>
        <v>20</v>
      </c>
      <c r="G123" s="20" t="str" cm="1">
        <f t="array" ref="G123">GetColumnName(C123,IF(B123=B122,G122,""))</f>
        <v>IsUnique</v>
      </c>
      <c r="H123" s="20" t="s">
        <v>877</v>
      </c>
      <c r="I123" s="20" t="s">
        <v>878</v>
      </c>
      <c r="J123" s="20" t="s">
        <v>26</v>
      </c>
      <c r="K123" s="20" t="s">
        <v>26</v>
      </c>
      <c r="L123" s="20" t="s">
        <v>26</v>
      </c>
      <c r="M123" s="20" t="s">
        <v>26</v>
      </c>
      <c r="N123" s="20"/>
      <c r="O123" s="20"/>
      <c r="P123" s="20" t="s">
        <v>26</v>
      </c>
      <c r="Q123" s="20" t="b">
        <v>0</v>
      </c>
    </row>
    <row r="124" spans="1:17">
      <c r="A124" s="18">
        <f t="shared" si="5"/>
        <v>123</v>
      </c>
      <c r="B124" s="19">
        <v>18</v>
      </c>
      <c r="C124" s="18" t="str" cm="1">
        <f t="array" ref="C124">GetValue("Tbl",B124,"Alias")</f>
        <v>Idk</v>
      </c>
      <c r="D124" s="18">
        <v>1</v>
      </c>
      <c r="E124" s="18" t="str" cm="1">
        <f t="array" ref="E124">GetValue("Dmn",D124,"Name")</f>
        <v>BigInteger</v>
      </c>
      <c r="F124" s="18">
        <f t="shared" si="4"/>
        <v>5</v>
      </c>
      <c r="G124" s="18" t="str" cm="1">
        <f t="array" ref="G124">GetColumnName(C124,IF(B124=B123,G123,""))</f>
        <v>Id</v>
      </c>
      <c r="H124" s="18" t="s">
        <v>603</v>
      </c>
      <c r="I124" s="18" t="s">
        <v>0</v>
      </c>
      <c r="J124" s="18" t="b">
        <v>1</v>
      </c>
      <c r="K124" s="18" t="b">
        <v>1</v>
      </c>
      <c r="L124" s="18" t="b">
        <v>0</v>
      </c>
      <c r="M124" s="18" t="b">
        <v>0</v>
      </c>
      <c r="N124" s="18"/>
      <c r="O124" s="18"/>
      <c r="P124" s="18" t="b">
        <v>0</v>
      </c>
      <c r="Q124" s="18" t="b">
        <v>0</v>
      </c>
    </row>
    <row r="125" spans="1:17">
      <c r="A125" s="18">
        <f t="shared" si="5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4"/>
        <v>10</v>
      </c>
      <c r="G125" s="18" t="str" cm="1">
        <f t="array" ref="G125">GetColumnName(C125,IF(B125=B124,G124,""))</f>
        <v>IndexId</v>
      </c>
      <c r="H125" s="18" t="s">
        <v>595</v>
      </c>
      <c r="I125" s="18" t="s">
        <v>604</v>
      </c>
      <c r="J125" s="18" t="s">
        <v>26</v>
      </c>
      <c r="K125" s="18" t="s">
        <v>26</v>
      </c>
      <c r="L125" s="18" t="s">
        <v>26</v>
      </c>
      <c r="M125" s="18" t="s">
        <v>26</v>
      </c>
      <c r="N125" s="18"/>
      <c r="O125" s="18"/>
      <c r="P125" s="18" t="s">
        <v>26</v>
      </c>
      <c r="Q125" s="18" t="b">
        <v>0</v>
      </c>
    </row>
    <row r="126" spans="1:17">
      <c r="A126" s="18">
        <f t="shared" si="5"/>
        <v>125</v>
      </c>
      <c r="B126" s="19">
        <v>18</v>
      </c>
      <c r="C126" s="18" t="str" cm="1">
        <f t="array" ref="C126">GetValue("Tbl",B126,"Alias")</f>
        <v>Idk</v>
      </c>
      <c r="D126" s="18">
        <v>1</v>
      </c>
      <c r="E126" s="18" t="str" cm="1">
        <f t="array" ref="E126">GetValue("Dmn",D126,"Name")</f>
        <v>BigInteger</v>
      </c>
      <c r="F126" s="18">
        <f t="shared" si="4"/>
        <v>15</v>
      </c>
      <c r="G126" s="18" t="str" cm="1">
        <f t="array" ref="G126">GetColumnName(C126,IF(B126=B125,G125,""))</f>
        <v>ColumnId</v>
      </c>
      <c r="H126" s="18" t="s">
        <v>879</v>
      </c>
      <c r="I126" s="18" t="s">
        <v>606</v>
      </c>
      <c r="J126" s="18" t="s">
        <v>26</v>
      </c>
      <c r="K126" s="18" t="s">
        <v>26</v>
      </c>
      <c r="L126" s="18" t="s">
        <v>26</v>
      </c>
      <c r="M126" s="18" t="s">
        <v>26</v>
      </c>
      <c r="N126" s="18"/>
      <c r="O126" s="18"/>
      <c r="P126" s="18" t="s">
        <v>26</v>
      </c>
      <c r="Q126" s="18" t="b">
        <v>0</v>
      </c>
    </row>
    <row r="127" spans="1:17">
      <c r="A127" s="18">
        <f t="shared" si="5"/>
        <v>126</v>
      </c>
      <c r="B127" s="19">
        <v>18</v>
      </c>
      <c r="C127" s="18" t="str" cm="1">
        <f t="array" ref="C127">GetValue("Tbl",B127,"Alias")</f>
        <v>Idk</v>
      </c>
      <c r="D127" s="18">
        <v>4</v>
      </c>
      <c r="E127" s="18" t="str" cm="1">
        <f t="array" ref="E127">GetValue("Dmn",D127,"Name")</f>
        <v>SmallInteger</v>
      </c>
      <c r="F127" s="18">
        <f t="shared" si="4"/>
        <v>20</v>
      </c>
      <c r="G127" s="18" t="str" cm="1">
        <f t="array" ref="G127">GetColumnName(C127,IF(B127=B126,G126,""))</f>
        <v>Sequence</v>
      </c>
      <c r="H127" s="18" t="s">
        <v>880</v>
      </c>
      <c r="I127" s="18" t="s">
        <v>111</v>
      </c>
      <c r="J127" s="18" t="s">
        <v>26</v>
      </c>
      <c r="K127" s="18" t="s">
        <v>26</v>
      </c>
      <c r="L127" s="18" t="s">
        <v>26</v>
      </c>
      <c r="M127" s="18" t="s">
        <v>26</v>
      </c>
      <c r="N127" s="18"/>
      <c r="O127" s="18"/>
      <c r="P127" s="18" t="s">
        <v>26</v>
      </c>
      <c r="Q127" s="18" t="b">
        <v>0</v>
      </c>
    </row>
    <row r="128" spans="1:17">
      <c r="A128" s="18">
        <f t="shared" si="5"/>
        <v>127</v>
      </c>
      <c r="B128" s="19">
        <v>18</v>
      </c>
      <c r="C128" s="18" t="str" cm="1">
        <f t="array" ref="C128">GetValue("Tbl",B128,"Alias")</f>
        <v>Idk</v>
      </c>
      <c r="D128" s="18">
        <v>6</v>
      </c>
      <c r="E128" s="18" t="str" cm="1">
        <f t="array" ref="E128">GetValue("Dmn",D128,"Name")</f>
        <v>Boolean</v>
      </c>
      <c r="F128" s="18">
        <f t="shared" si="4"/>
        <v>25</v>
      </c>
      <c r="G128" s="18" t="str" cm="1">
        <f t="array" ref="G128">GetColumnName(C128,IF(B128=B127,G127,""))</f>
        <v>IsDescending</v>
      </c>
      <c r="H128" s="18" t="s">
        <v>753</v>
      </c>
      <c r="I128" s="18" t="s">
        <v>754</v>
      </c>
      <c r="J128" s="18" t="s">
        <v>26</v>
      </c>
      <c r="K128" s="18" t="s">
        <v>26</v>
      </c>
      <c r="L128" s="18" t="s">
        <v>26</v>
      </c>
      <c r="M128" s="18" t="s">
        <v>26</v>
      </c>
      <c r="N128" s="18"/>
      <c r="O128" s="18"/>
      <c r="P128" s="18" t="s">
        <v>26</v>
      </c>
      <c r="Q128" s="18" t="b">
        <v>0</v>
      </c>
    </row>
    <row r="129" spans="1:17">
      <c r="A129" s="20">
        <f t="shared" si="5"/>
        <v>128</v>
      </c>
      <c r="B129" s="21">
        <v>19</v>
      </c>
      <c r="C129" s="20" t="str" cm="1">
        <f t="array" ref="C129">GetValue("Tbl",B129,"Alias")</f>
        <v>Inc</v>
      </c>
      <c r="D129" s="20">
        <v>1</v>
      </c>
      <c r="E129" s="20" t="str" cm="1">
        <f t="array" ref="E129">GetValue("Dmn",D129,"Name")</f>
        <v>BigInteger</v>
      </c>
      <c r="F129" s="20">
        <f t="shared" si="4"/>
        <v>5</v>
      </c>
      <c r="G129" s="20" t="str" cm="1">
        <f t="array" ref="G129">GetColumnName(C129,IF(B129=B128,G128,""))</f>
        <v>Id</v>
      </c>
      <c r="H129" s="20" t="s">
        <v>779</v>
      </c>
      <c r="I129" s="20" t="s">
        <v>0</v>
      </c>
      <c r="J129" s="20" t="b">
        <v>1</v>
      </c>
      <c r="K129" s="20" t="b">
        <v>1</v>
      </c>
      <c r="L129" s="20" t="b">
        <v>0</v>
      </c>
      <c r="M129" s="20" t="b">
        <v>0</v>
      </c>
      <c r="N129" s="20"/>
      <c r="O129" s="20"/>
      <c r="P129" s="20" t="b">
        <v>0</v>
      </c>
      <c r="Q129" s="20" t="b">
        <v>0</v>
      </c>
    </row>
    <row r="130" spans="1:17">
      <c r="A130" s="20">
        <f t="shared" si="5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4"/>
        <v>10</v>
      </c>
      <c r="G130" s="20" t="str" cm="1">
        <f t="array" ref="G130">GetColumnName(C130,IF(B130=B129,G129,""))</f>
        <v>IndexId</v>
      </c>
      <c r="H130" s="20" t="s">
        <v>595</v>
      </c>
      <c r="I130" s="20" t="s">
        <v>604</v>
      </c>
      <c r="J130" s="20" t="s">
        <v>26</v>
      </c>
      <c r="K130" s="20" t="s">
        <v>26</v>
      </c>
      <c r="L130" s="20" t="s">
        <v>26</v>
      </c>
      <c r="M130" s="20" t="s">
        <v>26</v>
      </c>
      <c r="N130" s="20"/>
      <c r="O130" s="20"/>
      <c r="P130" s="20" t="s">
        <v>26</v>
      </c>
      <c r="Q130" s="20" t="b">
        <v>0</v>
      </c>
    </row>
    <row r="131" spans="1:17">
      <c r="A131" s="20">
        <f t="shared" si="5"/>
        <v>130</v>
      </c>
      <c r="B131" s="21">
        <v>19</v>
      </c>
      <c r="C131" s="20" t="str" cm="1">
        <f t="array" ref="C131">GetValue("Tbl",B131,"Alias")</f>
        <v>Inc</v>
      </c>
      <c r="D131" s="20">
        <v>1</v>
      </c>
      <c r="E131" s="20" t="str" cm="1">
        <f t="array" ref="E131">GetValue("Dmn",D131,"Name")</f>
        <v>BigInteger</v>
      </c>
      <c r="F131" s="20">
        <f t="shared" si="4"/>
        <v>15</v>
      </c>
      <c r="G131" s="20" t="str" cm="1">
        <f t="array" ref="G131">GetColumnName(C131,IF(B131=B130,G130,""))</f>
        <v>ColumnId</v>
      </c>
      <c r="H131" s="20" t="s">
        <v>757</v>
      </c>
      <c r="I131" s="20" t="s">
        <v>606</v>
      </c>
      <c r="J131" s="20" t="s">
        <v>26</v>
      </c>
      <c r="K131" s="20" t="s">
        <v>26</v>
      </c>
      <c r="L131" s="20" t="s">
        <v>26</v>
      </c>
      <c r="M131" s="20" t="s">
        <v>26</v>
      </c>
      <c r="N131" s="20"/>
      <c r="O131" s="20"/>
      <c r="P131" s="20" t="s">
        <v>26</v>
      </c>
      <c r="Q131" s="20" t="b">
        <v>0</v>
      </c>
    </row>
    <row r="132" spans="1:17">
      <c r="A132" s="18">
        <f t="shared" si="5"/>
        <v>131</v>
      </c>
      <c r="B132" s="19">
        <v>20</v>
      </c>
      <c r="C132" s="18" t="str" cm="1">
        <f t="array" ref="C132">GetValue("Tbl",B132,"Alias")</f>
        <v>Uni</v>
      </c>
      <c r="D132" s="18">
        <v>1</v>
      </c>
      <c r="E132" s="18" t="str" cm="1">
        <f t="array" ref="E132">GetValue("Dmn",D132,"Name")</f>
        <v>BigInteger</v>
      </c>
      <c r="F132" s="18">
        <f t="shared" ref="F132" si="10">IF(G132="Id",5,F131+5)</f>
        <v>5</v>
      </c>
      <c r="G132" s="18" t="str" cm="1">
        <f t="array" ref="G132">GetColumnName(C132,IF(B132=B131,G131,""))</f>
        <v>Id</v>
      </c>
      <c r="H132" s="18" t="s">
        <v>780</v>
      </c>
      <c r="I132" s="18" t="s">
        <v>0</v>
      </c>
      <c r="J132" s="18" t="b">
        <v>1</v>
      </c>
      <c r="K132" s="18" t="b">
        <v>1</v>
      </c>
      <c r="L132" s="18" t="b">
        <v>0</v>
      </c>
      <c r="M132" s="18" t="b">
        <v>0</v>
      </c>
      <c r="N132" s="18"/>
      <c r="O132" s="18"/>
      <c r="P132" s="18" t="b">
        <v>0</v>
      </c>
      <c r="Q132" s="18" t="b">
        <v>0</v>
      </c>
    </row>
    <row r="133" spans="1:17">
      <c r="A133" s="18">
        <f t="shared" si="5"/>
        <v>132</v>
      </c>
      <c r="B133" s="19">
        <v>20</v>
      </c>
      <c r="C133" s="18" t="str" cm="1">
        <f t="array" ref="C133">GetValue("Tbl",B133,"Alias")</f>
        <v>Uni</v>
      </c>
      <c r="D133" s="18">
        <v>1</v>
      </c>
      <c r="E133" s="18" t="str" cm="1">
        <f t="array" ref="E133">GetValue("Dmn",D133,"Name")</f>
        <v>BigInteger</v>
      </c>
      <c r="F133" s="18">
        <f t="shared" ref="F133:F136" si="11">IF(G133="Id",5,F132+5)</f>
        <v>10</v>
      </c>
      <c r="G133" s="18" t="str" cm="1">
        <f t="array" ref="G133">GetColumnName(C133,IF(B133=B132,G132,""))</f>
        <v>LeftColumnId</v>
      </c>
      <c r="H133" s="18" t="s">
        <v>781</v>
      </c>
      <c r="I133" s="18" t="s">
        <v>784</v>
      </c>
      <c r="J133" s="18" t="s">
        <v>26</v>
      </c>
      <c r="K133" s="18" t="s">
        <v>26</v>
      </c>
      <c r="L133" s="18" t="s">
        <v>26</v>
      </c>
      <c r="M133" s="18" t="s">
        <v>26</v>
      </c>
      <c r="N133" s="18"/>
      <c r="O133" s="18"/>
      <c r="P133" s="18" t="s">
        <v>26</v>
      </c>
      <c r="Q133" s="18" t="b">
        <v>0</v>
      </c>
    </row>
    <row r="134" spans="1:17">
      <c r="A134" s="18">
        <f t="shared" si="5"/>
        <v>133</v>
      </c>
      <c r="B134" s="19">
        <v>20</v>
      </c>
      <c r="C134" s="18" t="str" cm="1">
        <f t="array" ref="C134">GetValue("Tbl",B134,"Alias")</f>
        <v>Uni</v>
      </c>
      <c r="D134" s="18">
        <v>1</v>
      </c>
      <c r="E134" s="18" t="str" cm="1">
        <f t="array" ref="E134">GetValue("Dmn",D134,"Name")</f>
        <v>BigInteger</v>
      </c>
      <c r="F134" s="18">
        <f t="shared" si="11"/>
        <v>15</v>
      </c>
      <c r="G134" s="18" t="str" cm="1">
        <f t="array" ref="G134">GetColumnName(C134,IF(B134=B133,G133,""))</f>
        <v>RightColumnId</v>
      </c>
      <c r="H134" s="18" t="s">
        <v>782</v>
      </c>
      <c r="I134" s="18" t="s">
        <v>785</v>
      </c>
      <c r="J134" s="18" t="s">
        <v>26</v>
      </c>
      <c r="K134" s="18" t="s">
        <v>26</v>
      </c>
      <c r="L134" s="18" t="s">
        <v>26</v>
      </c>
      <c r="M134" s="18" t="s">
        <v>26</v>
      </c>
      <c r="N134" s="18"/>
      <c r="O134" s="18"/>
      <c r="P134" s="18" t="s">
        <v>26</v>
      </c>
      <c r="Q134" s="18" t="b">
        <v>0</v>
      </c>
    </row>
    <row r="135" spans="1:17">
      <c r="A135" s="18">
        <f t="shared" si="5"/>
        <v>134</v>
      </c>
      <c r="B135" s="19">
        <v>20</v>
      </c>
      <c r="C135" s="18" t="str" cm="1">
        <f t="array" ref="C135">GetValue("Tbl",B135,"Alias")</f>
        <v>Uni</v>
      </c>
      <c r="D135" s="18">
        <v>6</v>
      </c>
      <c r="E135" s="18" t="str" cm="1">
        <f t="array" ref="E135">GetValue("Dmn",D135,"Name")</f>
        <v>Boolean</v>
      </c>
      <c r="F135" s="18">
        <f t="shared" si="11"/>
        <v>20</v>
      </c>
      <c r="G135" s="18" t="str" cm="1">
        <f t="array" ref="G135">GetColumnName(C135,IF(B135=B134,G134,""))</f>
        <v>IsBirectional</v>
      </c>
      <c r="H135" s="18" t="s">
        <v>881</v>
      </c>
      <c r="I135" s="18" t="s">
        <v>786</v>
      </c>
      <c r="J135" s="18" t="s">
        <v>26</v>
      </c>
      <c r="K135" s="18" t="s">
        <v>26</v>
      </c>
      <c r="L135" s="18" t="s">
        <v>26</v>
      </c>
      <c r="M135" s="18" t="s">
        <v>26</v>
      </c>
      <c r="N135" s="18"/>
      <c r="O135" s="18"/>
      <c r="P135" s="18" t="s">
        <v>26</v>
      </c>
      <c r="Q135" s="18" t="b">
        <v>0</v>
      </c>
    </row>
    <row r="136" spans="1:17">
      <c r="A136" s="20">
        <f t="shared" si="5"/>
        <v>135</v>
      </c>
      <c r="B136" s="21">
        <v>21</v>
      </c>
      <c r="C136" s="20" t="str" cm="1">
        <f t="array" ref="C136">GetValue("Tbl",B136,"Alias")</f>
        <v>Exp</v>
      </c>
      <c r="D136" s="20">
        <v>1</v>
      </c>
      <c r="E136" s="20" t="str" cm="1">
        <f t="array" ref="E136">GetValue("Dmn",D136,"Name")</f>
        <v>BigInteger</v>
      </c>
      <c r="F136" s="20">
        <f t="shared" si="11"/>
        <v>5</v>
      </c>
      <c r="G136" s="20" t="str" cm="1">
        <f t="array" ref="G136">GetColumnName(C136,IF(B136=B135,G135,""))</f>
        <v>Id</v>
      </c>
      <c r="H136" s="20" t="s">
        <v>787</v>
      </c>
      <c r="I136" s="20" t="s">
        <v>0</v>
      </c>
      <c r="J136" s="20" t="b">
        <v>1</v>
      </c>
      <c r="K136" s="20" t="b">
        <v>1</v>
      </c>
      <c r="L136" s="20" t="b">
        <v>0</v>
      </c>
      <c r="M136" s="20" t="b">
        <v>0</v>
      </c>
      <c r="N136" s="20"/>
      <c r="O136" s="20"/>
      <c r="P136" s="20" t="b">
        <v>0</v>
      </c>
      <c r="Q136" s="20" t="b">
        <v>0</v>
      </c>
    </row>
    <row r="137" spans="1:17">
      <c r="A137" s="20">
        <f t="shared" si="5"/>
        <v>136</v>
      </c>
      <c r="B137" s="21">
        <v>21</v>
      </c>
      <c r="C137" s="20" t="str" cm="1">
        <f t="array" ref="C137">GetValue("Tbl",B137,"Alias")</f>
        <v>Exp</v>
      </c>
      <c r="D137" s="20">
        <v>1</v>
      </c>
      <c r="E137" s="20" t="str" cm="1">
        <f t="array" ref="E137">GetValue("Dmn",D137,"Name")</f>
        <v>BigInteger</v>
      </c>
      <c r="F137" s="20">
        <f t="shared" ref="F137:F139" si="12">IF(G137="Id",5,F136+5)</f>
        <v>10</v>
      </c>
      <c r="G137" s="20" t="str" cm="1">
        <f t="array" ref="G137">GetColumnName(C137,IF(B137=B136,G136,""))</f>
        <v>TableId</v>
      </c>
      <c r="H137" s="20" t="s">
        <v>575</v>
      </c>
      <c r="I137" s="20" t="s">
        <v>117</v>
      </c>
      <c r="J137" s="20" t="s">
        <v>26</v>
      </c>
      <c r="K137" s="20" t="s">
        <v>26</v>
      </c>
      <c r="L137" s="20" t="s">
        <v>26</v>
      </c>
      <c r="M137" s="20" t="s">
        <v>26</v>
      </c>
      <c r="N137" s="20"/>
      <c r="O137" s="20"/>
      <c r="P137" s="20" t="s">
        <v>26</v>
      </c>
      <c r="Q137" s="20" t="b">
        <v>0</v>
      </c>
    </row>
    <row r="138" spans="1:17">
      <c r="A138" s="20">
        <f t="shared" si="5"/>
        <v>137</v>
      </c>
      <c r="B138" s="21">
        <v>21</v>
      </c>
      <c r="C138" s="20" t="str" cm="1">
        <f t="array" ref="C138">GetValue("Tbl",B138,"Alias")</f>
        <v>Exp</v>
      </c>
      <c r="D138" s="20">
        <v>10</v>
      </c>
      <c r="E138" s="20" t="str" cm="1">
        <f t="array" ref="E138">GetValue("Dmn",D138,"Name")</f>
        <v>Nvarchar(25)</v>
      </c>
      <c r="F138" s="20">
        <f t="shared" si="12"/>
        <v>15</v>
      </c>
      <c r="G138" s="20" t="str" cm="1">
        <f t="array" ref="G138">GetColumnName(C138,IF(B138=B137,G137,""))</f>
        <v>Name</v>
      </c>
      <c r="H138" s="20" t="s">
        <v>788</v>
      </c>
      <c r="I138" s="20" t="s">
        <v>97</v>
      </c>
      <c r="J138" s="20" t="s">
        <v>26</v>
      </c>
      <c r="K138" s="20" t="s">
        <v>26</v>
      </c>
      <c r="L138" s="20" t="s">
        <v>26</v>
      </c>
      <c r="M138" s="20" t="s">
        <v>26</v>
      </c>
      <c r="N138" s="20"/>
      <c r="O138" s="20"/>
      <c r="P138" s="20" t="s">
        <v>26</v>
      </c>
      <c r="Q138" s="20" t="b">
        <v>0</v>
      </c>
    </row>
    <row r="139" spans="1:17">
      <c r="A139" s="18">
        <f t="shared" si="5"/>
        <v>138</v>
      </c>
      <c r="B139" s="19">
        <v>22</v>
      </c>
      <c r="C139" s="18" t="str" cm="1">
        <f t="array" ref="C139">GetValue("Tbl",B139,"Alias")</f>
        <v>Cnd</v>
      </c>
      <c r="D139" s="18">
        <v>1</v>
      </c>
      <c r="E139" s="18" t="str" cm="1">
        <f t="array" ref="E139">GetValue("Dmn",D139,"Name")</f>
        <v>BigInteger</v>
      </c>
      <c r="F139" s="18">
        <f t="shared" si="12"/>
        <v>5</v>
      </c>
      <c r="G139" s="18" t="str" cm="1">
        <f t="array" ref="G139">GetColumnName(C139,IF(B139=B138,G138,""))</f>
        <v>Id</v>
      </c>
      <c r="H139" s="18" t="s">
        <v>789</v>
      </c>
      <c r="I139" s="18" t="s">
        <v>0</v>
      </c>
      <c r="J139" s="18" t="b">
        <v>1</v>
      </c>
      <c r="K139" s="18" t="b">
        <v>1</v>
      </c>
      <c r="L139" s="18" t="b">
        <v>0</v>
      </c>
      <c r="M139" s="18" t="b">
        <v>0</v>
      </c>
      <c r="N139" s="18"/>
      <c r="O139" s="18"/>
      <c r="P139" s="18" t="s">
        <v>26</v>
      </c>
      <c r="Q139" s="18" t="b">
        <v>0</v>
      </c>
    </row>
    <row r="140" spans="1:17">
      <c r="A140" s="18">
        <f t="shared" si="5"/>
        <v>139</v>
      </c>
      <c r="B140" s="19">
        <v>22</v>
      </c>
      <c r="C140" s="18" t="str" cm="1">
        <f t="array" ref="C140">GetValue("Tbl",B140,"Alias")</f>
        <v>Cnd</v>
      </c>
      <c r="D140" s="18">
        <v>1</v>
      </c>
      <c r="E140" s="18" t="str" cm="1">
        <f t="array" ref="E140">GetValue("Dmn",D140,"Name")</f>
        <v>BigInteger</v>
      </c>
      <c r="F140" s="18">
        <f t="shared" ref="F140:F141" si="13">IF(G140="Id",5,F139+5)</f>
        <v>10</v>
      </c>
      <c r="G140" s="18" t="str" cm="1">
        <f t="array" ref="G140">GetColumnName(C140,IF(B140=B139,G139,""))</f>
        <v>ExpressionId</v>
      </c>
      <c r="H140" s="18" t="s">
        <v>787</v>
      </c>
      <c r="I140" s="18" t="s">
        <v>795</v>
      </c>
      <c r="J140" s="18" t="s">
        <v>26</v>
      </c>
      <c r="K140" s="18" t="s">
        <v>26</v>
      </c>
      <c r="L140" s="18" t="s">
        <v>26</v>
      </c>
      <c r="M140" s="18" t="s">
        <v>26</v>
      </c>
      <c r="N140" s="18"/>
      <c r="O140" s="18"/>
      <c r="P140" s="18" t="b">
        <v>0</v>
      </c>
      <c r="Q140" s="18" t="b">
        <v>0</v>
      </c>
    </row>
    <row r="141" spans="1:17">
      <c r="A141" s="18">
        <f t="shared" si="5"/>
        <v>140</v>
      </c>
      <c r="B141" s="19">
        <v>22</v>
      </c>
      <c r="C141" s="18" t="str" cm="1">
        <f t="array" ref="C141">GetValue("Tbl",B141,"Alias")</f>
        <v>Cnd</v>
      </c>
      <c r="D141" s="18">
        <v>4</v>
      </c>
      <c r="E141" s="18" t="str" cm="1">
        <f t="array" ref="E141">GetValue("Dmn",D141,"Name")</f>
        <v>SmallInteger</v>
      </c>
      <c r="F141" s="18">
        <f t="shared" si="13"/>
        <v>15</v>
      </c>
      <c r="G141" s="18" t="str" cm="1">
        <f t="array" ref="G141">GetColumnName(C141,IF(B141=B140,G140,""))</f>
        <v>Sequence</v>
      </c>
      <c r="H141" s="18" t="s">
        <v>790</v>
      </c>
      <c r="I141" s="18" t="s">
        <v>111</v>
      </c>
      <c r="J141" s="18" t="s">
        <v>26</v>
      </c>
      <c r="K141" s="18" t="s">
        <v>26</v>
      </c>
      <c r="L141" s="18" t="s">
        <v>26</v>
      </c>
      <c r="M141" s="18" t="s">
        <v>26</v>
      </c>
      <c r="N141" s="18"/>
      <c r="O141" s="18"/>
      <c r="P141" s="18" t="s">
        <v>26</v>
      </c>
      <c r="Q141" s="18" t="b">
        <v>0</v>
      </c>
    </row>
    <row r="142" spans="1:17">
      <c r="A142" s="18">
        <f>ROW(A142)-1</f>
        <v>141</v>
      </c>
      <c r="B142" s="19">
        <v>22</v>
      </c>
      <c r="C142" s="18" t="str" cm="1">
        <f t="array" ref="C142">GetValue("Tbl",B142,"Alias")</f>
        <v>Cnd</v>
      </c>
      <c r="D142" s="18">
        <v>8</v>
      </c>
      <c r="E142" s="18" t="str" cm="1">
        <f t="array" ref="E142">GetValue("Dmn",D142,"Name")</f>
        <v>Nvarchar(15)</v>
      </c>
      <c r="F142" s="18">
        <f>IF(G142="Id",5,F141+5)</f>
        <v>20</v>
      </c>
      <c r="G142" s="18" t="str" cm="1">
        <f t="array" ref="G142">GetColumnName(C142,IF(B142=B141,G141,""))</f>
        <v>Connector</v>
      </c>
      <c r="H142" s="18" t="s">
        <v>791</v>
      </c>
      <c r="I142" s="18" t="s">
        <v>784</v>
      </c>
      <c r="J142" s="18" t="s">
        <v>26</v>
      </c>
      <c r="K142" s="18" t="s">
        <v>26</v>
      </c>
      <c r="L142" s="18" t="s">
        <v>26</v>
      </c>
      <c r="M142" s="18" t="s">
        <v>26</v>
      </c>
      <c r="N142" s="18"/>
      <c r="O142" s="18"/>
      <c r="P142" s="18" t="s">
        <v>26</v>
      </c>
      <c r="Q142" s="18" t="b">
        <v>0</v>
      </c>
    </row>
    <row r="143" spans="1:17">
      <c r="A143" s="18">
        <f>ROW(A143)-1</f>
        <v>142</v>
      </c>
      <c r="B143" s="19">
        <v>22</v>
      </c>
      <c r="C143" s="18" t="str" cm="1">
        <f t="array" ref="C143">GetValue("Tbl",B143,"Alias")</f>
        <v>Cnd</v>
      </c>
      <c r="D143" s="18">
        <v>14</v>
      </c>
      <c r="E143" s="18" t="str" cm="1">
        <f t="array" ref="E143">GetValue("Dmn",D143,"Name")</f>
        <v>Nchar(1)</v>
      </c>
      <c r="F143" s="18">
        <f>IF(G143="Id",5,F142+5)</f>
        <v>25</v>
      </c>
      <c r="G143" s="18" t="str" cm="1">
        <f t="array" ref="G143">GetColumnName(C143,IF(B143=B142,G142,""))</f>
        <v>LeftParenthesis</v>
      </c>
      <c r="H143" s="18" t="s">
        <v>792</v>
      </c>
      <c r="I143" s="18" t="s">
        <v>796</v>
      </c>
      <c r="J143" s="18" t="s">
        <v>26</v>
      </c>
      <c r="K143" s="18" t="s">
        <v>26</v>
      </c>
      <c r="L143" s="18" t="s">
        <v>26</v>
      </c>
      <c r="M143" s="18" t="s">
        <v>26</v>
      </c>
      <c r="N143" s="18"/>
      <c r="O143" s="18"/>
      <c r="P143" s="18" t="s">
        <v>26</v>
      </c>
      <c r="Q143" s="18" t="b">
        <v>0</v>
      </c>
    </row>
    <row r="144" spans="1:17">
      <c r="A144" s="18">
        <f>ROW(A144)-1</f>
        <v>143</v>
      </c>
      <c r="B144" s="19">
        <v>22</v>
      </c>
      <c r="C144" s="18" t="str" cm="1">
        <f t="array" ref="C144">GetValue("Tbl",B144,"Alias")</f>
        <v>Cnd</v>
      </c>
      <c r="D144" s="18">
        <v>8</v>
      </c>
      <c r="E144" s="18" t="str" cm="1">
        <f t="array" ref="E144">GetValue("Dmn",D144,"Name")</f>
        <v>Nvarchar(15)</v>
      </c>
      <c r="F144" s="18">
        <f>IF(G144="Id",5,F143+5)</f>
        <v>30</v>
      </c>
      <c r="G144" s="18" t="str" cm="1">
        <f t="array" ref="G144">GetColumnName(C144,IF(B144=B143,G143,""))</f>
        <v>LeftColumnId</v>
      </c>
      <c r="H144" s="18" t="s">
        <v>781</v>
      </c>
      <c r="I144" s="18" t="s">
        <v>792</v>
      </c>
      <c r="J144" s="18" t="s">
        <v>26</v>
      </c>
      <c r="K144" s="18" t="s">
        <v>26</v>
      </c>
      <c r="L144" s="18" t="s">
        <v>26</v>
      </c>
      <c r="M144" s="18" t="s">
        <v>26</v>
      </c>
      <c r="N144" s="18"/>
      <c r="O144" s="18"/>
      <c r="P144" s="18" t="s">
        <v>26</v>
      </c>
      <c r="Q144" s="18" t="b">
        <v>0</v>
      </c>
    </row>
    <row r="145" spans="1:17">
      <c r="A145" s="18">
        <f t="shared" si="5"/>
        <v>144</v>
      </c>
      <c r="B145" s="19">
        <v>22</v>
      </c>
      <c r="C145" s="18" t="str" cm="1">
        <f t="array" ref="C145">GetValue("Tbl",B145,"Alias")</f>
        <v>Cnd</v>
      </c>
      <c r="D145" s="18">
        <v>1</v>
      </c>
      <c r="E145" s="18" t="str" cm="1">
        <f t="array" ref="E145">GetValue("Dmn",D145,"Name")</f>
        <v>BigInteger</v>
      </c>
      <c r="F145" s="18">
        <f>IF(G145="Id",5,F144+5)</f>
        <v>35</v>
      </c>
      <c r="G145" s="18" t="str" cm="1">
        <f t="array" ref="G145">GetColumnName(C145,IF(B145=B144,G144,""))</f>
        <v>ComparatorId</v>
      </c>
      <c r="H145" s="18" t="s">
        <v>882</v>
      </c>
      <c r="I145" s="18" t="s">
        <v>738</v>
      </c>
      <c r="J145" s="18" t="s">
        <v>26</v>
      </c>
      <c r="K145" s="18" t="s">
        <v>26</v>
      </c>
      <c r="L145" s="18" t="s">
        <v>26</v>
      </c>
      <c r="M145" s="18" t="s">
        <v>26</v>
      </c>
      <c r="N145" s="18"/>
      <c r="O145" s="18"/>
      <c r="P145" s="18" t="s">
        <v>26</v>
      </c>
      <c r="Q145" s="18" t="b">
        <v>0</v>
      </c>
    </row>
    <row r="146" spans="1:17">
      <c r="A146" s="18">
        <f t="shared" si="5"/>
        <v>145</v>
      </c>
      <c r="B146" s="19">
        <v>22</v>
      </c>
      <c r="C146" s="18" t="str" cm="1">
        <f t="array" ref="C146">GetValue("Tbl",B146,"Alias")</f>
        <v>Cnd</v>
      </c>
      <c r="D146" s="18">
        <v>1</v>
      </c>
      <c r="E146" s="18" t="str" cm="1">
        <f t="array" ref="E146">GetValue("Dmn",D146,"Name")</f>
        <v>BigInteger</v>
      </c>
      <c r="F146" s="18">
        <f t="shared" ref="F146:F149" si="14">IF(G146="Id",5,F145+5)</f>
        <v>40</v>
      </c>
      <c r="G146" s="18" t="str" cm="1">
        <f t="array" ref="G146">GetColumnName(C146,IF(B146=B145,G145,""))</f>
        <v>RightColumnId</v>
      </c>
      <c r="H146" s="18" t="s">
        <v>782</v>
      </c>
      <c r="I146" s="18" t="s">
        <v>785</v>
      </c>
      <c r="J146" s="18" t="s">
        <v>26</v>
      </c>
      <c r="K146" s="18" t="s">
        <v>26</v>
      </c>
      <c r="L146" s="18" t="s">
        <v>26</v>
      </c>
      <c r="M146" s="18" t="s">
        <v>26</v>
      </c>
      <c r="N146" s="18"/>
      <c r="O146" s="18"/>
      <c r="P146" s="18" t="s">
        <v>26</v>
      </c>
      <c r="Q146" s="18" t="b">
        <v>0</v>
      </c>
    </row>
    <row r="147" spans="1:17">
      <c r="A147" s="18">
        <f t="shared" si="5"/>
        <v>146</v>
      </c>
      <c r="B147" s="19">
        <v>22</v>
      </c>
      <c r="C147" s="18" t="str" cm="1">
        <f t="array" ref="C147">GetValue("Tbl",B147,"Alias")</f>
        <v>Cnd</v>
      </c>
      <c r="D147" s="18">
        <v>42</v>
      </c>
      <c r="E147" s="18" t="str" cm="1">
        <f t="array" ref="E147">GetValue("Dmn",D147,"Name")</f>
        <v>Variant</v>
      </c>
      <c r="F147" s="18">
        <f t="shared" si="14"/>
        <v>45</v>
      </c>
      <c r="G147" s="18" t="str" cm="1">
        <f t="array" ref="G147">GetColumnName(C147,IF(B147=B146,G146,""))</f>
        <v>RightValues</v>
      </c>
      <c r="H147" s="18" t="s">
        <v>793</v>
      </c>
      <c r="I147" s="18" t="s">
        <v>793</v>
      </c>
      <c r="J147" s="18" t="s">
        <v>26</v>
      </c>
      <c r="K147" s="18" t="s">
        <v>26</v>
      </c>
      <c r="L147" s="18" t="s">
        <v>26</v>
      </c>
      <c r="M147" s="18" t="s">
        <v>26</v>
      </c>
      <c r="N147" s="18"/>
      <c r="O147" s="18"/>
      <c r="P147" s="18" t="s">
        <v>26</v>
      </c>
      <c r="Q147" s="18" t="b">
        <v>0</v>
      </c>
    </row>
    <row r="148" spans="1:17">
      <c r="A148" s="18">
        <f t="shared" si="5"/>
        <v>147</v>
      </c>
      <c r="B148" s="19">
        <v>22</v>
      </c>
      <c r="C148" s="18" t="str" cm="1">
        <f t="array" ref="C148">GetValue("Tbl",B148,"Alias")</f>
        <v>Cnd</v>
      </c>
      <c r="D148" s="18">
        <v>8</v>
      </c>
      <c r="E148" s="18" t="str" cm="1">
        <f t="array" ref="E148">GetValue("Dmn",D148,"Name")</f>
        <v>Nvarchar(15)</v>
      </c>
      <c r="F148" s="18">
        <f t="shared" si="14"/>
        <v>50</v>
      </c>
      <c r="G148" s="18" t="str" cm="1">
        <f t="array" ref="G148">GetColumnName(C148,IF(B148=B147,G147,""))</f>
        <v>RightParenthesis</v>
      </c>
      <c r="H148" s="18" t="s">
        <v>794</v>
      </c>
      <c r="I148" s="18" t="s">
        <v>794</v>
      </c>
      <c r="J148" s="18" t="s">
        <v>26</v>
      </c>
      <c r="K148" s="18" t="s">
        <v>26</v>
      </c>
      <c r="L148" s="18" t="s">
        <v>26</v>
      </c>
      <c r="M148" s="18" t="s">
        <v>26</v>
      </c>
      <c r="N148" s="18"/>
      <c r="O148" s="18"/>
      <c r="P148" s="18" t="s">
        <v>26</v>
      </c>
      <c r="Q148" s="18" t="b">
        <v>0</v>
      </c>
    </row>
    <row r="149" spans="1:17">
      <c r="A149" s="20">
        <f t="shared" si="5"/>
        <v>148</v>
      </c>
      <c r="B149" s="21">
        <v>23</v>
      </c>
      <c r="C149" s="20" t="str" cm="1">
        <f t="array" ref="C149">GetValue("Tbl",B149,"Alias")</f>
        <v>Ref</v>
      </c>
      <c r="D149" s="20">
        <v>1</v>
      </c>
      <c r="E149" s="20" t="str" cm="1">
        <f t="array" ref="E149">GetValue("Dmn",D149,"Name")</f>
        <v>BigInteger</v>
      </c>
      <c r="F149" s="20">
        <f t="shared" si="14"/>
        <v>5</v>
      </c>
      <c r="G149" s="20" t="str" cm="1">
        <f t="array" ref="G149">GetColumnName(C149,IF(B149=B148,G148,""))</f>
        <v>Id</v>
      </c>
      <c r="H149" s="20" t="s">
        <v>798</v>
      </c>
      <c r="I149" s="20" t="s">
        <v>0</v>
      </c>
      <c r="J149" s="20" t="b">
        <v>1</v>
      </c>
      <c r="K149" s="20" t="b">
        <v>1</v>
      </c>
      <c r="L149" s="20" t="b">
        <v>0</v>
      </c>
      <c r="M149" s="20" t="b">
        <v>0</v>
      </c>
      <c r="N149" s="20"/>
      <c r="O149" s="20"/>
      <c r="P149" s="20" t="b">
        <v>0</v>
      </c>
      <c r="Q149" s="20" t="b">
        <v>0</v>
      </c>
    </row>
    <row r="150" spans="1:17">
      <c r="A150" s="20">
        <f t="shared" si="5"/>
        <v>149</v>
      </c>
      <c r="B150" s="21">
        <v>23</v>
      </c>
      <c r="C150" s="20" t="str" cm="1">
        <f t="array" ref="C150">GetValue("Tbl",B150,"Alias")</f>
        <v>Ref</v>
      </c>
      <c r="D150" s="20">
        <v>1</v>
      </c>
      <c r="E150" s="20" t="str" cm="1">
        <f t="array" ref="E150">GetValue("Dmn",D150,"Name")</f>
        <v>BigInteger</v>
      </c>
      <c r="F150" s="20">
        <f t="shared" ref="F150:F153" si="15">IF(G150="Id",5,F149+5)</f>
        <v>10</v>
      </c>
      <c r="G150" s="20" t="str" cm="1">
        <f t="array" ref="G150">GetColumnName(C150,IF(B150=B149,G149,""))</f>
        <v>ColumnId</v>
      </c>
      <c r="H150" s="20" t="s">
        <v>757</v>
      </c>
      <c r="I150" s="20" t="s">
        <v>606</v>
      </c>
      <c r="J150" s="20" t="s">
        <v>26</v>
      </c>
      <c r="K150" s="20" t="s">
        <v>26</v>
      </c>
      <c r="L150" s="20" t="s">
        <v>26</v>
      </c>
      <c r="M150" s="20" t="s">
        <v>26</v>
      </c>
      <c r="N150" s="20"/>
      <c r="O150" s="20"/>
      <c r="P150" s="20" t="s">
        <v>26</v>
      </c>
      <c r="Q150" s="20" t="b">
        <v>0</v>
      </c>
    </row>
    <row r="151" spans="1:17">
      <c r="A151" s="20">
        <f t="shared" si="5"/>
        <v>150</v>
      </c>
      <c r="B151" s="21">
        <v>23</v>
      </c>
      <c r="C151" s="20" t="str" cm="1">
        <f t="array" ref="C151">GetValue("Tbl",B151,"Alias")</f>
        <v>Ref</v>
      </c>
      <c r="D151" s="20">
        <v>1</v>
      </c>
      <c r="E151" s="20" t="str" cm="1">
        <f t="array" ref="E151">GetValue("Dmn",D151,"Name")</f>
        <v>BigInteger</v>
      </c>
      <c r="F151" s="20">
        <f t="shared" si="15"/>
        <v>15</v>
      </c>
      <c r="G151" s="20" t="str" cm="1">
        <f t="array" ref="G151">GetColumnName(C151,IF(B151=B150,G150,""))</f>
        <v>TableId</v>
      </c>
      <c r="H151" s="20" t="s">
        <v>575</v>
      </c>
      <c r="I151" s="20" t="s">
        <v>117</v>
      </c>
      <c r="J151" s="20" t="s">
        <v>26</v>
      </c>
      <c r="K151" s="20" t="s">
        <v>26</v>
      </c>
      <c r="L151" s="20" t="s">
        <v>26</v>
      </c>
      <c r="M151" s="20" t="s">
        <v>26</v>
      </c>
      <c r="N151" s="20"/>
      <c r="O151" s="20"/>
      <c r="P151" s="20" t="s">
        <v>26</v>
      </c>
      <c r="Q151" s="20" t="b">
        <v>0</v>
      </c>
    </row>
    <row r="152" spans="1:17">
      <c r="A152" s="20">
        <f t="shared" si="5"/>
        <v>151</v>
      </c>
      <c r="B152" s="21">
        <v>23</v>
      </c>
      <c r="C152" s="20" t="str" cm="1">
        <f t="array" ref="C152">GetValue("Tbl",B152,"Alias")</f>
        <v>Ref</v>
      </c>
      <c r="D152" s="20">
        <v>1</v>
      </c>
      <c r="E152" s="20" t="str" cm="1">
        <f t="array" ref="E152">GetValue("Dmn",D152,"Name")</f>
        <v>BigInteger</v>
      </c>
      <c r="F152" s="20">
        <f t="shared" si="15"/>
        <v>20</v>
      </c>
      <c r="G152" s="20" t="str" cm="1">
        <f t="array" ref="G152">GetColumnName(C152,IF(B152=B151,G151,""))</f>
        <v>ExpressionId</v>
      </c>
      <c r="H152" s="20" t="s">
        <v>787</v>
      </c>
      <c r="I152" s="20" t="s">
        <v>795</v>
      </c>
      <c r="J152" s="20" t="s">
        <v>26</v>
      </c>
      <c r="K152" s="20" t="s">
        <v>26</v>
      </c>
      <c r="L152" s="20" t="s">
        <v>26</v>
      </c>
      <c r="M152" s="20" t="s">
        <v>26</v>
      </c>
      <c r="N152" s="20"/>
      <c r="O152" s="20"/>
      <c r="P152" s="20" t="s">
        <v>26</v>
      </c>
      <c r="Q152" s="20" t="b">
        <v>0</v>
      </c>
    </row>
    <row r="153" spans="1:17">
      <c r="A153" s="20">
        <f t="shared" si="5"/>
        <v>152</v>
      </c>
      <c r="B153" s="21">
        <v>23</v>
      </c>
      <c r="C153" s="20" t="str" cm="1">
        <f t="array" ref="C153">GetValue("Tbl",B153,"Alias")</f>
        <v>Ref</v>
      </c>
      <c r="D153" s="20">
        <v>9</v>
      </c>
      <c r="E153" s="20" t="str" cm="1">
        <f t="array" ref="E153">GetValue("Dmn",D153,"Name")</f>
        <v>Nvarchar(20)</v>
      </c>
      <c r="F153" s="20">
        <f t="shared" si="15"/>
        <v>25</v>
      </c>
      <c r="G153" s="20" t="str" cm="1">
        <f t="array" ref="G153">GetColumnName(C153,IF(B153=B152,G152,""))</f>
        <v>Alias</v>
      </c>
      <c r="H153" s="20" t="s">
        <v>883</v>
      </c>
      <c r="I153" s="20" t="s">
        <v>83</v>
      </c>
      <c r="J153" s="20" t="s">
        <v>26</v>
      </c>
      <c r="K153" s="20" t="s">
        <v>26</v>
      </c>
      <c r="L153" s="20" t="s">
        <v>26</v>
      </c>
      <c r="M153" s="20" t="s">
        <v>26</v>
      </c>
      <c r="N153" s="20"/>
      <c r="O153" s="20"/>
      <c r="P153" s="20" t="s">
        <v>26</v>
      </c>
      <c r="Q153" s="20" t="b">
        <v>0</v>
      </c>
    </row>
    <row r="154" spans="1:17">
      <c r="A154" s="20">
        <f t="shared" si="5"/>
        <v>153</v>
      </c>
      <c r="B154" s="21">
        <v>23</v>
      </c>
      <c r="C154" s="20" t="str" cm="1">
        <f t="array" ref="C154">GetValue("Tbl",B154,"Alias")</f>
        <v>Ref</v>
      </c>
      <c r="D154" s="20">
        <v>6</v>
      </c>
      <c r="E154" s="20" t="str" cm="1">
        <f t="array" ref="E154">GetValue("Dmn",D154,"Name")</f>
        <v>Boolean</v>
      </c>
      <c r="F154" s="20">
        <f t="shared" ref="F154" si="16">IF(G154="Id",5,F153+5)</f>
        <v>30</v>
      </c>
      <c r="G154" s="20" t="str" cm="1">
        <f t="array" ref="G154">GetColumnName(C154,IF(B154=B153,G153,""))</f>
        <v>IsParentChild</v>
      </c>
      <c r="H154" s="20" t="s">
        <v>783</v>
      </c>
      <c r="I154" s="20" t="s">
        <v>786</v>
      </c>
      <c r="J154" s="20" t="s">
        <v>26</v>
      </c>
      <c r="K154" s="20" t="s">
        <v>26</v>
      </c>
      <c r="L154" s="20" t="s">
        <v>26</v>
      </c>
      <c r="M154" s="20" t="s">
        <v>26</v>
      </c>
      <c r="N154" s="20"/>
      <c r="O154" s="20"/>
      <c r="P154" s="20" t="s">
        <v>26</v>
      </c>
      <c r="Q154" s="20" t="b">
        <v>0</v>
      </c>
    </row>
    <row r="155" spans="1:17">
      <c r="A155" s="18">
        <f t="shared" si="5"/>
        <v>154</v>
      </c>
      <c r="B155" s="19">
        <v>24</v>
      </c>
      <c r="C155" s="18" t="str" cm="1">
        <f t="array" ref="C155">GetValue("Tbl",B155,"Alias")</f>
        <v>Usr</v>
      </c>
      <c r="D155" s="18">
        <v>1</v>
      </c>
      <c r="E155" s="18" t="str" cm="1">
        <f t="array" ref="E155">GetValue("Dmn",D155,"Name")</f>
        <v>BigInteger</v>
      </c>
      <c r="F155" s="18">
        <f>IF(G155="Id",5,F153+5)</f>
        <v>5</v>
      </c>
      <c r="G155" s="18" t="str" cm="1">
        <f t="array" ref="G155">GetColumnName(C155,IF(B155=B153,G153,""))</f>
        <v>Id</v>
      </c>
      <c r="H155" s="18" t="s">
        <v>799</v>
      </c>
      <c r="I155" s="18" t="s">
        <v>0</v>
      </c>
      <c r="J155" s="18" t="b">
        <v>1</v>
      </c>
      <c r="K155" s="18" t="b">
        <v>1</v>
      </c>
      <c r="L155" s="18" t="b">
        <v>0</v>
      </c>
      <c r="M155" s="18" t="b">
        <v>0</v>
      </c>
      <c r="N155" s="18"/>
      <c r="O155" s="18"/>
      <c r="P155" s="18" t="b">
        <v>0</v>
      </c>
      <c r="Q155" s="18" t="b">
        <v>0</v>
      </c>
    </row>
    <row r="156" spans="1:17">
      <c r="A156" s="18">
        <f t="shared" si="5"/>
        <v>155</v>
      </c>
      <c r="B156" s="19">
        <v>24</v>
      </c>
      <c r="C156" s="18" t="str" cm="1">
        <f t="array" ref="C156">GetValue("Tbl",B156,"Alias")</f>
        <v>Usr</v>
      </c>
      <c r="D156" s="18">
        <v>1</v>
      </c>
      <c r="E156" s="18" t="str" cm="1">
        <f t="array" ref="E156">GetValue("Dmn",D156,"Name")</f>
        <v>BigInteger</v>
      </c>
      <c r="F156" s="18">
        <f t="shared" ref="F156:F161" si="17">IF(G156="Id",5,F155+5)</f>
        <v>10</v>
      </c>
      <c r="G156" s="18" t="str" cm="1">
        <f t="array" ref="G156">GetColumnName(C156,IF(B156=B155,G155,""))</f>
        <v>ClientId</v>
      </c>
      <c r="H156" s="18" t="s">
        <v>554</v>
      </c>
      <c r="I156" s="18" t="s">
        <v>555</v>
      </c>
      <c r="J156" s="18" t="s">
        <v>26</v>
      </c>
      <c r="K156" s="18" t="s">
        <v>26</v>
      </c>
      <c r="L156" s="18" t="s">
        <v>26</v>
      </c>
      <c r="M156" s="18" t="s">
        <v>26</v>
      </c>
      <c r="N156" s="18"/>
      <c r="O156" s="18"/>
      <c r="P156" s="18" t="s">
        <v>26</v>
      </c>
      <c r="Q156" s="18" t="b">
        <v>0</v>
      </c>
    </row>
    <row r="157" spans="1:17">
      <c r="A157" s="18">
        <f t="shared" si="5"/>
        <v>156</v>
      </c>
      <c r="B157" s="19">
        <v>24</v>
      </c>
      <c r="C157" s="18" t="str" cm="1">
        <f t="array" ref="C157">GetValue("Tbl",B157,"Alias")</f>
        <v>Usr</v>
      </c>
      <c r="D157" s="18">
        <v>10</v>
      </c>
      <c r="E157" s="18" t="str" cm="1">
        <f t="array" ref="E157">GetValue("Dmn",D157,"Name")</f>
        <v>Nvarchar(25)</v>
      </c>
      <c r="F157" s="18">
        <f t="shared" si="17"/>
        <v>15</v>
      </c>
      <c r="G157" s="18" t="str" cm="1">
        <f t="array" ref="G157">GetColumnName(C157,IF(B157=B156,G156,""))</f>
        <v>Name</v>
      </c>
      <c r="H157" s="18" t="s">
        <v>97</v>
      </c>
      <c r="I157" s="18" t="s">
        <v>97</v>
      </c>
      <c r="J157" s="18" t="s">
        <v>26</v>
      </c>
      <c r="K157" s="18" t="s">
        <v>26</v>
      </c>
      <c r="L157" s="18" t="s">
        <v>26</v>
      </c>
      <c r="M157" s="18" t="s">
        <v>26</v>
      </c>
      <c r="N157" s="18"/>
      <c r="O157" s="18"/>
      <c r="P157" s="18" t="s">
        <v>26</v>
      </c>
      <c r="Q157" s="18" t="b">
        <v>0</v>
      </c>
    </row>
    <row r="158" spans="1:17">
      <c r="A158" s="18">
        <f t="shared" si="5"/>
        <v>157</v>
      </c>
      <c r="B158" s="19">
        <v>24</v>
      </c>
      <c r="C158" s="18" t="str" cm="1">
        <f t="array" ref="C158">GetValue("Tbl",B158,"Alias")</f>
        <v>Usr</v>
      </c>
      <c r="D158" s="18">
        <v>19</v>
      </c>
      <c r="E158" s="18" t="str" cm="1">
        <f t="array" ref="E158">GetValue("Dmn",D158,"Name")</f>
        <v>Varchar(256)</v>
      </c>
      <c r="F158" s="18">
        <f t="shared" si="17"/>
        <v>20</v>
      </c>
      <c r="G158" s="18" t="str" cm="1">
        <f t="array" ref="G158">GetColumnName(C158,IF(B158=B157,G157,""))</f>
        <v>Password</v>
      </c>
      <c r="H158" s="18" t="s">
        <v>800</v>
      </c>
      <c r="I158" s="18" t="s">
        <v>800</v>
      </c>
      <c r="J158" s="18" t="s">
        <v>26</v>
      </c>
      <c r="K158" s="18" t="s">
        <v>26</v>
      </c>
      <c r="L158" s="18" t="s">
        <v>26</v>
      </c>
      <c r="M158" s="18" t="s">
        <v>26</v>
      </c>
      <c r="N158" s="18"/>
      <c r="O158" s="18"/>
      <c r="P158" s="18" t="s">
        <v>26</v>
      </c>
      <c r="Q158" s="18" t="b">
        <v>0</v>
      </c>
    </row>
    <row r="159" spans="1:17">
      <c r="A159" s="18">
        <f t="shared" si="5"/>
        <v>158</v>
      </c>
      <c r="B159" s="19">
        <v>24</v>
      </c>
      <c r="C159" s="18" t="str" cm="1">
        <f t="array" ref="C159">GetValue("Tbl",B159,"Alias")</f>
        <v>Usr</v>
      </c>
      <c r="D159" s="18">
        <v>5</v>
      </c>
      <c r="E159" s="18" t="str" cm="1">
        <f t="array" ref="E159">GetValue("Dmn",D159,"Name")</f>
        <v>TinyInteger</v>
      </c>
      <c r="F159" s="18">
        <f t="shared" si="17"/>
        <v>25</v>
      </c>
      <c r="G159" s="18" t="str" cm="1">
        <f t="array" ref="G159">GetColumnName(C159,IF(B159=B158,G158,""))</f>
        <v>RetryLogins</v>
      </c>
      <c r="H159" s="18" t="s">
        <v>801</v>
      </c>
      <c r="I159" s="18" t="s">
        <v>803</v>
      </c>
      <c r="J159" s="18" t="s">
        <v>26</v>
      </c>
      <c r="K159" s="18" t="s">
        <v>26</v>
      </c>
      <c r="L159" s="18" t="s">
        <v>26</v>
      </c>
      <c r="M159" s="18" t="s">
        <v>26</v>
      </c>
      <c r="N159" s="18"/>
      <c r="O159" s="18"/>
      <c r="P159" s="18" t="s">
        <v>26</v>
      </c>
      <c r="Q159" s="18" t="b">
        <v>0</v>
      </c>
    </row>
    <row r="160" spans="1:17">
      <c r="A160" s="18">
        <f t="shared" si="5"/>
        <v>159</v>
      </c>
      <c r="B160" s="19">
        <v>24</v>
      </c>
      <c r="C160" s="18" t="str" cm="1">
        <f t="array" ref="C160">GetValue("Tbl",B160,"Alias")</f>
        <v>Usr</v>
      </c>
      <c r="D160" s="18">
        <v>6</v>
      </c>
      <c r="E160" s="18" t="str" cm="1">
        <f t="array" ref="E160">GetValue("Dmn",D160,"Name")</f>
        <v>Boolean</v>
      </c>
      <c r="F160" s="18">
        <f t="shared" si="17"/>
        <v>30</v>
      </c>
      <c r="G160" s="18" t="str" cm="1">
        <f t="array" ref="G160">GetColumnName(C160,IF(B160=B159,G159,""))</f>
        <v>IsActive</v>
      </c>
      <c r="H160" s="18" t="s">
        <v>802</v>
      </c>
      <c r="I160" s="18" t="s">
        <v>112</v>
      </c>
      <c r="J160" s="18" t="s">
        <v>26</v>
      </c>
      <c r="K160" s="18" t="s">
        <v>26</v>
      </c>
      <c r="L160" s="18" t="s">
        <v>26</v>
      </c>
      <c r="M160" s="18" t="s">
        <v>26</v>
      </c>
      <c r="N160" s="18"/>
      <c r="O160" s="18"/>
      <c r="P160" s="18" t="s">
        <v>26</v>
      </c>
      <c r="Q160" s="18" t="b">
        <v>0</v>
      </c>
    </row>
    <row r="161" spans="1:17">
      <c r="A161" s="20">
        <f t="shared" si="5"/>
        <v>160</v>
      </c>
      <c r="B161" s="21">
        <v>25</v>
      </c>
      <c r="C161" s="20" t="str" cm="1">
        <f t="array" ref="C161">GetValue("Tbl",B161,"Alias")</f>
        <v>Prm</v>
      </c>
      <c r="D161" s="20">
        <v>1</v>
      </c>
      <c r="E161" s="20" t="str" cm="1">
        <f t="array" ref="E161">GetValue("Dmn",D161,"Name")</f>
        <v>BigInteger</v>
      </c>
      <c r="F161" s="20">
        <f t="shared" si="17"/>
        <v>5</v>
      </c>
      <c r="G161" s="20" t="str" cm="1">
        <f t="array" ref="G161">GetColumnName(C161,IF(B161=B160,G160,""))</f>
        <v>Id</v>
      </c>
      <c r="H161" s="20" t="s">
        <v>804</v>
      </c>
      <c r="I161" s="20" t="s">
        <v>0</v>
      </c>
      <c r="J161" s="20" t="b">
        <v>1</v>
      </c>
      <c r="K161" s="20" t="b">
        <v>1</v>
      </c>
      <c r="L161" s="20" t="b">
        <v>0</v>
      </c>
      <c r="M161" s="20" t="b">
        <v>0</v>
      </c>
      <c r="N161" s="20"/>
      <c r="O161" s="20"/>
      <c r="P161" s="20" t="b">
        <v>0</v>
      </c>
      <c r="Q161" s="20" t="b">
        <v>0</v>
      </c>
    </row>
    <row r="162" spans="1:17">
      <c r="A162" s="20">
        <f t="shared" si="5"/>
        <v>161</v>
      </c>
      <c r="B162" s="21">
        <v>25</v>
      </c>
      <c r="C162" s="20" t="str" cm="1">
        <f t="array" ref="C162">GetValue("Tbl",B162,"Alias")</f>
        <v>Prm</v>
      </c>
      <c r="D162" s="20">
        <v>1</v>
      </c>
      <c r="E162" s="20" t="str" cm="1">
        <f t="array" ref="E162">GetValue("Dmn",D162,"Name")</f>
        <v>BigInteger</v>
      </c>
      <c r="F162" s="20">
        <f t="shared" ref="F162:F169" si="18">IF(G162="Id",5,F161+5)</f>
        <v>10</v>
      </c>
      <c r="G162" s="20" t="str" cm="1">
        <f t="array" ref="G162">GetColumnName(C162,IF(B162=B161,G161,""))</f>
        <v>SystemId</v>
      </c>
      <c r="H162" s="20" t="s">
        <v>566</v>
      </c>
      <c r="I162" s="20" t="s">
        <v>110</v>
      </c>
      <c r="J162" s="20" t="s">
        <v>26</v>
      </c>
      <c r="K162" s="20" t="s">
        <v>26</v>
      </c>
      <c r="L162" s="20" t="s">
        <v>26</v>
      </c>
      <c r="M162" s="20" t="s">
        <v>26</v>
      </c>
      <c r="N162" s="20"/>
      <c r="O162" s="20"/>
      <c r="P162" s="20" t="s">
        <v>26</v>
      </c>
      <c r="Q162" s="20" t="b">
        <v>0</v>
      </c>
    </row>
    <row r="163" spans="1:17">
      <c r="A163" s="20">
        <f t="shared" si="5"/>
        <v>162</v>
      </c>
      <c r="B163" s="21">
        <v>25</v>
      </c>
      <c r="C163" s="20" t="str" cm="1">
        <f t="array" ref="C163">GetValue("Tbl",B163,"Alias")</f>
        <v>Prm</v>
      </c>
      <c r="D163" s="20">
        <v>1</v>
      </c>
      <c r="E163" s="20" t="str" cm="1">
        <f t="array" ref="E163">GetValue("Dmn",D163,"Name")</f>
        <v>BigInteger</v>
      </c>
      <c r="F163" s="20">
        <f t="shared" si="18"/>
        <v>15</v>
      </c>
      <c r="G163" s="20" t="str" cm="1">
        <f t="array" ref="G163">GetColumnName(C163,IF(B163=B162,G162,""))</f>
        <v>UserId</v>
      </c>
      <c r="H163" s="20" t="s">
        <v>805</v>
      </c>
      <c r="I163" s="20" t="s">
        <v>810</v>
      </c>
      <c r="J163" s="20" t="s">
        <v>26</v>
      </c>
      <c r="K163" s="20" t="s">
        <v>26</v>
      </c>
      <c r="L163" s="20" t="s">
        <v>26</v>
      </c>
      <c r="M163" s="20" t="s">
        <v>26</v>
      </c>
      <c r="N163" s="20"/>
      <c r="O163" s="20"/>
      <c r="P163" s="20" t="s">
        <v>26</v>
      </c>
      <c r="Q163" s="20" t="b">
        <v>0</v>
      </c>
    </row>
    <row r="164" spans="1:17">
      <c r="A164" s="20">
        <f t="shared" si="5"/>
        <v>163</v>
      </c>
      <c r="B164" s="21">
        <v>25</v>
      </c>
      <c r="C164" s="20" t="str" cm="1">
        <f t="array" ref="C164">GetValue("Tbl",B164,"Alias")</f>
        <v>Prm</v>
      </c>
      <c r="D164" s="20">
        <v>1</v>
      </c>
      <c r="E164" s="20" t="str" cm="1">
        <f t="array" ref="E164">GetValue("Dmn",D164,"Name")</f>
        <v>BigInteger</v>
      </c>
      <c r="F164" s="20">
        <f t="shared" si="18"/>
        <v>20</v>
      </c>
      <c r="G164" s="20" t="str" cm="1">
        <f t="array" ref="G164">GetColumnName(C164,IF(B164=B163,G163,""))</f>
        <v>TableId</v>
      </c>
      <c r="H164" s="20" t="s">
        <v>575</v>
      </c>
      <c r="I164" s="20" t="s">
        <v>117</v>
      </c>
      <c r="J164" s="20" t="s">
        <v>26</v>
      </c>
      <c r="K164" s="20" t="s">
        <v>26</v>
      </c>
      <c r="L164" s="20" t="s">
        <v>26</v>
      </c>
      <c r="M164" s="20" t="s">
        <v>26</v>
      </c>
      <c r="N164" s="20"/>
      <c r="O164" s="20"/>
      <c r="P164" s="20" t="s">
        <v>26</v>
      </c>
      <c r="Q164" s="20" t="b">
        <v>0</v>
      </c>
    </row>
    <row r="165" spans="1:17">
      <c r="A165" s="20">
        <f t="shared" si="5"/>
        <v>164</v>
      </c>
      <c r="B165" s="21">
        <v>25</v>
      </c>
      <c r="C165" s="20" t="str" cm="1">
        <f t="array" ref="C165">GetValue("Tbl",B165,"Alias")</f>
        <v>Prm</v>
      </c>
      <c r="D165" s="20">
        <v>6</v>
      </c>
      <c r="E165" s="20" t="str" cm="1">
        <f t="array" ref="E165">GetValue("Dmn",D165,"Name")</f>
        <v>Boolean</v>
      </c>
      <c r="F165" s="20">
        <f t="shared" si="18"/>
        <v>25</v>
      </c>
      <c r="G165" s="20" t="str" cm="1">
        <f t="array" ref="G165">GetColumnName(C165,IF(B165=B164,G164,""))</f>
        <v>CanCreate</v>
      </c>
      <c r="H165" s="20" t="s">
        <v>806</v>
      </c>
      <c r="I165" s="20" t="s">
        <v>811</v>
      </c>
      <c r="J165" s="20" t="s">
        <v>26</v>
      </c>
      <c r="K165" s="20" t="s">
        <v>26</v>
      </c>
      <c r="L165" s="20" t="s">
        <v>26</v>
      </c>
      <c r="M165" s="20" t="s">
        <v>26</v>
      </c>
      <c r="N165" s="20"/>
      <c r="O165" s="20"/>
      <c r="P165" s="20" t="s">
        <v>26</v>
      </c>
      <c r="Q165" s="20" t="b">
        <v>0</v>
      </c>
    </row>
    <row r="166" spans="1:17">
      <c r="A166" s="20">
        <f t="shared" si="5"/>
        <v>165</v>
      </c>
      <c r="B166" s="21">
        <v>25</v>
      </c>
      <c r="C166" s="20" t="str" cm="1">
        <f t="array" ref="C166">GetValue("Tbl",B166,"Alias")</f>
        <v>Prm</v>
      </c>
      <c r="D166" s="20">
        <v>6</v>
      </c>
      <c r="E166" s="20" t="str" cm="1">
        <f t="array" ref="E166">GetValue("Dmn",D166,"Name")</f>
        <v>Boolean</v>
      </c>
      <c r="F166" s="20">
        <f t="shared" si="18"/>
        <v>30</v>
      </c>
      <c r="G166" s="20" t="str" cm="1">
        <f t="array" ref="G166">GetColumnName(C166,IF(B166=B165,G165,""))</f>
        <v>CanRead</v>
      </c>
      <c r="H166" s="20" t="s">
        <v>807</v>
      </c>
      <c r="I166" s="20" t="s">
        <v>812</v>
      </c>
      <c r="J166" s="20" t="s">
        <v>26</v>
      </c>
      <c r="K166" s="20" t="s">
        <v>26</v>
      </c>
      <c r="L166" s="20" t="s">
        <v>26</v>
      </c>
      <c r="M166" s="20" t="s">
        <v>26</v>
      </c>
      <c r="N166" s="20"/>
      <c r="O166" s="20"/>
      <c r="P166" s="20" t="s">
        <v>26</v>
      </c>
      <c r="Q166" s="20" t="b">
        <v>0</v>
      </c>
    </row>
    <row r="167" spans="1:17">
      <c r="A167" s="20">
        <f t="shared" si="5"/>
        <v>166</v>
      </c>
      <c r="B167" s="21">
        <v>25</v>
      </c>
      <c r="C167" s="20" t="str" cm="1">
        <f t="array" ref="C167">GetValue("Tbl",B167,"Alias")</f>
        <v>Prm</v>
      </c>
      <c r="D167" s="20">
        <v>6</v>
      </c>
      <c r="E167" s="20" t="str" cm="1">
        <f t="array" ref="E167">GetValue("Dmn",D167,"Name")</f>
        <v>Boolean</v>
      </c>
      <c r="F167" s="20">
        <f t="shared" si="18"/>
        <v>35</v>
      </c>
      <c r="G167" s="20" t="str" cm="1">
        <f t="array" ref="G167">GetColumnName(C167,IF(B167=B166,G166,""))</f>
        <v>CanUpdate</v>
      </c>
      <c r="H167" s="20" t="s">
        <v>808</v>
      </c>
      <c r="I167" s="20" t="s">
        <v>813</v>
      </c>
      <c r="J167" s="20" t="s">
        <v>26</v>
      </c>
      <c r="K167" s="20" t="s">
        <v>26</v>
      </c>
      <c r="L167" s="20" t="s">
        <v>26</v>
      </c>
      <c r="M167" s="20" t="s">
        <v>26</v>
      </c>
      <c r="N167" s="20"/>
      <c r="O167" s="20"/>
      <c r="P167" s="20" t="s">
        <v>26</v>
      </c>
      <c r="Q167" s="20" t="b">
        <v>0</v>
      </c>
    </row>
    <row r="168" spans="1:17">
      <c r="A168" s="20">
        <f t="shared" si="5"/>
        <v>167</v>
      </c>
      <c r="B168" s="21">
        <v>25</v>
      </c>
      <c r="C168" s="20" t="str" cm="1">
        <f t="array" ref="C168">GetValue("Tbl",B168,"Alias")</f>
        <v>Prm</v>
      </c>
      <c r="D168" s="20">
        <v>6</v>
      </c>
      <c r="E168" s="20" t="str" cm="1">
        <f t="array" ref="E168">GetValue("Dmn",D168,"Name")</f>
        <v>Boolean</v>
      </c>
      <c r="F168" s="20">
        <f t="shared" si="18"/>
        <v>40</v>
      </c>
      <c r="G168" s="20" t="str" cm="1">
        <f t="array" ref="G168">GetColumnName(C168,IF(B168=B167,G167,""))</f>
        <v>CanDelete</v>
      </c>
      <c r="H168" s="20" t="s">
        <v>809</v>
      </c>
      <c r="I168" s="20" t="s">
        <v>814</v>
      </c>
      <c r="J168" s="20" t="s">
        <v>26</v>
      </c>
      <c r="K168" s="20" t="s">
        <v>26</v>
      </c>
      <c r="L168" s="20" t="s">
        <v>26</v>
      </c>
      <c r="M168" s="20" t="s">
        <v>26</v>
      </c>
      <c r="N168" s="20"/>
      <c r="O168" s="20"/>
      <c r="P168" s="20" t="s">
        <v>26</v>
      </c>
      <c r="Q168" s="20" t="b">
        <v>0</v>
      </c>
    </row>
    <row r="169" spans="1:17">
      <c r="A169" s="18">
        <f t="shared" si="5"/>
        <v>168</v>
      </c>
      <c r="B169" s="19">
        <v>26</v>
      </c>
      <c r="C169" s="18" t="str" cm="1">
        <f t="array" ref="C169">GetValue("Tbl",B169,"Alias")</f>
        <v>Prp</v>
      </c>
      <c r="D169" s="18">
        <v>1</v>
      </c>
      <c r="E169" s="18" t="str" cm="1">
        <f t="array" ref="E169">GetValue("Dmn",D169,"Name")</f>
        <v>BigInteger</v>
      </c>
      <c r="F169" s="18">
        <f t="shared" si="18"/>
        <v>5</v>
      </c>
      <c r="G169" s="18" t="str" cm="1">
        <f t="array" ref="G169">GetColumnName(C169,IF(B169=B168,G168,""))</f>
        <v>Id</v>
      </c>
      <c r="H169" s="18" t="s">
        <v>817</v>
      </c>
      <c r="I169" s="18" t="s">
        <v>0</v>
      </c>
      <c r="J169" s="18" t="b">
        <v>1</v>
      </c>
      <c r="K169" s="18" t="b">
        <v>1</v>
      </c>
      <c r="L169" s="18" t="b">
        <v>0</v>
      </c>
      <c r="M169" s="18" t="b">
        <v>0</v>
      </c>
      <c r="N169" s="18"/>
      <c r="O169" s="18"/>
      <c r="P169" s="18" t="b">
        <v>0</v>
      </c>
      <c r="Q169" s="18" t="b">
        <v>0</v>
      </c>
    </row>
    <row r="170" spans="1:17">
      <c r="A170" s="18">
        <f t="shared" si="5"/>
        <v>169</v>
      </c>
      <c r="B170" s="19">
        <v>26</v>
      </c>
      <c r="C170" s="18" t="str" cm="1">
        <f t="array" ref="C170">GetValue("Tbl",B170,"Alias")</f>
        <v>Prp</v>
      </c>
      <c r="D170" s="18">
        <v>10</v>
      </c>
      <c r="E170" s="18" t="str" cm="1">
        <f t="array" ref="E170">GetValue("Dmn",D170,"Name")</f>
        <v>Nvarchar(25)</v>
      </c>
      <c r="F170" s="18">
        <f t="shared" ref="F170:F174" si="19">IF(G170="Id",5,F169+5)</f>
        <v>10</v>
      </c>
      <c r="G170" s="18" t="str" cm="1">
        <f t="array" ref="G170">GetColumnName(C170,IF(B170=B169,G169,""))</f>
        <v>Name</v>
      </c>
      <c r="H170" s="18" t="s">
        <v>818</v>
      </c>
      <c r="I170" s="18" t="s">
        <v>97</v>
      </c>
      <c r="J170" s="18" t="s">
        <v>26</v>
      </c>
      <c r="K170" s="18" t="s">
        <v>26</v>
      </c>
      <c r="L170" s="18" t="s">
        <v>26</v>
      </c>
      <c r="M170" s="18" t="s">
        <v>26</v>
      </c>
      <c r="N170" s="18"/>
      <c r="O170" s="18"/>
      <c r="P170" s="18" t="s">
        <v>26</v>
      </c>
      <c r="Q170" s="18" t="b">
        <v>0</v>
      </c>
    </row>
    <row r="171" spans="1:17">
      <c r="A171" s="18">
        <f t="shared" si="5"/>
        <v>170</v>
      </c>
      <c r="B171" s="19">
        <v>26</v>
      </c>
      <c r="C171" s="18" t="str" cm="1">
        <f t="array" ref="C171">GetValue("Tbl",B171,"Alias")</f>
        <v>Prp</v>
      </c>
      <c r="D171" s="18">
        <v>5</v>
      </c>
      <c r="E171" s="18" t="str" cm="1">
        <f t="array" ref="E171">GetValue("Dmn",D171,"Name")</f>
        <v>TinyInteger</v>
      </c>
      <c r="F171" s="18">
        <f t="shared" si="19"/>
        <v>15</v>
      </c>
      <c r="G171" s="18" t="str" cm="1">
        <f t="array" ref="G171">GetColumnName(C171,IF(B171=B170,G170,""))</f>
        <v>CategoryId</v>
      </c>
      <c r="H171" s="18" t="s">
        <v>819</v>
      </c>
      <c r="I171" s="18" t="s">
        <v>98</v>
      </c>
      <c r="J171" s="18" t="s">
        <v>26</v>
      </c>
      <c r="K171" s="18" t="s">
        <v>26</v>
      </c>
      <c r="L171" s="18" t="s">
        <v>26</v>
      </c>
      <c r="M171" s="18" t="s">
        <v>26</v>
      </c>
      <c r="N171" s="18"/>
      <c r="O171" s="18"/>
      <c r="P171" s="18" t="s">
        <v>26</v>
      </c>
      <c r="Q171" s="18" t="b">
        <v>0</v>
      </c>
    </row>
    <row r="172" spans="1:17">
      <c r="A172" s="18">
        <f t="shared" si="5"/>
        <v>171</v>
      </c>
      <c r="B172" s="19">
        <v>26</v>
      </c>
      <c r="C172" s="18" t="str" cm="1">
        <f t="array" ref="C172">GetValue("Tbl",B172,"Alias")</f>
        <v>Prp</v>
      </c>
      <c r="D172" s="18">
        <v>11</v>
      </c>
      <c r="E172" s="18" t="str" cm="1">
        <f t="array" ref="E172">GetValue("Dmn",D172,"Name")</f>
        <v>Nvarchar(50)</v>
      </c>
      <c r="F172" s="18">
        <f t="shared" si="19"/>
        <v>20</v>
      </c>
      <c r="G172" s="18" t="str" cm="1">
        <f t="array" ref="G172">GetColumnName(C172,IF(B172=B171,G171,""))</f>
        <v>Description</v>
      </c>
      <c r="H172" s="18" t="s">
        <v>815</v>
      </c>
      <c r="I172" s="18" t="s">
        <v>109</v>
      </c>
      <c r="J172" s="18" t="s">
        <v>26</v>
      </c>
      <c r="K172" s="18" t="s">
        <v>26</v>
      </c>
      <c r="L172" s="18" t="s">
        <v>26</v>
      </c>
      <c r="M172" s="18" t="s">
        <v>26</v>
      </c>
      <c r="N172" s="18"/>
      <c r="O172" s="18"/>
      <c r="P172" s="18" t="s">
        <v>26</v>
      </c>
      <c r="Q172" s="18" t="b">
        <v>0</v>
      </c>
    </row>
    <row r="173" spans="1:17">
      <c r="A173" s="18">
        <f t="shared" si="5"/>
        <v>172</v>
      </c>
      <c r="B173" s="19">
        <v>26</v>
      </c>
      <c r="C173" s="18" t="str" cm="1">
        <f t="array" ref="C173">GetValue("Tbl",B173,"Alias")</f>
        <v>Prp</v>
      </c>
      <c r="D173" s="18">
        <v>6</v>
      </c>
      <c r="E173" s="18" t="str" cm="1">
        <f t="array" ref="E173">GetValue("Dmn",D173,"Name")</f>
        <v>Boolean</v>
      </c>
      <c r="F173" s="18">
        <f t="shared" si="19"/>
        <v>25</v>
      </c>
      <c r="G173" s="18" t="str" cm="1">
        <f t="array" ref="G173">GetColumnName(C173,IF(B173=B172,G172,""))</f>
        <v>IsActive</v>
      </c>
      <c r="H173" s="18" t="s">
        <v>816</v>
      </c>
      <c r="I173" s="18" t="s">
        <v>820</v>
      </c>
      <c r="J173" s="18" t="s">
        <v>26</v>
      </c>
      <c r="K173" s="18" t="s">
        <v>26</v>
      </c>
      <c r="L173" s="18" t="s">
        <v>26</v>
      </c>
      <c r="M173" s="18" t="s">
        <v>26</v>
      </c>
      <c r="N173" s="18"/>
      <c r="O173" s="18"/>
      <c r="P173" s="18" t="s">
        <v>26</v>
      </c>
      <c r="Q173" s="18" t="b">
        <v>0</v>
      </c>
    </row>
    <row r="174" spans="1:17">
      <c r="A174" s="20">
        <f t="shared" si="5"/>
        <v>173</v>
      </c>
      <c r="B174" s="21">
        <v>27</v>
      </c>
      <c r="C174" s="20" t="str" cm="1">
        <f t="array" ref="C174">GetValue("Tbl",B174,"Alias")</f>
        <v>Bhv</v>
      </c>
      <c r="D174" s="20">
        <v>1</v>
      </c>
      <c r="E174" s="20" t="str" cm="1">
        <f t="array" ref="E174">GetValue("Dmn",D174,"Name")</f>
        <v>BigInteger</v>
      </c>
      <c r="F174" s="20">
        <f t="shared" si="19"/>
        <v>5</v>
      </c>
      <c r="G174" s="20" t="str" cm="1">
        <f t="array" ref="G174">GetColumnName(C174,IF(B174=B173,G173,""))</f>
        <v>Id</v>
      </c>
      <c r="H174" s="20" t="s">
        <v>844</v>
      </c>
      <c r="I174" s="20" t="s">
        <v>0</v>
      </c>
      <c r="J174" s="20" t="b">
        <v>1</v>
      </c>
      <c r="K174" s="20" t="b">
        <v>1</v>
      </c>
      <c r="L174" s="20" t="b">
        <v>0</v>
      </c>
      <c r="M174" s="20" t="b">
        <v>0</v>
      </c>
      <c r="N174" s="20"/>
      <c r="O174" s="20"/>
      <c r="P174" s="20" t="b">
        <v>0</v>
      </c>
      <c r="Q174" s="20" t="b">
        <v>0</v>
      </c>
    </row>
    <row r="175" spans="1:17">
      <c r="A175" s="20">
        <f t="shared" si="5"/>
        <v>174</v>
      </c>
      <c r="B175" s="21">
        <v>27</v>
      </c>
      <c r="C175" s="20" t="str" cm="1">
        <f t="array" ref="C175">GetValue("Tbl",B175,"Alias")</f>
        <v>Bhv</v>
      </c>
      <c r="D175" s="20">
        <v>1</v>
      </c>
      <c r="E175" s="20" t="str" cm="1">
        <f t="array" ref="E175">GetValue("Dmn",D175,"Name")</f>
        <v>BigInteger</v>
      </c>
      <c r="F175" s="20">
        <f t="shared" ref="F175:F178" si="20">IF(G175="Id",5,F174+5)</f>
        <v>10</v>
      </c>
      <c r="G175" s="20" t="str" cm="1">
        <f t="array" ref="G175">GetColumnName(C175,IF(B175=B174,G174,""))</f>
        <v>ColumnId</v>
      </c>
      <c r="H175" s="20" t="s">
        <v>787</v>
      </c>
      <c r="I175" s="20" t="s">
        <v>795</v>
      </c>
      <c r="J175" s="20" t="s">
        <v>26</v>
      </c>
      <c r="K175" s="20" t="s">
        <v>26</v>
      </c>
      <c r="L175" s="20" t="s">
        <v>26</v>
      </c>
      <c r="M175" s="20" t="s">
        <v>26</v>
      </c>
      <c r="N175" s="20"/>
      <c r="O175" s="20"/>
      <c r="P175" s="20" t="s">
        <v>26</v>
      </c>
      <c r="Q175" s="20" t="b">
        <v>0</v>
      </c>
    </row>
    <row r="176" spans="1:17">
      <c r="A176" s="20">
        <f t="shared" si="5"/>
        <v>175</v>
      </c>
      <c r="B176" s="21">
        <v>27</v>
      </c>
      <c r="C176" s="20" t="str" cm="1">
        <f t="array" ref="C176">GetValue("Tbl",B176,"Alias")</f>
        <v>Bhv</v>
      </c>
      <c r="D176" s="20">
        <v>1</v>
      </c>
      <c r="E176" s="20" t="str" cm="1">
        <f t="array" ref="E176">GetValue("Dmn",D176,"Name")</f>
        <v>BigInteger</v>
      </c>
      <c r="F176" s="20">
        <f t="shared" si="20"/>
        <v>15</v>
      </c>
      <c r="G176" s="20" t="str" cm="1">
        <f t="array" ref="G176">GetColumnName(C176,IF(B176=B175,G175,""))</f>
        <v>ExpressionId</v>
      </c>
      <c r="H176" s="20" t="s">
        <v>817</v>
      </c>
      <c r="I176" s="20" t="s">
        <v>821</v>
      </c>
      <c r="J176" s="20" t="s">
        <v>26</v>
      </c>
      <c r="K176" s="20" t="s">
        <v>26</v>
      </c>
      <c r="L176" s="20" t="s">
        <v>26</v>
      </c>
      <c r="M176" s="20" t="s">
        <v>26</v>
      </c>
      <c r="N176" s="20"/>
      <c r="O176" s="20"/>
      <c r="P176" s="20" t="s">
        <v>26</v>
      </c>
      <c r="Q176" s="20" t="b">
        <v>0</v>
      </c>
    </row>
    <row r="177" spans="1:17">
      <c r="A177" s="20">
        <f t="shared" si="5"/>
        <v>176</v>
      </c>
      <c r="B177" s="21">
        <v>27</v>
      </c>
      <c r="C177" s="20" t="str" cm="1">
        <f t="array" ref="C177">GetValue("Tbl",B177,"Alias")</f>
        <v>Bhv</v>
      </c>
      <c r="D177" s="20">
        <v>42</v>
      </c>
      <c r="E177" s="20" t="str" cm="1">
        <f t="array" ref="E177">GetValue("Dmn",D177,"Name")</f>
        <v>Variant</v>
      </c>
      <c r="F177" s="20">
        <f t="shared" si="20"/>
        <v>20</v>
      </c>
      <c r="G177" s="20" t="str" cm="1">
        <f t="array" ref="G177">GetColumnName(C177,IF(B177=B176,G176,""))</f>
        <v>PropertyId</v>
      </c>
      <c r="H177" s="20" t="s">
        <v>823</v>
      </c>
      <c r="I177" s="20" t="s">
        <v>822</v>
      </c>
      <c r="J177" s="20" t="s">
        <v>26</v>
      </c>
      <c r="K177" s="20" t="s">
        <v>26</v>
      </c>
      <c r="L177" s="20" t="s">
        <v>26</v>
      </c>
      <c r="M177" s="20" t="s">
        <v>26</v>
      </c>
      <c r="N177" s="20"/>
      <c r="O177" s="20"/>
      <c r="P177" s="20" t="s">
        <v>26</v>
      </c>
      <c r="Q177" s="20" t="b">
        <v>0</v>
      </c>
    </row>
    <row r="178" spans="1:17">
      <c r="A178" s="18">
        <f t="shared" si="5"/>
        <v>177</v>
      </c>
      <c r="B178" s="19">
        <v>28</v>
      </c>
      <c r="C178" s="18" t="str" cm="1">
        <f t="array" ref="C178">GetValue("Tbl",B178,"Alias")</f>
        <v>Sch</v>
      </c>
      <c r="D178" s="18">
        <v>1</v>
      </c>
      <c r="E178" s="18" t="str" cm="1">
        <f t="array" ref="E178">GetValue("Dmn",D178,"Name")</f>
        <v>BigInteger</v>
      </c>
      <c r="F178" s="18">
        <f t="shared" si="20"/>
        <v>5</v>
      </c>
      <c r="G178" s="18" t="str" cm="1">
        <f t="array" ref="G178">GetColumnName(C178,IF(B178=B177,G177,""))</f>
        <v>Id</v>
      </c>
      <c r="H178" s="18" t="s">
        <v>824</v>
      </c>
      <c r="I178" s="18" t="s">
        <v>0</v>
      </c>
      <c r="J178" s="18" t="b">
        <v>1</v>
      </c>
      <c r="K178" s="18" t="b">
        <v>1</v>
      </c>
      <c r="L178" s="18" t="b">
        <v>0</v>
      </c>
      <c r="M178" s="18" t="b">
        <v>0</v>
      </c>
      <c r="N178" s="18"/>
      <c r="O178" s="18"/>
      <c r="P178" s="18" t="b">
        <v>0</v>
      </c>
      <c r="Q178" s="18" t="b">
        <v>0</v>
      </c>
    </row>
    <row r="179" spans="1:17">
      <c r="A179" s="18">
        <f t="shared" si="5"/>
        <v>178</v>
      </c>
      <c r="B179" s="19">
        <v>28</v>
      </c>
      <c r="C179" s="18" t="str" cm="1">
        <f t="array" ref="C179">GetValue("Tbl",B179,"Alias")</f>
        <v>Sch</v>
      </c>
      <c r="D179" s="18">
        <v>1</v>
      </c>
      <c r="E179" s="18" t="str" cm="1">
        <f t="array" ref="E179">GetValue("Dmn",D179,"Name")</f>
        <v>BigInteger</v>
      </c>
      <c r="F179" s="18">
        <f t="shared" ref="F179:F190" si="21">IF(G179="Id",5,F178+5)</f>
        <v>10</v>
      </c>
      <c r="G179" s="18" t="str" cm="1">
        <f t="array" ref="G179">GetColumnName(C179,IF(B179=B178,G178,""))</f>
        <v>ClientId</v>
      </c>
      <c r="H179" s="18" t="s">
        <v>825</v>
      </c>
      <c r="I179" s="18" t="s">
        <v>555</v>
      </c>
      <c r="J179" s="18" t="s">
        <v>26</v>
      </c>
      <c r="K179" s="18" t="s">
        <v>26</v>
      </c>
      <c r="L179" s="18" t="s">
        <v>26</v>
      </c>
      <c r="M179" s="18" t="s">
        <v>26</v>
      </c>
      <c r="N179" s="18"/>
      <c r="O179" s="18"/>
      <c r="P179" s="18" t="s">
        <v>26</v>
      </c>
      <c r="Q179" s="18" t="b">
        <v>0</v>
      </c>
    </row>
    <row r="180" spans="1:17">
      <c r="A180" s="18">
        <f t="shared" si="5"/>
        <v>179</v>
      </c>
      <c r="B180" s="19">
        <v>28</v>
      </c>
      <c r="C180" s="18" t="str" cm="1">
        <f t="array" ref="C180">GetValue("Tbl",B180,"Alias")</f>
        <v>Sch</v>
      </c>
      <c r="D180" s="18">
        <v>10</v>
      </c>
      <c r="E180" s="18" t="str" cm="1">
        <f t="array" ref="E180">GetValue("Dmn",D180,"Name")</f>
        <v>Nvarchar(25)</v>
      </c>
      <c r="F180" s="18">
        <f t="shared" si="21"/>
        <v>15</v>
      </c>
      <c r="G180" s="18" t="str" cm="1">
        <f t="array" ref="G180">GetColumnName(C180,IF(B180=B179,G179,""))</f>
        <v>Name</v>
      </c>
      <c r="H180" s="18" t="s">
        <v>826</v>
      </c>
      <c r="I180" s="18" t="s">
        <v>97</v>
      </c>
      <c r="J180" s="18" t="s">
        <v>26</v>
      </c>
      <c r="K180" s="18" t="s">
        <v>26</v>
      </c>
      <c r="L180" s="18" t="s">
        <v>26</v>
      </c>
      <c r="M180" s="18" t="s">
        <v>26</v>
      </c>
      <c r="N180" s="18"/>
      <c r="O180" s="18"/>
      <c r="P180" s="18" t="s">
        <v>26</v>
      </c>
      <c r="Q180" s="18" t="b">
        <v>0</v>
      </c>
    </row>
    <row r="181" spans="1:17">
      <c r="A181" s="18">
        <f t="shared" si="5"/>
        <v>180</v>
      </c>
      <c r="B181" s="19">
        <v>28</v>
      </c>
      <c r="C181" s="18" t="str" cm="1">
        <f t="array" ref="C181">GetValue("Tbl",B181,"Alias")</f>
        <v>Sch</v>
      </c>
      <c r="D181" s="18">
        <v>5</v>
      </c>
      <c r="E181" s="18" t="str" cm="1">
        <f t="array" ref="E181">GetValue("Dmn",D181,"Name")</f>
        <v>TinyInteger</v>
      </c>
      <c r="F181" s="18">
        <f t="shared" si="21"/>
        <v>20</v>
      </c>
      <c r="G181" s="18" t="str" cm="1">
        <f t="array" ref="G181">GetColumnName(C181,IF(B181=B180,G180,""))</f>
        <v>Interval</v>
      </c>
      <c r="H181" s="18" t="s">
        <v>827</v>
      </c>
      <c r="I181" s="18" t="s">
        <v>836</v>
      </c>
      <c r="J181" s="18" t="s">
        <v>26</v>
      </c>
      <c r="K181" s="18" t="s">
        <v>26</v>
      </c>
      <c r="L181" s="18" t="s">
        <v>26</v>
      </c>
      <c r="M181" s="18" t="s">
        <v>26</v>
      </c>
      <c r="N181" s="18"/>
      <c r="O181" s="18"/>
      <c r="P181" s="18" t="s">
        <v>26</v>
      </c>
      <c r="Q181" s="18" t="b">
        <v>0</v>
      </c>
    </row>
    <row r="182" spans="1:17">
      <c r="A182" s="18">
        <f t="shared" si="5"/>
        <v>181</v>
      </c>
      <c r="B182" s="19">
        <v>28</v>
      </c>
      <c r="C182" s="18" t="str" cm="1">
        <f t="array" ref="C182">GetValue("Tbl",B182,"Alias")</f>
        <v>Sch</v>
      </c>
      <c r="D182" s="18">
        <v>8</v>
      </c>
      <c r="E182" s="18" t="str" cm="1">
        <f t="array" ref="E182">GetValue("Dmn",D182,"Name")</f>
        <v>Nvarchar(15)</v>
      </c>
      <c r="F182" s="18">
        <f t="shared" si="21"/>
        <v>25</v>
      </c>
      <c r="G182" s="18" t="str" cm="1">
        <f t="array" ref="G182">GetColumnName(C182,IF(B182=B181,G181,""))</f>
        <v>Periodicity</v>
      </c>
      <c r="H182" s="18" t="s">
        <v>828</v>
      </c>
      <c r="I182" s="18" t="s">
        <v>837</v>
      </c>
      <c r="J182" s="18" t="s">
        <v>26</v>
      </c>
      <c r="K182" s="18" t="s">
        <v>26</v>
      </c>
      <c r="L182" s="18" t="s">
        <v>26</v>
      </c>
      <c r="M182" s="18" t="s">
        <v>26</v>
      </c>
      <c r="N182" s="18"/>
      <c r="O182" s="18"/>
      <c r="P182" s="18" t="s">
        <v>26</v>
      </c>
      <c r="Q182" s="18" t="b">
        <v>0</v>
      </c>
    </row>
    <row r="183" spans="1:17">
      <c r="A183" s="18">
        <f t="shared" si="5"/>
        <v>182</v>
      </c>
      <c r="B183" s="19">
        <v>28</v>
      </c>
      <c r="C183" s="18" t="str" cm="1">
        <f t="array" ref="C183">GetValue("Tbl",B183,"Alias")</f>
        <v>Sch</v>
      </c>
      <c r="D183" s="18">
        <v>51</v>
      </c>
      <c r="E183" s="18" t="str" cm="1">
        <f t="array" ref="E183">GetValue("Dmn",D183,"Name")</f>
        <v>TIME</v>
      </c>
      <c r="F183" s="18">
        <f t="shared" si="21"/>
        <v>30</v>
      </c>
      <c r="G183" s="18" t="str" cm="1">
        <f t="array" ref="G183">GetColumnName(C183,IF(B183=B182,G182,""))</f>
        <v>TimeOfDay</v>
      </c>
      <c r="H183" s="18" t="s">
        <v>829</v>
      </c>
      <c r="I183" s="18" t="s">
        <v>838</v>
      </c>
      <c r="J183" s="18" t="s">
        <v>26</v>
      </c>
      <c r="K183" s="18" t="s">
        <v>26</v>
      </c>
      <c r="L183" s="18" t="s">
        <v>26</v>
      </c>
      <c r="M183" s="18" t="s">
        <v>26</v>
      </c>
      <c r="N183" s="18"/>
      <c r="O183" s="18"/>
      <c r="P183" s="18" t="s">
        <v>26</v>
      </c>
      <c r="Q183" s="18" t="b">
        <v>0</v>
      </c>
    </row>
    <row r="184" spans="1:17">
      <c r="A184" s="18">
        <f t="shared" si="5"/>
        <v>183</v>
      </c>
      <c r="B184" s="19">
        <v>28</v>
      </c>
      <c r="C184" s="18" t="str" cm="1">
        <f t="array" ref="C184">GetValue("Tbl",B184,"Alias")</f>
        <v>Sch</v>
      </c>
      <c r="D184" s="18">
        <v>5</v>
      </c>
      <c r="E184" s="18" t="str" cm="1">
        <f t="array" ref="E184">GetValue("Dmn",D184,"Name")</f>
        <v>TinyInteger</v>
      </c>
      <c r="F184" s="18">
        <f t="shared" si="21"/>
        <v>35</v>
      </c>
      <c r="G184" s="18" t="str" cm="1">
        <f t="array" ref="G184">GetColumnName(C184,IF(B184=B183,G183,""))</f>
        <v>DayOfMonth</v>
      </c>
      <c r="H184" s="18" t="s">
        <v>830</v>
      </c>
      <c r="I184" s="18" t="s">
        <v>839</v>
      </c>
      <c r="J184" s="18" t="s">
        <v>26</v>
      </c>
      <c r="K184" s="18" t="s">
        <v>26</v>
      </c>
      <c r="L184" s="18" t="s">
        <v>26</v>
      </c>
      <c r="M184" s="18" t="s">
        <v>26</v>
      </c>
      <c r="N184" s="18"/>
      <c r="O184" s="18"/>
      <c r="P184" s="18" t="s">
        <v>26</v>
      </c>
      <c r="Q184" s="18" t="b">
        <v>0</v>
      </c>
    </row>
    <row r="185" spans="1:17">
      <c r="A185" s="18">
        <f t="shared" si="5"/>
        <v>184</v>
      </c>
      <c r="B185" s="19">
        <v>28</v>
      </c>
      <c r="C185" s="18" t="str" cm="1">
        <f t="array" ref="C185">GetValue("Tbl",B185,"Alias")</f>
        <v>Sch</v>
      </c>
      <c r="D185" s="18">
        <v>52</v>
      </c>
      <c r="E185" s="18" t="str" cm="1">
        <f t="array" ref="E185">GetValue("Dmn",D185,"Name")</f>
        <v>DATE</v>
      </c>
      <c r="F185" s="18">
        <f t="shared" si="21"/>
        <v>40</v>
      </c>
      <c r="G185" s="18" t="str" cm="1">
        <f t="array" ref="G185">GetColumnName(C185,IF(B185=B184,G184,""))</f>
        <v>NextRunDate</v>
      </c>
      <c r="H185" s="18" t="s">
        <v>831</v>
      </c>
      <c r="I185" s="18" t="s">
        <v>840</v>
      </c>
      <c r="J185" s="18" t="s">
        <v>26</v>
      </c>
      <c r="K185" s="18" t="s">
        <v>26</v>
      </c>
      <c r="L185" s="18" t="s">
        <v>26</v>
      </c>
      <c r="M185" s="18" t="s">
        <v>26</v>
      </c>
      <c r="N185" s="18"/>
      <c r="O185" s="18"/>
      <c r="P185" s="18" t="s">
        <v>26</v>
      </c>
      <c r="Q185" s="18" t="b">
        <v>0</v>
      </c>
    </row>
    <row r="186" spans="1:17">
      <c r="A186" s="18">
        <f t="shared" si="5"/>
        <v>185</v>
      </c>
      <c r="B186" s="19">
        <v>28</v>
      </c>
      <c r="C186" s="18" t="str" cm="1">
        <f t="array" ref="C186">GetValue("Tbl",B186,"Alias")</f>
        <v>Sch</v>
      </c>
      <c r="D186" s="18">
        <v>6</v>
      </c>
      <c r="E186" s="18" t="str" cm="1">
        <f t="array" ref="E186">GetValue("Dmn",D186,"Name")</f>
        <v>Boolean</v>
      </c>
      <c r="F186" s="18">
        <f t="shared" si="21"/>
        <v>45</v>
      </c>
      <c r="G186" s="18" t="str" cm="1">
        <f t="array" ref="G186">GetColumnName(C186,IF(B186=B185,G185,""))</f>
        <v>IsFirstOrLastDay</v>
      </c>
      <c r="H186" s="18" t="s">
        <v>835</v>
      </c>
      <c r="I186" s="18" t="s">
        <v>841</v>
      </c>
      <c r="J186" s="18" t="s">
        <v>26</v>
      </c>
      <c r="K186" s="18" t="s">
        <v>26</v>
      </c>
      <c r="L186" s="18" t="s">
        <v>26</v>
      </c>
      <c r="M186" s="18" t="s">
        <v>26</v>
      </c>
      <c r="N186" s="18"/>
      <c r="O186" s="18"/>
      <c r="P186" s="18" t="s">
        <v>26</v>
      </c>
      <c r="Q186" s="18" t="b">
        <v>0</v>
      </c>
    </row>
    <row r="187" spans="1:17">
      <c r="A187" s="18">
        <f t="shared" si="5"/>
        <v>186</v>
      </c>
      <c r="B187" s="19">
        <v>28</v>
      </c>
      <c r="C187" s="18" t="str" cm="1">
        <f t="array" ref="C187">GetValue("Tbl",B187,"Alias")</f>
        <v>Sch</v>
      </c>
      <c r="D187" s="18">
        <v>6</v>
      </c>
      <c r="E187" s="18" t="str" cm="1">
        <f t="array" ref="E187">GetValue("Dmn",D187,"Name")</f>
        <v>Boolean</v>
      </c>
      <c r="F187" s="18">
        <f t="shared" si="21"/>
        <v>50</v>
      </c>
      <c r="G187" s="18" t="str" cm="1">
        <f t="array" ref="G187">GetColumnName(C187,IF(B187=B186,G186,""))</f>
        <v>IsBusinessDays</v>
      </c>
      <c r="H187" s="18" t="s">
        <v>832</v>
      </c>
      <c r="I187" s="18" t="s">
        <v>842</v>
      </c>
      <c r="J187" s="18" t="s">
        <v>26</v>
      </c>
      <c r="K187" s="18" t="s">
        <v>26</v>
      </c>
      <c r="L187" s="18" t="s">
        <v>26</v>
      </c>
      <c r="M187" s="18" t="s">
        <v>26</v>
      </c>
      <c r="N187" s="18"/>
      <c r="O187" s="18"/>
      <c r="P187" s="18" t="s">
        <v>26</v>
      </c>
      <c r="Q187" s="18" t="b">
        <v>0</v>
      </c>
    </row>
    <row r="188" spans="1:17">
      <c r="A188" s="18">
        <f t="shared" si="5"/>
        <v>187</v>
      </c>
      <c r="B188" s="19">
        <v>28</v>
      </c>
      <c r="C188" s="18" t="str" cm="1">
        <f t="array" ref="C188">GetValue("Tbl",B188,"Alias")</f>
        <v>Sch</v>
      </c>
      <c r="D188" s="18">
        <v>6</v>
      </c>
      <c r="E188" s="18" t="str" cm="1">
        <f t="array" ref="E188">GetValue("Dmn",D188,"Name")</f>
        <v>Boolean</v>
      </c>
      <c r="F188" s="18">
        <f t="shared" si="21"/>
        <v>55</v>
      </c>
      <c r="G188" s="18" t="str" cm="1">
        <f t="array" ref="G188">GetColumnName(C188,IF(B188=B187,G187,""))</f>
        <v>IsRunOnce</v>
      </c>
      <c r="H188" s="18" t="s">
        <v>834</v>
      </c>
      <c r="I188" s="18" t="s">
        <v>843</v>
      </c>
      <c r="J188" s="18" t="s">
        <v>26</v>
      </c>
      <c r="K188" s="18" t="s">
        <v>26</v>
      </c>
      <c r="L188" s="18" t="s">
        <v>26</v>
      </c>
      <c r="M188" s="18" t="s">
        <v>26</v>
      </c>
      <c r="N188" s="18"/>
      <c r="O188" s="18"/>
      <c r="P188" s="18" t="s">
        <v>26</v>
      </c>
      <c r="Q188" s="18" t="b">
        <v>0</v>
      </c>
    </row>
    <row r="189" spans="1:17">
      <c r="A189" s="18">
        <f t="shared" si="5"/>
        <v>188</v>
      </c>
      <c r="B189" s="19">
        <v>28</v>
      </c>
      <c r="C189" s="18" t="str" cm="1">
        <f t="array" ref="C189">GetValue("Tbl",B189,"Alias")</f>
        <v>Sch</v>
      </c>
      <c r="D189" s="18">
        <v>6</v>
      </c>
      <c r="E189" s="18" t="str" cm="1">
        <f t="array" ref="E189">GetValue("Dmn",D189,"Name")</f>
        <v>Boolean</v>
      </c>
      <c r="F189" s="18">
        <f t="shared" si="21"/>
        <v>60</v>
      </c>
      <c r="G189" s="18" t="str" cm="1">
        <f t="array" ref="G189">GetColumnName(C189,IF(B189=B188,G188,""))</f>
        <v>IsActive</v>
      </c>
      <c r="H189" s="18" t="s">
        <v>833</v>
      </c>
      <c r="I189" s="18" t="s">
        <v>112</v>
      </c>
      <c r="J189" s="18" t="s">
        <v>26</v>
      </c>
      <c r="K189" s="18" t="s">
        <v>26</v>
      </c>
      <c r="L189" s="18" t="s">
        <v>26</v>
      </c>
      <c r="M189" s="18" t="s">
        <v>26</v>
      </c>
      <c r="N189" s="18"/>
      <c r="O189" s="18"/>
      <c r="P189" s="18" t="s">
        <v>26</v>
      </c>
      <c r="Q189" s="18" t="b">
        <v>0</v>
      </c>
    </row>
    <row r="190" spans="1:17">
      <c r="A190" s="20">
        <f t="shared" si="5"/>
        <v>189</v>
      </c>
      <c r="B190" s="21">
        <v>29</v>
      </c>
      <c r="C190" s="20" t="str" cm="1">
        <f t="array" ref="C190">GetValue("Tbl",B190,"Alias")</f>
        <v>Snp</v>
      </c>
      <c r="D190" s="20">
        <v>1</v>
      </c>
      <c r="E190" s="20" t="str" cm="1">
        <f t="array" ref="E190">GetValue("Dmn",D190,"Name")</f>
        <v>BigInteger</v>
      </c>
      <c r="F190" s="20">
        <f t="shared" si="21"/>
        <v>5</v>
      </c>
      <c r="G190" s="20" t="str" cm="1">
        <f t="array" ref="G190">GetColumnName(C190,IF(B190=B189,G189,""))</f>
        <v>Id</v>
      </c>
      <c r="H190" s="20" t="s">
        <v>890</v>
      </c>
      <c r="I190" s="20" t="s">
        <v>0</v>
      </c>
      <c r="J190" s="20" t="b">
        <v>1</v>
      </c>
      <c r="K190" s="20" t="b">
        <v>1</v>
      </c>
      <c r="L190" s="20" t="b">
        <v>0</v>
      </c>
      <c r="M190" s="20" t="b">
        <v>0</v>
      </c>
      <c r="N190" s="20"/>
      <c r="O190" s="20"/>
      <c r="P190" s="20" t="b">
        <v>0</v>
      </c>
      <c r="Q190" s="20" t="b">
        <v>0</v>
      </c>
    </row>
    <row r="191" spans="1:17">
      <c r="A191" s="20">
        <f t="shared" si="5"/>
        <v>190</v>
      </c>
      <c r="B191" s="21">
        <v>29</v>
      </c>
      <c r="C191" s="20" t="str" cm="1">
        <f t="array" ref="C191">GetValue("Tbl",B191,"Alias")</f>
        <v>Snp</v>
      </c>
      <c r="D191" s="20">
        <v>1</v>
      </c>
      <c r="E191" s="20" t="str" cm="1">
        <f t="array" ref="E191">GetValue("Dmn",D191,"Name")</f>
        <v>BigInteger</v>
      </c>
      <c r="F191" s="20">
        <f t="shared" ref="F191:F195" si="22">IF(G191="Id",5,F190+5)</f>
        <v>10</v>
      </c>
      <c r="G191" s="20" t="str" cm="1">
        <f t="array" ref="G191">GetColumnName(C191,IF(B191=B190,G190,""))</f>
        <v>TableId</v>
      </c>
      <c r="H191" s="20" t="s">
        <v>891</v>
      </c>
      <c r="I191" s="20" t="s">
        <v>117</v>
      </c>
      <c r="J191" s="20" t="s">
        <v>26</v>
      </c>
      <c r="K191" s="20" t="s">
        <v>26</v>
      </c>
      <c r="L191" s="20" t="s">
        <v>26</v>
      </c>
      <c r="M191" s="20" t="s">
        <v>26</v>
      </c>
      <c r="N191" s="20"/>
      <c r="O191" s="20"/>
      <c r="P191" s="20" t="s">
        <v>26</v>
      </c>
      <c r="Q191" s="20" t="b">
        <v>0</v>
      </c>
    </row>
    <row r="192" spans="1:17">
      <c r="A192" s="20">
        <f t="shared" si="5"/>
        <v>191</v>
      </c>
      <c r="B192" s="21">
        <v>29</v>
      </c>
      <c r="C192" s="20" t="str" cm="1">
        <f t="array" ref="C192">GetValue("Tbl",B192,"Alias")</f>
        <v>Snp</v>
      </c>
      <c r="D192" s="20">
        <v>10</v>
      </c>
      <c r="E192" s="20" t="str" cm="1">
        <f t="array" ref="E192">GetValue("Dmn",D192,"Name")</f>
        <v>Nvarchar(25)</v>
      </c>
      <c r="F192" s="20">
        <f t="shared" si="22"/>
        <v>15</v>
      </c>
      <c r="G192" s="20" t="str" cm="1">
        <f t="array" ref="G192">GetColumnName(C192,IF(B192=B191,G191,""))</f>
        <v>Name</v>
      </c>
      <c r="H192" s="20" t="s">
        <v>892</v>
      </c>
      <c r="I192" s="20" t="s">
        <v>97</v>
      </c>
      <c r="J192" s="20" t="s">
        <v>26</v>
      </c>
      <c r="K192" s="20" t="s">
        <v>26</v>
      </c>
      <c r="L192" s="20" t="s">
        <v>26</v>
      </c>
      <c r="M192" s="20" t="s">
        <v>26</v>
      </c>
      <c r="N192" s="20"/>
      <c r="O192" s="20"/>
      <c r="P192" s="20" t="s">
        <v>26</v>
      </c>
      <c r="Q192" s="20" t="b">
        <v>0</v>
      </c>
    </row>
    <row r="193" spans="1:17">
      <c r="A193" s="20">
        <f t="shared" si="5"/>
        <v>192</v>
      </c>
      <c r="B193" s="21">
        <v>29</v>
      </c>
      <c r="C193" s="20" t="str" cm="1">
        <f t="array" ref="C193">GetValue("Tbl",B193,"Alias")</f>
        <v>Snp</v>
      </c>
      <c r="D193" s="20">
        <v>6</v>
      </c>
      <c r="E193" s="20" t="str" cm="1">
        <f t="array" ref="E193">GetValue("Dmn",D193,"Name")</f>
        <v>Boolean</v>
      </c>
      <c r="F193" s="20">
        <f t="shared" si="22"/>
        <v>20</v>
      </c>
      <c r="G193" s="20" t="str" cm="1">
        <f t="array" ref="G193">GetColumnName(C193,IF(B193=B192,G192,""))</f>
        <v>IsBefore</v>
      </c>
      <c r="H193" s="20" t="s">
        <v>846</v>
      </c>
      <c r="I193" s="20" t="s">
        <v>848</v>
      </c>
      <c r="J193" s="20" t="s">
        <v>26</v>
      </c>
      <c r="K193" s="20" t="s">
        <v>26</v>
      </c>
      <c r="L193" s="20" t="s">
        <v>26</v>
      </c>
      <c r="M193" s="20" t="s">
        <v>26</v>
      </c>
      <c r="N193" s="20"/>
      <c r="O193" s="20"/>
      <c r="P193" s="20" t="s">
        <v>26</v>
      </c>
      <c r="Q193" s="20" t="b">
        <v>0</v>
      </c>
    </row>
    <row r="194" spans="1:17">
      <c r="A194" s="20">
        <f t="shared" si="5"/>
        <v>193</v>
      </c>
      <c r="B194" s="21">
        <v>29</v>
      </c>
      <c r="C194" s="20" t="str" cm="1">
        <f t="array" ref="C194">GetValue("Tbl",B194,"Alias")</f>
        <v>Snp</v>
      </c>
      <c r="D194" s="20">
        <v>6</v>
      </c>
      <c r="E194" s="20" t="str" cm="1">
        <f t="array" ref="E194">GetValue("Dmn",D194,"Name")</f>
        <v>Boolean</v>
      </c>
      <c r="F194" s="20">
        <f t="shared" si="22"/>
        <v>25</v>
      </c>
      <c r="G194" s="20" t="str" cm="1">
        <f t="array" ref="G194">GetColumnName(C194,IF(B194=B193,G193,""))</f>
        <v>IsActive</v>
      </c>
      <c r="H194" s="20" t="s">
        <v>847</v>
      </c>
      <c r="I194" s="20" t="s">
        <v>112</v>
      </c>
      <c r="J194" s="20" t="s">
        <v>26</v>
      </c>
      <c r="K194" s="20" t="s">
        <v>26</v>
      </c>
      <c r="L194" s="20" t="s">
        <v>26</v>
      </c>
      <c r="M194" s="20" t="s">
        <v>26</v>
      </c>
      <c r="N194" s="20"/>
      <c r="O194" s="20"/>
      <c r="P194" s="20" t="s">
        <v>26</v>
      </c>
      <c r="Q194" s="20" t="b">
        <v>0</v>
      </c>
    </row>
    <row r="195" spans="1:17">
      <c r="A195" s="18">
        <f t="shared" si="5"/>
        <v>194</v>
      </c>
      <c r="B195" s="19">
        <v>30</v>
      </c>
      <c r="C195" s="18" t="str" cm="1">
        <f t="array" ref="C195">GetValue("Tbl",B195,"Alias")</f>
        <v>Scr</v>
      </c>
      <c r="D195" s="18">
        <v>1</v>
      </c>
      <c r="E195" s="18" t="str" cm="1">
        <f t="array" ref="E195">GetValue("Dmn",D195,"Name")</f>
        <v>BigInteger</v>
      </c>
      <c r="F195" s="18">
        <f t="shared" si="22"/>
        <v>5</v>
      </c>
      <c r="G195" s="18" t="str" cm="1">
        <f t="array" ref="G195">GetColumnName(C195,IF(B195=B194,G194,""))</f>
        <v>Id</v>
      </c>
      <c r="H195" s="18" t="s">
        <v>849</v>
      </c>
      <c r="I195" s="18" t="s">
        <v>0</v>
      </c>
      <c r="J195" s="18" t="b">
        <v>1</v>
      </c>
      <c r="K195" s="18" t="b">
        <v>1</v>
      </c>
      <c r="L195" s="18" t="b">
        <v>0</v>
      </c>
      <c r="M195" s="18" t="b">
        <v>0</v>
      </c>
      <c r="N195" s="18"/>
      <c r="O195" s="18"/>
      <c r="P195" s="18" t="b">
        <v>0</v>
      </c>
      <c r="Q195" s="18" t="b">
        <v>0</v>
      </c>
    </row>
    <row r="196" spans="1:17">
      <c r="A196" s="18">
        <f t="shared" si="5"/>
        <v>195</v>
      </c>
      <c r="B196" s="19">
        <v>30</v>
      </c>
      <c r="C196" s="18" t="str" cm="1">
        <f t="array" ref="C196">GetValue("Tbl",B196,"Alias")</f>
        <v>Scr</v>
      </c>
      <c r="D196" s="18">
        <v>1</v>
      </c>
      <c r="E196" s="18" t="str" cm="1">
        <f t="array" ref="E196">GetValue("Dmn",D196,"Name")</f>
        <v>BigInteger</v>
      </c>
      <c r="F196" s="18">
        <f t="shared" ref="F196:F200" si="23">IF(G196="Id",5,F195+5)</f>
        <v>10</v>
      </c>
      <c r="G196" s="18" t="str" cm="1">
        <f t="array" ref="G196">GetColumnName(C196,IF(B196=B195,G195,""))</f>
        <v>SniperId</v>
      </c>
      <c r="H196" s="18" t="s">
        <v>845</v>
      </c>
      <c r="I196" s="18" t="s">
        <v>850</v>
      </c>
      <c r="J196" s="18" t="s">
        <v>26</v>
      </c>
      <c r="K196" s="18" t="s">
        <v>26</v>
      </c>
      <c r="L196" s="18" t="s">
        <v>26</v>
      </c>
      <c r="M196" s="18" t="s">
        <v>26</v>
      </c>
      <c r="N196" s="18"/>
      <c r="O196" s="18"/>
      <c r="P196" s="18" t="s">
        <v>26</v>
      </c>
      <c r="Q196" s="18" t="b">
        <v>0</v>
      </c>
    </row>
    <row r="197" spans="1:17">
      <c r="A197" s="18">
        <f t="shared" si="5"/>
        <v>196</v>
      </c>
      <c r="B197" s="19">
        <v>30</v>
      </c>
      <c r="C197" s="18" t="str" cm="1">
        <f t="array" ref="C197">GetValue("Tbl",B197,"Alias")</f>
        <v>Scr</v>
      </c>
      <c r="D197" s="18">
        <v>1</v>
      </c>
      <c r="E197" s="18" t="str" cm="1">
        <f t="array" ref="E197">GetValue("Dmn",D197,"Name")</f>
        <v>BigInteger</v>
      </c>
      <c r="F197" s="18">
        <f t="shared" si="23"/>
        <v>15</v>
      </c>
      <c r="G197" s="18" t="str" cm="1">
        <f t="array" ref="G197">GetColumnName(C197,IF(B197=B196,G196,""))</f>
        <v>DatabaseId</v>
      </c>
      <c r="H197" s="18" t="s">
        <v>553</v>
      </c>
      <c r="I197" s="18" t="s">
        <v>113</v>
      </c>
      <c r="J197" s="18" t="s">
        <v>26</v>
      </c>
      <c r="K197" s="18" t="s">
        <v>26</v>
      </c>
      <c r="L197" s="18" t="s">
        <v>26</v>
      </c>
      <c r="M197" s="18" t="s">
        <v>26</v>
      </c>
      <c r="N197" s="18"/>
      <c r="O197" s="18"/>
      <c r="P197" s="18" t="s">
        <v>26</v>
      </c>
      <c r="Q197" s="18" t="b">
        <v>0</v>
      </c>
    </row>
    <row r="198" spans="1:17">
      <c r="A198" s="18">
        <f t="shared" si="5"/>
        <v>197</v>
      </c>
      <c r="B198" s="19">
        <v>30</v>
      </c>
      <c r="C198" s="18" t="str" cm="1">
        <f t="array" ref="C198">GetValue("Tbl",B198,"Alias")</f>
        <v>Scr</v>
      </c>
      <c r="D198" s="18">
        <v>4</v>
      </c>
      <c r="E198" s="18" t="str" cm="1">
        <f t="array" ref="E198">GetValue("Dmn",D198,"Name")</f>
        <v>SmallInteger</v>
      </c>
      <c r="F198" s="18">
        <f t="shared" si="23"/>
        <v>20</v>
      </c>
      <c r="G198" s="18" t="str" cm="1">
        <f t="array" ref="G198">GetColumnName(C198,IF(B198=B197,G197,""))</f>
        <v>Sequence</v>
      </c>
      <c r="H198" s="18" t="s">
        <v>853</v>
      </c>
      <c r="I198" s="18" t="s">
        <v>111</v>
      </c>
      <c r="J198" s="18" t="s">
        <v>26</v>
      </c>
      <c r="K198" s="18" t="s">
        <v>26</v>
      </c>
      <c r="L198" s="18" t="s">
        <v>26</v>
      </c>
      <c r="M198" s="18" t="s">
        <v>26</v>
      </c>
      <c r="N198" s="18"/>
      <c r="O198" s="18"/>
      <c r="P198" s="18" t="s">
        <v>26</v>
      </c>
      <c r="Q198" s="18" t="b">
        <v>0</v>
      </c>
    </row>
    <row r="199" spans="1:17">
      <c r="A199" s="18">
        <f t="shared" si="5"/>
        <v>198</v>
      </c>
      <c r="B199" s="19">
        <v>30</v>
      </c>
      <c r="C199" s="18" t="str" cm="1">
        <f t="array" ref="C199">GetValue("Tbl",B199,"Alias")</f>
        <v>Scr</v>
      </c>
      <c r="D199" s="18">
        <v>13</v>
      </c>
      <c r="E199" s="18" t="str" cm="1">
        <f t="array" ref="E199">GetValue("Dmn",D199,"Name")</f>
        <v>Nvarchar(max)</v>
      </c>
      <c r="F199" s="18">
        <f t="shared" si="23"/>
        <v>25</v>
      </c>
      <c r="G199" s="18" t="str" cm="1">
        <f t="array" ref="G199">GetColumnName(C199,IF(B199=B198,G198,""))</f>
        <v>Script</v>
      </c>
      <c r="H199" s="18" t="s">
        <v>484</v>
      </c>
      <c r="I199" s="18" t="s">
        <v>484</v>
      </c>
      <c r="J199" s="18" t="s">
        <v>26</v>
      </c>
      <c r="K199" s="18" t="s">
        <v>26</v>
      </c>
      <c r="L199" s="18" t="s">
        <v>26</v>
      </c>
      <c r="M199" s="18" t="s">
        <v>26</v>
      </c>
      <c r="N199" s="18"/>
      <c r="O199" s="18"/>
      <c r="P199" s="18" t="s">
        <v>26</v>
      </c>
      <c r="Q199" s="18" t="b">
        <v>0</v>
      </c>
    </row>
    <row r="200" spans="1:17">
      <c r="A200" s="20">
        <f t="shared" si="5"/>
        <v>199</v>
      </c>
      <c r="B200" s="21">
        <v>31</v>
      </c>
      <c r="C200" s="20" t="str" cm="1">
        <f t="array" ref="C200">GetValue("Tbl",B200,"Alias")</f>
        <v>Url</v>
      </c>
      <c r="D200" s="20">
        <v>1</v>
      </c>
      <c r="E200" s="20" t="str" cm="1">
        <f t="array" ref="E200">GetValue("Dmn",D200,"Name")</f>
        <v>BigInteger</v>
      </c>
      <c r="F200" s="20">
        <f t="shared" si="23"/>
        <v>5</v>
      </c>
      <c r="G200" s="20" t="str" cm="1">
        <f t="array" ref="G200">GetColumnName(C200,IF(B200=B199,G199,""))</f>
        <v>Id</v>
      </c>
      <c r="H200" s="20" t="s">
        <v>851</v>
      </c>
      <c r="I200" s="20" t="s">
        <v>0</v>
      </c>
      <c r="J200" s="20" t="b">
        <v>1</v>
      </c>
      <c r="K200" s="20" t="b">
        <v>1</v>
      </c>
      <c r="L200" s="20" t="b">
        <v>0</v>
      </c>
      <c r="M200" s="20" t="b">
        <v>0</v>
      </c>
      <c r="N200" s="20"/>
      <c r="O200" s="20"/>
      <c r="P200" s="20" t="b">
        <v>0</v>
      </c>
      <c r="Q200" s="20" t="b">
        <v>0</v>
      </c>
    </row>
    <row r="201" spans="1:17">
      <c r="A201" s="20">
        <f t="shared" si="5"/>
        <v>200</v>
      </c>
      <c r="B201" s="21">
        <v>31</v>
      </c>
      <c r="C201" s="20" t="str" cm="1">
        <f t="array" ref="C201">GetValue("Tbl",B201,"Alias")</f>
        <v>Url</v>
      </c>
      <c r="D201" s="20">
        <v>1</v>
      </c>
      <c r="E201" s="20" t="str" cm="1">
        <f t="array" ref="E201">GetValue("Dmn",D201,"Name")</f>
        <v>BigInteger</v>
      </c>
      <c r="F201" s="20">
        <f t="shared" ref="F201:F205" si="24">IF(G201="Id",5,F200+5)</f>
        <v>10</v>
      </c>
      <c r="G201" s="20" t="str" cm="1">
        <f t="array" ref="G201">GetColumnName(C201,IF(B201=B200,G200,""))</f>
        <v>SniperId</v>
      </c>
      <c r="H201" s="20" t="s">
        <v>845</v>
      </c>
      <c r="I201" s="20" t="s">
        <v>850</v>
      </c>
      <c r="J201" s="20" t="s">
        <v>26</v>
      </c>
      <c r="K201" s="20" t="s">
        <v>26</v>
      </c>
      <c r="L201" s="20" t="s">
        <v>26</v>
      </c>
      <c r="M201" s="20" t="s">
        <v>26</v>
      </c>
      <c r="N201" s="20"/>
      <c r="O201" s="20"/>
      <c r="P201" s="20" t="s">
        <v>26</v>
      </c>
      <c r="Q201" s="20" t="b">
        <v>0</v>
      </c>
    </row>
    <row r="202" spans="1:17">
      <c r="A202" s="20">
        <f t="shared" si="5"/>
        <v>201</v>
      </c>
      <c r="B202" s="21">
        <v>31</v>
      </c>
      <c r="C202" s="20" t="str" cm="1">
        <f t="array" ref="C202">GetValue("Tbl",B202,"Alias")</f>
        <v>Url</v>
      </c>
      <c r="D202" s="20">
        <v>4</v>
      </c>
      <c r="E202" s="20" t="str" cm="1">
        <f t="array" ref="E202">GetValue("Dmn",D202,"Name")</f>
        <v>SmallInteger</v>
      </c>
      <c r="F202" s="20">
        <f t="shared" si="24"/>
        <v>15</v>
      </c>
      <c r="G202" s="20" t="str" cm="1">
        <f t="array" ref="G202">GetColumnName(C202,IF(B202=B201,G201,""))</f>
        <v>Sequence</v>
      </c>
      <c r="H202" s="20" t="s">
        <v>854</v>
      </c>
      <c r="I202" s="20" t="s">
        <v>111</v>
      </c>
      <c r="J202" s="20" t="s">
        <v>26</v>
      </c>
      <c r="K202" s="20" t="s">
        <v>26</v>
      </c>
      <c r="L202" s="20" t="s">
        <v>26</v>
      </c>
      <c r="M202" s="20" t="s">
        <v>26</v>
      </c>
      <c r="N202" s="20"/>
      <c r="O202" s="20"/>
      <c r="P202" s="20" t="s">
        <v>26</v>
      </c>
      <c r="Q202" s="20" t="b">
        <v>0</v>
      </c>
    </row>
    <row r="203" spans="1:17">
      <c r="A203" s="20">
        <f t="shared" si="5"/>
        <v>202</v>
      </c>
      <c r="B203" s="21">
        <v>31</v>
      </c>
      <c r="C203" s="20" t="str" cm="1">
        <f t="array" ref="C203">GetValue("Tbl",B203,"Alias")</f>
        <v>Url</v>
      </c>
      <c r="D203" s="20">
        <v>8</v>
      </c>
      <c r="E203" s="20" t="str" cm="1">
        <f t="array" ref="E203">GetValue("Dmn",D203,"Name")</f>
        <v>Nvarchar(15)</v>
      </c>
      <c r="F203" s="20">
        <f t="shared" si="24"/>
        <v>20</v>
      </c>
      <c r="G203" s="20" t="str" cm="1">
        <f t="array" ref="G203">GetColumnName(C203,IF(B203=B202,G202,""))</f>
        <v>Method</v>
      </c>
      <c r="H203" s="20" t="s">
        <v>855</v>
      </c>
      <c r="I203" s="20" t="s">
        <v>856</v>
      </c>
      <c r="J203" s="20" t="s">
        <v>26</v>
      </c>
      <c r="K203" s="20" t="s">
        <v>26</v>
      </c>
      <c r="L203" s="20" t="s">
        <v>26</v>
      </c>
      <c r="M203" s="20" t="s">
        <v>26</v>
      </c>
      <c r="N203" s="20"/>
      <c r="O203" s="20"/>
      <c r="P203" s="20" t="s">
        <v>26</v>
      </c>
      <c r="Q203" s="20" t="b">
        <v>0</v>
      </c>
    </row>
    <row r="204" spans="1:17">
      <c r="A204" s="20">
        <f t="shared" si="5"/>
        <v>203</v>
      </c>
      <c r="B204" s="21">
        <v>31</v>
      </c>
      <c r="C204" s="20" t="str" cm="1">
        <f t="array" ref="C204">GetValue("Tbl",B204,"Alias")</f>
        <v>Url</v>
      </c>
      <c r="D204" s="20">
        <v>13</v>
      </c>
      <c r="E204" s="20" t="str" cm="1">
        <f t="array" ref="E204">GetValue("Dmn",D204,"Name")</f>
        <v>Nvarchar(max)</v>
      </c>
      <c r="F204" s="20">
        <f t="shared" si="24"/>
        <v>25</v>
      </c>
      <c r="G204" s="20" t="str" cm="1">
        <f t="array" ref="G204">GetColumnName(C204,IF(B204=B203,G203,""))</f>
        <v>URL</v>
      </c>
      <c r="H204" s="20" t="s">
        <v>851</v>
      </c>
      <c r="I204" s="20" t="s">
        <v>852</v>
      </c>
      <c r="J204" s="20" t="s">
        <v>26</v>
      </c>
      <c r="K204" s="20" t="s">
        <v>26</v>
      </c>
      <c r="L204" s="20" t="s">
        <v>26</v>
      </c>
      <c r="M204" s="20" t="s">
        <v>26</v>
      </c>
      <c r="N204" s="20"/>
      <c r="O204" s="20"/>
      <c r="P204" s="20" t="s">
        <v>26</v>
      </c>
      <c r="Q204" s="20" t="b">
        <v>0</v>
      </c>
    </row>
    <row r="205" spans="1:17">
      <c r="A205" s="18">
        <f t="shared" si="5"/>
        <v>204</v>
      </c>
      <c r="B205" s="19">
        <v>32</v>
      </c>
      <c r="C205" s="18" t="str" cm="1">
        <f t="array" ref="C205">GetValue("Tbl",B205,"Alias")</f>
        <v>Ses</v>
      </c>
      <c r="D205" s="18">
        <v>1</v>
      </c>
      <c r="E205" s="18" t="str" cm="1">
        <f t="array" ref="E205">GetValue("Dmn",D205,"Name")</f>
        <v>BigInteger</v>
      </c>
      <c r="F205" s="18">
        <f t="shared" si="24"/>
        <v>5</v>
      </c>
      <c r="G205" s="18" t="str" cm="1">
        <f t="array" ref="G205">GetColumnName(C205,IF(B205=B204,G204,""))</f>
        <v>Id</v>
      </c>
      <c r="H205" s="18" t="s">
        <v>857</v>
      </c>
      <c r="I205" s="18" t="s">
        <v>0</v>
      </c>
      <c r="J205" s="18" t="b">
        <v>1</v>
      </c>
      <c r="K205" s="18" t="b">
        <v>1</v>
      </c>
      <c r="L205" s="18" t="b">
        <v>0</v>
      </c>
      <c r="M205" s="18" t="b">
        <v>0</v>
      </c>
      <c r="N205" s="18"/>
      <c r="O205" s="18"/>
      <c r="P205" s="18" t="b">
        <v>0</v>
      </c>
      <c r="Q205" s="18" t="b">
        <v>0</v>
      </c>
    </row>
    <row r="206" spans="1:17">
      <c r="A206" s="18">
        <f t="shared" si="5"/>
        <v>205</v>
      </c>
      <c r="B206" s="19">
        <v>32</v>
      </c>
      <c r="C206" s="18" t="str" cm="1">
        <f t="array" ref="C206">GetValue("Tbl",B206,"Alias")</f>
        <v>Ses</v>
      </c>
      <c r="D206" s="18">
        <v>1</v>
      </c>
      <c r="E206" s="18" t="str" cm="1">
        <f t="array" ref="E206">GetValue("Dmn",D206,"Name")</f>
        <v>BigInteger</v>
      </c>
      <c r="F206" s="18">
        <f t="shared" ref="F206:F211" si="25">IF(G206="Id",5,F205+5)</f>
        <v>10</v>
      </c>
      <c r="G206" s="18" t="str" cm="1">
        <f t="array" ref="G206">GetColumnName(C206,IF(B206=B205,G205,""))</f>
        <v>ClientId</v>
      </c>
      <c r="H206" s="18" t="s">
        <v>554</v>
      </c>
      <c r="I206" s="18" t="s">
        <v>555</v>
      </c>
      <c r="J206" s="18" t="s">
        <v>26</v>
      </c>
      <c r="K206" s="18" t="s">
        <v>26</v>
      </c>
      <c r="L206" s="18" t="s">
        <v>26</v>
      </c>
      <c r="M206" s="18" t="s">
        <v>26</v>
      </c>
      <c r="N206" s="18"/>
      <c r="O206" s="18"/>
      <c r="P206" s="18" t="s">
        <v>26</v>
      </c>
      <c r="Q206" s="18" t="b">
        <v>0</v>
      </c>
    </row>
    <row r="207" spans="1:17">
      <c r="A207" s="18">
        <f t="shared" si="5"/>
        <v>206</v>
      </c>
      <c r="B207" s="19">
        <v>32</v>
      </c>
      <c r="C207" s="18" t="str" cm="1">
        <f t="array" ref="C207">GetValue("Tbl",B207,"Alias")</f>
        <v>Ses</v>
      </c>
      <c r="D207" s="18">
        <v>1</v>
      </c>
      <c r="E207" s="18" t="str" cm="1">
        <f t="array" ref="E207">GetValue("Dmn",D207,"Name")</f>
        <v>BigInteger</v>
      </c>
      <c r="F207" s="18">
        <f t="shared" si="25"/>
        <v>15</v>
      </c>
      <c r="G207" s="18" t="str" cm="1">
        <f t="array" ref="G207">GetColumnName(C207,IF(B207=B206,G206,""))</f>
        <v>SystemId</v>
      </c>
      <c r="H207" s="18" t="s">
        <v>858</v>
      </c>
      <c r="I207" s="18" t="s">
        <v>110</v>
      </c>
      <c r="J207" s="18" t="s">
        <v>26</v>
      </c>
      <c r="K207" s="18" t="s">
        <v>26</v>
      </c>
      <c r="L207" s="18" t="s">
        <v>26</v>
      </c>
      <c r="M207" s="18" t="s">
        <v>26</v>
      </c>
      <c r="N207" s="18"/>
      <c r="O207" s="18"/>
      <c r="P207" s="18" t="s">
        <v>26</v>
      </c>
      <c r="Q207" s="18" t="b">
        <v>0</v>
      </c>
    </row>
    <row r="208" spans="1:17">
      <c r="A208" s="18">
        <f t="shared" si="5"/>
        <v>207</v>
      </c>
      <c r="B208" s="19">
        <v>32</v>
      </c>
      <c r="C208" s="18" t="str" cm="1">
        <f t="array" ref="C208">GetValue("Tbl",B208,"Alias")</f>
        <v>Ses</v>
      </c>
      <c r="D208" s="18">
        <v>1</v>
      </c>
      <c r="E208" s="18" t="str" cm="1">
        <f t="array" ref="E208">GetValue("Dmn",D208,"Name")</f>
        <v>BigInteger</v>
      </c>
      <c r="F208" s="18">
        <f t="shared" si="25"/>
        <v>20</v>
      </c>
      <c r="G208" s="18" t="str" cm="1">
        <f t="array" ref="G208">GetColumnName(C208,IF(B208=B207,G207,""))</f>
        <v>UserId</v>
      </c>
      <c r="H208" s="18" t="s">
        <v>799</v>
      </c>
      <c r="I208" s="18" t="s">
        <v>810</v>
      </c>
      <c r="J208" s="18" t="s">
        <v>26</v>
      </c>
      <c r="K208" s="18" t="s">
        <v>26</v>
      </c>
      <c r="L208" s="18" t="s">
        <v>26</v>
      </c>
      <c r="M208" s="18" t="s">
        <v>26</v>
      </c>
      <c r="N208" s="18"/>
      <c r="O208" s="18"/>
      <c r="P208" s="18" t="s">
        <v>26</v>
      </c>
      <c r="Q208" s="18" t="b">
        <v>0</v>
      </c>
    </row>
    <row r="209" spans="1:17">
      <c r="A209" s="18">
        <f t="shared" si="5"/>
        <v>208</v>
      </c>
      <c r="B209" s="19">
        <v>32</v>
      </c>
      <c r="C209" s="18" t="str" cm="1">
        <f t="array" ref="C209">GetValue("Tbl",B209,"Alias")</f>
        <v>Ses</v>
      </c>
      <c r="D209" s="18">
        <v>19</v>
      </c>
      <c r="E209" s="18" t="str" cm="1">
        <f t="array" ref="E209">GetValue("Dmn",D209,"Name")</f>
        <v>Varchar(256)</v>
      </c>
      <c r="F209" s="18">
        <f t="shared" si="25"/>
        <v>25</v>
      </c>
      <c r="G209" s="18" t="str" cm="1">
        <f t="array" ref="G209">GetColumnName(C209,IF(B209=B208,G208,""))</f>
        <v>PublicKey</v>
      </c>
      <c r="H209" s="18" t="s">
        <v>859</v>
      </c>
      <c r="I209" s="18" t="s">
        <v>859</v>
      </c>
      <c r="J209" s="18" t="s">
        <v>26</v>
      </c>
      <c r="K209" s="18" t="s">
        <v>26</v>
      </c>
      <c r="L209" s="18" t="s">
        <v>26</v>
      </c>
      <c r="M209" s="18" t="s">
        <v>26</v>
      </c>
      <c r="N209" s="18"/>
      <c r="O209" s="18"/>
      <c r="P209" s="18" t="s">
        <v>26</v>
      </c>
      <c r="Q209" s="18" t="b">
        <v>0</v>
      </c>
    </row>
    <row r="210" spans="1:17">
      <c r="A210" s="18">
        <f t="shared" si="5"/>
        <v>209</v>
      </c>
      <c r="B210" s="19">
        <v>32</v>
      </c>
      <c r="C210" s="18" t="str" cm="1">
        <f t="array" ref="C210">GetValue("Tbl",B210,"Alias")</f>
        <v>Ses</v>
      </c>
      <c r="D210" s="18">
        <v>6</v>
      </c>
      <c r="E210" s="18" t="str" cm="1">
        <f t="array" ref="E210">GetValue("Dmn",D210,"Name")</f>
        <v>Boolean</v>
      </c>
      <c r="F210" s="18">
        <f t="shared" si="25"/>
        <v>30</v>
      </c>
      <c r="G210" s="18" t="str" cm="1">
        <f t="array" ref="G210">GetColumnName(C210,IF(B210=B209,G209,""))</f>
        <v>IsLogged</v>
      </c>
      <c r="H210" s="18" t="s">
        <v>860</v>
      </c>
      <c r="I210" s="18" t="s">
        <v>861</v>
      </c>
      <c r="J210" s="18" t="s">
        <v>26</v>
      </c>
      <c r="K210" s="18" t="s">
        <v>26</v>
      </c>
      <c r="L210" s="18" t="s">
        <v>26</v>
      </c>
      <c r="M210" s="18" t="s">
        <v>26</v>
      </c>
      <c r="N210" s="18"/>
      <c r="O210" s="18"/>
      <c r="P210" s="18" t="s">
        <v>26</v>
      </c>
      <c r="Q210" s="18" t="b">
        <v>0</v>
      </c>
    </row>
    <row r="211" spans="1:17">
      <c r="A211" s="20">
        <f t="shared" si="5"/>
        <v>210</v>
      </c>
      <c r="B211" s="21">
        <v>33</v>
      </c>
      <c r="C211" s="20" t="str" cm="1">
        <f t="array" ref="C211">GetValue("Tbl",B211,"Alias")</f>
        <v>Trs</v>
      </c>
      <c r="D211" s="20">
        <v>1</v>
      </c>
      <c r="E211" s="20" t="str" cm="1">
        <f t="array" ref="E211">GetValue("Dmn",D211,"Name")</f>
        <v>BigInteger</v>
      </c>
      <c r="F211" s="20">
        <f t="shared" si="25"/>
        <v>5</v>
      </c>
      <c r="G211" s="20" t="str" cm="1">
        <f t="array" ref="G211">GetColumnName(C211,IF(B211=B210,G210,""))</f>
        <v>Id</v>
      </c>
      <c r="H211" s="20" t="s">
        <v>862</v>
      </c>
      <c r="I211" s="20" t="s">
        <v>0</v>
      </c>
      <c r="J211" s="20" t="b">
        <v>1</v>
      </c>
      <c r="K211" s="20" t="b">
        <v>1</v>
      </c>
      <c r="L211" s="20" t="b">
        <v>0</v>
      </c>
      <c r="M211" s="20" t="b">
        <v>0</v>
      </c>
      <c r="N211" s="20"/>
      <c r="O211" s="20"/>
      <c r="P211" s="20" t="b">
        <v>0</v>
      </c>
      <c r="Q211" s="20" t="b">
        <v>0</v>
      </c>
    </row>
    <row r="212" spans="1:17">
      <c r="A212" s="20">
        <f t="shared" si="5"/>
        <v>211</v>
      </c>
      <c r="B212" s="21">
        <v>33</v>
      </c>
      <c r="C212" s="20" t="str" cm="1">
        <f t="array" ref="C212">GetValue("Tbl",B212,"Alias")</f>
        <v>Trs</v>
      </c>
      <c r="D212" s="20">
        <v>1</v>
      </c>
      <c r="E212" s="20" t="str" cm="1">
        <f t="array" ref="E212">GetValue("Dmn",D212,"Name")</f>
        <v>BigInteger</v>
      </c>
      <c r="F212" s="20">
        <f t="shared" ref="F212:F214" si="26">IF(G212="Id",5,F211+5)</f>
        <v>10</v>
      </c>
      <c r="G212" s="20" t="str" cm="1">
        <f t="array" ref="G212">GetColumnName(C212,IF(B212=B211,G211,""))</f>
        <v>SessionId</v>
      </c>
      <c r="H212" s="20" t="s">
        <v>857</v>
      </c>
      <c r="I212" s="20" t="s">
        <v>864</v>
      </c>
      <c r="J212" s="20" t="s">
        <v>26</v>
      </c>
      <c r="K212" s="20" t="s">
        <v>26</v>
      </c>
      <c r="L212" s="20" t="s">
        <v>26</v>
      </c>
      <c r="M212" s="20" t="s">
        <v>26</v>
      </c>
      <c r="N212" s="20"/>
      <c r="O212" s="20"/>
      <c r="P212" s="20" t="s">
        <v>26</v>
      </c>
      <c r="Q212" s="20" t="b">
        <v>0</v>
      </c>
    </row>
    <row r="213" spans="1:17">
      <c r="A213" s="20">
        <f t="shared" si="5"/>
        <v>212</v>
      </c>
      <c r="B213" s="21">
        <v>33</v>
      </c>
      <c r="C213" s="20" t="str" cm="1">
        <f t="array" ref="C213">GetValue("Tbl",B213,"Alias")</f>
        <v>Trs</v>
      </c>
      <c r="D213" s="20">
        <v>6</v>
      </c>
      <c r="E213" s="20" t="str" cm="1">
        <f t="array" ref="E213">GetValue("Dmn",D213,"Name")</f>
        <v>Boolean</v>
      </c>
      <c r="F213" s="20">
        <f t="shared" si="26"/>
        <v>15</v>
      </c>
      <c r="G213" s="20" t="str" cm="1">
        <f t="array" ref="G213">GetColumnName(C213,IF(B213=B212,G212,""))</f>
        <v>IsConfirmed</v>
      </c>
      <c r="H213" s="20" t="s">
        <v>863</v>
      </c>
      <c r="I213" s="20" t="s">
        <v>865</v>
      </c>
      <c r="J213" s="20" t="s">
        <v>26</v>
      </c>
      <c r="K213" s="20" t="s">
        <v>26</v>
      </c>
      <c r="L213" s="20" t="s">
        <v>26</v>
      </c>
      <c r="M213" s="20" t="s">
        <v>26</v>
      </c>
      <c r="N213" s="20"/>
      <c r="O213" s="20"/>
      <c r="P213" s="20" t="s">
        <v>26</v>
      </c>
      <c r="Q213" s="20" t="b">
        <v>0</v>
      </c>
    </row>
    <row r="214" spans="1:17">
      <c r="A214" s="18">
        <f t="shared" si="5"/>
        <v>213</v>
      </c>
      <c r="B214" s="19">
        <v>34</v>
      </c>
      <c r="C214" s="18" t="str" cm="1">
        <f t="array" ref="C214">GetValue("Tbl",B214,"Alias")</f>
        <v>Ope</v>
      </c>
      <c r="D214" s="18">
        <v>1</v>
      </c>
      <c r="E214" s="18" t="str" cm="1">
        <f t="array" ref="E214">GetValue("Dmn",D214,"Name")</f>
        <v>BigInteger</v>
      </c>
      <c r="F214" s="18">
        <f t="shared" si="26"/>
        <v>5</v>
      </c>
      <c r="G214" s="18" t="str" cm="1">
        <f t="array" ref="G214">GetColumnName(C214,IF(B214=B213,G213,""))</f>
        <v>Id</v>
      </c>
      <c r="H214" s="18" t="s">
        <v>866</v>
      </c>
      <c r="I214" s="18" t="s">
        <v>0</v>
      </c>
      <c r="J214" s="18" t="b">
        <v>1</v>
      </c>
      <c r="K214" s="18" t="b">
        <v>1</v>
      </c>
      <c r="L214" s="18" t="b">
        <v>0</v>
      </c>
      <c r="M214" s="18" t="b">
        <v>0</v>
      </c>
      <c r="N214" s="18"/>
      <c r="O214" s="18"/>
      <c r="P214" s="18" t="b">
        <v>0</v>
      </c>
      <c r="Q214" s="18" t="b">
        <v>0</v>
      </c>
    </row>
    <row r="215" spans="1:17">
      <c r="A215" s="18">
        <f t="shared" si="5"/>
        <v>214</v>
      </c>
      <c r="B215" s="19">
        <v>34</v>
      </c>
      <c r="C215" s="18" t="str" cm="1">
        <f t="array" ref="C215">GetValue("Tbl",B215,"Alias")</f>
        <v>Ope</v>
      </c>
      <c r="D215" s="18">
        <v>1</v>
      </c>
      <c r="E215" s="18" t="str" cm="1">
        <f t="array" ref="E215">GetValue("Dmn",D215,"Name")</f>
        <v>BigInteger</v>
      </c>
      <c r="F215" s="18">
        <f t="shared" ref="F215:F220" si="27">IF(G215="Id",5,F214+5)</f>
        <v>10</v>
      </c>
      <c r="G215" s="18" t="str" cm="1">
        <f t="array" ref="G215">GetColumnName(C215,IF(B215=B214,G214,""))</f>
        <v>TransactionId</v>
      </c>
      <c r="H215" s="18" t="s">
        <v>862</v>
      </c>
      <c r="I215" s="18" t="s">
        <v>871</v>
      </c>
      <c r="J215" s="18" t="s">
        <v>26</v>
      </c>
      <c r="K215" s="18" t="s">
        <v>26</v>
      </c>
      <c r="L215" s="18" t="s">
        <v>26</v>
      </c>
      <c r="M215" s="18" t="s">
        <v>26</v>
      </c>
      <c r="N215" s="18"/>
      <c r="O215" s="18"/>
      <c r="P215" s="18" t="s">
        <v>26</v>
      </c>
      <c r="Q215" s="18" t="b">
        <v>0</v>
      </c>
    </row>
    <row r="216" spans="1:17">
      <c r="A216" s="18">
        <f t="shared" si="5"/>
        <v>215</v>
      </c>
      <c r="B216" s="19">
        <v>34</v>
      </c>
      <c r="C216" s="18" t="str" cm="1">
        <f t="array" ref="C216">GetValue("Tbl",B216,"Alias")</f>
        <v>Ope</v>
      </c>
      <c r="D216" s="18">
        <v>10</v>
      </c>
      <c r="E216" s="18" t="str" cm="1">
        <f t="array" ref="E216">GetValue("Dmn",D216,"Name")</f>
        <v>Nvarchar(25)</v>
      </c>
      <c r="F216" s="18">
        <f t="shared" si="27"/>
        <v>15</v>
      </c>
      <c r="G216" s="18" t="str" cm="1">
        <f t="array" ref="G216">GetColumnName(C216,IF(B216=B215,G215,""))</f>
        <v>TableName</v>
      </c>
      <c r="H216" s="18" t="s">
        <v>114</v>
      </c>
      <c r="I216" s="18" t="s">
        <v>117</v>
      </c>
      <c r="J216" s="18" t="s">
        <v>26</v>
      </c>
      <c r="K216" s="18" t="s">
        <v>26</v>
      </c>
      <c r="L216" s="18" t="s">
        <v>26</v>
      </c>
      <c r="M216" s="18" t="s">
        <v>26</v>
      </c>
      <c r="N216" s="18"/>
      <c r="O216" s="18"/>
      <c r="P216" s="18" t="s">
        <v>26</v>
      </c>
      <c r="Q216" s="18" t="b">
        <v>0</v>
      </c>
    </row>
    <row r="217" spans="1:17">
      <c r="A217" s="18">
        <f t="shared" si="5"/>
        <v>216</v>
      </c>
      <c r="B217" s="19">
        <v>34</v>
      </c>
      <c r="C217" s="18" t="str" cm="1">
        <f t="array" ref="C217">GetValue("Tbl",B217,"Alias")</f>
        <v>Ope</v>
      </c>
      <c r="D217" s="18">
        <v>8</v>
      </c>
      <c r="E217" s="18" t="str" cm="1">
        <f t="array" ref="E217">GetValue("Dmn",D217,"Name")</f>
        <v>Nvarchar(15)</v>
      </c>
      <c r="F217" s="18">
        <f t="shared" si="27"/>
        <v>20</v>
      </c>
      <c r="G217" s="18" t="str" cm="1">
        <f t="array" ref="G217">GetColumnName(C217,IF(B217=B216,G216,""))</f>
        <v>Action</v>
      </c>
      <c r="H217" s="18" t="s">
        <v>867</v>
      </c>
      <c r="I217" s="18" t="s">
        <v>872</v>
      </c>
      <c r="J217" s="18" t="s">
        <v>26</v>
      </c>
      <c r="K217" s="18" t="s">
        <v>26</v>
      </c>
      <c r="L217" s="18" t="s">
        <v>26</v>
      </c>
      <c r="M217" s="18" t="s">
        <v>26</v>
      </c>
      <c r="N217" s="18"/>
      <c r="O217" s="18"/>
      <c r="P217" s="18" t="s">
        <v>26</v>
      </c>
      <c r="Q217" s="18" t="b">
        <v>0</v>
      </c>
    </row>
    <row r="218" spans="1:17">
      <c r="A218" s="18">
        <f t="shared" si="5"/>
        <v>217</v>
      </c>
      <c r="B218" s="19">
        <v>34</v>
      </c>
      <c r="C218" s="18" t="str" cm="1">
        <f t="array" ref="C218">GetValue("Tbl",B218,"Alias")</f>
        <v>Ope</v>
      </c>
      <c r="D218" s="18">
        <v>13</v>
      </c>
      <c r="E218" s="18" t="str" cm="1">
        <f t="array" ref="E218">GetValue("Dmn",D218,"Name")</f>
        <v>Nvarchar(max)</v>
      </c>
      <c r="F218" s="18">
        <f t="shared" si="27"/>
        <v>25</v>
      </c>
      <c r="G218" s="18" t="str" cm="1">
        <f t="array" ref="G218">GetColumnName(C218,IF(B218=B217,G217,""))</f>
        <v>LastRecord</v>
      </c>
      <c r="H218" s="18" t="s">
        <v>868</v>
      </c>
      <c r="I218" s="18" t="s">
        <v>873</v>
      </c>
      <c r="J218" s="18" t="s">
        <v>26</v>
      </c>
      <c r="K218" s="18" t="s">
        <v>26</v>
      </c>
      <c r="L218" s="18" t="s">
        <v>26</v>
      </c>
      <c r="M218" s="18" t="s">
        <v>26</v>
      </c>
      <c r="N218" s="18"/>
      <c r="O218" s="18"/>
      <c r="P218" s="18" t="s">
        <v>26</v>
      </c>
      <c r="Q218" s="18" t="b">
        <v>0</v>
      </c>
    </row>
    <row r="219" spans="1:17">
      <c r="A219" s="18">
        <f t="shared" si="5"/>
        <v>218</v>
      </c>
      <c r="B219" s="19">
        <v>34</v>
      </c>
      <c r="C219" s="18" t="str" cm="1">
        <f t="array" ref="C219">GetValue("Tbl",B219,"Alias")</f>
        <v>Ope</v>
      </c>
      <c r="D219" s="18">
        <v>13</v>
      </c>
      <c r="E219" s="18" t="str" cm="1">
        <f t="array" ref="E219">GetValue("Dmn",D219,"Name")</f>
        <v>Nvarchar(max)</v>
      </c>
      <c r="F219" s="18">
        <f t="shared" si="27"/>
        <v>30</v>
      </c>
      <c r="G219" s="18" t="str" cm="1">
        <f t="array" ref="G219">GetColumnName(C219,IF(B219=B218,G218,""))</f>
        <v>ActualRecord</v>
      </c>
      <c r="H219" s="18" t="s">
        <v>869</v>
      </c>
      <c r="I219" s="18" t="s">
        <v>874</v>
      </c>
      <c r="J219" s="18" t="s">
        <v>26</v>
      </c>
      <c r="K219" s="18" t="s">
        <v>26</v>
      </c>
      <c r="L219" s="18" t="s">
        <v>26</v>
      </c>
      <c r="M219" s="18" t="s">
        <v>26</v>
      </c>
      <c r="N219" s="18"/>
      <c r="O219" s="18"/>
      <c r="P219" s="18" t="s">
        <v>26</v>
      </c>
      <c r="Q219" s="18" t="b">
        <v>0</v>
      </c>
    </row>
    <row r="220" spans="1:17">
      <c r="A220" s="18">
        <f t="shared" si="5"/>
        <v>219</v>
      </c>
      <c r="B220" s="19">
        <v>34</v>
      </c>
      <c r="C220" s="18" t="str" cm="1">
        <f t="array" ref="C220">GetValue("Tbl",B220,"Alias")</f>
        <v>Ope</v>
      </c>
      <c r="D220" s="18">
        <v>6</v>
      </c>
      <c r="E220" s="18" t="str" cm="1">
        <f t="array" ref="E220">GetValue("Dmn",D220,"Name")</f>
        <v>Boolean</v>
      </c>
      <c r="F220" s="18">
        <f t="shared" si="27"/>
        <v>35</v>
      </c>
      <c r="G220" s="18" t="str" cm="1">
        <f t="array" ref="G220">GetColumnName(C220,IF(B220=B219,G219,""))</f>
        <v>IsConfirmed</v>
      </c>
      <c r="H220" s="18" t="s">
        <v>870</v>
      </c>
      <c r="I220" s="18" t="s">
        <v>865</v>
      </c>
      <c r="J220" s="18" t="s">
        <v>26</v>
      </c>
      <c r="K220" s="18" t="s">
        <v>26</v>
      </c>
      <c r="L220" s="18" t="s">
        <v>26</v>
      </c>
      <c r="M220" s="18" t="s">
        <v>26</v>
      </c>
      <c r="N220" s="18"/>
      <c r="O220" s="18"/>
      <c r="P220" s="18" t="s">
        <v>26</v>
      </c>
      <c r="Q220" s="18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5:G105 F155:G155 F120:G120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17" activePane="bottomLeft" state="frozen"/>
      <selection activeCell="T1" sqref="T1"/>
      <selection pane="bottomLeft" activeCell="D4" sqref="D4"/>
    </sheetView>
  </sheetViews>
  <sheetFormatPr defaultRowHeight="14.4"/>
  <cols>
    <col min="1" max="1" width="3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120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137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129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Rules</v>
      </c>
      <c r="D4" t="s">
        <v>131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130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132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Mappings</v>
      </c>
      <c r="D7" t="s">
        <v>156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Mappings</v>
      </c>
      <c r="D8" t="s">
        <v>166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133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162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185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Maskings</v>
      </c>
      <c r="D12" t="s">
        <v>134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Maskings</v>
      </c>
      <c r="D13" t="s">
        <v>135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157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184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142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136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158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186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159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160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194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161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164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217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218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195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212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213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213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213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213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213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213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213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213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213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Snipers</v>
      </c>
      <c r="D38" t="s">
        <v>213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213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Urls</v>
      </c>
      <c r="D40" t="s">
        <v>213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213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activeCell="E24" sqref="E24"/>
    </sheetView>
  </sheetViews>
  <sheetFormatPr defaultRowHeight="14.4"/>
  <cols>
    <col min="1" max="1" width="3" bestFit="1" customWidth="1"/>
    <col min="2" max="2" width="7.6640625" bestFit="1" customWidth="1"/>
    <col min="3" max="3" width="52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  <c r="F1" s="1" t="s">
        <v>69</v>
      </c>
      <c r="G1" s="1" t="s">
        <v>123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Length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Name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Decimals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ValidValues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ValidMask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Modificators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Id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ClientId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SystemId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Sequence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Message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DatabaseId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Message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ParentMenuId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IsGridable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11" activePane="bottomLeft" state="frozen"/>
      <selection pane="bottomLeft" activeCell="F25" sqref="F25"/>
    </sheetView>
  </sheetViews>
  <sheetFormatPr defaultRowHeight="14.4"/>
  <cols>
    <col min="1" max="1" width="3" bestFit="1" customWidth="1"/>
    <col min="2" max="2" width="7.6640625" bestFit="1" customWidth="1"/>
    <col min="3" max="3" width="43.554687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Length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Name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Decimals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ValidValues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ValidMask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Modificators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Id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ClientId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SystemId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Sequence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Message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DatabaseId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Message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ParentMenuId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IsGridable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G5" sqref="G5"/>
    </sheetView>
  </sheetViews>
  <sheetFormatPr defaultRowHeight="14.4"/>
  <cols>
    <col min="1" max="1" width="2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0</v>
      </c>
      <c r="B1" s="1" t="s">
        <v>607</v>
      </c>
      <c r="C1" s="1" t="s">
        <v>776</v>
      </c>
      <c r="D1" s="1" t="s">
        <v>777</v>
      </c>
      <c r="E1" s="1" t="s">
        <v>608</v>
      </c>
      <c r="F1" s="1" t="s">
        <v>775</v>
      </c>
      <c r="G1" s="1" t="s">
        <v>778</v>
      </c>
      <c r="H1" s="1" t="s">
        <v>605</v>
      </c>
    </row>
    <row r="2" spans="1:8">
      <c r="A2">
        <f>ROW(A2)-1</f>
        <v>1</v>
      </c>
      <c r="B2">
        <v>80</v>
      </c>
      <c r="C2" t="str" cm="1">
        <f t="array" ref="C2">GetValue("Col",B2,"#TableAlias")</f>
        <v>Sys</v>
      </c>
      <c r="D2" t="str" cm="1">
        <f t="array" ref="D2">GetValue("Col",B2,"Name")</f>
        <v>Id</v>
      </c>
      <c r="E2">
        <v>81</v>
      </c>
      <c r="F2" t="str" cm="1">
        <f t="array" ref="F2">GetValue("Col",E2,"#TableAlias")</f>
        <v>Sys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C4" sqref="C4"/>
    </sheetView>
  </sheetViews>
  <sheetFormatPr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0</v>
      </c>
      <c r="B1" s="1" t="s">
        <v>95</v>
      </c>
      <c r="C1" s="1" t="s">
        <v>152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905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1" topLeftCell="A2" activePane="bottomLeft" state="frozen"/>
      <selection pane="bottomLeft" activeCell="N5" sqref="N5"/>
    </sheetView>
  </sheetViews>
  <sheetFormatPr defaultColWidth="5.6640625" defaultRowHeight="14.4"/>
  <cols>
    <col min="1" max="1" width="2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6" bestFit="1" customWidth="1"/>
    <col min="6" max="6" width="14" style="6" bestFit="1" customWidth="1"/>
    <col min="7" max="7" width="12.44140625" bestFit="1" customWidth="1"/>
    <col min="8" max="8" width="21.664062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6" bestFit="1" customWidth="1"/>
  </cols>
  <sheetData>
    <row r="1" spans="1:14" s="6" customFormat="1">
      <c r="A1" s="1" t="s">
        <v>0</v>
      </c>
      <c r="B1" s="1" t="s">
        <v>460</v>
      </c>
      <c r="C1" s="1" t="s">
        <v>473</v>
      </c>
      <c r="D1" s="1" t="s">
        <v>69</v>
      </c>
      <c r="E1" s="1" t="s">
        <v>448</v>
      </c>
      <c r="F1" s="1" t="s">
        <v>500</v>
      </c>
      <c r="G1" s="1" t="s">
        <v>607</v>
      </c>
      <c r="H1" s="1" t="s">
        <v>610</v>
      </c>
      <c r="I1" s="1" t="s">
        <v>647</v>
      </c>
      <c r="J1" s="1" t="s">
        <v>797</v>
      </c>
      <c r="K1" s="16" t="s">
        <v>608</v>
      </c>
      <c r="L1" s="1" t="s">
        <v>609</v>
      </c>
      <c r="M1" s="1" t="s">
        <v>908</v>
      </c>
      <c r="N1" s="1" t="s">
        <v>501</v>
      </c>
    </row>
    <row r="2" spans="1:14">
      <c r="A2">
        <f>ROW(A2)-1</f>
        <v>1</v>
      </c>
      <c r="B2">
        <v>1</v>
      </c>
      <c r="C2" t="str" cm="1">
        <f t="array" ref="C2">GetValue("Exp",B2,"Name")</f>
        <v>Expression 0001</v>
      </c>
      <c r="D2">
        <v>5</v>
      </c>
      <c r="F2" s="6" t="s">
        <v>920</v>
      </c>
      <c r="G2">
        <v>1</v>
      </c>
      <c r="H2" t="str" cm="1">
        <f t="array" ref="H2">GetValue("Col",G2,"#TableAlias")&amp;"-"&amp;GetValue("Col",G2,"Name")</f>
        <v>Cat-Id</v>
      </c>
      <c r="I2" s="6">
        <v>6</v>
      </c>
      <c r="J2" s="6" t="str" cm="1">
        <f t="array" ref="J2">GetValue("Cmp",I2,"Symbol")</f>
        <v>&gt;</v>
      </c>
      <c r="K2">
        <v>2</v>
      </c>
      <c r="L2" t="str" cm="1">
        <f t="array" ref="L2">IF(K2="","",GetValue("Col",K2,"#TableAlias")&amp;"-"&amp;GetValue("Col",K2,"Name"))</f>
        <v>Cat-Name</v>
      </c>
    </row>
    <row r="3" spans="1:14">
      <c r="A3">
        <f t="shared" ref="A3:A4" si="0">ROW(A3)-1</f>
        <v>2</v>
      </c>
      <c r="B3">
        <v>1</v>
      </c>
      <c r="C3" t="str" cm="1">
        <f t="array" ref="C3">GetValue("Exp",B3,"Name")</f>
        <v>Expression 0001</v>
      </c>
      <c r="D3">
        <v>10</v>
      </c>
      <c r="E3" s="6" t="s">
        <v>449</v>
      </c>
      <c r="G3">
        <v>1</v>
      </c>
      <c r="H3" t="str" cm="1">
        <f t="array" ref="H3">GetValue("Col",G3,"#TableAlias")&amp;"-"&amp;GetValue("Col",G3,"Name")</f>
        <v>Cat-Id</v>
      </c>
      <c r="I3" s="6">
        <v>1</v>
      </c>
      <c r="J3" s="6" t="str" cm="1">
        <f t="array" ref="J3">GetValue("Cmp",I3,"Symbol")</f>
        <v>&lt;</v>
      </c>
      <c r="L3" t="str" cm="1">
        <f t="array" ref="L3">IF(K3="","",GetValue("Col",K3,"#TableAlias")&amp;"-"&amp;GetValue("Col",K3,"Name"))</f>
        <v/>
      </c>
      <c r="M3">
        <v>20</v>
      </c>
      <c r="N3" s="6" t="s">
        <v>447</v>
      </c>
    </row>
    <row r="4" spans="1:14">
      <c r="A4">
        <f t="shared" si="0"/>
        <v>3</v>
      </c>
      <c r="B4">
        <v>1</v>
      </c>
      <c r="C4" t="str" cm="1">
        <f t="array" ref="C4">GetValue("Exp",B4,"Name")</f>
        <v>Expression 0001</v>
      </c>
      <c r="D4">
        <v>15</v>
      </c>
      <c r="E4" s="6" t="s">
        <v>450</v>
      </c>
      <c r="F4" s="6" t="s">
        <v>446</v>
      </c>
      <c r="G4">
        <v>1</v>
      </c>
      <c r="H4" t="str" cm="1">
        <f t="array" ref="H4">GetValue("Col",G4,"#TableAlias")&amp;"-"&amp;GetValue("Col",G4,"Name")</f>
        <v>Cat-Id</v>
      </c>
      <c r="I4" s="6">
        <v>7</v>
      </c>
      <c r="J4" s="6" t="str" cm="1">
        <f t="array" ref="J4">GetValue("Cmp",I4,"Symbol")</f>
        <v>∈</v>
      </c>
      <c r="L4" t="str" cm="1">
        <f t="array" ref="L4">IF(K4="","",GetValue("Col",K4,"#TableAlias")&amp;"-"&amp;GetValue("Col",K4,"Name"))</f>
        <v/>
      </c>
      <c r="M4" t="s">
        <v>909</v>
      </c>
      <c r="N4" s="6" t="s">
        <v>921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O2"/>
  <sheetViews>
    <sheetView workbookViewId="0">
      <pane ySplit="1" topLeftCell="A2" activePane="bottomLeft" state="frozen"/>
      <selection pane="bottomLeft" activeCell="I2" sqref="I2"/>
    </sheetView>
  </sheetViews>
  <sheetFormatPr defaultRowHeight="14.4"/>
  <cols>
    <col min="1" max="1" width="2.6640625" bestFit="1" customWidth="1"/>
    <col min="2" max="2" width="9.33203125" bestFit="1" customWidth="1"/>
    <col min="3" max="3" width="13.6640625" bestFit="1" customWidth="1"/>
    <col min="4" max="4" width="7.33203125" bestFit="1" customWidth="1"/>
    <col min="5" max="5" width="10.44140625" bestFit="1" customWidth="1"/>
    <col min="6" max="6" width="11.5546875" bestFit="1" customWidth="1"/>
    <col min="7" max="7" width="16" bestFit="1" customWidth="1"/>
    <col min="8" max="8" width="6.33203125" bestFit="1" customWidth="1"/>
    <col min="9" max="9" width="12.6640625" bestFit="1" customWidth="1"/>
  </cols>
  <sheetData>
    <row r="1" spans="1:15" s="1" customFormat="1">
      <c r="A1" s="1" t="s">
        <v>0</v>
      </c>
      <c r="B1" s="1" t="s">
        <v>122</v>
      </c>
      <c r="C1" s="1" t="s">
        <v>155</v>
      </c>
      <c r="D1" s="1" t="s">
        <v>95</v>
      </c>
      <c r="E1" s="1" t="s">
        <v>474</v>
      </c>
      <c r="F1" s="1" t="s">
        <v>460</v>
      </c>
      <c r="G1" s="1" t="s">
        <v>473</v>
      </c>
      <c r="H1" s="1" t="s">
        <v>83</v>
      </c>
      <c r="I1" s="1" t="s">
        <v>901</v>
      </c>
      <c r="M1" s="23"/>
      <c r="N1" s="24"/>
      <c r="O1" s="23"/>
    </row>
    <row r="2" spans="1:15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Expression 0001</v>
      </c>
      <c r="H2" t="s">
        <v>900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415</v>
      </c>
      <c r="C1" s="1" t="s">
        <v>335</v>
      </c>
      <c r="D1" s="1" t="s">
        <v>1</v>
      </c>
      <c r="E1" s="1" t="s">
        <v>79</v>
      </c>
      <c r="F1" s="1" t="s">
        <v>80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141</v>
      </c>
      <c r="E2" t="s">
        <v>141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144</v>
      </c>
      <c r="E3" t="s">
        <v>81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6640625" defaultRowHeight="14.4"/>
  <cols>
    <col min="1" max="1" width="3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0</v>
      </c>
      <c r="B1" s="1" t="s">
        <v>68</v>
      </c>
      <c r="C1" s="1" t="s">
        <v>150</v>
      </c>
      <c r="D1" s="1" t="s">
        <v>82</v>
      </c>
      <c r="E1" s="1" t="s">
        <v>149</v>
      </c>
      <c r="F1" s="1" t="s">
        <v>95</v>
      </c>
      <c r="G1" s="1" t="s">
        <v>152</v>
      </c>
      <c r="H1" s="1" t="s">
        <v>442</v>
      </c>
      <c r="I1" s="1" t="s">
        <v>443</v>
      </c>
      <c r="J1" s="1" t="s">
        <v>444</v>
      </c>
      <c r="K1" s="1" t="s">
        <v>445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G19" sqref="G19"/>
    </sheetView>
  </sheetViews>
  <sheetFormatPr defaultColWidth="93.44140625" defaultRowHeight="14.4"/>
  <cols>
    <col min="1" max="1" width="3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146</v>
      </c>
      <c r="E1" s="8" t="s">
        <v>66</v>
      </c>
      <c r="F1" s="1" t="s">
        <v>24</v>
      </c>
    </row>
    <row r="2" spans="1:6">
      <c r="A2" s="10">
        <f>ROW(A2)-1</f>
        <v>1</v>
      </c>
      <c r="B2" s="10" t="s">
        <v>370</v>
      </c>
      <c r="C2" s="10"/>
      <c r="D2" s="10" t="str" cm="1">
        <f t="array" ref="D2">GetValue("Cat",C2,"Name")</f>
        <v/>
      </c>
      <c r="E2" s="10" t="s">
        <v>399</v>
      </c>
      <c r="F2" t="b">
        <v>1</v>
      </c>
    </row>
    <row r="3" spans="1:6">
      <c r="A3" s="10">
        <f t="shared" ref="A3:A20" si="0">ROW(A3)-1</f>
        <v>2</v>
      </c>
      <c r="B3" s="10" t="s">
        <v>371</v>
      </c>
      <c r="C3" s="10"/>
      <c r="D3" s="10" t="str" cm="1">
        <f t="array" ref="D3">GetValue("Cat",C3,"Name")</f>
        <v/>
      </c>
      <c r="E3" s="10" t="s">
        <v>400</v>
      </c>
      <c r="F3" t="b">
        <v>1</v>
      </c>
    </row>
    <row r="4" spans="1:6">
      <c r="A4" s="10">
        <f t="shared" si="0"/>
        <v>3</v>
      </c>
      <c r="B4" s="10" t="s">
        <v>372</v>
      </c>
      <c r="C4" s="10"/>
      <c r="D4" s="10" t="str" cm="1">
        <f t="array" ref="D4">GetValue("Cat",C4,"Name")</f>
        <v/>
      </c>
      <c r="E4" s="10" t="s">
        <v>401</v>
      </c>
      <c r="F4" t="b">
        <v>1</v>
      </c>
    </row>
    <row r="5" spans="1:6">
      <c r="A5" s="10">
        <f t="shared" si="0"/>
        <v>4</v>
      </c>
      <c r="B5" s="10" t="s">
        <v>373</v>
      </c>
      <c r="C5" s="10"/>
      <c r="D5" s="10" t="str" cm="1">
        <f t="array" ref="D5">GetValue("Cat",C5,"Name")</f>
        <v/>
      </c>
      <c r="E5" s="10" t="s">
        <v>402</v>
      </c>
      <c r="F5" t="b">
        <v>1</v>
      </c>
    </row>
    <row r="6" spans="1:6">
      <c r="A6" s="10">
        <f t="shared" si="0"/>
        <v>5</v>
      </c>
      <c r="B6" s="10" t="s">
        <v>374</v>
      </c>
      <c r="C6" s="10"/>
      <c r="D6" s="10" t="str" cm="1">
        <f t="array" ref="D6">GetValue("Cat",C6,"Name")</f>
        <v/>
      </c>
      <c r="E6" s="10" t="s">
        <v>403</v>
      </c>
      <c r="F6" t="b">
        <v>1</v>
      </c>
    </row>
    <row r="7" spans="1:6">
      <c r="A7" s="10">
        <f t="shared" si="0"/>
        <v>6</v>
      </c>
      <c r="B7" s="10" t="s">
        <v>375</v>
      </c>
      <c r="C7" s="10"/>
      <c r="D7" s="10" t="str" cm="1">
        <f t="array" ref="D7">GetValue("Cat",C7,"Name")</f>
        <v/>
      </c>
      <c r="E7" s="10" t="s">
        <v>404</v>
      </c>
      <c r="F7" t="b">
        <v>1</v>
      </c>
    </row>
    <row r="8" spans="1:6">
      <c r="A8" s="10">
        <f t="shared" si="0"/>
        <v>7</v>
      </c>
      <c r="B8" s="10" t="s">
        <v>376</v>
      </c>
      <c r="C8" s="10">
        <v>10</v>
      </c>
      <c r="D8" s="10" t="str" cm="1">
        <f t="array" ref="D8">GetValue("Cat",C8,"Name")</f>
        <v>undefined</v>
      </c>
      <c r="E8" s="10" t="s">
        <v>405</v>
      </c>
      <c r="F8" t="b">
        <v>1</v>
      </c>
    </row>
    <row r="9" spans="1:6">
      <c r="A9" s="10">
        <f t="shared" si="0"/>
        <v>8</v>
      </c>
      <c r="B9" s="10" t="s">
        <v>377</v>
      </c>
      <c r="C9" s="10">
        <v>1</v>
      </c>
      <c r="D9" s="10" t="str" cm="1">
        <f t="array" ref="D9">GetValue("Cat",C9,"Name")</f>
        <v>string</v>
      </c>
      <c r="E9" s="10" t="s">
        <v>378</v>
      </c>
      <c r="F9" t="b">
        <v>1</v>
      </c>
    </row>
    <row r="10" spans="1:6">
      <c r="A10" s="10">
        <f t="shared" si="0"/>
        <v>9</v>
      </c>
      <c r="B10" s="10" t="s">
        <v>379</v>
      </c>
      <c r="C10" s="10">
        <v>1</v>
      </c>
      <c r="D10" s="10" t="str" cm="1">
        <f t="array" ref="D10">GetValue("Cat",C10,"Name")</f>
        <v>string</v>
      </c>
      <c r="E10" s="10" t="s">
        <v>380</v>
      </c>
      <c r="F10" t="b">
        <v>1</v>
      </c>
    </row>
    <row r="11" spans="1:6">
      <c r="A11" s="10">
        <f t="shared" si="0"/>
        <v>10</v>
      </c>
      <c r="B11" s="10" t="s">
        <v>381</v>
      </c>
      <c r="C11" s="10">
        <v>1</v>
      </c>
      <c r="D11" s="10" t="str" cm="1">
        <f t="array" ref="D11">GetValue("Cat",C11,"Name")</f>
        <v>string</v>
      </c>
      <c r="E11" s="10" t="s">
        <v>382</v>
      </c>
      <c r="F11" t="b">
        <v>1</v>
      </c>
    </row>
    <row r="12" spans="1:6">
      <c r="A12" s="10">
        <f t="shared" si="0"/>
        <v>11</v>
      </c>
      <c r="B12" s="10" t="s">
        <v>383</v>
      </c>
      <c r="C12" s="10">
        <v>1</v>
      </c>
      <c r="D12" s="10" t="str" cm="1">
        <f t="array" ref="D12">GetValue("Cat",C12,"Name")</f>
        <v>string</v>
      </c>
      <c r="E12" s="10" t="s">
        <v>384</v>
      </c>
      <c r="F12" t="b">
        <v>1</v>
      </c>
    </row>
    <row r="13" spans="1:6">
      <c r="A13" s="10">
        <f t="shared" si="0"/>
        <v>12</v>
      </c>
      <c r="B13" s="10" t="s">
        <v>385</v>
      </c>
      <c r="C13" s="10">
        <v>10</v>
      </c>
      <c r="D13" s="10" t="str" cm="1">
        <f t="array" ref="D13">GetValue("Cat",C13,"Name")</f>
        <v>undefined</v>
      </c>
      <c r="E13" s="10" t="s">
        <v>406</v>
      </c>
      <c r="F13" t="b">
        <v>1</v>
      </c>
    </row>
    <row r="14" spans="1:6">
      <c r="A14" s="10">
        <f t="shared" si="0"/>
        <v>13</v>
      </c>
      <c r="B14" s="10" t="s">
        <v>386</v>
      </c>
      <c r="C14" s="10">
        <v>10</v>
      </c>
      <c r="D14" s="10" t="str" cm="1">
        <f t="array" ref="D14">GetValue("Cat",C14,"Name")</f>
        <v>undefined</v>
      </c>
      <c r="E14" s="10" t="s">
        <v>407</v>
      </c>
      <c r="F14" t="b">
        <v>1</v>
      </c>
    </row>
    <row r="15" spans="1:6">
      <c r="A15" s="10">
        <f t="shared" si="0"/>
        <v>14</v>
      </c>
      <c r="B15" s="10" t="s">
        <v>387</v>
      </c>
      <c r="C15" s="10">
        <v>2</v>
      </c>
      <c r="D15" s="10" t="str" cm="1">
        <f t="array" ref="D15">GetValue("Cat",C15,"Name")</f>
        <v>number</v>
      </c>
      <c r="E15" s="10" t="s">
        <v>388</v>
      </c>
      <c r="F15" t="b">
        <v>1</v>
      </c>
    </row>
    <row r="16" spans="1:6">
      <c r="A16" s="10">
        <f t="shared" si="0"/>
        <v>15</v>
      </c>
      <c r="B16" s="10" t="s">
        <v>389</v>
      </c>
      <c r="C16" s="10">
        <v>2</v>
      </c>
      <c r="D16" s="10" t="str" cm="1">
        <f t="array" ref="D16">GetValue("Cat",C16,"Name")</f>
        <v>number</v>
      </c>
      <c r="E16" s="10" t="s">
        <v>390</v>
      </c>
      <c r="F16" t="b">
        <v>1</v>
      </c>
    </row>
    <row r="17" spans="1:6">
      <c r="A17" s="10">
        <f t="shared" si="0"/>
        <v>16</v>
      </c>
      <c r="B17" s="10" t="s">
        <v>391</v>
      </c>
      <c r="C17" s="10">
        <v>2</v>
      </c>
      <c r="D17" s="10" t="str" cm="1">
        <f t="array" ref="D17">GetValue("Cat",C17,"Name")</f>
        <v>number</v>
      </c>
      <c r="E17" s="10" t="s">
        <v>392</v>
      </c>
      <c r="F17" t="b">
        <v>1</v>
      </c>
    </row>
    <row r="18" spans="1:6">
      <c r="A18" s="10">
        <f t="shared" si="0"/>
        <v>17</v>
      </c>
      <c r="B18" s="10" t="s">
        <v>393</v>
      </c>
      <c r="C18" s="10">
        <v>1</v>
      </c>
      <c r="D18" s="10" t="str" cm="1">
        <f t="array" ref="D18">GetValue("Cat",C18,"Name")</f>
        <v>string</v>
      </c>
      <c r="E18" s="10" t="s">
        <v>394</v>
      </c>
      <c r="F18" t="b">
        <v>1</v>
      </c>
    </row>
    <row r="19" spans="1:6">
      <c r="A19" s="10">
        <f t="shared" si="0"/>
        <v>18</v>
      </c>
      <c r="B19" s="10" t="s">
        <v>395</v>
      </c>
      <c r="C19" s="10">
        <v>1</v>
      </c>
      <c r="D19" s="10" t="str" cm="1">
        <f t="array" ref="D19">GetValue("Cat",C19,"Name")</f>
        <v>string</v>
      </c>
      <c r="E19" s="10" t="s">
        <v>396</v>
      </c>
      <c r="F19" t="b">
        <v>1</v>
      </c>
    </row>
    <row r="20" spans="1:6">
      <c r="A20" s="10">
        <f t="shared" si="0"/>
        <v>19</v>
      </c>
      <c r="B20" s="10" t="s">
        <v>397</v>
      </c>
      <c r="C20" s="10">
        <v>1</v>
      </c>
      <c r="D20" s="10" t="str" cm="1">
        <f t="array" ref="D20">GetValue("Cat",C20,"Name")</f>
        <v>string</v>
      </c>
      <c r="E20" s="10" t="s">
        <v>398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I21"/>
  <sheetViews>
    <sheetView workbookViewId="0">
      <pane ySplit="1" topLeftCell="A2" activePane="bottomLeft" state="frozen"/>
      <selection pane="bottomLeft" activeCell="E3" sqref="E3"/>
    </sheetView>
  </sheetViews>
  <sheetFormatPr defaultColWidth="9" defaultRowHeight="14.4"/>
  <cols>
    <col min="1" max="1" width="2.6640625" bestFit="1" customWidth="1"/>
    <col min="2" max="2" width="9.21875" bestFit="1" customWidth="1"/>
    <col min="3" max="3" width="10.44140625" bestFit="1" customWidth="1"/>
    <col min="4" max="4" width="13.66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</cols>
  <sheetData>
    <row r="1" spans="1:9" s="1" customFormat="1">
      <c r="A1" s="8" t="s">
        <v>0</v>
      </c>
      <c r="B1" s="8" t="s">
        <v>122</v>
      </c>
      <c r="C1" s="8" t="s">
        <v>474</v>
      </c>
      <c r="D1" s="1" t="s">
        <v>155</v>
      </c>
      <c r="E1" s="1" t="s">
        <v>460</v>
      </c>
      <c r="F1" s="1" t="s">
        <v>473</v>
      </c>
      <c r="G1" s="1" t="s">
        <v>461</v>
      </c>
      <c r="H1" s="1" t="s">
        <v>410</v>
      </c>
      <c r="I1" s="1" t="s">
        <v>312</v>
      </c>
    </row>
    <row r="2" spans="1:9">
      <c r="A2" s="10">
        <f>ROW(A2)-1</f>
        <v>1</v>
      </c>
      <c r="B2" s="10">
        <v>1</v>
      </c>
      <c r="C2" t="str" cm="1">
        <f t="array" ref="C2">GetValue("Col",B2,"#TableAlias")</f>
        <v>Cat</v>
      </c>
      <c r="D2" t="str" cm="1">
        <f t="array" ref="D2">GetValue("Col",B2,"Name")</f>
        <v>Id</v>
      </c>
      <c r="E2">
        <v>1</v>
      </c>
      <c r="F2" t="str" cm="1">
        <f t="array" ref="F2">GetValue("Exp",E2,"Name")</f>
        <v>Expression 0001</v>
      </c>
      <c r="G2">
        <v>2</v>
      </c>
      <c r="H2" s="14" t="str" cm="1">
        <f t="array" ref="H2">GetValue("Prp",G2,"Name")</f>
        <v>enabled</v>
      </c>
      <c r="I2" t="s">
        <v>370</v>
      </c>
    </row>
    <row r="3" spans="1:9">
      <c r="A3" s="10"/>
      <c r="B3" s="10"/>
      <c r="C3" s="10"/>
    </row>
    <row r="4" spans="1:9">
      <c r="A4" s="10"/>
      <c r="B4" s="10"/>
      <c r="C4" s="10"/>
    </row>
    <row r="5" spans="1:9">
      <c r="A5" s="10"/>
      <c r="B5" s="10"/>
      <c r="C5" s="10"/>
    </row>
    <row r="6" spans="1:9">
      <c r="A6" s="10"/>
      <c r="B6" s="10"/>
      <c r="C6" s="10"/>
    </row>
    <row r="7" spans="1:9">
      <c r="A7" s="10"/>
      <c r="B7" s="10"/>
      <c r="C7" s="10"/>
    </row>
    <row r="8" spans="1:9">
      <c r="A8" s="10"/>
      <c r="B8" s="10"/>
      <c r="C8" s="10"/>
    </row>
    <row r="9" spans="1:9">
      <c r="A9" s="10"/>
      <c r="B9" s="10"/>
      <c r="C9" s="10"/>
    </row>
    <row r="10" spans="1:9">
      <c r="A10" s="10"/>
      <c r="B10" s="10"/>
      <c r="C10" s="10"/>
    </row>
    <row r="11" spans="1:9">
      <c r="A11" s="10"/>
      <c r="B11" s="10"/>
      <c r="C11" s="10"/>
    </row>
    <row r="12" spans="1:9">
      <c r="A12" s="10"/>
      <c r="B12" s="10"/>
      <c r="C12" s="10"/>
    </row>
    <row r="13" spans="1:9">
      <c r="A13" s="10"/>
      <c r="B13" s="10"/>
      <c r="C13" s="10"/>
    </row>
    <row r="14" spans="1:9">
      <c r="A14" s="10"/>
      <c r="B14" s="10"/>
      <c r="C14" s="10"/>
    </row>
    <row r="15" spans="1:9">
      <c r="A15" s="10"/>
      <c r="B15" s="10"/>
      <c r="C15" s="10"/>
    </row>
    <row r="16" spans="1:9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N2"/>
  <sheetViews>
    <sheetView workbookViewId="0">
      <pane ySplit="1" topLeftCell="A2" activePane="bottomLeft" state="frozen"/>
      <selection pane="bottomLeft" activeCell="I6" sqref="I6"/>
    </sheetView>
  </sheetViews>
  <sheetFormatPr defaultColWidth="8.21875" defaultRowHeight="14.4"/>
  <cols>
    <col min="1" max="1" width="2.6640625" bestFit="1" customWidth="1"/>
    <col min="2" max="2" width="7.44140625" bestFit="1" customWidth="1"/>
    <col min="3" max="3" width="11.77734375" bestFit="1" customWidth="1"/>
    <col min="4" max="4" width="6.77734375" bestFit="1" customWidth="1"/>
    <col min="5" max="5" width="7.44140625" bestFit="1" customWidth="1"/>
    <col min="6" max="6" width="9.88671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15.6640625" bestFit="1" customWidth="1"/>
    <col min="14" max="14" width="11.77734375" bestFit="1" customWidth="1"/>
  </cols>
  <sheetData>
    <row r="1" spans="1:14" s="1" customFormat="1">
      <c r="A1" s="1" t="s">
        <v>0</v>
      </c>
      <c r="B1" s="1" t="s">
        <v>415</v>
      </c>
      <c r="C1" s="1" t="s">
        <v>335</v>
      </c>
      <c r="D1" s="1" t="s">
        <v>1</v>
      </c>
      <c r="E1" s="1" t="s">
        <v>477</v>
      </c>
      <c r="F1" s="1" t="s">
        <v>414</v>
      </c>
      <c r="G1" s="1" t="s">
        <v>478</v>
      </c>
      <c r="H1" s="1" t="s">
        <v>479</v>
      </c>
      <c r="I1" s="1" t="s">
        <v>480</v>
      </c>
      <c r="J1" s="1" t="s">
        <v>481</v>
      </c>
      <c r="K1" s="1" t="s">
        <v>482</v>
      </c>
      <c r="L1" s="1" t="s">
        <v>483</v>
      </c>
      <c r="M1" s="1" t="s">
        <v>919</v>
      </c>
      <c r="N1" s="1" t="s">
        <v>24</v>
      </c>
    </row>
    <row r="2" spans="1:14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672</v>
      </c>
      <c r="E2">
        <v>1</v>
      </c>
      <c r="F2" t="s">
        <v>673</v>
      </c>
      <c r="G2" s="27">
        <v>0.33333333333333331</v>
      </c>
      <c r="N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H8" sqref="H8"/>
    </sheetView>
  </sheetViews>
  <sheetFormatPr defaultColWidth="9"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485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674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G1" sqref="G1"/>
    </sheetView>
  </sheetViews>
  <sheetFormatPr defaultRowHeight="14.4"/>
  <cols>
    <col min="1" max="1" width="2.6640625" bestFit="1" customWidth="1"/>
    <col min="2" max="2" width="8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0</v>
      </c>
      <c r="B1" s="1" t="s">
        <v>906</v>
      </c>
      <c r="C1" s="1" t="s">
        <v>903</v>
      </c>
      <c r="D1" s="1" t="s">
        <v>84</v>
      </c>
      <c r="E1" s="1" t="s">
        <v>151</v>
      </c>
      <c r="F1" s="1" t="s">
        <v>69</v>
      </c>
      <c r="G1" s="1" t="s">
        <v>484</v>
      </c>
    </row>
    <row r="2" spans="1:7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675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B7" sqref="B7"/>
    </sheetView>
  </sheetViews>
  <sheetFormatPr defaultRowHeight="14.4"/>
  <cols>
    <col min="1" max="1" width="2.6640625" bestFit="1" customWidth="1"/>
    <col min="2" max="2" width="8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6640625" bestFit="1" customWidth="1"/>
  </cols>
  <sheetData>
    <row r="1" spans="1:6">
      <c r="A1" s="1" t="s">
        <v>0</v>
      </c>
      <c r="B1" s="1" t="s">
        <v>906</v>
      </c>
      <c r="C1" s="1" t="s">
        <v>903</v>
      </c>
      <c r="D1" s="1" t="s">
        <v>69</v>
      </c>
      <c r="E1" s="1" t="s">
        <v>679</v>
      </c>
      <c r="F1" s="1" t="s">
        <v>852</v>
      </c>
    </row>
    <row r="2" spans="1:6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10</v>
      </c>
      <c r="E2" t="s">
        <v>680</v>
      </c>
      <c r="F2" s="28" t="s">
        <v>678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G7" sqref="G7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9.109375" bestFit="1" customWidth="1"/>
    <col min="5" max="5" width="13.88671875" bestFit="1" customWidth="1"/>
    <col min="6" max="6" width="6.88671875" bestFit="1" customWidth="1"/>
    <col min="7" max="7" width="11.44140625" bestFit="1" customWidth="1"/>
    <col min="8" max="8" width="9.6640625" bestFit="1" customWidth="1"/>
    <col min="9" max="9" width="8.6640625" bestFit="1" customWidth="1"/>
  </cols>
  <sheetData>
    <row r="1" spans="1:9" s="1" customFormat="1">
      <c r="A1" s="1" t="s">
        <v>0</v>
      </c>
      <c r="B1" s="1" t="s">
        <v>415</v>
      </c>
      <c r="C1" s="1" t="s">
        <v>335</v>
      </c>
      <c r="D1" s="1" t="s">
        <v>68</v>
      </c>
      <c r="E1" s="1" t="s">
        <v>150</v>
      </c>
      <c r="F1" s="1" t="s">
        <v>82</v>
      </c>
      <c r="G1" s="1" t="s">
        <v>149</v>
      </c>
      <c r="H1" s="1" t="s">
        <v>143</v>
      </c>
      <c r="I1" s="1" t="s">
        <v>145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F5" sqref="F5"/>
    </sheetView>
  </sheetViews>
  <sheetFormatPr defaultRowHeight="14.4"/>
  <cols>
    <col min="1" max="1" width="2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0</v>
      </c>
      <c r="B1" s="1" t="s">
        <v>211</v>
      </c>
      <c r="C1" s="1" t="s">
        <v>189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0</v>
      </c>
      <c r="B1" s="1" t="s">
        <v>190</v>
      </c>
      <c r="C1" s="1" t="s">
        <v>191</v>
      </c>
      <c r="D1" s="1" t="s">
        <v>72</v>
      </c>
      <c r="E1" s="1" t="s">
        <v>196</v>
      </c>
      <c r="F1" s="1" t="s">
        <v>192</v>
      </c>
      <c r="G1" s="1" t="s">
        <v>189</v>
      </c>
    </row>
    <row r="2" spans="1:7">
      <c r="A2" s="10">
        <f>ROW(A2)-1</f>
        <v>1</v>
      </c>
      <c r="B2">
        <v>1</v>
      </c>
      <c r="C2" t="s">
        <v>91</v>
      </c>
      <c r="D2" t="s">
        <v>676</v>
      </c>
      <c r="E2" t="s">
        <v>677</v>
      </c>
      <c r="F2" t="s">
        <v>677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2026-06-20T02:36:53Z</dcterms:modified>
</cp:coreProperties>
</file>