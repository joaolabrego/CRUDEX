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9DAC6012-879B-494C-A864-AE749A006FDC}" xr6:coauthVersionLast="47" xr6:coauthVersionMax="47" xr10:uidLastSave="{00000000-0000-0000-0000-000000000000}"/>
  <bookViews>
    <workbookView xWindow="-108" yWindow="-108" windowWidth="23256" windowHeight="13176" tabRatio="969" firstSheet="2" activeTab="2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E97" i="12" a="1"/>
  <c r="C97" i="12" a="1"/>
  <c r="E97" i="12" l="1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E51" i="4" a="1"/>
  <c r="I20" i="11" a="1"/>
  <c r="I32" i="11" a="1"/>
  <c r="E52" i="4" a="1"/>
  <c r="I24" i="11" a="1"/>
  <c r="I6" i="11" a="1"/>
  <c r="E53" i="4" a="1"/>
  <c r="I12" i="11" a="1"/>
  <c r="I25" i="11" a="1"/>
  <c r="C51" i="4" a="1"/>
  <c r="I35" i="11" a="1"/>
  <c r="C52" i="4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C53" i="4" a="1"/>
  <c r="F2" i="38" a="1"/>
  <c r="I30" i="11" a="1"/>
  <c r="I9" i="11" a="1"/>
  <c r="C2" i="34" a="1"/>
  <c r="I7" i="11" a="1"/>
  <c r="J4" i="34" a="1"/>
  <c r="E192" i="12" a="1"/>
  <c r="C171" i="12" a="1"/>
  <c r="C199" i="12" a="1"/>
  <c r="C189" i="12" a="1"/>
  <c r="C206" i="12" a="1"/>
  <c r="E185" i="12" a="1"/>
  <c r="C177" i="12" a="1"/>
  <c r="C154" i="12" a="1"/>
  <c r="E171" i="12" a="1"/>
  <c r="E148" i="12" a="1"/>
  <c r="E183" i="12" a="1"/>
  <c r="C133" i="12" a="1"/>
  <c r="E152" i="12" a="1"/>
  <c r="C173" i="12" a="1"/>
  <c r="E132" i="12" a="1"/>
  <c r="E206" i="12" a="1"/>
  <c r="C142" i="12" a="1"/>
  <c r="E169" i="12" a="1"/>
  <c r="E218" i="12" a="1"/>
  <c r="C184" i="12" a="1"/>
  <c r="C140" i="12" a="1"/>
  <c r="E216" i="12" a="1"/>
  <c r="C186" i="12" a="1"/>
  <c r="C197" i="12" a="1"/>
  <c r="E179" i="12" a="1"/>
  <c r="C178" i="12" a="1"/>
  <c r="E168" i="12" a="1"/>
  <c r="E149" i="12" a="1"/>
  <c r="C146" i="12" a="1"/>
  <c r="E138" i="12" a="1"/>
  <c r="E193" i="12" a="1"/>
  <c r="C181" i="12" a="1"/>
  <c r="E195" i="12" a="1"/>
  <c r="C211" i="12" a="1"/>
  <c r="C143" i="12" a="1"/>
  <c r="E163" i="12" a="1"/>
  <c r="C218" i="12" a="1"/>
  <c r="E173" i="12" a="1"/>
  <c r="E134" i="12" a="1"/>
  <c r="E176" i="12" a="1"/>
  <c r="E139" i="12" a="1"/>
  <c r="E161" i="12" a="1"/>
  <c r="C217" i="12" a="1"/>
  <c r="E102" i="12" a="1"/>
  <c r="C208" i="12" a="1"/>
  <c r="E150" i="12" a="1"/>
  <c r="E199" i="12" a="1"/>
  <c r="E220" i="12" a="1"/>
  <c r="E172" i="12" a="1"/>
  <c r="E202" i="12" a="1"/>
  <c r="E189" i="12" a="1"/>
  <c r="E147" i="12" a="1"/>
  <c r="E144" i="12" a="1"/>
  <c r="E153" i="12" a="1"/>
  <c r="E180" i="12" a="1"/>
  <c r="C163" i="12" a="1"/>
  <c r="C149" i="12" a="1"/>
  <c r="C168" i="12" a="1"/>
  <c r="C187" i="12" a="1"/>
  <c r="C102" i="12" a="1"/>
  <c r="E167" i="12" a="1"/>
  <c r="C161" i="12" a="1"/>
  <c r="E160" i="12" a="1"/>
  <c r="C182" i="12" a="1"/>
  <c r="E154" i="12" a="1"/>
  <c r="E104" i="12" a="1"/>
  <c r="C213" i="12" a="1"/>
  <c r="E184" i="12" a="1"/>
  <c r="E203" i="12" a="1"/>
  <c r="C212" i="12" a="1"/>
  <c r="E157" i="12" a="1"/>
  <c r="C198" i="12" a="1"/>
  <c r="E142" i="12" a="1"/>
  <c r="E210" i="12" a="1"/>
  <c r="C135" i="12" a="1"/>
  <c r="E191" i="12" a="1"/>
  <c r="E217" i="12" a="1"/>
  <c r="C202" i="12" a="1"/>
  <c r="C160" i="12" a="1"/>
  <c r="E141" i="12" a="1"/>
  <c r="E151" i="12" a="1"/>
  <c r="C144" i="12" a="1"/>
  <c r="E174" i="12" a="1"/>
  <c r="C172" i="12" a="1"/>
  <c r="C191" i="12" a="1"/>
  <c r="E155" i="12" a="1"/>
  <c r="E181" i="12" a="1"/>
  <c r="C185" i="12" a="1"/>
  <c r="E143" i="12" a="1"/>
  <c r="C194" i="12" a="1"/>
  <c r="E198" i="12" a="1"/>
  <c r="C175" i="12" a="1"/>
  <c r="C190" i="12" a="1"/>
  <c r="E219" i="12" a="1"/>
  <c r="C219" i="12" a="1"/>
  <c r="E201" i="12" a="1"/>
  <c r="E133" i="12" a="1"/>
  <c r="E194" i="12" a="1"/>
  <c r="C195" i="12" a="1"/>
  <c r="E196" i="12" a="1"/>
  <c r="C145" i="12" a="1"/>
  <c r="C150" i="12" a="1"/>
  <c r="C151" i="12" a="1"/>
  <c r="C201" i="12" a="1"/>
  <c r="E178" i="12" a="1"/>
  <c r="C183" i="12" a="1"/>
  <c r="C132" i="12" a="1"/>
  <c r="E212" i="12" a="1"/>
  <c r="E146" i="12" a="1"/>
  <c r="C170" i="12" a="1"/>
  <c r="C139" i="12" a="1"/>
  <c r="E145" i="12" a="1"/>
  <c r="E207" i="12" a="1"/>
  <c r="E211" i="12" a="1"/>
  <c r="E166" i="12" a="1"/>
  <c r="E170" i="12" a="1"/>
  <c r="C209" i="12" a="1"/>
  <c r="C119" i="12" a="1"/>
  <c r="C104" i="12" a="1"/>
  <c r="E190" i="12" a="1"/>
  <c r="C136" i="12" a="1"/>
  <c r="E182" i="12" a="1"/>
  <c r="C159" i="12" a="1"/>
  <c r="C155" i="12" a="1"/>
  <c r="C176" i="12" a="1"/>
  <c r="C157" i="12" a="1"/>
  <c r="C196" i="12" a="1"/>
  <c r="E200" i="12" a="1"/>
  <c r="C200" i="12" a="1"/>
  <c r="E205" i="12" a="1"/>
  <c r="E158" i="12" a="1"/>
  <c r="E214" i="12" a="1"/>
  <c r="E136" i="12" a="1"/>
  <c r="E213" i="12" a="1"/>
  <c r="C165" i="12" a="1"/>
  <c r="C137" i="12" a="1"/>
  <c r="E137" i="12" a="1"/>
  <c r="C134" i="12" a="1"/>
  <c r="E186" i="12" a="1"/>
  <c r="C193" i="12" a="1"/>
  <c r="C210" i="12" a="1"/>
  <c r="E164" i="12" a="1"/>
  <c r="E204" i="12" a="1"/>
  <c r="C192" i="12" a="1"/>
  <c r="C215" i="12" a="1"/>
  <c r="C164" i="12" a="1"/>
  <c r="E135" i="12" a="1"/>
  <c r="E187" i="12" a="1"/>
  <c r="E177" i="12" a="1"/>
  <c r="C188" i="12" a="1"/>
  <c r="C152" i="12" a="1"/>
  <c r="C166" i="12" a="1"/>
  <c r="E162" i="12" a="1"/>
  <c r="E140" i="12" a="1"/>
  <c r="C147" i="12" a="1"/>
  <c r="C204" i="12" a="1"/>
  <c r="C169" i="12" a="1"/>
  <c r="C103" i="12" a="1"/>
  <c r="C162" i="12" a="1"/>
  <c r="C220" i="12" a="1"/>
  <c r="E119" i="12" a="1"/>
  <c r="E208" i="12" a="1"/>
  <c r="C141" i="12" a="1"/>
  <c r="E197" i="12" a="1"/>
  <c r="C205" i="12" a="1"/>
  <c r="C158" i="12" a="1"/>
  <c r="C216" i="12" a="1"/>
  <c r="C174" i="12" a="1"/>
  <c r="C203" i="12" a="1"/>
  <c r="C138" i="12" a="1"/>
  <c r="E209" i="12" a="1"/>
  <c r="C180" i="12" a="1"/>
  <c r="E103" i="12" a="1"/>
  <c r="C207" i="12" a="1"/>
  <c r="E156" i="12" a="1"/>
  <c r="C148" i="12" a="1"/>
  <c r="C167" i="12" a="1"/>
  <c r="E188" i="12" a="1"/>
  <c r="C179" i="12" a="1"/>
  <c r="C156" i="12" a="1"/>
  <c r="C214" i="12" a="1"/>
  <c r="E175" i="12" a="1"/>
  <c r="E165" i="12" a="1"/>
  <c r="C153" i="12" a="1"/>
  <c r="E215" i="12" a="1"/>
  <c r="E159" i="12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39" i="12" a="1"/>
  <c r="G149" i="12" a="1"/>
  <c r="G178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C126" i="12" a="1"/>
  <c r="G214" i="12" a="1"/>
  <c r="G132" i="12" a="1"/>
  <c r="G169" i="12" a="1"/>
  <c r="G211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C15" i="4" a="1"/>
  <c r="E15" i="4" a="1"/>
  <c r="G151" i="12" a="1"/>
  <c r="G141" i="12" a="1"/>
  <c r="G157" i="12" a="1"/>
  <c r="E11" i="12" a="1"/>
  <c r="G192" i="12" a="1"/>
  <c r="C11" i="12" a="1"/>
  <c r="G207" i="12" a="1"/>
  <c r="G197" i="12" a="1"/>
  <c r="G163" i="12" a="1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72" i="12" a="1"/>
  <c r="G177" i="12" a="1"/>
  <c r="G203" i="12" a="1"/>
  <c r="G164" i="12" a="1"/>
  <c r="G198" i="12" a="1"/>
  <c r="G193" i="12" a="1"/>
  <c r="E12" i="12" a="1"/>
  <c r="G181" i="12" a="1"/>
  <c r="G135" i="12" a="1"/>
  <c r="G208" i="12" a="1"/>
  <c r="G158" i="12" a="1"/>
  <c r="G142" i="12" a="1"/>
  <c r="G152" i="12" a="1"/>
  <c r="G217" i="12" a="1"/>
  <c r="C1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50" i="4" a="1"/>
  <c r="E50" i="4" a="1"/>
  <c r="C22" i="4" a="1"/>
  <c r="C45" i="4" a="1"/>
  <c r="E45" i="4" a="1"/>
  <c r="C57" i="12" a="1"/>
  <c r="C44" i="12" a="1"/>
  <c r="G159" i="12" a="1"/>
  <c r="E44" i="12" a="1"/>
  <c r="E41" i="12" a="1"/>
  <c r="G165" i="12" a="1"/>
  <c r="G218" i="12" a="1"/>
  <c r="E43" i="12" a="1"/>
  <c r="G143" i="12" a="1"/>
  <c r="C45" i="12" a="1"/>
  <c r="E21" i="12" a="1"/>
  <c r="E42" i="12" a="1"/>
  <c r="E45" i="12" a="1"/>
  <c r="G194" i="12" a="1"/>
  <c r="G182" i="12" a="1"/>
  <c r="G209" i="12" a="1"/>
  <c r="G204" i="12" a="1"/>
  <c r="C43" i="12" a="1"/>
  <c r="E57" i="12" a="1"/>
  <c r="G199" i="12" a="1"/>
  <c r="G173" i="12" a="1"/>
  <c r="C41" i="12" a="1"/>
  <c r="G153" i="12" a="1"/>
  <c r="C21" i="12" a="1"/>
  <c r="C42" i="12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210" i="12" a="1"/>
  <c r="G154" i="12" a="1"/>
  <c r="G219" i="12" a="1"/>
  <c r="G183" i="12" a="1"/>
  <c r="E17" i="12" a="1"/>
  <c r="G166" i="12" a="1"/>
  <c r="G160" i="12" a="1"/>
  <c r="C17" i="12" a="1"/>
  <c r="G144" i="12" a="1"/>
  <c r="G41" i="12" a="1"/>
  <c r="E18" i="12" a="1"/>
  <c r="C18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58" i="53" a="1"/>
  <c r="C2" i="15" a="1"/>
  <c r="C15" i="11" a="1"/>
  <c r="C64" i="53" a="1"/>
  <c r="C37" i="53" a="1"/>
  <c r="C31" i="53" a="1"/>
  <c r="E32" i="53" a="1"/>
  <c r="C39" i="53" a="1"/>
  <c r="E2" i="46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E49" i="4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G2" i="46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49" i="4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94" i="12" a="1"/>
  <c r="C8" i="12" a="1"/>
  <c r="C35" i="12" a="1"/>
  <c r="C86" i="12" a="1"/>
  <c r="C76" i="12" a="1"/>
  <c r="C89" i="12" a="1"/>
  <c r="G42" i="12" a="1"/>
  <c r="C51" i="12" a="1"/>
  <c r="C31" i="12" a="1"/>
  <c r="C88" i="12" a="1"/>
  <c r="C48" i="12" a="1"/>
  <c r="C22" i="12" a="1"/>
  <c r="C100" i="12" a="1"/>
  <c r="C83" i="12" a="1"/>
  <c r="C3" i="12" a="1"/>
  <c r="C54" i="12" a="1"/>
  <c r="C13" i="12" a="1"/>
  <c r="C26" i="12" a="1"/>
  <c r="C80" i="12" a="1"/>
  <c r="C6" i="12" a="1"/>
  <c r="C84" i="12" a="1"/>
  <c r="C92" i="12" a="1"/>
  <c r="C33" i="12" a="1"/>
  <c r="C108" i="12" a="1"/>
  <c r="C38" i="12" a="1"/>
  <c r="C32" i="12" a="1"/>
  <c r="C121" i="12" a="1"/>
  <c r="C47" i="12" a="1"/>
  <c r="G167" i="12" a="1"/>
  <c r="C95" i="12" a="1"/>
  <c r="C131" i="12" a="1"/>
  <c r="C25" i="12" a="1"/>
  <c r="C50" i="12" a="1"/>
  <c r="C61" i="12" a="1"/>
  <c r="C67" i="12" a="1"/>
  <c r="C72" i="12" a="1"/>
  <c r="C60" i="12" a="1"/>
  <c r="C93" i="12" a="1"/>
  <c r="C29" i="12" a="1"/>
  <c r="C120" i="12" a="1"/>
  <c r="C5" i="12" a="1"/>
  <c r="C55" i="12" a="1"/>
  <c r="C15" i="12" a="1"/>
  <c r="C122" i="12" a="1"/>
  <c r="C62" i="12" a="1"/>
  <c r="C110" i="12" a="1"/>
  <c r="C16" i="12" a="1"/>
  <c r="C118" i="12" a="1"/>
  <c r="C96" i="12" a="1"/>
  <c r="G145" i="12" a="1"/>
  <c r="C90" i="12" a="1"/>
  <c r="C79" i="12" a="1"/>
  <c r="C46" i="12" a="1"/>
  <c r="C99" i="12" a="1"/>
  <c r="C98" i="12" a="1"/>
  <c r="C4" i="12" a="1"/>
  <c r="E14" i="12" a="1"/>
  <c r="C37" i="12" a="1"/>
  <c r="C81" i="12" a="1"/>
  <c r="C49" i="12" a="1"/>
  <c r="C109" i="12" a="1"/>
  <c r="C20" i="12" a="1"/>
  <c r="C82" i="12" a="1"/>
  <c r="C85" i="12" a="1"/>
  <c r="C2" i="12" a="1"/>
  <c r="C115" i="12" a="1"/>
  <c r="C112" i="12" a="1"/>
  <c r="C124" i="12" a="1"/>
  <c r="C68" i="12" a="1"/>
  <c r="C39" i="12" a="1"/>
  <c r="C107" i="12" a="1"/>
  <c r="C10" i="12" a="1"/>
  <c r="C19" i="12" a="1"/>
  <c r="C28" i="12" a="1"/>
  <c r="C36" i="12" a="1"/>
  <c r="C125" i="12" a="1"/>
  <c r="C91" i="12" a="1"/>
  <c r="C73" i="12" a="1"/>
  <c r="C52" i="12" a="1"/>
  <c r="C75" i="12" a="1"/>
  <c r="C129" i="12" a="1"/>
  <c r="C77" i="12" a="1"/>
  <c r="C123" i="12" a="1"/>
  <c r="C56" i="12" a="1"/>
  <c r="C117" i="12" a="1"/>
  <c r="C9" i="12" a="1"/>
  <c r="C113" i="12" a="1"/>
  <c r="C69" i="12" a="1"/>
  <c r="C59" i="12" a="1"/>
  <c r="C111" i="12" a="1"/>
  <c r="E15" i="12" a="1"/>
  <c r="C101" i="12" a="1"/>
  <c r="C116" i="12" a="1"/>
  <c r="C53" i="12" a="1"/>
  <c r="G17" i="12" a="1"/>
  <c r="C74" i="12" a="1"/>
  <c r="C78" i="12" a="1"/>
  <c r="C106" i="12" a="1"/>
  <c r="C71" i="12" a="1"/>
  <c r="C40" i="12" a="1"/>
  <c r="C27" i="12" a="1"/>
  <c r="C130" i="12" a="1"/>
  <c r="C70" i="12" a="1"/>
  <c r="C14" i="12" a="1"/>
  <c r="G184" i="12" a="1"/>
  <c r="C114" i="12" a="1"/>
  <c r="E16" i="12" a="1"/>
  <c r="C58" i="12" a="1"/>
  <c r="C66" i="12" a="1"/>
  <c r="C105" i="12" a="1"/>
  <c r="C87" i="12" a="1"/>
  <c r="C23" i="12" a="1"/>
  <c r="G220" i="12" a="1"/>
  <c r="C65" i="12" a="1"/>
  <c r="E13" i="12" a="1"/>
  <c r="C64" i="12" a="1"/>
  <c r="C7" i="12" a="1"/>
  <c r="C24" i="12" a="1"/>
  <c r="C30" i="12" a="1"/>
  <c r="C2" i="47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81" i="12" a="1"/>
  <c r="G120" i="12" a="1"/>
  <c r="G35" i="12" a="1"/>
  <c r="G168" i="12" a="1"/>
  <c r="G124" i="12" a="1"/>
  <c r="G64" i="12" a="1"/>
  <c r="G88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58" i="12" a="1"/>
  <c r="G25" i="12" a="1"/>
  <c r="G13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125" i="12" a="1"/>
  <c r="G65" i="12" a="1"/>
  <c r="G36" i="12" a="1"/>
  <c r="G121" i="12" a="1"/>
  <c r="G96" i="12" a="1"/>
  <c r="G26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E189" i="27" a="1"/>
  <c r="C280" i="27" a="1"/>
  <c r="C4" i="27" a="1"/>
  <c r="E267" i="27" a="1"/>
  <c r="E228" i="27" a="1"/>
  <c r="C37" i="4" a="1"/>
  <c r="E103" i="27" a="1"/>
  <c r="G30" i="40" a="1"/>
  <c r="E6" i="40" a="1"/>
  <c r="E349" i="27" a="1"/>
  <c r="C54" i="27" a="1"/>
  <c r="F2" i="22" a="1"/>
  <c r="E8" i="27" a="1"/>
  <c r="E373" i="27" a="1"/>
  <c r="C111" i="27" a="1"/>
  <c r="E10" i="31" a="1"/>
  <c r="E364" i="27" a="1"/>
  <c r="E5" i="27" a="1"/>
  <c r="E32" i="4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27" i="4" a="1"/>
  <c r="E19" i="40" a="1"/>
  <c r="E29" i="40" a="1"/>
  <c r="E43" i="4" a="1"/>
  <c r="C100" i="27" a="1"/>
  <c r="E18" i="40" a="1"/>
  <c r="E376" i="27" a="1"/>
  <c r="C370" i="27" a="1"/>
  <c r="C72" i="27" a="1"/>
  <c r="C157" i="27" a="1"/>
  <c r="E7" i="4" a="1"/>
  <c r="C373" i="27" a="1"/>
  <c r="E262" i="27" a="1"/>
  <c r="C106" i="27" a="1"/>
  <c r="E120" i="27" a="1"/>
  <c r="E192" i="27" a="1"/>
  <c r="C49" i="27" a="1"/>
  <c r="E9" i="31" a="1"/>
  <c r="C181" i="27" a="1"/>
  <c r="C14" i="4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C3" i="4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E21" i="4" a="1"/>
  <c r="C325" i="27" a="1"/>
  <c r="E206" i="27" a="1"/>
  <c r="C47" i="4" a="1"/>
  <c r="C307" i="27" a="1"/>
  <c r="H2" i="38" a="1"/>
  <c r="C33" i="27" a="1"/>
  <c r="E31" i="40" a="1"/>
  <c r="G50" i="40" a="1"/>
  <c r="E5" i="40" a="1"/>
  <c r="E2" i="4" a="1"/>
  <c r="C338" i="27" a="1"/>
  <c r="E48" i="40" a="1"/>
  <c r="E38" i="40" a="1"/>
  <c r="E10" i="27" a="1"/>
  <c r="E144" i="27" a="1"/>
  <c r="C378" i="27" a="1"/>
  <c r="E25" i="4" a="1"/>
  <c r="E71" i="27" a="1"/>
  <c r="E2" i="40" a="1"/>
  <c r="G24" i="40" a="1"/>
  <c r="C121" i="27" a="1"/>
  <c r="E132" i="27" a="1"/>
  <c r="E341" i="27" a="1"/>
  <c r="E380" i="27" a="1"/>
  <c r="C66" i="27" a="1"/>
  <c r="E13" i="4" a="1"/>
  <c r="C4" i="4" a="1"/>
  <c r="E360" i="27" a="1"/>
  <c r="E161" i="27" a="1"/>
  <c r="E30" i="40" a="1"/>
  <c r="E55" i="27" a="1"/>
  <c r="C270" i="27" a="1"/>
  <c r="C5" i="4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41" i="4" a="1"/>
  <c r="E13" i="27" a="1"/>
  <c r="E207" i="27" a="1"/>
  <c r="G19" i="40" a="1"/>
  <c r="C285" i="27" a="1"/>
  <c r="C255" i="27" a="1"/>
  <c r="G13" i="40" a="1"/>
  <c r="E17" i="27" a="1"/>
  <c r="E39" i="27" a="1"/>
  <c r="C27" i="4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C25" i="4" a="1"/>
  <c r="E4" i="40" a="1"/>
  <c r="C293" i="27" a="1"/>
  <c r="C207" i="27" a="1"/>
  <c r="C118" i="27" a="1"/>
  <c r="E374" i="27" a="1"/>
  <c r="C48" i="27" a="1"/>
  <c r="C81" i="27" a="1"/>
  <c r="C8" i="4" a="1"/>
  <c r="E336" i="27" a="1"/>
  <c r="E42" i="27" a="1"/>
  <c r="E366" i="27" a="1"/>
  <c r="E335" i="27" a="1"/>
  <c r="E138" i="27" a="1"/>
  <c r="E122" i="27" a="1"/>
  <c r="E24" i="4" a="1"/>
  <c r="E118" i="27" a="1"/>
  <c r="E344" i="27" a="1"/>
  <c r="G52" i="40" a="1"/>
  <c r="C197" i="27" a="1"/>
  <c r="E38" i="4" a="1"/>
  <c r="E230" i="27" a="1"/>
  <c r="C372" i="27" a="1"/>
  <c r="C375" i="27" a="1"/>
  <c r="E197" i="27" a="1"/>
  <c r="E11" i="4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C38" i="4" a="1"/>
  <c r="E100" i="27" a="1"/>
  <c r="C326" i="27" a="1"/>
  <c r="C53" i="27" a="1"/>
  <c r="E353" i="27" a="1"/>
  <c r="C30" i="27" a="1"/>
  <c r="E16" i="4" a="1"/>
  <c r="C292" i="27" a="1"/>
  <c r="E99" i="27" a="1"/>
  <c r="C89" i="27" a="1"/>
  <c r="E288" i="27" a="1"/>
  <c r="E31" i="4" a="1"/>
  <c r="C262" i="27" a="1"/>
  <c r="C310" i="27" a="1"/>
  <c r="C46" i="27" a="1"/>
  <c r="E29" i="4" a="1"/>
  <c r="E7" i="40" a="1"/>
  <c r="E54" i="27" a="1"/>
  <c r="E136" i="27" a="1"/>
  <c r="C35" i="4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C34" i="4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78" i="27" a="1"/>
  <c r="E7" i="31" a="1"/>
  <c r="E209" i="27" a="1"/>
  <c r="C19" i="31" a="1"/>
  <c r="E135" i="27" a="1"/>
  <c r="E47" i="27" a="1"/>
  <c r="C164" i="27" a="1"/>
  <c r="E18" i="4" a="1"/>
  <c r="E126" i="27" a="1"/>
  <c r="C37" i="27" a="1"/>
  <c r="E6" i="4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E19" i="4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86" i="27" a="1"/>
  <c r="C251" i="27" a="1"/>
  <c r="E325" i="27" a="1"/>
  <c r="E243" i="27" a="1"/>
  <c r="C353" i="27" a="1"/>
  <c r="E141" i="27" a="1"/>
  <c r="E167" i="27" a="1"/>
  <c r="C18" i="4" a="1"/>
  <c r="E75" i="27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99" i="27" a="1"/>
  <c r="E5" i="31" a="1"/>
  <c r="C62" i="27" a="1"/>
  <c r="E328" i="27" a="1"/>
  <c r="C39" i="4" a="1"/>
  <c r="E121" i="27" a="1"/>
  <c r="C185" i="27" a="1"/>
  <c r="C268" i="27" a="1"/>
  <c r="E271" i="27" a="1"/>
  <c r="E175" i="27" a="1"/>
  <c r="C250" i="27" a="1"/>
  <c r="C43" i="4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48" i="4" a="1"/>
  <c r="C34" i="27" a="1"/>
  <c r="E83" i="27" a="1"/>
  <c r="E287" i="27" a="1"/>
  <c r="E244" i="27" a="1"/>
  <c r="C334" i="27" a="1"/>
  <c r="E37" i="40" a="1"/>
  <c r="C313" i="27" a="1"/>
  <c r="E47" i="4" a="1"/>
  <c r="C237" i="27" a="1"/>
  <c r="E186" i="27" a="1"/>
  <c r="C324" i="27" a="1"/>
  <c r="E33" i="40" a="1"/>
  <c r="E33" i="4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C2" i="22" a="1"/>
  <c r="E182" i="27" a="1"/>
  <c r="E213" i="27" a="1"/>
  <c r="E16" i="27" a="1"/>
  <c r="E3" i="4" a="1"/>
  <c r="E190" i="27" a="1"/>
  <c r="C363" i="27" a="1"/>
  <c r="C200" i="27" a="1"/>
  <c r="E26" i="27" a="1"/>
  <c r="C95" i="27" a="1"/>
  <c r="E378" i="27" a="1"/>
  <c r="E143" i="27" a="1"/>
  <c r="E18" i="31" a="1"/>
  <c r="E9" i="4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C30" i="4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34" i="4" a="1"/>
  <c r="E284" i="27" a="1"/>
  <c r="C42" i="27" a="1"/>
  <c r="C362" i="27" a="1"/>
  <c r="E34" i="40" a="1"/>
  <c r="E242" i="27" a="1"/>
  <c r="E258" i="27" a="1"/>
  <c r="E329" i="27" a="1"/>
  <c r="E270" i="27" a="1"/>
  <c r="C12" i="31" a="1"/>
  <c r="E36" i="4" a="1"/>
  <c r="E194" i="27" a="1"/>
  <c r="D2" i="37" a="1"/>
  <c r="C11" i="4" a="1"/>
  <c r="E46" i="4" a="1"/>
  <c r="C15" i="31" a="1"/>
  <c r="E43" i="40" a="1"/>
  <c r="E12" i="4" a="1"/>
  <c r="C29" i="4" a="1"/>
  <c r="C330" i="27" a="1"/>
  <c r="E163" i="27" a="1"/>
  <c r="C156" i="27" a="1"/>
  <c r="C202" i="27" a="1"/>
  <c r="D6" i="37" a="1"/>
  <c r="G5" i="40" a="1"/>
  <c r="E321" i="27" a="1"/>
  <c r="C2" i="27" a="1"/>
  <c r="E158" i="27" a="1"/>
  <c r="C266" i="27" a="1"/>
  <c r="E76" i="27" a="1"/>
  <c r="C98" i="27" a="1"/>
  <c r="E164" i="27" a="1"/>
  <c r="C42" i="4" a="1"/>
  <c r="C249" i="27" a="1"/>
  <c r="C148" i="27" a="1"/>
  <c r="C38" i="27" a="1"/>
  <c r="C32" i="4" a="1"/>
  <c r="G26" i="40" a="1"/>
  <c r="E245" i="27" a="1"/>
  <c r="E4" i="4" a="1"/>
  <c r="E273" i="27" a="1"/>
  <c r="C195" i="27" a="1"/>
  <c r="C226" i="27" a="1"/>
  <c r="E111" i="27" a="1"/>
  <c r="E81" i="27" a="1"/>
  <c r="E40" i="40" a="1"/>
  <c r="E8" i="31" a="1"/>
  <c r="C20" i="27" a="1"/>
  <c r="E6" i="31" a="1"/>
  <c r="C19" i="4" a="1"/>
  <c r="C17" i="31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E8" i="4" a="1"/>
  <c r="C209" i="27" a="1"/>
  <c r="E14" i="4" a="1"/>
  <c r="C44" i="4" a="1"/>
  <c r="E283" i="27" a="1"/>
  <c r="C12" i="4" a="1"/>
  <c r="C93" i="27" a="1"/>
  <c r="C276" i="27" a="1"/>
  <c r="C23" i="4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E293" i="27" a="1"/>
  <c r="C228" i="27" a="1"/>
  <c r="E93" i="27" a="1"/>
  <c r="E217" i="27" a="1"/>
  <c r="E275" i="27" a="1"/>
  <c r="E218" i="27" a="1"/>
  <c r="C10" i="4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E17" i="4" a="1"/>
  <c r="C136" i="27" a="1"/>
  <c r="C322" i="27" a="1"/>
  <c r="C13" i="4" a="1"/>
  <c r="E16" i="40" a="1"/>
  <c r="C301" i="27" a="1"/>
  <c r="C6" i="4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6" i="4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C41" i="4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46" i="4" a="1"/>
  <c r="E10" i="4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C24" i="4" a="1"/>
  <c r="E156" i="27" a="1"/>
  <c r="C312" i="27" a="1"/>
  <c r="C63" i="27" a="1"/>
  <c r="C320" i="27" a="1"/>
  <c r="C236" i="27" a="1"/>
  <c r="E27" i="27" a="1"/>
  <c r="C33" i="4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E23" i="4" a="1"/>
  <c r="C8" i="27" a="1"/>
  <c r="E285" i="27" a="1"/>
  <c r="D7" i="37" a="1"/>
  <c r="C165" i="27" a="1"/>
  <c r="C151" i="27" a="1"/>
  <c r="E35" i="4" a="1"/>
  <c r="C173" i="27" a="1"/>
  <c r="C128" i="27" a="1"/>
  <c r="C244" i="27" a="1"/>
  <c r="E39" i="40" a="1"/>
  <c r="E91" i="27" a="1"/>
  <c r="C69" i="27" a="1"/>
  <c r="C84" i="27" a="1"/>
  <c r="E5" i="4" a="1"/>
  <c r="E146" i="27" a="1"/>
  <c r="E92" i="27" a="1"/>
  <c r="E199" i="27" a="1"/>
  <c r="E32" i="27" a="1"/>
  <c r="G37" i="40" a="1"/>
  <c r="E320" i="27" a="1"/>
  <c r="E316" i="27" a="1"/>
  <c r="E184" i="27" a="1"/>
  <c r="E261" i="27" a="1"/>
  <c r="E26" i="40" a="1"/>
  <c r="E250" i="27" a="1"/>
  <c r="C2" i="4" a="1"/>
  <c r="C20" i="4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" i="4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7" i="4" a="1"/>
  <c r="E351" i="27" a="1"/>
  <c r="C216" i="27" a="1"/>
  <c r="E46" i="40" a="1"/>
  <c r="C24" i="27" a="1"/>
  <c r="E20" i="4" a="1"/>
  <c r="C9" i="4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39" i="4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C40" i="4" a="1"/>
  <c r="E51" i="27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C36" i="4" a="1"/>
  <c r="E62" i="27" a="1"/>
  <c r="E48" i="4" a="1"/>
  <c r="E48" i="27" a="1"/>
  <c r="E188" i="27" a="1"/>
  <c r="E251" i="27" a="1"/>
  <c r="E30" i="4" a="1"/>
  <c r="E296" i="27" a="1"/>
  <c r="C298" i="27" a="1"/>
  <c r="E168" i="27" a="1"/>
  <c r="E257" i="27" a="1"/>
  <c r="C153" i="27" a="1"/>
  <c r="E42" i="4" a="1"/>
  <c r="C96" i="27" a="1"/>
  <c r="C142" i="27" a="1"/>
  <c r="E169" i="27" a="1"/>
  <c r="C31" i="4" a="1"/>
  <c r="E117" i="27" a="1"/>
  <c r="E59" i="27" a="1"/>
  <c r="G25" i="40" a="1"/>
  <c r="G17" i="40" a="1"/>
  <c r="C28" i="27" a="1"/>
  <c r="E239" i="27" a="1"/>
  <c r="C123" i="27" a="1"/>
  <c r="E28" i="4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17" i="4" a="1"/>
  <c r="C56" i="27" a="1"/>
  <c r="G35" i="40" a="1"/>
  <c r="C120" i="27" a="1"/>
  <c r="G15" i="40" a="1"/>
  <c r="E25" i="40" a="1"/>
  <c r="E346" i="27" a="1"/>
  <c r="C7" i="4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28" i="4" a="1"/>
  <c r="C381" i="27" a="1"/>
  <c r="C97" i="27" a="1"/>
  <c r="C16" i="4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E40" i="4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44" i="4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E26" i="4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G148" i="12" a="1"/>
  <c r="G22" i="12" a="1"/>
  <c r="E37" i="12" a="1"/>
  <c r="E116" i="12" a="1"/>
  <c r="E91" i="12" a="1"/>
  <c r="E84" i="12" a="1"/>
  <c r="G90" i="12" a="1"/>
  <c r="E90" i="12" a="1"/>
  <c r="E87" i="12" a="1"/>
  <c r="E107" i="12" a="1"/>
  <c r="G66" i="12" a="1"/>
  <c r="G126" i="12" a="1"/>
  <c r="E3" i="12" a="1"/>
  <c r="E109" i="12" a="1"/>
  <c r="G72" i="12" a="1"/>
  <c r="E73" i="12" a="1"/>
  <c r="E74" i="12" a="1"/>
  <c r="E117" i="12" a="1"/>
  <c r="E129" i="12" a="1"/>
  <c r="E114" i="12" a="1"/>
  <c r="E89" i="12" a="1"/>
  <c r="E75" i="12" a="1"/>
  <c r="E110" i="12" a="1"/>
  <c r="E7" i="12" a="1"/>
  <c r="G83" i="12" a="1"/>
  <c r="E111" i="12" a="1"/>
  <c r="G48" i="12" a="1"/>
  <c r="E122" i="12" a="1"/>
  <c r="E54" i="12" a="1"/>
  <c r="E26" i="12" a="1"/>
  <c r="G45" i="12" a="1"/>
  <c r="E61" i="12" a="1"/>
  <c r="E46" i="12" a="1"/>
  <c r="E50" i="12" a="1"/>
  <c r="E66" i="12" a="1"/>
  <c r="E58" i="12" a="1"/>
  <c r="E20" i="12" a="1"/>
  <c r="E56" i="12" a="1"/>
  <c r="G2" i="12" a="1"/>
  <c r="E25" i="12" a="1"/>
  <c r="G27" i="12" a="1"/>
  <c r="E95" i="12" a="1"/>
  <c r="E65" i="12" a="1"/>
  <c r="E27" i="12" a="1"/>
  <c r="E23" i="12" a="1"/>
  <c r="E130" i="12" a="1"/>
  <c r="E81" i="12" a="1"/>
  <c r="E101" i="12" a="1"/>
  <c r="G187" i="12" a="1"/>
  <c r="E120" i="12" a="1"/>
  <c r="E32" i="12" a="1"/>
  <c r="E4" i="12" a="1"/>
  <c r="G60" i="12" a="1"/>
  <c r="E70" i="12" a="1"/>
  <c r="E35" i="12" a="1"/>
  <c r="E93" i="12" a="1"/>
  <c r="E49" i="12" a="1"/>
  <c r="E31" i="12" a="1"/>
  <c r="E98" i="12" a="1"/>
  <c r="E52" i="12" a="1"/>
  <c r="E100" i="12" a="1"/>
  <c r="E96" i="12" a="1"/>
  <c r="E115" i="12" a="1"/>
  <c r="E83" i="12" a="1"/>
  <c r="E80" i="12" a="1"/>
  <c r="E22" i="12" a="1"/>
  <c r="E94" i="12" a="1"/>
  <c r="E33" i="12" a="1"/>
  <c r="E30" i="12" a="1"/>
  <c r="E108" i="12" a="1"/>
  <c r="E92" i="12" a="1"/>
  <c r="G77" i="12" a="1"/>
  <c r="E77" i="12" a="1"/>
  <c r="E64" i="12" a="1"/>
  <c r="E9" i="12" a="1"/>
  <c r="E118" i="12" a="1"/>
  <c r="E29" i="12" a="1"/>
  <c r="E106" i="12" a="1"/>
  <c r="E19" i="12" a="1"/>
  <c r="E105" i="12" a="1"/>
  <c r="E6" i="12" a="1"/>
  <c r="E2" i="12" a="1"/>
  <c r="E131" i="12" a="1"/>
  <c r="E10" i="12" a="1"/>
  <c r="E79" i="12" a="1"/>
  <c r="E123" i="12" a="1"/>
  <c r="G97" i="12" a="1"/>
  <c r="E8" i="12" a="1"/>
  <c r="E40" i="12" a="1"/>
  <c r="E48" i="12" a="1"/>
  <c r="E62" i="12" a="1"/>
  <c r="G15" i="12" a="1"/>
  <c r="E72" i="12" a="1"/>
  <c r="E125" i="12" a="1"/>
  <c r="E71" i="12" a="1"/>
  <c r="E36" i="12" a="1"/>
  <c r="E68" i="12" a="1"/>
  <c r="E85" i="12" a="1"/>
  <c r="E121" i="12" a="1"/>
  <c r="E53" i="12" a="1"/>
  <c r="G107" i="12" a="1"/>
  <c r="E113" i="12" a="1"/>
  <c r="E124" i="12" a="1"/>
  <c r="E24" i="12" a="1"/>
  <c r="E28" i="12" a="1"/>
  <c r="G131" i="12" a="1"/>
  <c r="E99" i="12" a="1"/>
  <c r="E67" i="12" a="1"/>
  <c r="E59" i="12" a="1"/>
  <c r="E82" i="12" a="1"/>
  <c r="E60" i="12" a="1"/>
  <c r="E47" i="12" a="1"/>
  <c r="E39" i="12" a="1"/>
  <c r="G122" i="12" a="1"/>
  <c r="E86" i="12" a="1"/>
  <c r="E38" i="12" a="1"/>
  <c r="E76" i="12" a="1"/>
  <c r="E51" i="12" a="1"/>
  <c r="E69" i="12" a="1"/>
  <c r="E88" i="12" a="1"/>
  <c r="E78" i="12" a="1"/>
  <c r="E5" i="12" a="1"/>
  <c r="E55" i="12" a="1"/>
  <c r="E112" i="12" a="1"/>
  <c r="G37" i="12" a="1"/>
  <c r="C14" i="3" a="1"/>
  <c r="C2" i="3" a="1"/>
  <c r="C9" i="3" a="1"/>
  <c r="C17" i="3" a="1"/>
  <c r="C15" i="3" a="1"/>
  <c r="C11" i="3" a="1"/>
  <c r="C19" i="3" a="1"/>
  <c r="C7" i="3" a="1"/>
  <c r="C20" i="3" a="1"/>
  <c r="C3" i="3" a="1"/>
  <c r="C10" i="3" a="1"/>
  <c r="C18" i="3" a="1"/>
  <c r="C8" i="3" a="1"/>
  <c r="C12" i="3" a="1"/>
  <c r="C16" i="3" a="1"/>
  <c r="C13" i="3" a="1"/>
  <c r="C6" i="3" a="1"/>
  <c r="C5" i="3" a="1"/>
  <c r="C4" i="3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C2" i="46" a="1"/>
  <c r="D2" i="22" a="1"/>
  <c r="G61" i="12" a="1"/>
  <c r="G188" i="12" a="1"/>
  <c r="G98" i="12" a="1"/>
  <c r="G49" i="12" a="1"/>
  <c r="G38" i="12" a="1"/>
  <c r="G23" i="12" a="1"/>
  <c r="G91" i="12" a="1"/>
  <c r="G123" i="12" a="1"/>
  <c r="G84" i="12" a="1"/>
  <c r="G73" i="12" a="1"/>
  <c r="G108" i="12" a="1"/>
  <c r="G78" i="12" a="1"/>
  <c r="G127" i="12" a="1"/>
  <c r="G3" i="12" a="1"/>
  <c r="G67" i="12" a="1"/>
  <c r="G16" i="12" a="1"/>
  <c r="G28" i="1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C2" i="46"/>
  <c r="F20" i="12"/>
  <c r="F43" i="12"/>
  <c r="F120" i="12"/>
  <c r="F121" i="12" s="1"/>
  <c r="F58" i="12"/>
  <c r="F46" i="12"/>
  <c r="F25" i="12"/>
  <c r="F26" i="12" s="1"/>
  <c r="F129" i="12"/>
  <c r="F130" i="12" s="1"/>
  <c r="F75" i="12"/>
  <c r="F76" i="12" s="1"/>
  <c r="F47" i="12"/>
  <c r="F187" i="12"/>
  <c r="F82" i="12"/>
  <c r="F147" i="12"/>
  <c r="F125" i="12"/>
  <c r="F89" i="12"/>
  <c r="F96" i="12"/>
  <c r="F97" i="12" s="1"/>
  <c r="A89" i="12"/>
  <c r="G2" i="2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109" i="12" a="1"/>
  <c r="G24" i="12" a="1"/>
  <c r="G39" i="12" a="1"/>
  <c r="G189" i="12" a="1"/>
  <c r="G85" i="1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93" i="12" a="1"/>
  <c r="G69" i="12" a="1"/>
  <c r="G86" i="12" a="1"/>
  <c r="G30" i="12" a="1"/>
  <c r="G110" i="12" a="1"/>
  <c r="G80" i="12" a="1"/>
  <c r="G5" i="12" a="1"/>
  <c r="G100" i="12" a="1"/>
  <c r="G51" i="12" a="1"/>
  <c r="G63" i="12" a="1"/>
  <c r="G40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102" i="12" a="1"/>
  <c r="G53" i="12" a="1"/>
  <c r="G32" i="12" a="1"/>
  <c r="G112" i="12" a="1"/>
  <c r="G7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8" i="12" a="1"/>
  <c r="G113" i="12" a="1"/>
  <c r="G33" i="12" a="1"/>
  <c r="G54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104" i="12" a="1"/>
  <c r="G55" i="12" a="1"/>
  <c r="G114" i="12" a="1"/>
  <c r="G9" i="12" a="1"/>
  <c r="G34" i="12" a="1"/>
  <c r="G104" i="12" l="1"/>
  <c r="F103" i="12"/>
  <c r="G9" i="12"/>
  <c r="G114" i="12"/>
  <c r="G34" i="12"/>
  <c r="G55" i="12"/>
  <c r="F8" i="12"/>
  <c r="F32" i="12"/>
  <c r="F53" i="12"/>
  <c r="F112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15" i="12" a="1"/>
  <c r="G10" i="12" a="1"/>
  <c r="G56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11" i="12" l="1"/>
  <c r="G116" i="12"/>
  <c r="G57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F12" i="12" s="1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G118" i="12" l="1"/>
  <c r="E11" i="42"/>
  <c r="E11" i="14"/>
  <c r="F116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38" i="4" a="1"/>
  <c r="F27" i="4" a="1"/>
  <c r="F34" i="4" a="1"/>
  <c r="F29" i="4" a="1"/>
  <c r="F6" i="4" a="1"/>
  <c r="F3" i="4" a="1"/>
  <c r="F23" i="4" a="1"/>
  <c r="F45" i="4" a="1"/>
  <c r="F51" i="4" a="1"/>
  <c r="F2" i="4" a="1"/>
  <c r="F47" i="4" a="1"/>
  <c r="F20" i="4" a="1"/>
  <c r="F9" i="4" a="1"/>
  <c r="F12" i="4" a="1"/>
  <c r="F10" i="4" a="1"/>
  <c r="F46" i="4" a="1"/>
  <c r="F40" i="4" a="1"/>
  <c r="F35" i="4" a="1"/>
  <c r="F26" i="4" a="1"/>
  <c r="F49" i="4" a="1"/>
  <c r="F28" i="4" a="1"/>
  <c r="F17" i="4" a="1"/>
  <c r="F33" i="4" a="1"/>
  <c r="F48" i="4" a="1"/>
  <c r="F8" i="4" a="1"/>
  <c r="F32" i="4" a="1"/>
  <c r="F21" i="4" a="1"/>
  <c r="F7" i="4" a="1"/>
  <c r="F14" i="4" a="1"/>
  <c r="F31" i="4" a="1"/>
  <c r="F30" i="4" a="1"/>
  <c r="F50" i="4" a="1"/>
  <c r="F44" i="4" a="1"/>
  <c r="F43" i="4" a="1"/>
  <c r="F41" i="4" a="1"/>
  <c r="F42" i="4" a="1"/>
  <c r="F39" i="4" a="1"/>
  <c r="F37" i="4" a="1"/>
  <c r="F53" i="4" a="1"/>
  <c r="F18" i="4" a="1"/>
  <c r="F25" i="4" a="1"/>
  <c r="F19" i="4" a="1"/>
  <c r="F52" i="4" a="1"/>
  <c r="F11" i="4" a="1"/>
  <c r="F5" i="4" a="1"/>
  <c r="F15" i="4" a="1"/>
  <c r="F36" i="4" a="1"/>
  <c r="F22" i="4" a="1"/>
  <c r="F13" i="4" a="1"/>
  <c r="F24" i="4" a="1"/>
  <c r="F16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<sst xmlns="http://schemas.openxmlformats.org/spreadsheetml/2006/main" count="2517" uniqueCount="922">
  <si>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</si>
  <si>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</si>
  <si>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</si>
  <si>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</si>
  <si>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</si>
  <si>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</si>
  <si>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</si>
  <si>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</si>
  <si>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</si>
  <si>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</si>
  <si>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</si>
  <si>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</si>
  <si>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</si>
  <si>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</si>
  <si>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</si>
  <si>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</si>
  <si>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</si>
  <si>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</si>
  <si>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</si>
  <si>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</si>
  <si>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</si>
  <si>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</si>
  <si>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</si>
  <si>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</si>
  <si>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</si>
  <si>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</si>
  <si>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</si>
  <si>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</si>
  <si>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</si>
  <si>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</si>
  <si>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</si>
  <si>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</si>
  <si>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</si>
  <si>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</si>
  <si>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</si>
  <si>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</si>
  <si>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</si>
  <si>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</si>
  <si>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</si>
  <si>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</si>
  <si>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</si>
  <si>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</si>
  <si>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</si>
  <si>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</si>
  <si>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</si>
  <si>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</si>
  <si>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</si>
  <si>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</si>
  <si>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</si>
  <si>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</si>
  <si>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</si>
  <si>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</si>
  <si>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</si>
  <si>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</si>
  <si>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</si>
  <si>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</si>
  <si>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</si>
  <si>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</si>
  <si>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</si>
  <si>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</si>
  <si>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</si>
  <si>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</si>
  <si>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</si>
  <si>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</si>
  <si>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</si>
  <si>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</si>
  <si>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</si>
  <si>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</si>
  <si>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</si>
  <si>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</si>
  <si>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</si>
  <si>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</si>
  <si>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</si>
  <si>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</si>
  <si>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</si>
  <si>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</si>
  <si>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</si>
  <si>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</si>
  <si>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</si>
  <si>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</si>
  <si>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</si>
  <si>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</si>
  <si>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</si>
  <si>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</si>
  <si>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</si>
  <si>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</si>
  <si>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</si>
  <si>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</si>
  <si>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</si>
  <si>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</si>
  <si>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</si>
  <si>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</si>
  <si>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</si>
  <si>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</si>
  <si>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</si>
  <si>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</si>
  <si>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</si>
  <si>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</si>
  <si>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</si>
  <si>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</si>
  <si>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</si>
  <si>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</si>
  <si>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</si>
  <si>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</si>
  <si>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</si>
  <si>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</si>
  <si>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</si>
  <si>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</si>
  <si>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</si>
  <si>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</si>
  <si>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</si>
  <si>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</si>
  <si>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</si>
  <si>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</si>
  <si>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</si>
  <si>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</si>
  <si>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</si>
  <si>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</si>
  <si>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</si>
  <si>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</si>
  <si>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</si>
  <si>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</si>
  <si>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</si>
  <si>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</si>
  <si>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</si>
  <si>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</si>
  <si>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</si>
  <si>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</si>
  <si>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</si>
  <si>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</si>
  <si>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</si>
  <si>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</si>
  <si>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</si>
  <si>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</si>
  <si>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</si>
  <si>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</si>
  <si>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</si>
  <si>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</si>
  <si>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</si>
  <si>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</si>
  <si>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</si>
  <si>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</si>
  <si>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</si>
  <si>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</si>
  <si>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</si>
  <si>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</si>
  <si>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</si>
  <si>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</si>
  <si>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</si>
  <si>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</si>
  <si>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</si>
  <si>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</si>
  <si>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</si>
  <si>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</si>
  <si>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</si>
  <si>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</si>
  <si>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</si>
  <si>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</si>
  <si>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</si>
  <si>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</si>
  <si>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</si>
  <si>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</si>
  <si>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</si>
  <si>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</si>
  <si>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</si>
  <si>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</si>
  <si>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</si>
  <si>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</si>
  <si>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</si>
  <si>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</si>
  <si>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</si>
  <si>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</si>
  <si>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</si>
  <si>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</si>
  <si>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</si>
  <si>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</si>
  <si>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</si>
  <si>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</si>
  <si>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</si>
  <si>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</si>
  <si>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</si>
  <si>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</si>
  <si>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</si>
  <si>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</si>
  <si>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</si>
  <si>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</si>
  <si>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</si>
  <si>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</si>
  <si>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</si>
  <si>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</si>
  <si>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</si>
  <si>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</si>
  <si>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</si>
  <si>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</si>
  <si>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</si>
  <si>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</si>
  <si>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</si>
  <si>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</si>
  <si>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</si>
  <si>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</si>
  <si>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</si>
  <si>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</si>
  <si>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</si>
  <si>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</si>
  <si>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</si>
  <si>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</si>
  <si>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</si>
  <si>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</si>
  <si>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</si>
  <si>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</si>
  <si>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</si>
  <si>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</si>
  <si>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</si>
  <si>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</si>
  <si>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</si>
  <si>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</si>
  <si>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</si>
  <si>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</si>
  <si>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</si>
  <si>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</si>
  <si>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</si>
  <si>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</si>
  <si>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</si>
  <si>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</si>
  <si>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</si>
  <si>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</si>
  <si>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</si>
  <si>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</si>
  <si>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</si>
  <si>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</si>
  <si>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</si>
  <si>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</si>
  <si>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</si>
  <si>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</si>
  <si>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</si>
  <si>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</si>
  <si>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</si>
  <si>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</si>
  <si>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</si>
  <si>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</si>
  <si>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</si>
  <si>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</si>
  <si>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</si>
  <si>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</si>
  <si>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</si>
  <si>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</si>
  <si>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</si>
  <si>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</si>
  <si>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</si>
  <si>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</si>
  <si>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</si>
  <si>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</si>
  <si>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</si>
  <si>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</si>
  <si>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</si>
  <si>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</si>
  <si>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</si>
  <si>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</si>
  <si>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</si>
  <si>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</si>
  <si>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</si>
  <si>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</si>
  <si>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</si>
  <si>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</si>
  <si>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</si>
  <si>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</si>
  <si>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</si>
  <si>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</si>
  <si>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</si>
  <si>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</si>
  <si>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</si>
  <si>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</si>
  <si>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</si>
  <si>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</si>
  <si>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</si>
  <si>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</si>
  <si>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</si>
  <si>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</si>
  <si>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</si>
  <si>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</si>
  <si>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</si>
  <si>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</si>
  <si>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</si>
  <si>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</si>
  <si>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</si>
  <si>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</si>
  <si>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</si>
  <si>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</si>
  <si>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</si>
  <si>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</si>
  <si>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</si>
  <si>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</si>
  <si>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</si>
  <si>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</si>
  <si>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</si>
  <si>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</si>
  <si>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</si>
  <si>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</si>
  <si>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</si>
  <si>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</si>
  <si>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</si>
  <si>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</si>
  <si>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</si>
  <si>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</si>
  <si>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</si>
  <si>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</si>
  <si>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</si>
  <si>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</si>
  <si>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</si>
  <si>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</si>
  <si>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</si>
  <si>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</si>
  <si>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</si>
  <si>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</si>
  <si>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</si>
  <si>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</si>
  <si>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</si>
  <si>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</si>
  <si>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</si>
  <si>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</si>
  <si>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</si>
  <si>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</si>
  <si>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</si>
  <si>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</si>
  <si>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</si>
  <si>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</si>
  <si>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</si>
  <si>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</si>
  <si>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</si>
  <si>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</si>
  <si>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</si>
  <si>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</si>
  <si>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</si>
  <si>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</si>
  <si>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</si>
  <si>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</si>
  <si>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</si>
  <si>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</si>
  <si>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</si>
  <si>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</si>
  <si>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</si>
  <si>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</si>
  <si>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</si>
  <si>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</si>
  <si>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</si>
  <si>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</si>
  <si>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</si>
  <si>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</si>
  <si>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</si>
  <si>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</si>
  <si>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</si>
  <si>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</si>
  <si>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</si>
  <si>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</si>
  <si>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</si>
  <si>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</si>
  <si>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</si>
  <si>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</si>
  <si>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</si>
  <si>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</si>
  <si>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</si>
  <si>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</si>
  <si>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</si>
  <si>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</si>
  <si>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</si>
  <si>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</si>
  <si>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</si>
  <si>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</si>
  <si>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</si>
  <si>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</si>
  <si>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</si>
  <si>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</si>
  <si>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</si>
  <si>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</si>
  <si>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</si>
  <si>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</si>
  <si>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</si>
  <si>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</si>
  <si>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</si>
  <si>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</si>
  <si>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</si>
  <si>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</si>
  <si>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</si>
  <si>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</si>
  <si>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</si>
  <si>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</si>
  <si>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</si>
  <si>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</si>
  <si>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</si>
  <si>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</si>
  <si>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</si>
  <si>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</si>
  <si>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</si>
  <si>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</si>
  <si>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</si>
  <si>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</si>
  <si>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</si>
  <si>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</si>
  <si>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</si>
  <si>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</si>
  <si>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</si>
  <si>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</si>
  <si>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</si>
  <si>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</si>
  <si>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</si>
  <si>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</si>
  <si>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</si>
  <si>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</si>
  <si>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</si>
  <si>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</si>
  <si>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</si>
  <si>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</si>
  <si>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</si>
  <si>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</si>
  <si>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</si>
  <si>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</si>
  <si>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</si>
  <si>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</si>
  <si>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</si>
  <si>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</si>
  <si>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</si>
  <si>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</si>
  <si>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</si>
  <si>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</si>
  <si>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</si>
  <si>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</si>
  <si>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</si>
  <si>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</si>
  <si>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</si>
  <si>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</si>
  <si>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</si>
  <si>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</si>
  <si>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</si>
  <si>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</si>
  <si>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</si>
  <si>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</si>
  <si>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</si>
  <si>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</si>
  <si>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</si>
  <si>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</si>
  <si>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</si>
  <si>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</si>
  <si>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</si>
  <si>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</si>
  <si>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</si>
  <si>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</si>
  <si>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</si>
  <si>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</si>
  <si>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</si>
  <si>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</si>
  <si>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</si>
  <si>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</si>
  <si>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</si>
  <si>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</si>
  <si>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</si>
  <si>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</si>
  <si>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</si>
  <si>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</si>
  <si>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</si>
  <si>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</si>
  <si>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</si>
  <si>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</si>
  <si>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</si>
  <si>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</si>
  <si>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</si>
  <si>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</si>
  <si>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</si>
  <si>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</si>
  <si>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</si>
  <si>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</si>
  <si>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</si>
  <si>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</si>
  <si>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</si>
  <si>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</si>
  <si>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</si>
  <si>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</si>
  <si>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</si>
  <si>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</si>
  <si>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</si>
  <si>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</si>
  <si>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</si>
  <si>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</si>
  <si>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</si>
  <si>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</si>
  <si>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</si>
  <si>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</si>
  <si>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</si>
  <si>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</si>
  <si>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</si>
  <si>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</si>
  <si>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</si>
  <si>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</si>
  <si>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</si>
  <si>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</si>
  <si>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</si>
  <si>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</si>
  <si>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Provedor do SGBD</t>
  </si>
  <si>
    <t>Provedor</t>
  </si>
  <si>
    <t>Pede Diretório?</t>
  </si>
  <si>
    <t>Diretório?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</si>
  <si>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</si>
  <si>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</si>
  <si>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</si>
  <si>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</si>
  <si>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</si>
  <si>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</si>
  <si>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</si>
  <si>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</si>
  <si>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</si>
  <si>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</si>
  <si>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</si>
  <si>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</si>
  <si>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</si>
  <si>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</si>
  <si>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</si>
  <si>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</si>
  <si>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</si>
  <si>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</si>
  <si>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</si>
  <si>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</si>
  <si>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</si>
  <si>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</si>
  <si>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</si>
  <si>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</si>
  <si>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</si>
  <si>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</si>
  <si>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</si>
  <si>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</si>
  <si>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</si>
  <si>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</si>
  <si>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</si>
  <si>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</si>
  <si>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</si>
  <si>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</si>
  <si>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</si>
  <si>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</si>
  <si>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</si>
  <si>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</si>
  <si>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</si>
  <si>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</si>
  <si>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</si>
  <si>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</si>
  <si>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</si>
  <si>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</si>
  <si>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</si>
  <si>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</si>
  <si>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</si>
  <si>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</si>
  <si>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</si>
  <si>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</si>
  <si>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</si>
  <si>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</si>
  <si>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</si>
  <si>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</si>
  <si>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</si>
  <si>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</si>
  <si>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</si>
  <si>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</si>
  <si>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</si>
  <si>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</si>
  <si>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</si>
  <si>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</si>
  <si>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</si>
  <si>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</si>
  <si>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</si>
  <si>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</si>
  <si>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</si>
  <si>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</si>
  <si>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</si>
  <si>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</si>
  <si>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</si>
  <si>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</si>
  <si>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</si>
  <si>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</si>
  <si>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</si>
  <si>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</si>
  <si>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</si>
  <si>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</si>
  <si>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</si>
  <si>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</si>
  <si>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</si>
  <si>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</si>
  <si>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</si>
  <si>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</si>
  <si>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</si>
  <si>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</si>
  <si>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</si>
  <si>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</si>
  <si>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</si>
  <si>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</si>
  <si>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</si>
  <si>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</si>
  <si>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</si>
  <si>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</si>
  <si>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</si>
  <si>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</si>
  <si>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</si>
  <si>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</si>
  <si>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</si>
  <si>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</si>
  <si>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</si>
  <si>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</si>
  <si>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</si>
  <si>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</si>
  <si>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</si>
  <si>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</si>
  <si>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</si>
  <si>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</si>
  <si>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</si>
  <si>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</si>
  <si>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</si>
  <si>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</si>
  <si>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</si>
  <si>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</si>
  <si>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</si>
  <si>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</si>
  <si>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</si>
  <si>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</si>
  <si>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</si>
  <si>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</si>
  <si>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</si>
  <si>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</si>
  <si>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</si>
  <si>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</si>
  <si>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</si>
  <si>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</si>
  <si>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</si>
  <si>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</si>
  <si>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</si>
  <si>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</si>
  <si>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</si>
  <si>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</si>
  <si>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</si>
  <si>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</si>
  <si>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</si>
  <si>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</si>
  <si>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</si>
  <si>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</si>
  <si>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</si>
  <si>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</si>
  <si>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</si>
  <si>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</si>
  <si>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</si>
  <si>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</si>
  <si>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</si>
  <si>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</si>
  <si>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</si>
  <si>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</si>
  <si>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</si>
  <si>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</si>
  <si>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</si>
  <si>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</si>
  <si>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</si>
  <si>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</si>
  <si>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</si>
  <si>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</si>
  <si>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</si>
  <si>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</si>
  <si>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</si>
  <si>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</si>
  <si>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</si>
  <si>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</si>
  <si>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</si>
  <si>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</si>
  <si>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</si>
  <si>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</si>
  <si>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</si>
  <si>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</si>
  <si>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</si>
  <si>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</si>
  <si>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</si>
  <si>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</si>
  <si>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</si>
  <si>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</si>
  <si>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</si>
  <si>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</si>
  <si>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</si>
  <si>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</si>
  <si>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</si>
  <si>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</si>
  <si>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</si>
  <si>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</si>
  <si>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</si>
  <si>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</si>
  <si>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</si>
  <si>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</si>
  <si>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</si>
  <si>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</si>
  <si>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</si>
  <si>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</si>
  <si>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</si>
  <si>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</si>
  <si>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</si>
  <si>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</si>
  <si>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</si>
  <si>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</si>
  <si>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</si>
  <si>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</si>
  <si>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</si>
  <si>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</si>
  <si>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</si>
  <si>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</si>
  <si>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</si>
  <si>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</si>
  <si>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</si>
  <si>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</si>
  <si>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</si>
  <si>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</si>
  <si>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</si>
  <si>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</si>
  <si>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</si>
  <si>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</si>
  <si>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</si>
  <si>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</si>
  <si>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</si>
  <si>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</si>
  <si>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</si>
  <si>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</si>
  <si>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</si>
  <si>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</si>
  <si>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</si>
  <si>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</si>
  <si>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</si>
  <si>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</si>
  <si>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</si>
  <si>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</si>
  <si>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</si>
  <si>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</si>
  <si>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</si>
  <si>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</si>
  <si>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</si>
  <si>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</si>
  <si>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</si>
  <si>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</si>
  <si>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</si>
  <si>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</si>
  <si>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</si>
  <si>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</si>
  <si>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</si>
  <si>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</si>
  <si>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</si>
  <si>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</si>
  <si>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</si>
  <si>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</si>
  <si>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</si>
  <si>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</si>
  <si>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</si>
  <si>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</si>
  <si>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</si>
  <si>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</si>
  <si>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</si>
  <si>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</si>
  <si>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</si>
  <si>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</si>
  <si>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</si>
  <si>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</si>
  <si>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</si>
  <si>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</si>
  <si>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</si>
  <si>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</si>
  <si>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</si>
  <si>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</si>
  <si>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</si>
  <si>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</si>
  <si>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</si>
  <si>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</si>
  <si>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</si>
  <si>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</si>
  <si>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</si>
  <si>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</si>
  <si>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</si>
  <si>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</si>
  <si>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</si>
  <si>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</si>
  <si>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</si>
  <si>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</si>
  <si>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</si>
  <si>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</si>
  <si>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</si>
  <si>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</si>
  <si>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</si>
  <si>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</si>
  <si>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</si>
  <si>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</si>
  <si>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</si>
  <si>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</si>
  <si>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</si>
  <si>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</si>
  <si>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</si>
  <si>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</si>
  <si>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</si>
  <si>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</si>
  <si>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</si>
  <si>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</si>
  <si>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</si>
  <si>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</si>
  <si>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</si>
  <si>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</si>
  <si>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</si>
  <si>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</si>
  <si>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</si>
  <si>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</si>
  <si>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</si>
  <si>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</si>
  <si>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</si>
  <si>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</si>
  <si>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</si>
  <si>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</si>
  <si>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</si>
  <si>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</si>
  <si>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</si>
  <si>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</si>
  <si>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</si>
  <si>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</si>
  <si>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</si>
  <si>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</si>
  <si>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</si>
  <si>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</si>
  <si>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</si>
  <si>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</si>
  <si>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</si>
  <si>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</si>
  <si>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</si>
  <si>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</si>
  <si>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</si>
  <si>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</si>
  <si>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</si>
  <si>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</si>
  <si>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</si>
  <si>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</si>
  <si>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</si>
  <si>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</si>
  <si>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</si>
  <si>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</si>
  <si>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</si>
  <si>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</si>
  <si>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</si>
  <si>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</si>
  <si>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</si>
  <si>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</si>
  <si>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</si>
  <si>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</si>
  <si>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</si>
  <si>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</si>
  <si>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</si>
  <si>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</si>
  <si>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</si>
  <si>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</si>
  <si>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</si>
  <si>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</si>
  <si>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</si>
  <si>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</si>
  <si>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</si>
  <si>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</si>
  <si>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</si>
  <si>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</si>
  <si>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</si>
  <si>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</si>
  <si>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</si>
  <si>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</si>
  <si>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</si>
  <si>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</si>
  <si>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</si>
  <si>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</si>
  <si>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</si>
  <si>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</si>
  <si>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</si>
  <si>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</si>
  <si>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</si>
  <si>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</si>
  <si>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</si>
  <si>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</si>
  <si>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</si>
  <si>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</si>
  <si>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</si>
  <si>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</si>
  <si>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</si>
  <si>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</si>
  <si>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</si>
  <si>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</si>
  <si>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</si>
  <si>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</si>
  <si>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</si>
  <si>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</si>
  <si>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</si>
  <si>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</si>
  <si>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</si>
  <si>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</si>
  <si>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</si>
  <si>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</si>
  <si>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</si>
  <si>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</si>
  <si>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</si>
  <si>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</si>
  <si>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</si>
  <si>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</si>
  <si>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</si>
  <si>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</si>
  <si>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</si>
  <si>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</si>
  <si>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Engine</t>
  </si>
  <si>
    <t>IsParentChild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</si>
  <si>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</si>
  <si>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</si>
  <si>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</si>
  <si>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</si>
  <si>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</si>
  <si>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</si>
  <si>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</si>
  <si>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</si>
  <si>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</si>
  <si>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</si>
  <si>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</si>
  <si>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</si>
  <si>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</si>
  <si>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</si>
  <si>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</si>
  <si>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</si>
  <si>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</si>
  <si>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</si>
  <si>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((</t>
  </si>
  <si>
    <t>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</si>
</sst>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591</v>
      </c>
      <c r="K1" s="1" t="s">
        <v>518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F13" sqref="F13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611</v>
      </c>
      <c r="C1" s="1" t="s">
        <v>66</v>
      </c>
      <c r="D1" s="1" t="s">
        <v>612</v>
      </c>
    </row>
    <row r="2" spans="1:4">
      <c r="A2">
        <f>ROW(A2)-1</f>
        <v>1</v>
      </c>
      <c r="B2" s="6" t="s">
        <v>368</v>
      </c>
      <c r="C2" t="s">
        <v>693</v>
      </c>
      <c r="D2">
        <v>2</v>
      </c>
    </row>
    <row r="3" spans="1:4">
      <c r="A3">
        <f>ROW(A3)-1</f>
        <v>2</v>
      </c>
      <c r="B3" s="6" t="s">
        <v>613</v>
      </c>
      <c r="C3" t="s">
        <v>626</v>
      </c>
      <c r="D3">
        <v>2</v>
      </c>
    </row>
    <row r="4" spans="1:4">
      <c r="A4">
        <f>ROW(A4)-1</f>
        <v>3</v>
      </c>
      <c r="B4" s="6" t="s">
        <v>451</v>
      </c>
      <c r="C4" t="s">
        <v>627</v>
      </c>
      <c r="D4">
        <v>2</v>
      </c>
    </row>
    <row r="5" spans="1:4">
      <c r="A5">
        <f>ROW(A5)-1</f>
        <v>4</v>
      </c>
      <c r="B5" s="6" t="s">
        <v>614</v>
      </c>
      <c r="C5" t="s">
        <v>628</v>
      </c>
      <c r="D5">
        <v>2</v>
      </c>
    </row>
    <row r="6" spans="1:4">
      <c r="A6">
        <f t="shared" ref="A6:A15" si="0">ROW(A6)-1</f>
        <v>5</v>
      </c>
      <c r="B6" s="6" t="s">
        <v>615</v>
      </c>
      <c r="C6" t="s">
        <v>624</v>
      </c>
      <c r="D6">
        <v>2</v>
      </c>
    </row>
    <row r="7" spans="1:4">
      <c r="A7">
        <f t="shared" si="0"/>
        <v>6</v>
      </c>
      <c r="B7" s="6" t="s">
        <v>369</v>
      </c>
      <c r="C7" t="s">
        <v>625</v>
      </c>
      <c r="D7">
        <v>2</v>
      </c>
    </row>
    <row r="8" spans="1:4">
      <c r="A8">
        <f t="shared" si="0"/>
        <v>7</v>
      </c>
      <c r="B8" s="6" t="s">
        <v>616</v>
      </c>
      <c r="C8" t="s">
        <v>629</v>
      </c>
    </row>
    <row r="9" spans="1:4">
      <c r="A9">
        <f t="shared" si="0"/>
        <v>8</v>
      </c>
      <c r="B9" s="6" t="s">
        <v>617</v>
      </c>
      <c r="C9" t="s">
        <v>630</v>
      </c>
    </row>
    <row r="10" spans="1:4">
      <c r="A10">
        <f t="shared" si="0"/>
        <v>9</v>
      </c>
      <c r="B10" s="6" t="s">
        <v>618</v>
      </c>
      <c r="C10" t="s">
        <v>631</v>
      </c>
      <c r="D10">
        <v>2</v>
      </c>
    </row>
    <row r="11" spans="1:4">
      <c r="A11">
        <f t="shared" si="0"/>
        <v>10</v>
      </c>
      <c r="B11" s="6" t="s">
        <v>619</v>
      </c>
      <c r="C11" t="s">
        <v>632</v>
      </c>
      <c r="D11">
        <v>2</v>
      </c>
    </row>
    <row r="12" spans="1:4">
      <c r="A12">
        <f t="shared" si="0"/>
        <v>11</v>
      </c>
      <c r="B12" s="6" t="s">
        <v>620</v>
      </c>
      <c r="C12" t="s">
        <v>634</v>
      </c>
      <c r="D12">
        <v>3</v>
      </c>
    </row>
    <row r="13" spans="1:4">
      <c r="A13">
        <f t="shared" si="0"/>
        <v>12</v>
      </c>
      <c r="B13" s="6" t="s">
        <v>621</v>
      </c>
      <c r="C13" t="s">
        <v>633</v>
      </c>
      <c r="D13">
        <v>3</v>
      </c>
    </row>
    <row r="14" spans="1:4">
      <c r="A14">
        <f t="shared" si="0"/>
        <v>13</v>
      </c>
      <c r="B14" s="6" t="s">
        <v>622</v>
      </c>
      <c r="C14" t="s">
        <v>635</v>
      </c>
      <c r="D14">
        <v>1</v>
      </c>
    </row>
    <row r="15" spans="1:4">
      <c r="A15">
        <f t="shared" si="0"/>
        <v>14</v>
      </c>
      <c r="B15" s="6" t="s">
        <v>623</v>
      </c>
      <c r="C15" t="s">
        <v>636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647</v>
      </c>
      <c r="E1" s="1" t="s">
        <v>797</v>
      </c>
      <c r="F1" s="1" t="s">
        <v>692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D23" sqref="D23"/>
    </sheetView>
  </sheetViews>
  <sheetFormatPr defaultColWidth="12.77734375" defaultRowHeight="14.4"/>
  <cols>
    <col min="1" max="1" width="3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1</v>
      </c>
      <c r="C1" s="1" t="s">
        <v>462</v>
      </c>
      <c r="D1" s="1" t="s">
        <v>469</v>
      </c>
      <c r="E1" s="1" t="s">
        <v>914</v>
      </c>
      <c r="F1" s="1" t="s">
        <v>915</v>
      </c>
      <c r="G1" s="1" t="s">
        <v>24</v>
      </c>
    </row>
    <row r="2" spans="1:7">
      <c r="A2">
        <f>ROW(A2)-1</f>
        <v>1</v>
      </c>
      <c r="B2" t="s">
        <v>219</v>
      </c>
      <c r="C2" t="s">
        <v>463</v>
      </c>
      <c r="D2" t="b">
        <v>1</v>
      </c>
      <c r="E2" t="s">
        <v>463</v>
      </c>
      <c r="G2" t="b">
        <v>1</v>
      </c>
    </row>
    <row r="3" spans="1:7">
      <c r="A3">
        <f t="shared" ref="A3:A11" si="0">ROW(A3)-1</f>
        <v>2</v>
      </c>
      <c r="B3" t="s">
        <v>220</v>
      </c>
      <c r="C3" t="s">
        <v>464</v>
      </c>
      <c r="D3" t="b">
        <v>0</v>
      </c>
      <c r="E3" t="s">
        <v>910</v>
      </c>
      <c r="G3" t="b">
        <v>0</v>
      </c>
    </row>
    <row r="4" spans="1:7">
      <c r="A4">
        <f t="shared" si="0"/>
        <v>3</v>
      </c>
      <c r="B4" t="s">
        <v>221</v>
      </c>
      <c r="C4" t="s">
        <v>506</v>
      </c>
      <c r="D4" t="b">
        <v>0</v>
      </c>
      <c r="E4" t="s">
        <v>506</v>
      </c>
      <c r="G4" t="b">
        <v>0</v>
      </c>
    </row>
    <row r="5" spans="1:7">
      <c r="A5">
        <f t="shared" si="0"/>
        <v>4</v>
      </c>
      <c r="B5" t="s">
        <v>222</v>
      </c>
      <c r="C5" t="s">
        <v>465</v>
      </c>
      <c r="D5" t="b">
        <v>0</v>
      </c>
      <c r="E5" t="s">
        <v>465</v>
      </c>
      <c r="G5" t="b">
        <v>0</v>
      </c>
    </row>
    <row r="6" spans="1:7">
      <c r="A6">
        <f t="shared" si="0"/>
        <v>5</v>
      </c>
      <c r="B6" t="s">
        <v>223</v>
      </c>
      <c r="C6" s="15" t="s">
        <v>466</v>
      </c>
      <c r="D6" t="b">
        <v>1</v>
      </c>
      <c r="E6" t="s">
        <v>466</v>
      </c>
      <c r="G6" t="b">
        <v>0</v>
      </c>
    </row>
    <row r="7" spans="1:7">
      <c r="A7">
        <f t="shared" si="0"/>
        <v>6</v>
      </c>
      <c r="B7" t="s">
        <v>269</v>
      </c>
      <c r="C7" s="15" t="s">
        <v>507</v>
      </c>
      <c r="D7" t="b">
        <v>1</v>
      </c>
      <c r="E7" t="s">
        <v>507</v>
      </c>
      <c r="G7" t="b">
        <v>0</v>
      </c>
    </row>
    <row r="8" spans="1:7">
      <c r="A8">
        <f t="shared" si="0"/>
        <v>7</v>
      </c>
      <c r="B8" t="s">
        <v>270</v>
      </c>
      <c r="C8" s="15" t="s">
        <v>467</v>
      </c>
      <c r="D8" t="b">
        <v>1</v>
      </c>
      <c r="E8" t="s">
        <v>911</v>
      </c>
      <c r="F8" t="s">
        <v>913</v>
      </c>
      <c r="G8" t="b">
        <v>0</v>
      </c>
    </row>
    <row r="9" spans="1:7">
      <c r="A9">
        <f t="shared" si="0"/>
        <v>8</v>
      </c>
      <c r="B9" t="s">
        <v>271</v>
      </c>
      <c r="C9" s="15" t="s">
        <v>468</v>
      </c>
      <c r="D9" t="b">
        <v>0</v>
      </c>
      <c r="E9" t="s">
        <v>912</v>
      </c>
      <c r="G9" t="b">
        <v>0</v>
      </c>
    </row>
    <row r="10" spans="1:7">
      <c r="A10">
        <f t="shared" si="0"/>
        <v>9</v>
      </c>
      <c r="B10" t="s">
        <v>272</v>
      </c>
      <c r="C10" s="15" t="s">
        <v>916</v>
      </c>
      <c r="D10" t="b">
        <v>0</v>
      </c>
      <c r="E10" t="s">
        <v>508</v>
      </c>
      <c r="G10" t="b">
        <v>0</v>
      </c>
    </row>
    <row r="11" spans="1:7">
      <c r="A11">
        <f t="shared" si="0"/>
        <v>10</v>
      </c>
      <c r="B11" t="s">
        <v>273</v>
      </c>
      <c r="C11" s="10" t="s">
        <v>917</v>
      </c>
      <c r="D11" t="b">
        <v>0</v>
      </c>
      <c r="E11" t="s">
        <v>509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488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490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360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361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362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363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364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359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344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343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347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491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365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489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346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345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6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455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644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455</v>
      </c>
      <c r="E1" s="1" t="s">
        <v>254</v>
      </c>
      <c r="F1" s="1" t="s">
        <v>24</v>
      </c>
    </row>
    <row r="2" spans="1:6">
      <c r="A2">
        <f>ROW(A2)-1</f>
        <v>1</v>
      </c>
      <c r="B2" t="s">
        <v>367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6" activePane="bottomLeft" state="frozen"/>
      <selection pane="bottomLeft" activeCell="O49" sqref="O49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415</v>
      </c>
      <c r="C1" s="1" t="s">
        <v>335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505</v>
      </c>
      <c r="N1" s="1" t="s">
        <v>140</v>
      </c>
      <c r="O1" s="1" t="s">
        <v>734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429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741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423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424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425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426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427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430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740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428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341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303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304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305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307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308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309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338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339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418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419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420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421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422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366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487</v>
      </c>
      <c r="H44">
        <v>10</v>
      </c>
      <c r="N44" t="s">
        <v>651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414</v>
      </c>
      <c r="H45">
        <v>10</v>
      </c>
      <c r="M45" s="10"/>
      <c r="N45" s="10" t="s">
        <v>737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739</v>
      </c>
      <c r="H46">
        <v>5</v>
      </c>
      <c r="M46" s="10"/>
      <c r="N46" s="10" t="s">
        <v>486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503</v>
      </c>
      <c r="H47">
        <v>10</v>
      </c>
      <c r="M47" s="10" t="s">
        <v>446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504</v>
      </c>
      <c r="H48">
        <v>10</v>
      </c>
      <c r="M48" s="10" t="s">
        <v>447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681</v>
      </c>
      <c r="H49">
        <v>10</v>
      </c>
      <c r="N49" t="s">
        <v>682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735</v>
      </c>
      <c r="O50" t="s">
        <v>736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736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736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736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style="2" bestFit="1" customWidth="1"/>
    <col min="6" max="6" width="11.6640625" bestFit="1" customWidth="1"/>
    <col min="8" max="8" width="79.88671875" bestFit="1" customWidth="1"/>
  </cols>
  <sheetData>
    <row r="1" spans="1:8" s="1" customFormat="1">
      <c r="A1" s="1" t="s">
        <v>0</v>
      </c>
      <c r="B1" s="1" t="s">
        <v>415</v>
      </c>
      <c r="C1" s="1" t="s">
        <v>335</v>
      </c>
      <c r="D1" s="13" t="s">
        <v>1</v>
      </c>
      <c r="E1" s="25" t="s">
        <v>918</v>
      </c>
      <c r="F1" s="1" t="s">
        <v>637</v>
      </c>
    </row>
    <row r="2" spans="1:8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310</v>
      </c>
      <c r="E2" s="26">
        <v>99999999</v>
      </c>
      <c r="F2" t="s">
        <v>732</v>
      </c>
    </row>
    <row r="3" spans="1:8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s="2" t="s">
        <v>656</v>
      </c>
      <c r="F3" t="s">
        <v>732</v>
      </c>
      <c r="H3" t="s">
        <v>502</v>
      </c>
    </row>
    <row r="4" spans="1:8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s="2" t="s">
        <v>657</v>
      </c>
      <c r="F4" t="s">
        <v>732</v>
      </c>
      <c r="H4" t="s">
        <v>907</v>
      </c>
    </row>
    <row r="5" spans="1:8">
      <c r="A5">
        <f>ROW(A5)-1</f>
        <v>4</v>
      </c>
      <c r="B5">
        <v>1</v>
      </c>
      <c r="C5" t="str" cm="1">
        <f t="array" ref="C5">GetValue("Cli",B5,"Name")</f>
        <v>SoftLab</v>
      </c>
      <c r="D5" t="s">
        <v>341</v>
      </c>
      <c r="E5" s="2" t="s">
        <v>658</v>
      </c>
      <c r="F5" t="s">
        <v>732</v>
      </c>
    </row>
    <row r="6" spans="1:8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431</v>
      </c>
      <c r="E6" s="2" t="s">
        <v>659</v>
      </c>
      <c r="F6" t="s">
        <v>732</v>
      </c>
    </row>
    <row r="7" spans="1:8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304</v>
      </c>
      <c r="E7" s="2">
        <v>99999999999</v>
      </c>
      <c r="F7" t="s">
        <v>732</v>
      </c>
    </row>
    <row r="8" spans="1:8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305</v>
      </c>
      <c r="E8" s="2">
        <v>99999999</v>
      </c>
      <c r="F8" t="s">
        <v>732</v>
      </c>
    </row>
    <row r="9" spans="1:8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306</v>
      </c>
      <c r="E9" s="2" t="s">
        <v>660</v>
      </c>
      <c r="F9" t="s">
        <v>732</v>
      </c>
    </row>
    <row r="10" spans="1:8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307</v>
      </c>
      <c r="E10" s="2" t="s">
        <v>661</v>
      </c>
      <c r="F10" t="s">
        <v>732</v>
      </c>
    </row>
    <row r="11" spans="1:8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308</v>
      </c>
      <c r="E11" s="2" t="s">
        <v>662</v>
      </c>
      <c r="F11" t="s">
        <v>732</v>
      </c>
    </row>
    <row r="12" spans="1:8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309</v>
      </c>
      <c r="E12" s="2" t="s">
        <v>663</v>
      </c>
      <c r="F12" t="s">
        <v>733</v>
      </c>
    </row>
    <row r="13" spans="1:8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338</v>
      </c>
      <c r="E13" s="2" t="s">
        <v>664</v>
      </c>
      <c r="F13" t="s">
        <v>732</v>
      </c>
    </row>
    <row r="14" spans="1:8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418</v>
      </c>
      <c r="E14" s="2" t="s">
        <v>665</v>
      </c>
      <c r="F14" t="s">
        <v>732</v>
      </c>
    </row>
    <row r="15" spans="1:8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419</v>
      </c>
      <c r="E15" s="2" t="s">
        <v>666</v>
      </c>
      <c r="F15" t="s">
        <v>732</v>
      </c>
    </row>
    <row r="16" spans="1:8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420</v>
      </c>
      <c r="E16" s="4" t="s">
        <v>667</v>
      </c>
      <c r="F16" t="s">
        <v>733</v>
      </c>
    </row>
    <row r="17" spans="1:6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421</v>
      </c>
      <c r="E17" s="4" t="s">
        <v>668</v>
      </c>
      <c r="F17" t="s">
        <v>733</v>
      </c>
    </row>
    <row r="18" spans="1:6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339</v>
      </c>
      <c r="E18" s="2" t="s">
        <v>669</v>
      </c>
      <c r="F18" t="s">
        <v>732</v>
      </c>
    </row>
    <row r="19" spans="1:6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422</v>
      </c>
      <c r="E19" s="2" t="s">
        <v>670</v>
      </c>
      <c r="F19" t="s">
        <v>732</v>
      </c>
    </row>
    <row r="20" spans="1:6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340</v>
      </c>
      <c r="E20" s="2">
        <v>99999999999</v>
      </c>
      <c r="F20" t="s">
        <v>732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432</v>
      </c>
      <c r="G1" s="8" t="s">
        <v>433</v>
      </c>
      <c r="H1" s="9" t="s">
        <v>434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645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646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313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314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313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314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315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316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342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317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318</v>
      </c>
      <c r="H13" s="12" t="s">
        <v>302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317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319</v>
      </c>
      <c r="H15" s="12" t="s">
        <v>302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455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416</v>
      </c>
      <c r="E1" s="1" t="s">
        <v>311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439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440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441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336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337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456</v>
      </c>
      <c r="F2" t="s">
        <v>457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896</v>
      </c>
      <c r="F3" t="s">
        <v>458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899</v>
      </c>
      <c r="F4" t="s">
        <v>898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897</v>
      </c>
      <c r="F5" t="s">
        <v>459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4" activePane="bottomLeft" state="frozen"/>
      <selection pane="bottomLeft" activeCell="A13" sqref="A13:XFD13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437</v>
      </c>
      <c r="I1" s="1" t="s">
        <v>438</v>
      </c>
      <c r="J1" s="1" t="s">
        <v>652</v>
      </c>
      <c r="K1" s="1" t="s">
        <v>653</v>
      </c>
      <c r="L1" s="1" t="s">
        <v>654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320</v>
      </c>
      <c r="F2" t="s">
        <v>714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695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648</v>
      </c>
      <c r="E3" t="s">
        <v>649</v>
      </c>
      <c r="F3" t="s">
        <v>650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650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763</v>
      </c>
      <c r="E4" t="s">
        <v>764</v>
      </c>
      <c r="F4" t="s">
        <v>655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731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349</v>
      </c>
      <c r="E5" t="s">
        <v>352</v>
      </c>
      <c r="F5" t="s">
        <v>356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356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321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759</v>
      </c>
      <c r="E7" t="s">
        <v>760</v>
      </c>
      <c r="F7" t="s">
        <v>357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357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348</v>
      </c>
      <c r="E8" t="s">
        <v>351</v>
      </c>
      <c r="F8" t="s">
        <v>355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355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323</v>
      </c>
      <c r="F9" t="s">
        <v>715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696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322</v>
      </c>
      <c r="F10" t="s">
        <v>716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697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761</v>
      </c>
      <c r="E11" t="s">
        <v>762</v>
      </c>
      <c r="F11" t="s">
        <v>694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694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327</v>
      </c>
      <c r="F12" t="s">
        <v>358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358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436</v>
      </c>
      <c r="E13" t="s">
        <v>558</v>
      </c>
      <c r="F13" t="s">
        <v>717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698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324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325</v>
      </c>
      <c r="F15" t="s">
        <v>718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328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329</v>
      </c>
      <c r="F17" t="s">
        <v>719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699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330</v>
      </c>
      <c r="F18" t="s">
        <v>720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700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353</v>
      </c>
      <c r="F19" t="s">
        <v>721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701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453</v>
      </c>
      <c r="E20" t="s">
        <v>454</v>
      </c>
      <c r="F20" t="s">
        <v>722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702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334</v>
      </c>
      <c r="F21" t="s">
        <v>723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703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904</v>
      </c>
      <c r="E22" t="s">
        <v>452</v>
      </c>
      <c r="F22" t="s">
        <v>724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713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350</v>
      </c>
      <c r="E23" t="s">
        <v>354</v>
      </c>
      <c r="F23" t="s">
        <v>725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704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476</v>
      </c>
      <c r="E24" t="s">
        <v>475</v>
      </c>
      <c r="F24" t="s">
        <v>726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705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326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470</v>
      </c>
      <c r="E26" t="s">
        <v>671</v>
      </c>
      <c r="F26" t="s">
        <v>727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706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409</v>
      </c>
      <c r="E27" t="s">
        <v>408</v>
      </c>
      <c r="F27" t="s">
        <v>413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707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411</v>
      </c>
      <c r="E28" t="s">
        <v>412</v>
      </c>
      <c r="F28" t="s">
        <v>728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708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492</v>
      </c>
      <c r="E29" t="s">
        <v>493</v>
      </c>
      <c r="F29" t="s">
        <v>729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709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887</v>
      </c>
      <c r="E30" t="s">
        <v>888</v>
      </c>
      <c r="F30" t="s">
        <v>889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887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494</v>
      </c>
      <c r="E31" t="s">
        <v>495</v>
      </c>
      <c r="F31" t="s">
        <v>885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494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773</v>
      </c>
      <c r="E32" t="s">
        <v>774</v>
      </c>
      <c r="F32" t="s">
        <v>886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884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331</v>
      </c>
      <c r="F33" t="s">
        <v>730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710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332</v>
      </c>
      <c r="F34" t="s">
        <v>472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711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333</v>
      </c>
      <c r="F35" t="s">
        <v>471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712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474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596</v>
      </c>
      <c r="K1" s="17" t="s">
        <v>597</v>
      </c>
      <c r="L1" s="17" t="s">
        <v>598</v>
      </c>
      <c r="M1" s="17" t="s">
        <v>599</v>
      </c>
      <c r="N1" s="17" t="s">
        <v>602</v>
      </c>
      <c r="O1" s="17" t="s">
        <v>601</v>
      </c>
      <c r="P1" s="17" t="s">
        <v>600</v>
      </c>
      <c r="Q1" s="17" t="s">
        <v>893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683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517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516</v>
      </c>
      <c r="I9" s="20" t="s">
        <v>515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510</v>
      </c>
      <c r="I10" s="20" t="s">
        <v>514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511</v>
      </c>
      <c r="I11" s="20" t="s">
        <v>512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513</v>
      </c>
      <c r="I12" s="20" t="s">
        <v>519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684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685</v>
      </c>
      <c r="I14" s="18" t="s">
        <v>687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686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688</v>
      </c>
      <c r="I16" s="18" t="s">
        <v>689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690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691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738</v>
      </c>
      <c r="I19" s="20" t="s">
        <v>738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417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743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496</v>
      </c>
      <c r="I22" s="18" t="s">
        <v>497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498</v>
      </c>
      <c r="I23" s="18" t="s">
        <v>499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750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520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744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521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522</v>
      </c>
      <c r="I28" s="20" t="s">
        <v>523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524</v>
      </c>
      <c r="I29" s="20" t="s">
        <v>528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525</v>
      </c>
      <c r="I30" s="20" t="s">
        <v>525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526</v>
      </c>
      <c r="I31" s="20" t="s">
        <v>526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758</v>
      </c>
      <c r="I32" s="20" t="s">
        <v>758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527</v>
      </c>
      <c r="I33" s="20" t="s">
        <v>527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532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545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751</v>
      </c>
      <c r="I36" s="18" t="s">
        <v>435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520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546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745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746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554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529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742</v>
      </c>
      <c r="I43" s="20" t="s">
        <v>531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417</v>
      </c>
      <c r="I44" s="20" t="s">
        <v>435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752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533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534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535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536</v>
      </c>
      <c r="I52" s="18" t="s">
        <v>537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538</v>
      </c>
      <c r="I53" s="18" t="s">
        <v>539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540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523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528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528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541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747</v>
      </c>
      <c r="I59" s="20" t="s">
        <v>555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542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748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543</v>
      </c>
      <c r="I62" s="20" t="s">
        <v>749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547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544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541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548</v>
      </c>
      <c r="I67" s="18" t="s">
        <v>552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549</v>
      </c>
      <c r="I68" s="18" t="s">
        <v>551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550</v>
      </c>
      <c r="I69" s="18" t="s">
        <v>556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553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554</v>
      </c>
      <c r="I71" s="20" t="s">
        <v>555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561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576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530</v>
      </c>
      <c r="I74" s="20" t="s">
        <v>531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557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554</v>
      </c>
      <c r="I76" s="18" t="s">
        <v>555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553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559</v>
      </c>
      <c r="I78" s="18" t="s">
        <v>560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562</v>
      </c>
      <c r="I79" s="18" t="s">
        <v>563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564</v>
      </c>
      <c r="I80" s="18" t="s">
        <v>565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566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567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568</v>
      </c>
      <c r="I83" s="20" t="s">
        <v>569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570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571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572</v>
      </c>
      <c r="I86" s="20" t="s">
        <v>573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574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577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566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583</v>
      </c>
      <c r="I90" s="18" t="s">
        <v>584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578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579</v>
      </c>
      <c r="I92" s="18" t="s">
        <v>580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581</v>
      </c>
      <c r="I93" s="18" t="s">
        <v>582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585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575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553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902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772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765</v>
      </c>
      <c r="I101" s="20" t="s">
        <v>771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766</v>
      </c>
      <c r="I102" s="20" t="s">
        <v>769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767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768</v>
      </c>
      <c r="I104" s="20" t="s">
        <v>770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586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575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587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588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589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590</v>
      </c>
      <c r="I111" s="18" t="s">
        <v>580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592</v>
      </c>
      <c r="I112" s="18" t="s">
        <v>540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593</v>
      </c>
      <c r="I113" s="18" t="s">
        <v>523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594</v>
      </c>
      <c r="I114" s="18" t="s">
        <v>528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638</v>
      </c>
      <c r="I115" s="18" t="s">
        <v>641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639</v>
      </c>
      <c r="I116" s="18" t="s">
        <v>640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643</v>
      </c>
      <c r="I117" s="18" t="s">
        <v>642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755</v>
      </c>
      <c r="I118" s="18" t="s">
        <v>756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894</v>
      </c>
      <c r="I119" s="18" t="s">
        <v>895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603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875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876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877</v>
      </c>
      <c r="I123" s="20" t="s">
        <v>878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603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595</v>
      </c>
      <c r="I125" s="18" t="s">
        <v>604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879</v>
      </c>
      <c r="I126" s="18" t="s">
        <v>606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880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753</v>
      </c>
      <c r="I128" s="18" t="s">
        <v>754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779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595</v>
      </c>
      <c r="I130" s="20" t="s">
        <v>604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757</v>
      </c>
      <c r="I131" s="20" t="s">
        <v>606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780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781</v>
      </c>
      <c r="I133" s="18" t="s">
        <v>784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782</v>
      </c>
      <c r="I134" s="18" t="s">
        <v>785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881</v>
      </c>
      <c r="I135" s="18" t="s">
        <v>786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787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575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788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789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787</v>
      </c>
      <c r="I140" s="18" t="s">
        <v>795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790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791</v>
      </c>
      <c r="I142" s="18" t="s">
        <v>784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792</v>
      </c>
      <c r="I143" s="18" t="s">
        <v>796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781</v>
      </c>
      <c r="I144" s="18" t="s">
        <v>792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882</v>
      </c>
      <c r="I145" s="18" t="s">
        <v>738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782</v>
      </c>
      <c r="I146" s="18" t="s">
        <v>785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793</v>
      </c>
      <c r="I147" s="18" t="s">
        <v>793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794</v>
      </c>
      <c r="I148" s="18" t="s">
        <v>794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798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ColumnId</v>
      </c>
      <c r="H150" s="20" t="s">
        <v>757</v>
      </c>
      <c r="I150" s="20" t="s">
        <v>606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TableId</v>
      </c>
      <c r="H151" s="20" t="s">
        <v>575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20</v>
      </c>
      <c r="G152" s="20" t="str" cm="1">
        <f t="array" ref="G152">GetColumnName(C152,IF(B152=B151,G151,""))</f>
        <v>ExpressionId</v>
      </c>
      <c r="H152" s="20" t="s">
        <v>787</v>
      </c>
      <c r="I152" s="20" t="s">
        <v>795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5"/>
        <v>25</v>
      </c>
      <c r="G153" s="20" t="str" cm="1">
        <f t="array" ref="G153">GetColumnName(C153,IF(B153=B152,G152,""))</f>
        <v>Alias</v>
      </c>
      <c r="H153" s="20" t="s">
        <v>883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6">IF(G154="Id",5,F153+5)</f>
        <v>30</v>
      </c>
      <c r="G154" s="20" t="str" cm="1">
        <f t="array" ref="G154">GetColumnName(C154,IF(B154=B153,G153,""))</f>
        <v>IsParentChild</v>
      </c>
      <c r="H154" s="20" t="s">
        <v>783</v>
      </c>
      <c r="I154" s="20" t="s">
        <v>786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799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554</v>
      </c>
      <c r="I156" s="18" t="s">
        <v>555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800</v>
      </c>
      <c r="I158" s="18" t="s">
        <v>800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801</v>
      </c>
      <c r="I159" s="18" t="s">
        <v>803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802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804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566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805</v>
      </c>
      <c r="I163" s="20" t="s">
        <v>810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575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806</v>
      </c>
      <c r="I165" s="20" t="s">
        <v>811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807</v>
      </c>
      <c r="I166" s="20" t="s">
        <v>812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808</v>
      </c>
      <c r="I167" s="20" t="s">
        <v>813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809</v>
      </c>
      <c r="I168" s="20" t="s">
        <v>814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817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818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819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815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816</v>
      </c>
      <c r="I173" s="18" t="s">
        <v>820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844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787</v>
      </c>
      <c r="I175" s="20" t="s">
        <v>795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817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823</v>
      </c>
      <c r="I177" s="20" t="s">
        <v>822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824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825</v>
      </c>
      <c r="I179" s="18" t="s">
        <v>555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826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827</v>
      </c>
      <c r="I181" s="18" t="s">
        <v>836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828</v>
      </c>
      <c r="I182" s="18" t="s">
        <v>837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829</v>
      </c>
      <c r="I183" s="18" t="s">
        <v>838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830</v>
      </c>
      <c r="I184" s="18" t="s">
        <v>839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831</v>
      </c>
      <c r="I185" s="18" t="s">
        <v>840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835</v>
      </c>
      <c r="I186" s="18" t="s">
        <v>841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832</v>
      </c>
      <c r="I187" s="18" t="s">
        <v>842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834</v>
      </c>
      <c r="I188" s="18" t="s">
        <v>843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IsActive</v>
      </c>
      <c r="H189" s="18" t="s">
        <v>833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890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891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892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846</v>
      </c>
      <c r="I193" s="20" t="s">
        <v>848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847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849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845</v>
      </c>
      <c r="I196" s="18" t="s">
        <v>850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553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853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484</v>
      </c>
      <c r="I199" s="18" t="s">
        <v>484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851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845</v>
      </c>
      <c r="I201" s="20" t="s">
        <v>850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854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855</v>
      </c>
      <c r="I203" s="20" t="s">
        <v>856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851</v>
      </c>
      <c r="I204" s="20" t="s">
        <v>852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857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554</v>
      </c>
      <c r="I206" s="18" t="s">
        <v>555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858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799</v>
      </c>
      <c r="I208" s="18" t="s">
        <v>810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859</v>
      </c>
      <c r="I209" s="18" t="s">
        <v>859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860</v>
      </c>
      <c r="I210" s="18" t="s">
        <v>861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862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857</v>
      </c>
      <c r="I212" s="20" t="s">
        <v>864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863</v>
      </c>
      <c r="I213" s="20" t="s">
        <v>865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866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862</v>
      </c>
      <c r="I215" s="18" t="s">
        <v>871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867</v>
      </c>
      <c r="I217" s="18" t="s">
        <v>872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868</v>
      </c>
      <c r="I218" s="18" t="s">
        <v>873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869</v>
      </c>
      <c r="I219" s="18" t="s">
        <v>874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870</v>
      </c>
      <c r="I220" s="18" t="s">
        <v>865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607</v>
      </c>
      <c r="C1" s="1" t="s">
        <v>776</v>
      </c>
      <c r="D1" s="1" t="s">
        <v>777</v>
      </c>
      <c r="E1" s="1" t="s">
        <v>608</v>
      </c>
      <c r="F1" s="1" t="s">
        <v>775</v>
      </c>
      <c r="G1" s="1" t="s">
        <v>778</v>
      </c>
      <c r="H1" s="1" t="s">
        <v>605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905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tabSelected="1" zoomScaleNormal="100" workbookViewId="0">
      <pane ySplit="1" topLeftCell="A2" activePane="bottomLeft" state="frozen"/>
      <selection pane="bottomLeft" activeCell="N5" sqref="N5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460</v>
      </c>
      <c r="C1" s="1" t="s">
        <v>473</v>
      </c>
      <c r="D1" s="1" t="s">
        <v>69</v>
      </c>
      <c r="E1" s="1" t="s">
        <v>448</v>
      </c>
      <c r="F1" s="1" t="s">
        <v>500</v>
      </c>
      <c r="G1" s="1" t="s">
        <v>607</v>
      </c>
      <c r="H1" s="1" t="s">
        <v>610</v>
      </c>
      <c r="I1" s="1" t="s">
        <v>647</v>
      </c>
      <c r="J1" s="1" t="s">
        <v>797</v>
      </c>
      <c r="K1" s="16" t="s">
        <v>608</v>
      </c>
      <c r="L1" s="1" t="s">
        <v>609</v>
      </c>
      <c r="M1" s="1" t="s">
        <v>908</v>
      </c>
      <c r="N1" s="1" t="s">
        <v>501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920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449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447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450</v>
      </c>
      <c r="F4" s="6" t="s">
        <v>446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909</v>
      </c>
      <c r="N4" s="6" t="s">
        <v>921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474</v>
      </c>
      <c r="F1" s="1" t="s">
        <v>460</v>
      </c>
      <c r="G1" s="1" t="s">
        <v>473</v>
      </c>
      <c r="H1" s="1" t="s">
        <v>83</v>
      </c>
      <c r="I1" s="1" t="s">
        <v>901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Expression 0001</v>
      </c>
      <c r="H2" t="s">
        <v>900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442</v>
      </c>
      <c r="I1" s="1" t="s">
        <v>443</v>
      </c>
      <c r="J1" s="1" t="s">
        <v>444</v>
      </c>
      <c r="K1" s="1" t="s">
        <v>445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370</v>
      </c>
      <c r="C2" s="10"/>
      <c r="D2" s="10" t="str" cm="1">
        <f t="array" ref="D2">GetValue("Cat",C2,"Name")</f>
        <v/>
      </c>
      <c r="E2" s="10" t="s">
        <v>399</v>
      </c>
      <c r="F2" t="b">
        <v>1</v>
      </c>
    </row>
    <row r="3" spans="1:6">
      <c r="A3" s="10">
        <f t="shared" ref="A3:A20" si="0">ROW(A3)-1</f>
        <v>2</v>
      </c>
      <c r="B3" s="10" t="s">
        <v>371</v>
      </c>
      <c r="C3" s="10"/>
      <c r="D3" s="10" t="str" cm="1">
        <f t="array" ref="D3">GetValue("Cat",C3,"Name")</f>
        <v/>
      </c>
      <c r="E3" s="10" t="s">
        <v>400</v>
      </c>
      <c r="F3" t="b">
        <v>1</v>
      </c>
    </row>
    <row r="4" spans="1:6">
      <c r="A4" s="10">
        <f t="shared" si="0"/>
        <v>3</v>
      </c>
      <c r="B4" s="10" t="s">
        <v>372</v>
      </c>
      <c r="C4" s="10"/>
      <c r="D4" s="10" t="str" cm="1">
        <f t="array" ref="D4">GetValue("Cat",C4,"Name")</f>
        <v/>
      </c>
      <c r="E4" s="10" t="s">
        <v>401</v>
      </c>
      <c r="F4" t="b">
        <v>1</v>
      </c>
    </row>
    <row r="5" spans="1:6">
      <c r="A5" s="10">
        <f t="shared" si="0"/>
        <v>4</v>
      </c>
      <c r="B5" s="10" t="s">
        <v>373</v>
      </c>
      <c r="C5" s="10"/>
      <c r="D5" s="10" t="str" cm="1">
        <f t="array" ref="D5">GetValue("Cat",C5,"Name")</f>
        <v/>
      </c>
      <c r="E5" s="10" t="s">
        <v>402</v>
      </c>
      <c r="F5" t="b">
        <v>1</v>
      </c>
    </row>
    <row r="6" spans="1:6">
      <c r="A6" s="10">
        <f t="shared" si="0"/>
        <v>5</v>
      </c>
      <c r="B6" s="10" t="s">
        <v>374</v>
      </c>
      <c r="C6" s="10"/>
      <c r="D6" s="10" t="str" cm="1">
        <f t="array" ref="D6">GetValue("Cat",C6,"Name")</f>
        <v/>
      </c>
      <c r="E6" s="10" t="s">
        <v>403</v>
      </c>
      <c r="F6" t="b">
        <v>1</v>
      </c>
    </row>
    <row r="7" spans="1:6">
      <c r="A7" s="10">
        <f t="shared" si="0"/>
        <v>6</v>
      </c>
      <c r="B7" s="10" t="s">
        <v>375</v>
      </c>
      <c r="C7" s="10"/>
      <c r="D7" s="10" t="str" cm="1">
        <f t="array" ref="D7">GetValue("Cat",C7,"Name")</f>
        <v/>
      </c>
      <c r="E7" s="10" t="s">
        <v>404</v>
      </c>
      <c r="F7" t="b">
        <v>1</v>
      </c>
    </row>
    <row r="8" spans="1:6">
      <c r="A8" s="10">
        <f t="shared" si="0"/>
        <v>7</v>
      </c>
      <c r="B8" s="10" t="s">
        <v>376</v>
      </c>
      <c r="C8" s="10">
        <v>10</v>
      </c>
      <c r="D8" s="10" t="str" cm="1">
        <f t="array" ref="D8">GetValue("Cat",C8,"Name")</f>
        <v>undefined</v>
      </c>
      <c r="E8" s="10" t="s">
        <v>405</v>
      </c>
      <c r="F8" t="b">
        <v>1</v>
      </c>
    </row>
    <row r="9" spans="1:6">
      <c r="A9" s="10">
        <f t="shared" si="0"/>
        <v>8</v>
      </c>
      <c r="B9" s="10" t="s">
        <v>377</v>
      </c>
      <c r="C9" s="10">
        <v>1</v>
      </c>
      <c r="D9" s="10" t="str" cm="1">
        <f t="array" ref="D9">GetValue("Cat",C9,"Name")</f>
        <v>string</v>
      </c>
      <c r="E9" s="10" t="s">
        <v>378</v>
      </c>
      <c r="F9" t="b">
        <v>1</v>
      </c>
    </row>
    <row r="10" spans="1:6">
      <c r="A10" s="10">
        <f t="shared" si="0"/>
        <v>9</v>
      </c>
      <c r="B10" s="10" t="s">
        <v>379</v>
      </c>
      <c r="C10" s="10">
        <v>1</v>
      </c>
      <c r="D10" s="10" t="str" cm="1">
        <f t="array" ref="D10">GetValue("Cat",C10,"Name")</f>
        <v>string</v>
      </c>
      <c r="E10" s="10" t="s">
        <v>380</v>
      </c>
      <c r="F10" t="b">
        <v>1</v>
      </c>
    </row>
    <row r="11" spans="1:6">
      <c r="A11" s="10">
        <f t="shared" si="0"/>
        <v>10</v>
      </c>
      <c r="B11" s="10" t="s">
        <v>381</v>
      </c>
      <c r="C11" s="10">
        <v>1</v>
      </c>
      <c r="D11" s="10" t="str" cm="1">
        <f t="array" ref="D11">GetValue("Cat",C11,"Name")</f>
        <v>string</v>
      </c>
      <c r="E11" s="10" t="s">
        <v>382</v>
      </c>
      <c r="F11" t="b">
        <v>1</v>
      </c>
    </row>
    <row r="12" spans="1:6">
      <c r="A12" s="10">
        <f t="shared" si="0"/>
        <v>11</v>
      </c>
      <c r="B12" s="10" t="s">
        <v>383</v>
      </c>
      <c r="C12" s="10">
        <v>1</v>
      </c>
      <c r="D12" s="10" t="str" cm="1">
        <f t="array" ref="D12">GetValue("Cat",C12,"Name")</f>
        <v>string</v>
      </c>
      <c r="E12" s="10" t="s">
        <v>384</v>
      </c>
      <c r="F12" t="b">
        <v>1</v>
      </c>
    </row>
    <row r="13" spans="1:6">
      <c r="A13" s="10">
        <f t="shared" si="0"/>
        <v>12</v>
      </c>
      <c r="B13" s="10" t="s">
        <v>385</v>
      </c>
      <c r="C13" s="10">
        <v>10</v>
      </c>
      <c r="D13" s="10" t="str" cm="1">
        <f t="array" ref="D13">GetValue("Cat",C13,"Name")</f>
        <v>undefined</v>
      </c>
      <c r="E13" s="10" t="s">
        <v>406</v>
      </c>
      <c r="F13" t="b">
        <v>1</v>
      </c>
    </row>
    <row r="14" spans="1:6">
      <c r="A14" s="10">
        <f t="shared" si="0"/>
        <v>13</v>
      </c>
      <c r="B14" s="10" t="s">
        <v>386</v>
      </c>
      <c r="C14" s="10">
        <v>10</v>
      </c>
      <c r="D14" s="10" t="str" cm="1">
        <f t="array" ref="D14">GetValue("Cat",C14,"Name")</f>
        <v>undefined</v>
      </c>
      <c r="E14" s="10" t="s">
        <v>407</v>
      </c>
      <c r="F14" t="b">
        <v>1</v>
      </c>
    </row>
    <row r="15" spans="1:6">
      <c r="A15" s="10">
        <f t="shared" si="0"/>
        <v>14</v>
      </c>
      <c r="B15" s="10" t="s">
        <v>387</v>
      </c>
      <c r="C15" s="10">
        <v>2</v>
      </c>
      <c r="D15" s="10" t="str" cm="1">
        <f t="array" ref="D15">GetValue("Cat",C15,"Name")</f>
        <v>number</v>
      </c>
      <c r="E15" s="10" t="s">
        <v>388</v>
      </c>
      <c r="F15" t="b">
        <v>1</v>
      </c>
    </row>
    <row r="16" spans="1:6">
      <c r="A16" s="10">
        <f t="shared" si="0"/>
        <v>15</v>
      </c>
      <c r="B16" s="10" t="s">
        <v>389</v>
      </c>
      <c r="C16" s="10">
        <v>2</v>
      </c>
      <c r="D16" s="10" t="str" cm="1">
        <f t="array" ref="D16">GetValue("Cat",C16,"Name")</f>
        <v>number</v>
      </c>
      <c r="E16" s="10" t="s">
        <v>390</v>
      </c>
      <c r="F16" t="b">
        <v>1</v>
      </c>
    </row>
    <row r="17" spans="1:6">
      <c r="A17" s="10">
        <f t="shared" si="0"/>
        <v>16</v>
      </c>
      <c r="B17" s="10" t="s">
        <v>391</v>
      </c>
      <c r="C17" s="10">
        <v>2</v>
      </c>
      <c r="D17" s="10" t="str" cm="1">
        <f t="array" ref="D17">GetValue("Cat",C17,"Name")</f>
        <v>number</v>
      </c>
      <c r="E17" s="10" t="s">
        <v>392</v>
      </c>
      <c r="F17" t="b">
        <v>1</v>
      </c>
    </row>
    <row r="18" spans="1:6">
      <c r="A18" s="10">
        <f t="shared" si="0"/>
        <v>17</v>
      </c>
      <c r="B18" s="10" t="s">
        <v>393</v>
      </c>
      <c r="C18" s="10">
        <v>1</v>
      </c>
      <c r="D18" s="10" t="str" cm="1">
        <f t="array" ref="D18">GetValue("Cat",C18,"Name")</f>
        <v>string</v>
      </c>
      <c r="E18" s="10" t="s">
        <v>394</v>
      </c>
      <c r="F18" t="b">
        <v>1</v>
      </c>
    </row>
    <row r="19" spans="1:6">
      <c r="A19" s="10">
        <f t="shared" si="0"/>
        <v>18</v>
      </c>
      <c r="B19" s="10" t="s">
        <v>395</v>
      </c>
      <c r="C19" s="10">
        <v>1</v>
      </c>
      <c r="D19" s="10" t="str" cm="1">
        <f t="array" ref="D19">GetValue("Cat",C19,"Name")</f>
        <v>string</v>
      </c>
      <c r="E19" s="10" t="s">
        <v>396</v>
      </c>
      <c r="F19" t="b">
        <v>1</v>
      </c>
    </row>
    <row r="20" spans="1:6">
      <c r="A20" s="10">
        <f t="shared" si="0"/>
        <v>19</v>
      </c>
      <c r="B20" s="10" t="s">
        <v>397</v>
      </c>
      <c r="C20" s="10">
        <v>1</v>
      </c>
      <c r="D20" s="10" t="str" cm="1">
        <f t="array" ref="D20">GetValue("Cat",C20,"Name")</f>
        <v>string</v>
      </c>
      <c r="E20" s="10" t="s">
        <v>398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474</v>
      </c>
      <c r="D1" s="1" t="s">
        <v>155</v>
      </c>
      <c r="E1" s="1" t="s">
        <v>460</v>
      </c>
      <c r="F1" s="1" t="s">
        <v>473</v>
      </c>
      <c r="G1" s="1" t="s">
        <v>461</v>
      </c>
      <c r="H1" s="1" t="s">
        <v>410</v>
      </c>
      <c r="I1" s="1" t="s">
        <v>312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370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activeCell="I6" sqref="I6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477</v>
      </c>
      <c r="F1" s="1" t="s">
        <v>414</v>
      </c>
      <c r="G1" s="1" t="s">
        <v>478</v>
      </c>
      <c r="H1" s="1" t="s">
        <v>479</v>
      </c>
      <c r="I1" s="1" t="s">
        <v>480</v>
      </c>
      <c r="J1" s="1" t="s">
        <v>481</v>
      </c>
      <c r="K1" s="1" t="s">
        <v>482</v>
      </c>
      <c r="L1" s="1" t="s">
        <v>483</v>
      </c>
      <c r="M1" s="1" t="s">
        <v>919</v>
      </c>
      <c r="N1" s="1" t="s">
        <v>24</v>
      </c>
    </row>
    <row r="2" spans="1:14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672</v>
      </c>
      <c r="E2">
        <v>1</v>
      </c>
      <c r="F2" t="s">
        <v>673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485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674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906</v>
      </c>
      <c r="C1" s="1" t="s">
        <v>903</v>
      </c>
      <c r="D1" s="1" t="s">
        <v>84</v>
      </c>
      <c r="E1" s="1" t="s">
        <v>151</v>
      </c>
      <c r="F1" s="1" t="s">
        <v>69</v>
      </c>
      <c r="G1" s="1" t="s">
        <v>484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675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906</v>
      </c>
      <c r="C1" s="1" t="s">
        <v>903</v>
      </c>
      <c r="D1" s="1" t="s">
        <v>69</v>
      </c>
      <c r="E1" s="1" t="s">
        <v>679</v>
      </c>
      <c r="F1" s="1" t="s">
        <v>852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680</v>
      </c>
      <c r="F2" s="28" t="s">
        <v>678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415</v>
      </c>
      <c r="C1" s="1" t="s">
        <v>335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676</v>
      </c>
      <c r="E2" t="s">
        <v>677</v>
      </c>
      <c r="F2" t="s">
        <v>677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2026-06-19T04:15:37Z</dcterms:modified>
</cp:coreProperties>
</file>