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\CRUDEX-C#\SGSI_CRUDEX\CRUDEX\StaticFiles\Assets\"/>
    </mc:Choice>
  </mc:AlternateContent>
  <xr:revisionPtr revIDLastSave="0" documentId="13_ncr:1_{D9F347EF-F78A-4D3D-B6FF-4A943A54DB4B}" xr6:coauthVersionLast="47" xr6:coauthVersionMax="47" xr10:uidLastSave="{00000000-0000-0000-0000-000000000000}"/>
  <bookViews>
    <workbookView xWindow="-120" yWindow="-120" windowWidth="29040" windowHeight="16440" tabRatio="969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Hok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Col!$D$1:$D$122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4" i="12" l="1"/>
  <c r="A103" i="12"/>
  <c r="A102" i="12"/>
  <c r="A101" i="12"/>
  <c r="E103" i="12" a="1"/>
  <c r="C101" i="12" a="1"/>
  <c r="C104" i="12" a="1"/>
  <c r="E102" i="12" a="1"/>
  <c r="C102" i="12" a="1"/>
  <c r="C103" i="12" a="1"/>
  <c r="E101" i="12" a="1"/>
  <c r="E104" i="12" a="1"/>
  <c r="E104" i="12" l="1"/>
  <c r="E101" i="12"/>
  <c r="C103" i="12"/>
  <c r="C102" i="12"/>
  <c r="E102" i="12"/>
  <c r="C104" i="12"/>
  <c r="C101" i="12"/>
  <c r="E103" i="12"/>
  <c r="A34" i="12"/>
  <c r="A127" i="12"/>
  <c r="A126" i="12"/>
  <c r="A125" i="12"/>
  <c r="C34" i="12" a="1"/>
  <c r="E34" i="12" a="1"/>
  <c r="C125" i="12" a="1"/>
  <c r="E127" i="12" a="1"/>
  <c r="E126" i="12" a="1"/>
  <c r="C127" i="12" a="1"/>
  <c r="E125" i="12" a="1"/>
  <c r="C126" i="12" a="1"/>
  <c r="E34" i="12" l="1"/>
  <c r="C34" i="12"/>
  <c r="C126" i="12"/>
  <c r="E125" i="12"/>
  <c r="C127" i="12"/>
  <c r="E126" i="12"/>
  <c r="E127" i="12"/>
  <c r="C125" i="12"/>
  <c r="A63" i="12" l="1"/>
  <c r="A15" i="4"/>
  <c r="A11" i="12"/>
  <c r="C15" i="4" a="1"/>
  <c r="F15" i="4" a="1"/>
  <c r="E15" i="4" a="1"/>
  <c r="E11" i="12" a="1"/>
  <c r="E63" i="12" a="1"/>
  <c r="C11" i="12" a="1"/>
  <c r="C63" i="12" a="1"/>
  <c r="C63" i="12" l="1"/>
  <c r="E63" i="12"/>
  <c r="E15" i="4"/>
  <c r="F15" i="4"/>
  <c r="C15" i="4"/>
  <c r="C11" i="12"/>
  <c r="E11" i="12"/>
  <c r="A12" i="12"/>
  <c r="C12" i="12" a="1"/>
  <c r="E12" i="12" a="1"/>
  <c r="E12" i="12" l="1"/>
  <c r="C12" i="12"/>
  <c r="A22" i="4"/>
  <c r="A45" i="12"/>
  <c r="A41" i="12"/>
  <c r="A44" i="12"/>
  <c r="A43" i="12"/>
  <c r="A42" i="12"/>
  <c r="A57" i="12"/>
  <c r="A21" i="12"/>
  <c r="A45" i="4"/>
  <c r="A50" i="4"/>
  <c r="C50" i="4" a="1"/>
  <c r="E50" i="4" a="1"/>
  <c r="C22" i="4" a="1"/>
  <c r="C45" i="4" a="1"/>
  <c r="E45" i="4" a="1"/>
  <c r="E22" i="4" a="1"/>
  <c r="E42" i="12" a="1"/>
  <c r="E57" i="12" a="1"/>
  <c r="C21" i="12" a="1"/>
  <c r="E43" i="12" a="1"/>
  <c r="C45" i="12" a="1"/>
  <c r="C43" i="12" a="1"/>
  <c r="C57" i="12" a="1"/>
  <c r="C44" i="12" a="1"/>
  <c r="C41" i="12" a="1"/>
  <c r="E41" i="12" a="1"/>
  <c r="E21" i="12" a="1"/>
  <c r="C42" i="12" a="1"/>
  <c r="E45" i="12" a="1"/>
  <c r="E44" i="12" a="1"/>
  <c r="C22" i="4" l="1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A18" i="12"/>
  <c r="A17" i="12"/>
  <c r="E6" i="28" a="1"/>
  <c r="F30" i="53" a="1"/>
  <c r="F3" i="53" a="1"/>
  <c r="F53" i="53" a="1"/>
  <c r="F68" i="53" a="1"/>
  <c r="F37" i="53" a="1"/>
  <c r="F66" i="53" a="1"/>
  <c r="F48" i="53" a="1"/>
  <c r="F62" i="53" a="1"/>
  <c r="F2" i="53" a="1"/>
  <c r="F5" i="53" a="1"/>
  <c r="F34" i="53" a="1"/>
  <c r="F45" i="53" a="1"/>
  <c r="F56" i="53" a="1"/>
  <c r="F13" i="53" a="1"/>
  <c r="F18" i="53" a="1"/>
  <c r="E4" i="28" a="1"/>
  <c r="F31" i="53" a="1"/>
  <c r="F69" i="53" a="1"/>
  <c r="E2" i="28" a="1"/>
  <c r="E5" i="28" a="1"/>
  <c r="C2" i="50" a="1"/>
  <c r="F41" i="53" a="1"/>
  <c r="F21" i="53" a="1"/>
  <c r="F20" i="53" a="1"/>
  <c r="F64" i="53" a="1"/>
  <c r="F46" i="53" a="1"/>
  <c r="F28" i="53" a="1"/>
  <c r="F10" i="53" a="1"/>
  <c r="F57" i="53" a="1"/>
  <c r="F36" i="53" a="1"/>
  <c r="F15" i="53" a="1"/>
  <c r="F38" i="53" a="1"/>
  <c r="C2" i="54" a="1"/>
  <c r="F6" i="53" a="1"/>
  <c r="F11" i="53" a="1"/>
  <c r="F61" i="53" a="1"/>
  <c r="F43" i="53" a="1"/>
  <c r="F25" i="53" a="1"/>
  <c r="F7" i="53" a="1"/>
  <c r="F54" i="53" a="1"/>
  <c r="F33" i="53" a="1"/>
  <c r="F12" i="53" a="1"/>
  <c r="F26" i="53" a="1"/>
  <c r="E3" i="28" a="1"/>
  <c r="F42" i="53" a="1"/>
  <c r="F17" i="53" a="1"/>
  <c r="F65" i="53" a="1"/>
  <c r="F29" i="53" a="1"/>
  <c r="F58" i="53" a="1"/>
  <c r="F40" i="53" a="1"/>
  <c r="F22" i="53" a="1"/>
  <c r="F4" i="53" a="1"/>
  <c r="F51" i="53" a="1"/>
  <c r="F9" i="53" a="1"/>
  <c r="F14" i="53" a="1"/>
  <c r="F8" i="53" a="1"/>
  <c r="F19" i="53" a="1"/>
  <c r="F27" i="53" a="1"/>
  <c r="F59" i="53" a="1"/>
  <c r="F44" i="53" a="1"/>
  <c r="F52" i="53" a="1"/>
  <c r="F63" i="53" a="1"/>
  <c r="F35" i="53" a="1"/>
  <c r="F32" i="53" a="1"/>
  <c r="F55" i="53" a="1"/>
  <c r="F23" i="53" a="1"/>
  <c r="F16" i="53" a="1"/>
  <c r="F24" i="53" a="1"/>
  <c r="F50" i="53" a="1"/>
  <c r="F67" i="53" a="1"/>
  <c r="F49" i="53" a="1"/>
  <c r="F60" i="53" a="1"/>
  <c r="F39" i="53" a="1"/>
  <c r="F47" i="53" a="1"/>
  <c r="G41" i="12" a="1"/>
  <c r="C18" i="12" a="1"/>
  <c r="E18" i="12" a="1"/>
  <c r="C17" i="12" a="1"/>
  <c r="E17" i="12" a="1"/>
  <c r="G41" i="12" l="1"/>
  <c r="E3" i="28"/>
  <c r="E5" i="28"/>
  <c r="E2" i="28"/>
  <c r="E4" i="28"/>
  <c r="E6" i="28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J31" i="11"/>
  <c r="J32" i="11" s="1"/>
  <c r="J33" i="11" s="1"/>
  <c r="J34" i="11" s="1"/>
  <c r="J35" i="11" s="1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13" i="40" a="1"/>
  <c r="E6" i="53" a="1"/>
  <c r="C30" i="40" a="1"/>
  <c r="E10" i="53" a="1"/>
  <c r="I2" i="11" a="1"/>
  <c r="C68" i="53" a="1"/>
  <c r="C26" i="11" a="1"/>
  <c r="C56" i="53" a="1"/>
  <c r="I18" i="11" a="1"/>
  <c r="C35" i="53" a="1"/>
  <c r="E2" i="15" a="1"/>
  <c r="C45" i="53" a="1"/>
  <c r="E31" i="53" a="1"/>
  <c r="C35" i="40" a="1"/>
  <c r="C66" i="53" a="1"/>
  <c r="E68" i="53" a="1"/>
  <c r="G2" i="46" a="1"/>
  <c r="C26" i="40" a="1"/>
  <c r="E64" i="53" a="1"/>
  <c r="I32" i="11" a="1"/>
  <c r="E59" i="53" a="1"/>
  <c r="C4" i="11" a="1"/>
  <c r="E38" i="53" a="1"/>
  <c r="I12" i="11" a="1"/>
  <c r="E44" i="53" a="1"/>
  <c r="C17" i="11" a="1"/>
  <c r="E7" i="53" a="1"/>
  <c r="C2" i="15" a="1"/>
  <c r="E39" i="53" a="1"/>
  <c r="C8" i="53" a="1"/>
  <c r="C25" i="40" a="1"/>
  <c r="E60" i="53" a="1"/>
  <c r="C9" i="40" a="1"/>
  <c r="C42" i="53" a="1"/>
  <c r="C52" i="40" a="1"/>
  <c r="E42" i="53" a="1"/>
  <c r="C31" i="53" a="1"/>
  <c r="C21" i="53" a="1"/>
  <c r="E19" i="53" a="1"/>
  <c r="C69" i="53" a="1"/>
  <c r="C28" i="40" a="1"/>
  <c r="C20" i="11" a="1"/>
  <c r="I14" i="11" a="1"/>
  <c r="C37" i="53" a="1"/>
  <c r="E14" i="53" a="1"/>
  <c r="E22" i="53" a="1"/>
  <c r="E17" i="53" a="1"/>
  <c r="C17" i="40" a="1"/>
  <c r="C30" i="11" a="1"/>
  <c r="C23" i="11" a="1"/>
  <c r="E30" i="53" a="1"/>
  <c r="C53" i="53" a="1"/>
  <c r="C44" i="40" a="1"/>
  <c r="I21" i="11" a="1"/>
  <c r="C24" i="11" a="1"/>
  <c r="E63" i="53" a="1"/>
  <c r="E55" i="53" a="1"/>
  <c r="I19" i="11" a="1"/>
  <c r="E23" i="53" a="1"/>
  <c r="E36" i="53" a="1"/>
  <c r="C12" i="40" a="1"/>
  <c r="C22" i="11" a="1"/>
  <c r="E32" i="53" a="1"/>
  <c r="I31" i="11" a="1"/>
  <c r="C32" i="40" a="1"/>
  <c r="I4" i="11" a="1"/>
  <c r="C22" i="53" a="1"/>
  <c r="E51" i="53" a="1"/>
  <c r="C8" i="11" a="1"/>
  <c r="E2" i="9" a="1"/>
  <c r="C13" i="11" a="1"/>
  <c r="C3" i="40" a="1"/>
  <c r="E57" i="53" a="1"/>
  <c r="C20" i="40" a="1"/>
  <c r="C55" i="53" a="1"/>
  <c r="C10" i="40" a="1"/>
  <c r="C10" i="53" a="1"/>
  <c r="I29" i="11" a="1"/>
  <c r="E16" i="53" a="1"/>
  <c r="C28" i="11" a="1"/>
  <c r="C39" i="53" a="1"/>
  <c r="I20" i="11" a="1"/>
  <c r="C11" i="53" a="1"/>
  <c r="C2" i="49" a="1"/>
  <c r="C36" i="53" a="1"/>
  <c r="C7" i="53" a="1"/>
  <c r="C15" i="40" a="1"/>
  <c r="C49" i="53" a="1"/>
  <c r="C48" i="40" a="1"/>
  <c r="C67" i="53" a="1"/>
  <c r="I11" i="11" a="1"/>
  <c r="C13" i="53" a="1"/>
  <c r="C15" i="53" a="1"/>
  <c r="C52" i="53" a="1"/>
  <c r="C58" i="53" a="1"/>
  <c r="C18" i="40" a="1"/>
  <c r="I34" i="11" a="1"/>
  <c r="C25" i="11" a="1"/>
  <c r="C4" i="53" a="1"/>
  <c r="C25" i="53" a="1"/>
  <c r="C64" i="53" a="1"/>
  <c r="E5" i="53" a="1"/>
  <c r="C7" i="40" a="1"/>
  <c r="C2" i="11" a="1"/>
  <c r="I15" i="11" a="1"/>
  <c r="C28" i="53" a="1"/>
  <c r="C47" i="53" a="1"/>
  <c r="C22" i="40" a="1"/>
  <c r="I35" i="11" a="1"/>
  <c r="C21" i="11" a="1"/>
  <c r="E2" i="50" a="1"/>
  <c r="C41" i="40" a="1"/>
  <c r="C40" i="53" a="1"/>
  <c r="C5" i="11" a="1"/>
  <c r="C27" i="53" a="1"/>
  <c r="C9" i="11" a="1"/>
  <c r="C34" i="53" a="1"/>
  <c r="C3" i="53" a="1"/>
  <c r="I8" i="11" a="1"/>
  <c r="C62" i="53" a="1"/>
  <c r="E2" i="46" a="1"/>
  <c r="C16" i="40" a="1"/>
  <c r="E43" i="53" a="1"/>
  <c r="C6" i="40" a="1"/>
  <c r="C32" i="53" a="1"/>
  <c r="C49" i="40" a="1"/>
  <c r="C20" i="53" a="1"/>
  <c r="I22" i="11" a="1"/>
  <c r="E20" i="53" a="1"/>
  <c r="C2" i="47" a="1"/>
  <c r="E11" i="53" a="1"/>
  <c r="E2" i="53" a="1"/>
  <c r="C5" i="40" a="1"/>
  <c r="C21" i="40" a="1"/>
  <c r="C34" i="11" a="1"/>
  <c r="I24" i="11" a="1"/>
  <c r="C48" i="53" a="1"/>
  <c r="C61" i="53" a="1"/>
  <c r="E40" i="53" a="1"/>
  <c r="C41" i="53" a="1"/>
  <c r="C8" i="40" a="1"/>
  <c r="I27" i="11" a="1"/>
  <c r="C19" i="11" a="1"/>
  <c r="E18" i="53" a="1"/>
  <c r="E66" i="53" a="1"/>
  <c r="E61" i="53" a="1"/>
  <c r="C12" i="53" a="1"/>
  <c r="C46" i="40" a="1"/>
  <c r="I16" i="11" a="1"/>
  <c r="C63" i="53" a="1"/>
  <c r="C34" i="40" a="1"/>
  <c r="I9" i="11" a="1"/>
  <c r="C31" i="40" a="1"/>
  <c r="E4" i="53" a="1"/>
  <c r="C40" i="40" a="1"/>
  <c r="C59" i="53" a="1"/>
  <c r="C6" i="11" a="1"/>
  <c r="E15" i="53" a="1"/>
  <c r="C18" i="11" a="1"/>
  <c r="C2" i="40" a="1"/>
  <c r="E53" i="53" a="1"/>
  <c r="E69" i="53" a="1"/>
  <c r="C60" i="53" a="1"/>
  <c r="C55" i="40" a="1"/>
  <c r="C26" i="53" a="1"/>
  <c r="C39" i="40" a="1"/>
  <c r="E58" i="53" a="1"/>
  <c r="C27" i="11" a="1"/>
  <c r="E37" i="53" a="1"/>
  <c r="I17" i="11" a="1"/>
  <c r="E21" i="53" a="1"/>
  <c r="I6" i="11" a="1"/>
  <c r="C17" i="53" a="1"/>
  <c r="I10" i="11" a="1"/>
  <c r="C6" i="53" a="1"/>
  <c r="C43" i="40" a="1"/>
  <c r="C11" i="40" a="1"/>
  <c r="C29" i="11" a="1"/>
  <c r="C11" i="11" a="1"/>
  <c r="E56" i="53" a="1"/>
  <c r="E49" i="53" a="1"/>
  <c r="C33" i="53" a="1"/>
  <c r="E33" i="53" a="1"/>
  <c r="C47" i="40" a="1"/>
  <c r="C32" i="11" a="1"/>
  <c r="C10" i="11" a="1"/>
  <c r="C57" i="53" a="1"/>
  <c r="E47" i="53" a="1"/>
  <c r="C50" i="53" a="1"/>
  <c r="C23" i="53" a="1"/>
  <c r="C42" i="40" a="1"/>
  <c r="C7" i="11" a="1"/>
  <c r="C14" i="53" a="1"/>
  <c r="C19" i="53" a="1"/>
  <c r="C24" i="40" a="1"/>
  <c r="C51" i="40" a="1"/>
  <c r="C35" i="11" a="1"/>
  <c r="C4" i="40" a="1"/>
  <c r="C16" i="53" a="1"/>
  <c r="I26" i="11" a="1"/>
  <c r="E41" i="53" a="1"/>
  <c r="C36" i="40" a="1"/>
  <c r="C9" i="53" a="1"/>
  <c r="C16" i="11" a="1"/>
  <c r="E67" i="53" a="1"/>
  <c r="I25" i="11" a="1"/>
  <c r="E50" i="53" a="1"/>
  <c r="C31" i="11" a="1"/>
  <c r="E29" i="53" a="1"/>
  <c r="G2" i="15" a="1"/>
  <c r="E52" i="53" a="1"/>
  <c r="E48" i="53" a="1"/>
  <c r="C45" i="40" a="1"/>
  <c r="C24" i="53" a="1"/>
  <c r="C29" i="40" a="1"/>
  <c r="E25" i="53" a="1"/>
  <c r="I23" i="11" a="1"/>
  <c r="C43" i="53" a="1"/>
  <c r="I13" i="11" a="1"/>
  <c r="E27" i="53" a="1"/>
  <c r="I7" i="11" a="1"/>
  <c r="C44" i="53" a="1"/>
  <c r="E62" i="53" a="1"/>
  <c r="C33" i="40" a="1"/>
  <c r="C50" i="40" a="1"/>
  <c r="I33" i="11" a="1"/>
  <c r="C33" i="11" a="1"/>
  <c r="C54" i="53" a="1"/>
  <c r="E28" i="53" a="1"/>
  <c r="E26" i="53" a="1"/>
  <c r="C30" i="53" a="1"/>
  <c r="C37" i="40" a="1"/>
  <c r="C3" i="11" a="1"/>
  <c r="I3" i="11" a="1"/>
  <c r="C18" i="53" a="1"/>
  <c r="C38" i="53" a="1"/>
  <c r="C29" i="53" a="1"/>
  <c r="C54" i="40" a="1"/>
  <c r="C15" i="11" a="1"/>
  <c r="C2" i="53" a="1"/>
  <c r="C51" i="53" a="1"/>
  <c r="E54" i="53" a="1"/>
  <c r="C14" i="40" a="1"/>
  <c r="I28" i="11" a="1"/>
  <c r="C53" i="40" a="1"/>
  <c r="E35" i="53" a="1"/>
  <c r="C19" i="40" a="1"/>
  <c r="E34" i="53" a="1"/>
  <c r="C14" i="11" a="1"/>
  <c r="E13" i="53" a="1"/>
  <c r="C12" i="11" a="1"/>
  <c r="C65" i="53" a="1"/>
  <c r="E12" i="53" a="1"/>
  <c r="C46" i="53" a="1"/>
  <c r="C23" i="40" a="1"/>
  <c r="C38" i="40" a="1"/>
  <c r="I5" i="11" a="1"/>
  <c r="I30" i="11" a="1"/>
  <c r="E46" i="53" a="1"/>
  <c r="E8" i="53" a="1"/>
  <c r="E9" i="53" a="1"/>
  <c r="E3" i="53" a="1"/>
  <c r="C27" i="40" a="1"/>
  <c r="E24" i="53" a="1"/>
  <c r="E65" i="53" a="1"/>
  <c r="E45" i="53" a="1"/>
  <c r="C5" i="53" a="1"/>
  <c r="E49" i="4" a="1"/>
  <c r="C49" i="4" a="1"/>
  <c r="G42" i="12" a="1"/>
  <c r="G17" i="12" a="1"/>
  <c r="C70" i="12" a="1"/>
  <c r="C68" i="12" a="1"/>
  <c r="C111" i="12" a="1"/>
  <c r="C76" i="12" a="1"/>
  <c r="C19" i="12" a="1"/>
  <c r="C100" i="12" a="1"/>
  <c r="C72" i="12" a="1"/>
  <c r="C99" i="12" a="1"/>
  <c r="C32" i="12" a="1"/>
  <c r="C61" i="12" a="1"/>
  <c r="C118" i="12" a="1"/>
  <c r="C117" i="12" a="1"/>
  <c r="C22" i="12" a="1"/>
  <c r="C77" i="12" a="1"/>
  <c r="C25" i="12" a="1"/>
  <c r="C47" i="12" a="1"/>
  <c r="C28" i="12" a="1"/>
  <c r="C67" i="12" a="1"/>
  <c r="C80" i="12" a="1"/>
  <c r="C51" i="12" a="1"/>
  <c r="C85" i="12" a="1"/>
  <c r="C90" i="12" a="1"/>
  <c r="C50" i="12" a="1"/>
  <c r="C93" i="12" a="1"/>
  <c r="C52" i="12" a="1"/>
  <c r="C107" i="12" a="1"/>
  <c r="C46" i="12" a="1"/>
  <c r="C98" i="12" a="1"/>
  <c r="C75" i="12" a="1"/>
  <c r="C55" i="12" a="1"/>
  <c r="C38" i="12" a="1"/>
  <c r="C123" i="12" a="1"/>
  <c r="C89" i="12" a="1"/>
  <c r="C37" i="12" a="1"/>
  <c r="C114" i="12" a="1"/>
  <c r="C58" i="12" a="1"/>
  <c r="C110" i="12" a="1"/>
  <c r="C129" i="12" a="1"/>
  <c r="C2" i="12" a="1"/>
  <c r="C73" i="12" a="1"/>
  <c r="C9" i="12" a="1"/>
  <c r="C16" i="12" a="1"/>
  <c r="C96" i="12" a="1"/>
  <c r="C106" i="12" a="1"/>
  <c r="C27" i="12" a="1"/>
  <c r="C71" i="12" a="1"/>
  <c r="C95" i="12" a="1"/>
  <c r="C122" i="12" a="1"/>
  <c r="C35" i="12" a="1"/>
  <c r="C128" i="12" a="1"/>
  <c r="C112" i="12" a="1"/>
  <c r="C91" i="12" a="1"/>
  <c r="C74" i="12" a="1"/>
  <c r="C97" i="12" a="1"/>
  <c r="C60" i="12" a="1"/>
  <c r="C120" i="12" a="1"/>
  <c r="C54" i="12" a="1"/>
  <c r="C84" i="12" a="1"/>
  <c r="C31" i="12" a="1"/>
  <c r="C4" i="12" a="1"/>
  <c r="C29" i="12" a="1"/>
  <c r="E16" i="12" a="1"/>
  <c r="C48" i="12" a="1"/>
  <c r="C88" i="12" a="1"/>
  <c r="C92" i="12" a="1"/>
  <c r="C86" i="12" a="1"/>
  <c r="C62" i="12" a="1"/>
  <c r="C59" i="12" a="1"/>
  <c r="C8" i="12" a="1"/>
  <c r="C20" i="12" a="1"/>
  <c r="C56" i="12" a="1"/>
  <c r="C121" i="12" a="1"/>
  <c r="C119" i="12" a="1"/>
  <c r="C65" i="12" a="1"/>
  <c r="C64" i="12" a="1"/>
  <c r="C15" i="12" a="1"/>
  <c r="C3" i="12" a="1"/>
  <c r="C53" i="12" a="1"/>
  <c r="C49" i="12" a="1"/>
  <c r="C105" i="12" a="1"/>
  <c r="C108" i="12" a="1"/>
  <c r="C5" i="12" a="1"/>
  <c r="E14" i="12" a="1"/>
  <c r="C14" i="12" a="1"/>
  <c r="C24" i="12" a="1"/>
  <c r="C130" i="12" a="1"/>
  <c r="C23" i="12" a="1"/>
  <c r="C30" i="12" a="1"/>
  <c r="C116" i="12" a="1"/>
  <c r="C36" i="12" a="1"/>
  <c r="C39" i="12" a="1"/>
  <c r="C82" i="12" a="1"/>
  <c r="C40" i="12" a="1"/>
  <c r="C83" i="12" a="1"/>
  <c r="C33" i="12" a="1"/>
  <c r="C109" i="12" a="1"/>
  <c r="C6" i="12" a="1"/>
  <c r="C78" i="12" a="1"/>
  <c r="C124" i="12" a="1"/>
  <c r="C81" i="12" a="1"/>
  <c r="C26" i="12" a="1"/>
  <c r="C115" i="12" a="1"/>
  <c r="C94" i="12" a="1"/>
  <c r="C7" i="12" a="1"/>
  <c r="C79" i="12" a="1"/>
  <c r="C66" i="12" a="1"/>
  <c r="E13" i="12" a="1"/>
  <c r="C13" i="12" a="1"/>
  <c r="C69" i="12" a="1"/>
  <c r="E15" i="12" a="1"/>
  <c r="C10" i="12" a="1"/>
  <c r="C87" i="12" a="1"/>
  <c r="C113" i="12" a="1"/>
  <c r="G42" i="12" l="1"/>
  <c r="F41" i="12"/>
  <c r="G17" i="12"/>
  <c r="F17" i="12" s="1"/>
  <c r="K41" i="12"/>
  <c r="J41" i="12"/>
  <c r="P41" i="12"/>
  <c r="M41" i="12"/>
  <c r="L41" i="12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4" i="12"/>
  <c r="C9" i="12"/>
  <c r="C26" i="12"/>
  <c r="C67" i="12"/>
  <c r="C22" i="12"/>
  <c r="C23" i="12"/>
  <c r="C93" i="12"/>
  <c r="C107" i="12"/>
  <c r="C112" i="12"/>
  <c r="C117" i="12"/>
  <c r="C80" i="12"/>
  <c r="C119" i="12"/>
  <c r="C123" i="12"/>
  <c r="C49" i="12"/>
  <c r="C96" i="12"/>
  <c r="C130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8" i="12"/>
  <c r="C8" i="12"/>
  <c r="C30" i="12"/>
  <c r="C36" i="12"/>
  <c r="C48" i="12"/>
  <c r="C59" i="12"/>
  <c r="C70" i="12"/>
  <c r="C79" i="12"/>
  <c r="C95" i="12"/>
  <c r="C92" i="12"/>
  <c r="C106" i="12"/>
  <c r="C116" i="12"/>
  <c r="C129" i="12"/>
  <c r="C121" i="12"/>
  <c r="C10" i="12"/>
  <c r="C32" i="12"/>
  <c r="C38" i="12"/>
  <c r="C50" i="12"/>
  <c r="C61" i="12"/>
  <c r="C72" i="12"/>
  <c r="C97" i="12"/>
  <c r="C94" i="12"/>
  <c r="C108" i="12"/>
  <c r="C118" i="12"/>
  <c r="C120" i="12"/>
  <c r="C33" i="12"/>
  <c r="C51" i="12"/>
  <c r="C62" i="12"/>
  <c r="C73" i="12"/>
  <c r="C81" i="12"/>
  <c r="C98" i="12"/>
  <c r="C109" i="12"/>
  <c r="C19" i="12"/>
  <c r="C39" i="12"/>
  <c r="C52" i="12"/>
  <c r="C64" i="12"/>
  <c r="C74" i="12"/>
  <c r="C82" i="12"/>
  <c r="C99" i="12"/>
  <c r="C110" i="12"/>
  <c r="C122" i="12"/>
  <c r="C3" i="12"/>
  <c r="C25" i="12"/>
  <c r="C20" i="12"/>
  <c r="C40" i="12"/>
  <c r="C53" i="12"/>
  <c r="C65" i="12"/>
  <c r="C83" i="12"/>
  <c r="C100" i="12"/>
  <c r="C111" i="12"/>
  <c r="C2" i="12"/>
  <c r="C49" i="4"/>
  <c r="E49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163" i="27" a="1"/>
  <c r="C192" i="27" a="1"/>
  <c r="E26" i="27" a="1"/>
  <c r="C25" i="27" a="1"/>
  <c r="C166" i="27" a="1"/>
  <c r="G3" i="40" a="1"/>
  <c r="E49" i="27" a="1"/>
  <c r="C204" i="27" a="1"/>
  <c r="E170" i="27" a="1"/>
  <c r="C143" i="27" a="1"/>
  <c r="C304" i="27" a="1"/>
  <c r="C5" i="3" a="1"/>
  <c r="C133" i="27" a="1"/>
  <c r="C228" i="27" a="1"/>
  <c r="E2" i="40" a="1"/>
  <c r="E25" i="40" a="1"/>
  <c r="G18" i="40" a="1"/>
  <c r="C86" i="27" a="1"/>
  <c r="E94" i="27" a="1"/>
  <c r="C11" i="3" a="1"/>
  <c r="E183" i="27" a="1"/>
  <c r="E275" i="27" a="1"/>
  <c r="D11" i="37" a="1"/>
  <c r="C376" i="27" a="1"/>
  <c r="E54" i="27" a="1"/>
  <c r="E214" i="27" a="1"/>
  <c r="C43" i="27" a="1"/>
  <c r="E24" i="27" a="1"/>
  <c r="E173" i="27" a="1"/>
  <c r="E178" i="27" a="1"/>
  <c r="C296" i="27" a="1"/>
  <c r="E22" i="27" a="1"/>
  <c r="C235" i="27" a="1"/>
  <c r="E256" i="27" a="1"/>
  <c r="G21" i="40" a="1"/>
  <c r="C179" i="27" a="1"/>
  <c r="E146" i="27" a="1"/>
  <c r="E22" i="40" a="1"/>
  <c r="C118" i="27" a="1"/>
  <c r="E7" i="27" a="1"/>
  <c r="C99" i="27" a="1"/>
  <c r="E116" i="27" a="1"/>
  <c r="E337" i="27" a="1"/>
  <c r="C178" i="27" a="1"/>
  <c r="C298" i="27" a="1"/>
  <c r="E269" i="27" a="1"/>
  <c r="C352" i="27" a="1"/>
  <c r="C185" i="27" a="1"/>
  <c r="C79" i="27" a="1"/>
  <c r="C224" i="27" a="1"/>
  <c r="C289" i="27" a="1"/>
  <c r="E101" i="27" a="1"/>
  <c r="C89" i="27" a="1"/>
  <c r="E166" i="27" a="1"/>
  <c r="C16" i="3" a="1"/>
  <c r="E266" i="27" a="1"/>
  <c r="E12" i="31" a="1"/>
  <c r="E174" i="27" a="1"/>
  <c r="C197" i="27" a="1"/>
  <c r="E147" i="27" a="1"/>
  <c r="C122" i="27" a="1"/>
  <c r="C73" i="27" a="1"/>
  <c r="C17" i="27" a="1"/>
  <c r="C155" i="27" a="1"/>
  <c r="E67" i="27" a="1"/>
  <c r="E320" i="27" a="1"/>
  <c r="E233" i="27" a="1"/>
  <c r="C309" i="27" a="1"/>
  <c r="E43" i="40" a="1"/>
  <c r="E175" i="27" a="1"/>
  <c r="E372" i="27" a="1"/>
  <c r="C208" i="27" a="1"/>
  <c r="E23" i="40" a="1"/>
  <c r="C135" i="27" a="1"/>
  <c r="C282" i="27" a="1"/>
  <c r="C210" i="27" a="1"/>
  <c r="C246" i="27" a="1"/>
  <c r="C239" i="27" a="1"/>
  <c r="E9" i="27" a="1"/>
  <c r="E162" i="27" a="1"/>
  <c r="C300" i="27" a="1"/>
  <c r="C131" i="27" a="1"/>
  <c r="C9" i="27" a="1"/>
  <c r="E141" i="27" a="1"/>
  <c r="C313" i="27" a="1"/>
  <c r="C233" i="27" a="1"/>
  <c r="E226" i="27" a="1"/>
  <c r="C14" i="31" a="1"/>
  <c r="E65" i="27" a="1"/>
  <c r="E36" i="27" a="1"/>
  <c r="E64" i="27" a="1"/>
  <c r="C182" i="27" a="1"/>
  <c r="E207" i="27" a="1"/>
  <c r="C103" i="27" a="1"/>
  <c r="E232" i="27" a="1"/>
  <c r="C271" i="27" a="1"/>
  <c r="C223" i="27" a="1"/>
  <c r="E31" i="40" a="1"/>
  <c r="C35" i="27" a="1"/>
  <c r="E11" i="31" a="1"/>
  <c r="E27" i="27" a="1"/>
  <c r="C129" i="27" a="1"/>
  <c r="E379" i="27" a="1"/>
  <c r="G48" i="40" a="1"/>
  <c r="C28" i="27" a="1"/>
  <c r="E259" i="27" a="1"/>
  <c r="E60" i="27" a="1"/>
  <c r="E310" i="27" a="1"/>
  <c r="G37" i="40" a="1"/>
  <c r="E73" i="27" a="1"/>
  <c r="E329" i="27" a="1"/>
  <c r="E277" i="27" a="1"/>
  <c r="E51" i="27" a="1"/>
  <c r="E27" i="40" a="1"/>
  <c r="E21" i="27" a="1"/>
  <c r="E55" i="27" a="1"/>
  <c r="C59" i="27" a="1"/>
  <c r="E353" i="27" a="1"/>
  <c r="E95" i="27" a="1"/>
  <c r="E331" i="27" a="1"/>
  <c r="C243" i="27" a="1"/>
  <c r="E42" i="27" a="1"/>
  <c r="G6" i="40" a="1"/>
  <c r="C324" i="27" a="1"/>
  <c r="E261" i="27" a="1"/>
  <c r="C11" i="31" a="1"/>
  <c r="E312" i="27" a="1"/>
  <c r="E13" i="31" a="1"/>
  <c r="G53" i="40" a="1"/>
  <c r="E371" i="27" a="1"/>
  <c r="E366" i="27" a="1"/>
  <c r="E347" i="27" a="1"/>
  <c r="E78" i="27" a="1"/>
  <c r="C237" i="27" a="1"/>
  <c r="C311" i="27" a="1"/>
  <c r="C9" i="31" a="1"/>
  <c r="C323" i="27" a="1"/>
  <c r="G42" i="40" a="1"/>
  <c r="C184" i="27" a="1"/>
  <c r="C191" i="27" a="1"/>
  <c r="E188" i="27" a="1"/>
  <c r="G10" i="40" a="1"/>
  <c r="E104" i="27" a="1"/>
  <c r="E249" i="27" a="1"/>
  <c r="E122" i="27" a="1"/>
  <c r="E121" i="27" a="1"/>
  <c r="C40" i="27" a="1"/>
  <c r="E37" i="27" a="1"/>
  <c r="C198" i="27" a="1"/>
  <c r="E155" i="27" a="1"/>
  <c r="C120" i="27" a="1"/>
  <c r="C2" i="38" a="1"/>
  <c r="C188" i="27" a="1"/>
  <c r="E49" i="40" a="1"/>
  <c r="E212" i="27" a="1"/>
  <c r="E351" i="27" a="1"/>
  <c r="E160" i="27" a="1"/>
  <c r="E228" i="27" a="1"/>
  <c r="C144" i="27" a="1"/>
  <c r="C303" i="27" a="1"/>
  <c r="C351" i="27" a="1"/>
  <c r="C156" i="27" a="1"/>
  <c r="E68" i="27" a="1"/>
  <c r="E21" i="40" a="1"/>
  <c r="E165" i="27" a="1"/>
  <c r="E186" i="27" a="1"/>
  <c r="C110" i="27" a="1"/>
  <c r="C121" i="27" a="1"/>
  <c r="E145" i="27" a="1"/>
  <c r="E70" i="27" a="1"/>
  <c r="C261" i="27" a="1"/>
  <c r="E61" i="27" a="1"/>
  <c r="C346" i="27" a="1"/>
  <c r="C380" i="27" a="1"/>
  <c r="C257" i="27" a="1"/>
  <c r="E16" i="31" a="1"/>
  <c r="C6" i="3" a="1"/>
  <c r="E117" i="27" a="1"/>
  <c r="E7" i="40" a="1"/>
  <c r="C49" i="27" a="1"/>
  <c r="C116" i="27" a="1"/>
  <c r="E159" i="27" a="1"/>
  <c r="E47" i="27" a="1"/>
  <c r="E35" i="27" a="1"/>
  <c r="C231" i="27" a="1"/>
  <c r="E105" i="27" a="1"/>
  <c r="E262" i="27" a="1"/>
  <c r="E339" i="27" a="1"/>
  <c r="E154" i="27" a="1"/>
  <c r="E319" i="27" a="1"/>
  <c r="D8" i="37" a="1"/>
  <c r="C183" i="27" a="1"/>
  <c r="C281" i="27" a="1"/>
  <c r="G43" i="40" a="1"/>
  <c r="C5" i="31" a="1"/>
  <c r="C157" i="27" a="1"/>
  <c r="C146" i="27" a="1"/>
  <c r="E284" i="27" a="1"/>
  <c r="C190" i="27" a="1"/>
  <c r="E4" i="27" a="1"/>
  <c r="C69" i="27" a="1"/>
  <c r="E12" i="27" a="1"/>
  <c r="E89" i="27" a="1"/>
  <c r="G34" i="40" a="1"/>
  <c r="E93" i="27" a="1"/>
  <c r="G12" i="40" a="1"/>
  <c r="C4" i="31" a="1"/>
  <c r="E23" i="27" a="1"/>
  <c r="E144" i="27" a="1"/>
  <c r="G49" i="40" a="1"/>
  <c r="E220" i="27" a="1"/>
  <c r="C3" i="3" a="1"/>
  <c r="C375" i="27" a="1"/>
  <c r="E20" i="40" a="1"/>
  <c r="C249" i="27" a="1"/>
  <c r="C158" i="27" a="1"/>
  <c r="E134" i="27" a="1"/>
  <c r="E149" i="27" a="1"/>
  <c r="C359" i="27" a="1"/>
  <c r="C280" i="27" a="1"/>
  <c r="E38" i="40" a="1"/>
  <c r="C44" i="27" a="1"/>
  <c r="C195" i="27" a="1"/>
  <c r="E99" i="27" a="1"/>
  <c r="C83" i="27" a="1"/>
  <c r="E189" i="27" a="1"/>
  <c r="G52" i="40" a="1"/>
  <c r="C221" i="27" a="1"/>
  <c r="E378" i="27" a="1"/>
  <c r="C230" i="27" a="1"/>
  <c r="D10" i="37" a="1"/>
  <c r="C81" i="27" a="1"/>
  <c r="E328" i="27" a="1"/>
  <c r="E71" i="27" a="1"/>
  <c r="C202" i="27" a="1"/>
  <c r="C374" i="27" a="1"/>
  <c r="E368" i="27" a="1"/>
  <c r="C245" i="27" a="1"/>
  <c r="C2" i="9" a="1"/>
  <c r="C173" i="27" a="1"/>
  <c r="E148" i="27" a="1"/>
  <c r="E330" i="27" a="1"/>
  <c r="E109" i="27" a="1"/>
  <c r="E184" i="27" a="1"/>
  <c r="E97" i="27" a="1"/>
  <c r="C66" i="27" a="1"/>
  <c r="C14" i="27" a="1"/>
  <c r="E17" i="40" a="1"/>
  <c r="C252" i="27" a="1"/>
  <c r="E74" i="27" a="1"/>
  <c r="C42" i="27" a="1"/>
  <c r="G30" i="40" a="1"/>
  <c r="E270" i="27" a="1"/>
  <c r="C379" i="27" a="1"/>
  <c r="E201" i="27" a="1"/>
  <c r="E88" i="27" a="1"/>
  <c r="C314" i="27" a="1"/>
  <c r="C149" i="27" a="1"/>
  <c r="E365" i="27" a="1"/>
  <c r="E369" i="27" a="1"/>
  <c r="C88" i="27" a="1"/>
  <c r="E215" i="27" a="1"/>
  <c r="C334" i="27" a="1"/>
  <c r="C253" i="27" a="1"/>
  <c r="C114" i="27" a="1"/>
  <c r="C48" i="27" a="1"/>
  <c r="C225" i="27" a="1"/>
  <c r="C316" i="27" a="1"/>
  <c r="C97" i="27" a="1"/>
  <c r="E352" i="27" a="1"/>
  <c r="E51" i="40" a="1"/>
  <c r="E377" i="27" a="1"/>
  <c r="E14" i="31" a="1"/>
  <c r="C18" i="31" a="1"/>
  <c r="C273" i="27" a="1"/>
  <c r="C168" i="27" a="1"/>
  <c r="C259" i="27" a="1"/>
  <c r="E90" i="27" a="1"/>
  <c r="E230" i="27" a="1"/>
  <c r="C41" i="27" a="1"/>
  <c r="E237" i="27" a="1"/>
  <c r="C305" i="27" a="1"/>
  <c r="C226" i="27" a="1"/>
  <c r="E14" i="40" a="1"/>
  <c r="C104" i="27" a="1"/>
  <c r="E43" i="27" a="1"/>
  <c r="E381" i="27" a="1"/>
  <c r="C137" i="27" a="1"/>
  <c r="C255" i="27" a="1"/>
  <c r="E17" i="27" a="1"/>
  <c r="E5" i="27" a="1"/>
  <c r="E202" i="27" a="1"/>
  <c r="E209" i="27" a="1"/>
  <c r="E180" i="27" a="1"/>
  <c r="G26" i="40" a="1"/>
  <c r="C308" i="27" a="1"/>
  <c r="C37" i="27" a="1"/>
  <c r="D16" i="37" a="1"/>
  <c r="C219" i="27" a="1"/>
  <c r="G14" i="40" a="1"/>
  <c r="E362" i="27" a="1"/>
  <c r="C175" i="27" a="1"/>
  <c r="C319" i="27" a="1"/>
  <c r="C297" i="27" a="1"/>
  <c r="C138" i="27" a="1"/>
  <c r="E199" i="27" a="1"/>
  <c r="E102" i="27" a="1"/>
  <c r="C341" i="27" a="1"/>
  <c r="C147" i="27" a="1"/>
  <c r="C302" i="27" a="1"/>
  <c r="E50" i="27" a="1"/>
  <c r="E18" i="31" a="1"/>
  <c r="C51" i="27" a="1"/>
  <c r="C318" i="27" a="1"/>
  <c r="E206" i="27" a="1"/>
  <c r="G11" i="40" a="1"/>
  <c r="C348" i="27" a="1"/>
  <c r="E119" i="27" a="1"/>
  <c r="E69" i="27" a="1"/>
  <c r="E8" i="40" a="1"/>
  <c r="E297" i="27" a="1"/>
  <c r="E156" i="27" a="1"/>
  <c r="E110" i="27" a="1"/>
  <c r="E349" i="27" a="1"/>
  <c r="E18" i="40" a="1"/>
  <c r="C85" i="27" a="1"/>
  <c r="E198" i="27" a="1"/>
  <c r="E211" i="27" a="1"/>
  <c r="C57" i="27" a="1"/>
  <c r="J4" i="34" a="1"/>
  <c r="C283" i="27" a="1"/>
  <c r="E296" i="27" a="1"/>
  <c r="C355" i="27" a="1"/>
  <c r="E41" i="27" a="1"/>
  <c r="G55" i="40" a="1"/>
  <c r="E32" i="27" a="1"/>
  <c r="C251" i="27" a="1"/>
  <c r="C117" i="27" a="1"/>
  <c r="G29" i="40" a="1"/>
  <c r="C340" i="27" a="1"/>
  <c r="E285" i="27" a="1"/>
  <c r="E38" i="27" a="1"/>
  <c r="C159" i="27" a="1"/>
  <c r="D15" i="37" a="1"/>
  <c r="E251" i="27" a="1"/>
  <c r="C65" i="27" a="1"/>
  <c r="G40" i="40" a="1"/>
  <c r="C145" i="27" a="1"/>
  <c r="E131" i="27" a="1"/>
  <c r="D20" i="37" a="1"/>
  <c r="G35" i="40" a="1"/>
  <c r="E4" i="40" a="1"/>
  <c r="E309" i="27" a="1"/>
  <c r="C77" i="27" a="1"/>
  <c r="E137" i="27" a="1"/>
  <c r="G41" i="40" a="1"/>
  <c r="E217" i="27" a="1"/>
  <c r="C169" i="27" a="1"/>
  <c r="C265" i="27" a="1"/>
  <c r="G24" i="40" a="1"/>
  <c r="G39" i="40" a="1"/>
  <c r="C328" i="27" a="1"/>
  <c r="C201" i="27" a="1"/>
  <c r="C369" i="27" a="1"/>
  <c r="E341" i="27" a="1"/>
  <c r="C268" i="27" a="1"/>
  <c r="C263" i="27" a="1"/>
  <c r="E118" i="27" a="1"/>
  <c r="C10" i="27" a="1"/>
  <c r="E295" i="27" a="1"/>
  <c r="E326" i="27" a="1"/>
  <c r="C38" i="27" a="1"/>
  <c r="E242" i="27" a="1"/>
  <c r="C242" i="27" a="1"/>
  <c r="C27" i="27" a="1"/>
  <c r="C154" i="27" a="1"/>
  <c r="C91" i="27" a="1"/>
  <c r="C90" i="27" a="1"/>
  <c r="C288" i="27" a="1"/>
  <c r="C20" i="27" a="1"/>
  <c r="E346" i="27" a="1"/>
  <c r="E327" i="27" a="1"/>
  <c r="E34" i="27" a="1"/>
  <c r="C291" i="27" a="1"/>
  <c r="C3" i="31" a="1"/>
  <c r="C52" i="27" a="1"/>
  <c r="C336" i="27" a="1"/>
  <c r="E298" i="27" a="1"/>
  <c r="E342" i="27" a="1"/>
  <c r="C119" i="27" a="1"/>
  <c r="E164" i="27" a="1"/>
  <c r="C162" i="27" a="1"/>
  <c r="C115" i="27" a="1"/>
  <c r="C107" i="27" a="1"/>
  <c r="E268" i="27" a="1"/>
  <c r="E250" i="27" a="1"/>
  <c r="E227" i="27" a="1"/>
  <c r="C209" i="27" a="1"/>
  <c r="C31" i="27" a="1"/>
  <c r="C16" i="31" a="1"/>
  <c r="C331" i="27" a="1"/>
  <c r="C203" i="27" a="1"/>
  <c r="C71" i="27" a="1"/>
  <c r="C3" i="27" a="1"/>
  <c r="C364" i="27" a="1"/>
  <c r="C140" i="27" a="1"/>
  <c r="C320" i="27" a="1"/>
  <c r="C7" i="3" a="1"/>
  <c r="E315" i="27" a="1"/>
  <c r="C151" i="27" a="1"/>
  <c r="C172" i="27" a="1"/>
  <c r="E15" i="40" a="1"/>
  <c r="E54" i="40" a="1"/>
  <c r="E185" i="27" a="1"/>
  <c r="E293" i="27" a="1"/>
  <c r="E25" i="27" a="1"/>
  <c r="E267" i="27" a="1"/>
  <c r="E11" i="40" a="1"/>
  <c r="C294" i="27" a="1"/>
  <c r="C102" i="27" a="1"/>
  <c r="E231" i="27" a="1"/>
  <c r="C20" i="31" a="1"/>
  <c r="C189" i="27" a="1"/>
  <c r="G36" i="40" a="1"/>
  <c r="E311" i="27" a="1"/>
  <c r="E133" i="27" a="1"/>
  <c r="C186" i="27" a="1"/>
  <c r="C62" i="27" a="1"/>
  <c r="E83" i="27" a="1"/>
  <c r="E204" i="27" a="1"/>
  <c r="E301" i="27" a="1"/>
  <c r="E6" i="31" a="1"/>
  <c r="C327" i="27" a="1"/>
  <c r="C215" i="27" a="1"/>
  <c r="C370" i="27" a="1"/>
  <c r="C61" i="27" a="1"/>
  <c r="C22" i="27" a="1"/>
  <c r="C60" i="27" a="1"/>
  <c r="C220" i="27" a="1"/>
  <c r="E120" i="27" a="1"/>
  <c r="C7" i="31" a="1"/>
  <c r="G17" i="40" a="1"/>
  <c r="E241" i="27" a="1"/>
  <c r="E354" i="27" a="1"/>
  <c r="C45" i="27" a="1"/>
  <c r="C174" i="27" a="1"/>
  <c r="E271" i="27" a="1"/>
  <c r="E359" i="27" a="1"/>
  <c r="E235" i="27" a="1"/>
  <c r="C64" i="27" a="1"/>
  <c r="E29" i="27" a="1"/>
  <c r="E303" i="27" a="1"/>
  <c r="C177" i="27" a="1"/>
  <c r="C211" i="27" a="1"/>
  <c r="E243" i="27" a="1"/>
  <c r="C218" i="27" a="1"/>
  <c r="C381" i="27" a="1"/>
  <c r="E39" i="40" a="1"/>
  <c r="C15" i="27" a="1"/>
  <c r="G22" i="40" a="1"/>
  <c r="E253" i="27" a="1"/>
  <c r="C21" i="27" a="1"/>
  <c r="E17" i="31" a="1"/>
  <c r="E42" i="40" a="1"/>
  <c r="C315" i="27" a="1"/>
  <c r="C134" i="27" a="1"/>
  <c r="C67" i="27" a="1"/>
  <c r="C14" i="3" a="1"/>
  <c r="D13" i="37" a="1"/>
  <c r="C12" i="31" a="1"/>
  <c r="D17" i="37" a="1"/>
  <c r="E169" i="27" a="1"/>
  <c r="G38" i="40" a="1"/>
  <c r="E286" i="27" a="1"/>
  <c r="E222" i="27" a="1"/>
  <c r="C335" i="27" a="1"/>
  <c r="C266" i="27" a="1"/>
  <c r="C78" i="27" a="1"/>
  <c r="C9" i="3" a="1"/>
  <c r="E30" i="27" a="1"/>
  <c r="C30" i="27" a="1"/>
  <c r="E272" i="27" a="1"/>
  <c r="E48" i="27" a="1"/>
  <c r="E46" i="40" a="1"/>
  <c r="C6" i="31" a="1"/>
  <c r="C17" i="31" a="1"/>
  <c r="C216" i="27" a="1"/>
  <c r="E123" i="27" a="1"/>
  <c r="E48" i="40" a="1"/>
  <c r="E3" i="27" a="1"/>
  <c r="G32" i="40" a="1"/>
  <c r="E323" i="27" a="1"/>
  <c r="C18" i="3" a="1"/>
  <c r="E153" i="27" a="1"/>
  <c r="D19" i="37" a="1"/>
  <c r="E299" i="27" a="1"/>
  <c r="E59" i="27" a="1"/>
  <c r="E332" i="27" a="1"/>
  <c r="E282" i="27" a="1"/>
  <c r="E45" i="40" a="1"/>
  <c r="C342" i="27" a="1"/>
  <c r="E150" i="27" a="1"/>
  <c r="E72" i="27" a="1"/>
  <c r="C229" i="27" a="1"/>
  <c r="C19" i="3" a="1"/>
  <c r="E86" i="27" a="1"/>
  <c r="E265" i="27" a="1"/>
  <c r="D6" i="37" a="1"/>
  <c r="C200" i="27" a="1"/>
  <c r="E19" i="31" a="1"/>
  <c r="C333" i="27" a="1"/>
  <c r="E187" i="27" a="1"/>
  <c r="C11" i="27" a="1"/>
  <c r="C310" i="27" a="1"/>
  <c r="E33" i="27" a="1"/>
  <c r="C92" i="27" a="1"/>
  <c r="G7" i="40" a="1"/>
  <c r="E334" i="27" a="1"/>
  <c r="E53" i="27" a="1"/>
  <c r="E106" i="27" a="1"/>
  <c r="C196" i="27" a="1"/>
  <c r="E294" i="27" a="1"/>
  <c r="E333" i="27" a="1"/>
  <c r="E151" i="27" a="1"/>
  <c r="C82" i="27" a="1"/>
  <c r="C98" i="27" a="1"/>
  <c r="D2" i="37" a="1"/>
  <c r="E374" i="27" a="1"/>
  <c r="C4" i="3" a="1"/>
  <c r="E264" i="27" a="1"/>
  <c r="E258" i="27" a="1"/>
  <c r="E263" i="27" a="1"/>
  <c r="E62" i="27" a="1"/>
  <c r="C6" i="27" a="1"/>
  <c r="C87" i="27" a="1"/>
  <c r="E290" i="27" a="1"/>
  <c r="E98" i="27" a="1"/>
  <c r="C132" i="27" a="1"/>
  <c r="C254" i="27" a="1"/>
  <c r="E158" i="27" a="1"/>
  <c r="E213" i="27" a="1"/>
  <c r="E171" i="27" a="1"/>
  <c r="C278" i="27" a="1"/>
  <c r="E20" i="31" a="1"/>
  <c r="C26" i="27" a="1"/>
  <c r="C2" i="3" a="1"/>
  <c r="E13" i="40" a="1"/>
  <c r="E3" i="40" a="1"/>
  <c r="E113" i="27" a="1"/>
  <c r="C312" i="27" a="1"/>
  <c r="E191" i="27" a="1"/>
  <c r="E126" i="27" a="1"/>
  <c r="G31" i="40" a="1"/>
  <c r="E246" i="27" a="1"/>
  <c r="E53" i="40" a="1"/>
  <c r="E321" i="27" a="1"/>
  <c r="E245" i="27" a="1"/>
  <c r="C180" i="27" a="1"/>
  <c r="C50" i="27" a="1"/>
  <c r="C362" i="27" a="1"/>
  <c r="E196" i="27" a="1"/>
  <c r="C63" i="27" a="1"/>
  <c r="C127" i="27" a="1"/>
  <c r="E10" i="40" a="1"/>
  <c r="E76" i="27" a="1"/>
  <c r="C350" i="27" a="1"/>
  <c r="C93" i="27" a="1"/>
  <c r="E205" i="27" a="1"/>
  <c r="E276" i="27" a="1"/>
  <c r="E190" i="27" a="1"/>
  <c r="E85" i="27" a="1"/>
  <c r="C358" i="27" a="1"/>
  <c r="E82" i="27" a="1"/>
  <c r="C222" i="27" a="1"/>
  <c r="E15" i="27" a="1"/>
  <c r="E41" i="40" a="1"/>
  <c r="E2" i="27" a="1"/>
  <c r="C325" i="27" a="1"/>
  <c r="E44" i="40" a="1"/>
  <c r="E257" i="27" a="1"/>
  <c r="C2" i="5" a="1"/>
  <c r="E52" i="27" a="1"/>
  <c r="E177" i="27" a="1"/>
  <c r="G51" i="40" a="1"/>
  <c r="E13" i="27" a="1"/>
  <c r="C206" i="27" a="1"/>
  <c r="C363" i="27" a="1"/>
  <c r="C8" i="3" a="1"/>
  <c r="E367" i="27" a="1"/>
  <c r="E238" i="27" a="1"/>
  <c r="E244" i="27" a="1"/>
  <c r="C13" i="3" a="1"/>
  <c r="E39" i="27" a="1"/>
  <c r="E143" i="27" a="1"/>
  <c r="E111" i="27" a="1"/>
  <c r="E36" i="40" a="1"/>
  <c r="C238" i="27" a="1"/>
  <c r="E37" i="40" a="1"/>
  <c r="C55" i="27" a="1"/>
  <c r="E28" i="27" a="1"/>
  <c r="D18" i="37" a="1"/>
  <c r="C126" i="27" a="1"/>
  <c r="E12" i="40" a="1"/>
  <c r="C373" i="27" a="1"/>
  <c r="C181" i="27" a="1"/>
  <c r="E203" i="27" a="1"/>
  <c r="C2" i="31" a="1"/>
  <c r="C330" i="27" a="1"/>
  <c r="C167" i="27" a="1"/>
  <c r="C16" i="27" a="1"/>
  <c r="E305" i="27" a="1"/>
  <c r="E16" i="40" a="1"/>
  <c r="G15" i="40" a="1"/>
  <c r="C372" i="27" a="1"/>
  <c r="C286" i="27" a="1"/>
  <c r="E2" i="38" a="1"/>
  <c r="C234" i="27" a="1"/>
  <c r="G2" i="40" a="1"/>
  <c r="E324" i="27" a="1"/>
  <c r="E45" i="27" a="1"/>
  <c r="C258" i="27" a="1"/>
  <c r="E167" i="27" a="1"/>
  <c r="C284" i="27" a="1"/>
  <c r="D3" i="37" a="1"/>
  <c r="C7" i="27" a="1"/>
  <c r="E5" i="40" a="1"/>
  <c r="C68" i="27" a="1"/>
  <c r="E168" i="27" a="1"/>
  <c r="E234" i="27" a="1"/>
  <c r="C141" i="27" a="1"/>
  <c r="E358" i="27" a="1"/>
  <c r="E375" i="27" a="1"/>
  <c r="C75" i="27" a="1"/>
  <c r="E194" i="27" a="1"/>
  <c r="C74" i="27" a="1"/>
  <c r="C94" i="27" a="1"/>
  <c r="E182" i="27" a="1"/>
  <c r="C236" i="27" a="1"/>
  <c r="E140" i="27" a="1"/>
  <c r="E335" i="27" a="1"/>
  <c r="C23" i="27" a="1"/>
  <c r="E63" i="27" a="1"/>
  <c r="E40" i="40" a="1"/>
  <c r="C356" i="27" a="1"/>
  <c r="C2" i="27" a="1"/>
  <c r="E157" i="27" a="1"/>
  <c r="E161" i="27" a="1"/>
  <c r="E254" i="27" a="1"/>
  <c r="E360" i="27" a="1"/>
  <c r="C256" i="27" a="1"/>
  <c r="E181" i="27" a="1"/>
  <c r="E273" i="27" a="1"/>
  <c r="C128" i="27" a="1"/>
  <c r="C8" i="31" a="1"/>
  <c r="C4" i="27" a="1"/>
  <c r="E58" i="27" a="1"/>
  <c r="E152" i="27" a="1"/>
  <c r="E66" i="27" a="1"/>
  <c r="C36" i="27" a="1"/>
  <c r="G27" i="40" a="1"/>
  <c r="E26" i="40" a="1"/>
  <c r="E28" i="40" a="1"/>
  <c r="C19" i="27" a="1"/>
  <c r="G19" i="40" a="1"/>
  <c r="E6" i="27" a="1"/>
  <c r="C262" i="27" a="1"/>
  <c r="E248" i="27" a="1"/>
  <c r="C46" i="27" a="1"/>
  <c r="C232" i="27" a="1"/>
  <c r="C365" i="27" a="1"/>
  <c r="E29" i="40" a="1"/>
  <c r="E75" i="27" a="1"/>
  <c r="C212" i="27" a="1"/>
  <c r="E223" i="27" a="1"/>
  <c r="C361" i="27" a="1"/>
  <c r="E19" i="27" a="1"/>
  <c r="E9" i="40" a="1"/>
  <c r="E2" i="31" a="1"/>
  <c r="C34" i="27" a="1"/>
  <c r="C170" i="27" a="1"/>
  <c r="E139" i="27" a="1"/>
  <c r="G45" i="40" a="1"/>
  <c r="E91" i="27" a="1"/>
  <c r="E44" i="27" a="1"/>
  <c r="C160" i="27" a="1"/>
  <c r="C13" i="31" a="1"/>
  <c r="G23" i="40" a="1"/>
  <c r="E84" i="27" a="1"/>
  <c r="C32" i="27" a="1"/>
  <c r="E33" i="40" a="1"/>
  <c r="G4" i="40" a="1"/>
  <c r="G13" i="40" a="1"/>
  <c r="C12" i="27" a="1"/>
  <c r="E307" i="27" a="1"/>
  <c r="C72" i="27" a="1"/>
  <c r="C275" i="27" a="1"/>
  <c r="C165" i="27" a="1"/>
  <c r="C326" i="27" a="1"/>
  <c r="E35" i="40" a="1"/>
  <c r="C70" i="27" a="1"/>
  <c r="E57" i="27" a="1"/>
  <c r="C10" i="31" a="1"/>
  <c r="E218" i="27" a="1"/>
  <c r="C8" i="27" a="1"/>
  <c r="E30" i="40" a="1"/>
  <c r="C274" i="27" a="1"/>
  <c r="C112" i="27" a="1"/>
  <c r="G25" i="40" a="1"/>
  <c r="E229" i="27" a="1"/>
  <c r="C193" i="27" a="1"/>
  <c r="C290" i="27" a="1"/>
  <c r="C76" i="27" a="1"/>
  <c r="C247" i="27" a="1"/>
  <c r="E370" i="27" a="1"/>
  <c r="E364" i="27" a="1"/>
  <c r="C12" i="3" a="1"/>
  <c r="C244" i="27" a="1"/>
  <c r="E56" i="27" a="1"/>
  <c r="E172" i="27" a="1"/>
  <c r="C18" i="27" a="1"/>
  <c r="G46" i="40" a="1"/>
  <c r="D12" i="37" a="1"/>
  <c r="E115" i="27" a="1"/>
  <c r="C199" i="27" a="1"/>
  <c r="C269" i="27" a="1"/>
  <c r="E357" i="27" a="1"/>
  <c r="C106" i="27" a="1"/>
  <c r="E87" i="27" a="1"/>
  <c r="E16" i="27" a="1"/>
  <c r="C47" i="27" a="1"/>
  <c r="E7" i="31" a="1"/>
  <c r="D14" i="37" a="1"/>
  <c r="C260" i="27" a="1"/>
  <c r="E255" i="27" a="1"/>
  <c r="C84" i="27" a="1"/>
  <c r="E31" i="27" a="1"/>
  <c r="D7" i="37" a="1"/>
  <c r="E107" i="27" a="1"/>
  <c r="C150" i="27" a="1"/>
  <c r="C96" i="27" a="1"/>
  <c r="C164" i="27" a="1"/>
  <c r="E96" i="27" a="1"/>
  <c r="E236" i="27" a="1"/>
  <c r="J3" i="34" a="1"/>
  <c r="G28" i="40" a="1"/>
  <c r="C125" i="27" a="1"/>
  <c r="E79" i="27" a="1"/>
  <c r="C136" i="27" a="1"/>
  <c r="C187" i="27" a="1"/>
  <c r="E208" i="27" a="1"/>
  <c r="C293" i="27" a="1"/>
  <c r="C317" i="27" a="1"/>
  <c r="C20" i="3" a="1"/>
  <c r="C217" i="27" a="1"/>
  <c r="G9" i="40" a="1"/>
  <c r="E260" i="27" a="1"/>
  <c r="E8" i="31" a="1"/>
  <c r="E108" i="27" a="1"/>
  <c r="E6" i="40" a="1"/>
  <c r="E221" i="27" a="1"/>
  <c r="E306" i="27" a="1"/>
  <c r="C171" i="27" a="1"/>
  <c r="C207" i="27" a="1"/>
  <c r="C267" i="27" a="1"/>
  <c r="E240" i="27" a="1"/>
  <c r="C148" i="27" a="1"/>
  <c r="E176" i="27" a="1"/>
  <c r="C306" i="27" a="1"/>
  <c r="E340" i="27" a="1"/>
  <c r="C13" i="27" a="1"/>
  <c r="E81" i="27" a="1"/>
  <c r="C378" i="27" a="1"/>
  <c r="E280" i="27" a="1"/>
  <c r="E80" i="27" a="1"/>
  <c r="E224" i="27" a="1"/>
  <c r="E325" i="27" a="1"/>
  <c r="C264" i="27" a="1"/>
  <c r="E4" i="31" a="1"/>
  <c r="G54" i="40" a="1"/>
  <c r="E135" i="27" a="1"/>
  <c r="C105" i="27" a="1"/>
  <c r="E317" i="27" a="1"/>
  <c r="C33" i="27" a="1"/>
  <c r="C58" i="27" a="1"/>
  <c r="E192" i="27" a="1"/>
  <c r="E197" i="27" a="1"/>
  <c r="G5" i="40" a="1"/>
  <c r="E283" i="27" a="1"/>
  <c r="D9" i="37" a="1"/>
  <c r="E376" i="27" a="1"/>
  <c r="C227" i="27" a="1"/>
  <c r="G8" i="40" a="1"/>
  <c r="C345" i="27" a="1"/>
  <c r="C39" i="27" a="1"/>
  <c r="E343" i="27" a="1"/>
  <c r="E5" i="31" a="1"/>
  <c r="E55" i="40" a="1"/>
  <c r="C100" i="27" a="1"/>
  <c r="E100" i="27" a="1"/>
  <c r="C80" i="27" a="1"/>
  <c r="E92" i="27" a="1"/>
  <c r="E281" i="27" a="1"/>
  <c r="C15" i="31" a="1"/>
  <c r="C344" i="27" a="1"/>
  <c r="C108" i="27" a="1"/>
  <c r="C371" i="27" a="1"/>
  <c r="C250" i="27" a="1"/>
  <c r="C101" i="27" a="1"/>
  <c r="E292" i="27" a="1"/>
  <c r="E52" i="40" a="1"/>
  <c r="C353" i="27" a="1"/>
  <c r="C357" i="27" a="1"/>
  <c r="C285" i="27" a="1"/>
  <c r="C377" i="27" a="1"/>
  <c r="E322" i="27" a="1"/>
  <c r="E219" i="27" a="1"/>
  <c r="E136" i="27" a="1"/>
  <c r="C299" i="27" a="1"/>
  <c r="C270" i="27" a="1"/>
  <c r="E32" i="40" a="1"/>
  <c r="C142" i="27" a="1"/>
  <c r="C295" i="27" a="1"/>
  <c r="C241" i="27" a="1"/>
  <c r="E316" i="27" a="1"/>
  <c r="E14" i="27" a="1"/>
  <c r="E8" i="27" a="1"/>
  <c r="E348" i="27" a="1"/>
  <c r="E130" i="27" a="1"/>
  <c r="E344" i="27" a="1"/>
  <c r="E15" i="31" a="1"/>
  <c r="C276" i="27" a="1"/>
  <c r="G16" i="40" a="1"/>
  <c r="C15" i="3" a="1"/>
  <c r="E247" i="27" a="1"/>
  <c r="E314" i="27" a="1"/>
  <c r="C343" i="27" a="1"/>
  <c r="C123" i="27" a="1"/>
  <c r="E291" i="27" a="1"/>
  <c r="G44" i="40" a="1"/>
  <c r="E216" i="27" a="1"/>
  <c r="C29" i="27" a="1"/>
  <c r="E132" i="27" a="1"/>
  <c r="C368" i="27" a="1"/>
  <c r="E289" i="27" a="1"/>
  <c r="E142" i="27" a="1"/>
  <c r="E239" i="27" a="1"/>
  <c r="C176" i="27" a="1"/>
  <c r="E103" i="27" a="1"/>
  <c r="C332" i="27" a="1"/>
  <c r="C161" i="27" a="1"/>
  <c r="E193" i="27" a="1"/>
  <c r="E24" i="40" a="1"/>
  <c r="E195" i="27" a="1"/>
  <c r="C24" i="27" a="1"/>
  <c r="E112" i="27" a="1"/>
  <c r="E350" i="27" a="1"/>
  <c r="E46" i="27" a="1"/>
  <c r="E127" i="27" a="1"/>
  <c r="C194" i="27" a="1"/>
  <c r="C214" i="27" a="1"/>
  <c r="C213" i="27" a="1"/>
  <c r="E336" i="27" a="1"/>
  <c r="C113" i="27" a="1"/>
  <c r="C307" i="27" a="1"/>
  <c r="E19" i="40" a="1"/>
  <c r="E356" i="27" a="1"/>
  <c r="E163" i="27" a="1"/>
  <c r="C17" i="3" a="1"/>
  <c r="C130" i="27" a="1"/>
  <c r="G20" i="40" a="1"/>
  <c r="E279" i="27" a="1"/>
  <c r="C56" i="27" a="1"/>
  <c r="E47" i="40" a="1"/>
  <c r="E129" i="27" a="1"/>
  <c r="C366" i="27" a="1"/>
  <c r="C329" i="27" a="1"/>
  <c r="G33" i="40" a="1"/>
  <c r="E11" i="27" a="1"/>
  <c r="E304" i="27" a="1"/>
  <c r="E40" i="27" a="1"/>
  <c r="C338" i="27" a="1"/>
  <c r="E138" i="27" a="1"/>
  <c r="E288" i="27" a="1"/>
  <c r="C139" i="27" a="1"/>
  <c r="E210" i="27" a="1"/>
  <c r="E313" i="27" a="1"/>
  <c r="C287" i="27" a="1"/>
  <c r="E363" i="27" a="1"/>
  <c r="E20" i="27" a="1"/>
  <c r="G50" i="40" a="1"/>
  <c r="G47" i="40" a="1"/>
  <c r="E345" i="27" a="1"/>
  <c r="C301" i="27" a="1"/>
  <c r="C95" i="27" a="1"/>
  <c r="C111" i="27" a="1"/>
  <c r="E10" i="27" a="1"/>
  <c r="E18" i="27" a="1"/>
  <c r="E338" i="27" a="1"/>
  <c r="C349" i="27" a="1"/>
  <c r="E124" i="27" a="1"/>
  <c r="C322" i="27" a="1"/>
  <c r="C153" i="27" a="1"/>
  <c r="C53" i="27" a="1"/>
  <c r="E128" i="27" a="1"/>
  <c r="C292" i="27" a="1"/>
  <c r="E361" i="27" a="1"/>
  <c r="C279" i="27" a="1"/>
  <c r="E9" i="31" a="1"/>
  <c r="D4" i="37" a="1"/>
  <c r="E77" i="27" a="1"/>
  <c r="C240" i="27" a="1"/>
  <c r="C248" i="27" a="1"/>
  <c r="C124" i="27" a="1"/>
  <c r="E125" i="27" a="1"/>
  <c r="E34" i="40" a="1"/>
  <c r="C5" i="27" a="1"/>
  <c r="E373" i="27" a="1"/>
  <c r="E274" i="27" a="1"/>
  <c r="C272" i="27" a="1"/>
  <c r="C109" i="27" a="1"/>
  <c r="D5" i="37" a="1"/>
  <c r="E252" i="27" a="1"/>
  <c r="E3" i="31" a="1"/>
  <c r="C337" i="27" a="1"/>
  <c r="E50" i="40" a="1"/>
  <c r="E308" i="27" a="1"/>
  <c r="E300" i="27" a="1"/>
  <c r="C10" i="3" a="1"/>
  <c r="E179" i="27" a="1"/>
  <c r="C354" i="27" a="1"/>
  <c r="E10" i="31" a="1"/>
  <c r="C19" i="31" a="1"/>
  <c r="E302" i="27" a="1"/>
  <c r="E318" i="27" a="1"/>
  <c r="E225" i="27" a="1"/>
  <c r="C347" i="27" a="1"/>
  <c r="C205" i="27" a="1"/>
  <c r="C321" i="27" a="1"/>
  <c r="C54" i="27" a="1"/>
  <c r="C277" i="27" a="1"/>
  <c r="C152" i="27" a="1"/>
  <c r="E200" i="27" a="1"/>
  <c r="E278" i="27" a="1"/>
  <c r="E114" i="27" a="1"/>
  <c r="E287" i="27" a="1"/>
  <c r="C360" i="27" a="1"/>
  <c r="C339" i="27" a="1"/>
  <c r="E380" i="27" a="1"/>
  <c r="C367" i="27" a="1"/>
  <c r="E355" i="27" a="1"/>
  <c r="C42" i="4" a="1"/>
  <c r="C37" i="4" a="1"/>
  <c r="E33" i="4" a="1"/>
  <c r="C4" i="4" a="1"/>
  <c r="C44" i="4" a="1"/>
  <c r="C9" i="4" a="1"/>
  <c r="E3" i="4" a="1"/>
  <c r="E16" i="4" a="1"/>
  <c r="E18" i="4" a="1"/>
  <c r="C40" i="4" a="1"/>
  <c r="E23" i="4" a="1"/>
  <c r="C25" i="4" a="1"/>
  <c r="E40" i="4" a="1"/>
  <c r="E11" i="4" a="1"/>
  <c r="E21" i="4" a="1"/>
  <c r="E13" i="4" a="1"/>
  <c r="C29" i="4" a="1"/>
  <c r="C39" i="4" a="1"/>
  <c r="C46" i="4" a="1"/>
  <c r="C32" i="4" a="1"/>
  <c r="C35" i="4" a="1"/>
  <c r="E46" i="4" a="1"/>
  <c r="C16" i="4" a="1"/>
  <c r="C10" i="4" a="1"/>
  <c r="E29" i="4" a="1"/>
  <c r="E32" i="4" a="1"/>
  <c r="E35" i="4" a="1"/>
  <c r="E6" i="4" a="1"/>
  <c r="C27" i="4" a="1"/>
  <c r="E31" i="4" a="1"/>
  <c r="E4" i="4" a="1"/>
  <c r="C33" i="4" a="1"/>
  <c r="C23" i="4" a="1"/>
  <c r="C3" i="4" a="1"/>
  <c r="C48" i="4" a="1"/>
  <c r="E25" i="4" a="1"/>
  <c r="E43" i="4" a="1"/>
  <c r="C8" i="4" a="1"/>
  <c r="C47" i="4" a="1"/>
  <c r="E5" i="4" a="1"/>
  <c r="E41" i="4" a="1"/>
  <c r="E14" i="4" a="1"/>
  <c r="E7" i="4" a="1"/>
  <c r="E37" i="4" a="1"/>
  <c r="E34" i="4" a="1"/>
  <c r="C6" i="4" a="1"/>
  <c r="C13" i="4" a="1"/>
  <c r="E20" i="4" a="1"/>
  <c r="C38" i="4" a="1"/>
  <c r="E48" i="4" a="1"/>
  <c r="E44" i="4" a="1"/>
  <c r="E47" i="4" a="1"/>
  <c r="C17" i="4" a="1"/>
  <c r="C12" i="4" a="1"/>
  <c r="C36" i="4" a="1"/>
  <c r="E8" i="4" a="1"/>
  <c r="E10" i="4" a="1"/>
  <c r="C18" i="4" a="1"/>
  <c r="C2" i="4" a="1"/>
  <c r="C11" i="4" a="1"/>
  <c r="E38" i="4" a="1"/>
  <c r="C21" i="4" a="1"/>
  <c r="C34" i="4" a="1"/>
  <c r="E9" i="4" a="1"/>
  <c r="C7" i="4" a="1"/>
  <c r="E28" i="4" a="1"/>
  <c r="E24" i="4" a="1"/>
  <c r="C20" i="4" a="1"/>
  <c r="E30" i="4" a="1"/>
  <c r="C19" i="4" a="1"/>
  <c r="E26" i="4" a="1"/>
  <c r="C5" i="4" a="1"/>
  <c r="E42" i="4" a="1"/>
  <c r="C43" i="4" a="1"/>
  <c r="C28" i="4" a="1"/>
  <c r="C14" i="4" a="1"/>
  <c r="E39" i="4" a="1"/>
  <c r="E36" i="4" a="1"/>
  <c r="C26" i="4" a="1"/>
  <c r="E17" i="4" a="1"/>
  <c r="C41" i="4" a="1"/>
  <c r="C31" i="4" a="1"/>
  <c r="E27" i="4" a="1"/>
  <c r="E2" i="4" a="1"/>
  <c r="C24" i="4" a="1"/>
  <c r="C30" i="4" a="1"/>
  <c r="E12" i="4" a="1"/>
  <c r="E19" i="4" a="1"/>
  <c r="G43" i="12" a="1"/>
  <c r="G13" i="12" a="1"/>
  <c r="G105" i="12" a="1"/>
  <c r="G75" i="12" a="1"/>
  <c r="G58" i="12" a="1"/>
  <c r="G81" i="12" a="1"/>
  <c r="G88" i="12" a="1"/>
  <c r="G46" i="12" a="1"/>
  <c r="G128" i="12" a="1"/>
  <c r="G70" i="12" a="1"/>
  <c r="G25" i="12" a="1"/>
  <c r="G119" i="12" a="1"/>
  <c r="G20" i="12" a="1"/>
  <c r="G123" i="12" a="1"/>
  <c r="G95" i="12" a="1"/>
  <c r="G2" i="12" a="1"/>
  <c r="G18" i="12" a="1"/>
  <c r="G64" i="12" a="1"/>
  <c r="G35" i="12" a="1"/>
  <c r="E91" i="12" a="1"/>
  <c r="E35" i="12" a="1"/>
  <c r="E36" i="12" a="1"/>
  <c r="E74" i="12" a="1"/>
  <c r="E86" i="12" a="1"/>
  <c r="E128" i="12" a="1"/>
  <c r="E19" i="12" a="1"/>
  <c r="E68" i="12" a="1"/>
  <c r="E87" i="12" a="1"/>
  <c r="E71" i="12" a="1"/>
  <c r="E58" i="12" a="1"/>
  <c r="E23" i="12" a="1"/>
  <c r="E6" i="12" a="1"/>
  <c r="E116" i="12" a="1"/>
  <c r="E62" i="12" a="1"/>
  <c r="E49" i="12" a="1"/>
  <c r="E109" i="12" a="1"/>
  <c r="E79" i="12" a="1"/>
  <c r="E27" i="12" a="1"/>
  <c r="E20" i="12" a="1"/>
  <c r="E38" i="12" a="1"/>
  <c r="E85" i="12" a="1"/>
  <c r="E106" i="12" a="1"/>
  <c r="E96" i="12" a="1"/>
  <c r="E72" i="12" a="1"/>
  <c r="E48" i="12" a="1"/>
  <c r="E5" i="12" a="1"/>
  <c r="E123" i="12" a="1"/>
  <c r="E28" i="12" a="1"/>
  <c r="E8" i="12" a="1"/>
  <c r="E94" i="12" a="1"/>
  <c r="E77" i="12" a="1"/>
  <c r="E113" i="12" a="1"/>
  <c r="E88" i="12" a="1"/>
  <c r="E100" i="12" a="1"/>
  <c r="E69" i="12" a="1"/>
  <c r="E105" i="12" a="1"/>
  <c r="E124" i="12" a="1"/>
  <c r="E65" i="12" a="1"/>
  <c r="E59" i="12" a="1"/>
  <c r="E97" i="12" a="1"/>
  <c r="E82" i="12" a="1"/>
  <c r="E89" i="12" a="1"/>
  <c r="E67" i="12" a="1"/>
  <c r="E24" i="12" a="1"/>
  <c r="E129" i="12" a="1"/>
  <c r="E117" i="12" a="1"/>
  <c r="E3" i="12" a="1"/>
  <c r="E61" i="12" a="1"/>
  <c r="E47" i="12" a="1"/>
  <c r="E120" i="12" a="1"/>
  <c r="E118" i="12" a="1"/>
  <c r="E84" i="12" a="1"/>
  <c r="E119" i="12" a="1"/>
  <c r="E60" i="12" a="1"/>
  <c r="E55" i="12" a="1"/>
  <c r="E53" i="12" a="1"/>
  <c r="E32" i="12" a="1"/>
  <c r="E115" i="12" a="1"/>
  <c r="E111" i="12" a="1"/>
  <c r="E25" i="12" a="1"/>
  <c r="E112" i="12" a="1"/>
  <c r="E51" i="12" a="1"/>
  <c r="E121" i="12" a="1"/>
  <c r="E46" i="12" a="1"/>
  <c r="E26" i="12" a="1"/>
  <c r="E110" i="12" a="1"/>
  <c r="E95" i="12" a="1"/>
  <c r="E83" i="12" a="1"/>
  <c r="E80" i="12" a="1"/>
  <c r="E78" i="12" a="1"/>
  <c r="E56" i="12" a="1"/>
  <c r="E114" i="12" a="1"/>
  <c r="E30" i="12" a="1"/>
  <c r="E31" i="12" a="1"/>
  <c r="E54" i="12" a="1"/>
  <c r="E4" i="12" a="1"/>
  <c r="E93" i="12" a="1"/>
  <c r="E107" i="12" a="1"/>
  <c r="E122" i="12" a="1"/>
  <c r="E92" i="12" a="1"/>
  <c r="E9" i="12" a="1"/>
  <c r="E39" i="12" a="1"/>
  <c r="E90" i="12" a="1"/>
  <c r="E2" i="12" a="1"/>
  <c r="E70" i="12" a="1"/>
  <c r="E66" i="12" a="1"/>
  <c r="E75" i="12" a="1"/>
  <c r="E99" i="12" a="1"/>
  <c r="E108" i="12" a="1"/>
  <c r="E52" i="12" a="1"/>
  <c r="E29" i="12" a="1"/>
  <c r="E7" i="12" a="1"/>
  <c r="E10" i="12" a="1"/>
  <c r="E50" i="12" a="1"/>
  <c r="E37" i="12" a="1"/>
  <c r="E130" i="12" a="1"/>
  <c r="E76" i="12" a="1"/>
  <c r="E98" i="12" a="1"/>
  <c r="E64" i="12" a="1"/>
  <c r="E73" i="12" a="1"/>
  <c r="E40" i="12" a="1"/>
  <c r="E22" i="12" a="1"/>
  <c r="E33" i="12" a="1"/>
  <c r="E81" i="12" a="1"/>
  <c r="G2" i="12" l="1"/>
  <c r="G95" i="12"/>
  <c r="G123" i="12"/>
  <c r="G20" i="12"/>
  <c r="G119" i="12"/>
  <c r="G25" i="12"/>
  <c r="G70" i="12"/>
  <c r="G128" i="12"/>
  <c r="G46" i="12"/>
  <c r="G88" i="12"/>
  <c r="G81" i="12"/>
  <c r="G58" i="12"/>
  <c r="G75" i="12"/>
  <c r="G105" i="12"/>
  <c r="G13" i="12"/>
  <c r="G43" i="12"/>
  <c r="F42" i="12"/>
  <c r="G18" i="12"/>
  <c r="G64" i="12"/>
  <c r="F64" i="12" s="1"/>
  <c r="G35" i="12"/>
  <c r="F35" i="12" s="1"/>
  <c r="M17" i="12"/>
  <c r="J17" i="12"/>
  <c r="P17" i="12"/>
  <c r="L17" i="12"/>
  <c r="K17" i="12"/>
  <c r="E118" i="12"/>
  <c r="E117" i="12"/>
  <c r="E116" i="12"/>
  <c r="C2" i="5"/>
  <c r="C2" i="9"/>
  <c r="E4" i="31"/>
  <c r="E15" i="31"/>
  <c r="E6" i="31"/>
  <c r="E17" i="31"/>
  <c r="E8" i="31"/>
  <c r="E14" i="31"/>
  <c r="E7" i="31"/>
  <c r="E5" i="31"/>
  <c r="E16" i="31"/>
  <c r="E18" i="31"/>
  <c r="E9" i="31"/>
  <c r="E19" i="31"/>
  <c r="E10" i="31"/>
  <c r="E20" i="31"/>
  <c r="E11" i="31"/>
  <c r="E12" i="31"/>
  <c r="E3" i="31"/>
  <c r="E13" i="31"/>
  <c r="C11" i="31"/>
  <c r="C12" i="31"/>
  <c r="C3" i="31"/>
  <c r="C13" i="31"/>
  <c r="C4" i="31"/>
  <c r="C14" i="31"/>
  <c r="C5" i="31"/>
  <c r="C15" i="31"/>
  <c r="C6" i="31"/>
  <c r="C16" i="31"/>
  <c r="C7" i="31"/>
  <c r="C17" i="31"/>
  <c r="C8" i="31"/>
  <c r="C18" i="31"/>
  <c r="C9" i="31"/>
  <c r="C19" i="31"/>
  <c r="C10" i="31"/>
  <c r="C20" i="31"/>
  <c r="E2" i="31"/>
  <c r="C2" i="31"/>
  <c r="C3" i="3"/>
  <c r="C4" i="3"/>
  <c r="C5" i="3"/>
  <c r="C6" i="3"/>
  <c r="C7" i="3"/>
  <c r="C18" i="3"/>
  <c r="C19" i="3"/>
  <c r="C10" i="3"/>
  <c r="C20" i="3"/>
  <c r="C11" i="3"/>
  <c r="C12" i="3"/>
  <c r="C13" i="3"/>
  <c r="C14" i="3"/>
  <c r="C15" i="3"/>
  <c r="C16" i="3"/>
  <c r="C17" i="3"/>
  <c r="C8" i="3"/>
  <c r="C9" i="3"/>
  <c r="C2" i="3"/>
  <c r="D3" i="37"/>
  <c r="D4" i="37"/>
  <c r="D15" i="37"/>
  <c r="D16" i="37"/>
  <c r="D17" i="37"/>
  <c r="D8" i="37"/>
  <c r="D20" i="37"/>
  <c r="D12" i="37"/>
  <c r="D13" i="37"/>
  <c r="D14" i="37"/>
  <c r="D5" i="37"/>
  <c r="D6" i="37"/>
  <c r="D7" i="37"/>
  <c r="D9" i="37"/>
  <c r="D18" i="37"/>
  <c r="D10" i="37"/>
  <c r="D19" i="37"/>
  <c r="D11" i="37"/>
  <c r="D2" i="37"/>
  <c r="E3" i="4"/>
  <c r="E13" i="4"/>
  <c r="E24" i="4"/>
  <c r="E33" i="4"/>
  <c r="E43" i="4"/>
  <c r="E47" i="4"/>
  <c r="E4" i="4"/>
  <c r="E14" i="4"/>
  <c r="E25" i="4"/>
  <c r="E34" i="4"/>
  <c r="E48" i="4"/>
  <c r="E5" i="4"/>
  <c r="E26" i="4"/>
  <c r="E35" i="4"/>
  <c r="E6" i="4"/>
  <c r="E16" i="4"/>
  <c r="E27" i="4"/>
  <c r="E36" i="4"/>
  <c r="E7" i="4"/>
  <c r="E17" i="4"/>
  <c r="E28" i="4"/>
  <c r="E37" i="4"/>
  <c r="E8" i="4"/>
  <c r="E18" i="4"/>
  <c r="E29" i="4"/>
  <c r="E38" i="4"/>
  <c r="E44" i="4"/>
  <c r="E9" i="4"/>
  <c r="E19" i="4"/>
  <c r="E30" i="4"/>
  <c r="E39" i="4"/>
  <c r="E10" i="4"/>
  <c r="E20" i="4"/>
  <c r="E40" i="4"/>
  <c r="E11" i="4"/>
  <c r="E21" i="4"/>
  <c r="E31" i="4"/>
  <c r="E41" i="4"/>
  <c r="E12" i="4"/>
  <c r="E23" i="4"/>
  <c r="E32" i="4"/>
  <c r="E42" i="4"/>
  <c r="E46" i="4"/>
  <c r="E2" i="4"/>
  <c r="C3" i="4"/>
  <c r="C13" i="4"/>
  <c r="C24" i="4"/>
  <c r="C33" i="4"/>
  <c r="C43" i="4"/>
  <c r="C47" i="4"/>
  <c r="C4" i="4"/>
  <c r="C14" i="4"/>
  <c r="C25" i="4"/>
  <c r="C34" i="4"/>
  <c r="C48" i="4"/>
  <c r="C5" i="4"/>
  <c r="C26" i="4"/>
  <c r="C35" i="4"/>
  <c r="C6" i="4"/>
  <c r="C16" i="4"/>
  <c r="C27" i="4"/>
  <c r="C36" i="4"/>
  <c r="C7" i="4"/>
  <c r="C17" i="4"/>
  <c r="C28" i="4"/>
  <c r="C37" i="4"/>
  <c r="C8" i="4"/>
  <c r="C18" i="4"/>
  <c r="C29" i="4"/>
  <c r="C38" i="4"/>
  <c r="C44" i="4"/>
  <c r="C9" i="4"/>
  <c r="C19" i="4"/>
  <c r="C30" i="4"/>
  <c r="C39" i="4"/>
  <c r="C10" i="4"/>
  <c r="C20" i="4"/>
  <c r="C40" i="4"/>
  <c r="C11" i="4"/>
  <c r="C21" i="4"/>
  <c r="C31" i="4"/>
  <c r="C41" i="4"/>
  <c r="C12" i="4"/>
  <c r="C23" i="4"/>
  <c r="C32" i="4"/>
  <c r="C42" i="4"/>
  <c r="C46" i="4"/>
  <c r="C2" i="4"/>
  <c r="J4" i="34"/>
  <c r="J3" i="34"/>
  <c r="E4" i="12"/>
  <c r="E107" i="12"/>
  <c r="E68" i="12"/>
  <c r="E108" i="12"/>
  <c r="E27" i="12"/>
  <c r="E69" i="12"/>
  <c r="E109" i="12"/>
  <c r="E28" i="12"/>
  <c r="E79" i="12"/>
  <c r="E32" i="12"/>
  <c r="E120" i="12"/>
  <c r="E123" i="12"/>
  <c r="E33" i="12"/>
  <c r="E124" i="12"/>
  <c r="E48" i="12"/>
  <c r="E81" i="12"/>
  <c r="E49" i="12"/>
  <c r="E99" i="12"/>
  <c r="E3" i="12"/>
  <c r="E90" i="12"/>
  <c r="E50" i="12"/>
  <c r="E91" i="12"/>
  <c r="E51" i="12"/>
  <c r="E64" i="12"/>
  <c r="E80" i="12"/>
  <c r="E62" i="12"/>
  <c r="E92" i="12"/>
  <c r="E70" i="12"/>
  <c r="E110" i="12"/>
  <c r="E128" i="12"/>
  <c r="E5" i="12"/>
  <c r="E35" i="12"/>
  <c r="E82" i="12"/>
  <c r="E93" i="12"/>
  <c r="E114" i="12"/>
  <c r="E52" i="12"/>
  <c r="E71" i="12"/>
  <c r="E86" i="12"/>
  <c r="E129" i="12"/>
  <c r="E6" i="12"/>
  <c r="E36" i="12"/>
  <c r="E56" i="12"/>
  <c r="E94" i="12"/>
  <c r="E115" i="12"/>
  <c r="E10" i="12"/>
  <c r="E72" i="12"/>
  <c r="E87" i="12"/>
  <c r="E130" i="12"/>
  <c r="E37" i="12"/>
  <c r="E58" i="12"/>
  <c r="E73" i="12"/>
  <c r="E95" i="12"/>
  <c r="E38" i="12"/>
  <c r="E59" i="12"/>
  <c r="E74" i="12"/>
  <c r="E96" i="12"/>
  <c r="E39" i="12"/>
  <c r="E60" i="12"/>
  <c r="E77" i="12"/>
  <c r="E20" i="12"/>
  <c r="E25" i="12"/>
  <c r="E46" i="12"/>
  <c r="E97" i="12"/>
  <c r="E105" i="12"/>
  <c r="E2" i="12"/>
  <c r="E61" i="12"/>
  <c r="E78" i="12"/>
  <c r="E119" i="12"/>
  <c r="E26" i="12"/>
  <c r="E47" i="12"/>
  <c r="E98" i="12"/>
  <c r="E106" i="12"/>
  <c r="E22" i="12"/>
  <c r="E7" i="12"/>
  <c r="E29" i="12"/>
  <c r="E40" i="12"/>
  <c r="E53" i="12"/>
  <c r="E65" i="12"/>
  <c r="E83" i="12"/>
  <c r="E100" i="12"/>
  <c r="E111" i="12"/>
  <c r="E121" i="12"/>
  <c r="E23" i="12"/>
  <c r="E8" i="12"/>
  <c r="E30" i="12"/>
  <c r="E54" i="12"/>
  <c r="E66" i="12"/>
  <c r="E75" i="12"/>
  <c r="E84" i="12"/>
  <c r="E88" i="12"/>
  <c r="E112" i="12"/>
  <c r="E122" i="12"/>
  <c r="E24" i="12"/>
  <c r="E9" i="12"/>
  <c r="E31" i="12"/>
  <c r="E55" i="12"/>
  <c r="E67" i="12"/>
  <c r="E76" i="12"/>
  <c r="E85" i="12"/>
  <c r="E89" i="12"/>
  <c r="E113" i="12"/>
  <c r="E19" i="12"/>
  <c r="E2" i="38"/>
  <c r="C2" i="38"/>
  <c r="E2" i="40"/>
  <c r="E47" i="40"/>
  <c r="E11" i="40"/>
  <c r="E21" i="40"/>
  <c r="E31" i="40"/>
  <c r="E41" i="40"/>
  <c r="E51" i="40"/>
  <c r="E15" i="40"/>
  <c r="E45" i="40"/>
  <c r="E16" i="40"/>
  <c r="E26" i="40"/>
  <c r="E17" i="40"/>
  <c r="E38" i="40"/>
  <c r="E9" i="40"/>
  <c r="E39" i="40"/>
  <c r="E10" i="40"/>
  <c r="E40" i="40"/>
  <c r="E12" i="40"/>
  <c r="E22" i="40"/>
  <c r="E32" i="40"/>
  <c r="E42" i="40"/>
  <c r="E52" i="40"/>
  <c r="E55" i="40"/>
  <c r="E6" i="40"/>
  <c r="E36" i="40"/>
  <c r="E37" i="40"/>
  <c r="E8" i="40"/>
  <c r="E28" i="40"/>
  <c r="E49" i="40"/>
  <c r="E20" i="40"/>
  <c r="E50" i="40"/>
  <c r="E3" i="40"/>
  <c r="E13" i="40"/>
  <c r="E23" i="40"/>
  <c r="E33" i="40"/>
  <c r="E53" i="40"/>
  <c r="E18" i="40"/>
  <c r="E14" i="40"/>
  <c r="E24" i="40"/>
  <c r="E34" i="40"/>
  <c r="E44" i="40"/>
  <c r="E54" i="40"/>
  <c r="E5" i="40"/>
  <c r="E25" i="40"/>
  <c r="E35" i="40"/>
  <c r="E46" i="40"/>
  <c r="E7" i="40"/>
  <c r="E27" i="40"/>
  <c r="E48" i="40"/>
  <c r="E19" i="40"/>
  <c r="E29" i="40"/>
  <c r="E30" i="40"/>
  <c r="E43" i="40"/>
  <c r="E4" i="40"/>
  <c r="G8" i="40"/>
  <c r="G22" i="40"/>
  <c r="G16" i="40"/>
  <c r="G26" i="40"/>
  <c r="G36" i="40"/>
  <c r="G46" i="40"/>
  <c r="G28" i="40"/>
  <c r="G42" i="40"/>
  <c r="G6" i="40"/>
  <c r="G7" i="40"/>
  <c r="G17" i="40"/>
  <c r="G27" i="40"/>
  <c r="G47" i="40"/>
  <c r="G38" i="40"/>
  <c r="G32" i="40"/>
  <c r="G37" i="40"/>
  <c r="G48" i="40"/>
  <c r="G9" i="40"/>
  <c r="G19" i="40"/>
  <c r="G29" i="40"/>
  <c r="G39" i="40"/>
  <c r="G49" i="40"/>
  <c r="G10" i="40"/>
  <c r="G20" i="40"/>
  <c r="G30" i="40"/>
  <c r="G40" i="40"/>
  <c r="G50" i="40"/>
  <c r="G11" i="40"/>
  <c r="G21" i="40"/>
  <c r="G31" i="40"/>
  <c r="G41" i="40"/>
  <c r="G51" i="40"/>
  <c r="G52" i="40"/>
  <c r="G3" i="40"/>
  <c r="G13" i="40"/>
  <c r="G23" i="40"/>
  <c r="G33" i="40"/>
  <c r="G43" i="40"/>
  <c r="G53" i="40"/>
  <c r="G18" i="40"/>
  <c r="G4" i="40"/>
  <c r="G14" i="40"/>
  <c r="G24" i="40"/>
  <c r="G34" i="40"/>
  <c r="G54" i="40"/>
  <c r="G44" i="40"/>
  <c r="G15" i="40"/>
  <c r="G55" i="40"/>
  <c r="G12" i="40"/>
  <c r="G5" i="40"/>
  <c r="G25" i="40"/>
  <c r="G35" i="40"/>
  <c r="G45" i="40"/>
  <c r="G2" i="40"/>
  <c r="E10" i="27"/>
  <c r="E131" i="27"/>
  <c r="E236" i="27"/>
  <c r="E59" i="27"/>
  <c r="E239" i="27"/>
  <c r="E354" i="27"/>
  <c r="E212" i="27"/>
  <c r="E292" i="27"/>
  <c r="E105" i="27"/>
  <c r="E185" i="27"/>
  <c r="E265" i="27"/>
  <c r="E329" i="27"/>
  <c r="E12" i="27"/>
  <c r="E62" i="27"/>
  <c r="E139" i="27"/>
  <c r="E244" i="27"/>
  <c r="E299" i="27"/>
  <c r="E112" i="27"/>
  <c r="E356" i="27"/>
  <c r="E39" i="27"/>
  <c r="E169" i="27"/>
  <c r="E274" i="27"/>
  <c r="E359" i="27"/>
  <c r="E142" i="27"/>
  <c r="E19" i="27"/>
  <c r="E64" i="27"/>
  <c r="E170" i="27"/>
  <c r="E250" i="27"/>
  <c r="E303" i="27"/>
  <c r="E143" i="27"/>
  <c r="E223" i="27"/>
  <c r="E332" i="27"/>
  <c r="E44" i="27"/>
  <c r="E116" i="27"/>
  <c r="E171" i="27"/>
  <c r="E276" i="27"/>
  <c r="E22" i="27"/>
  <c r="E92" i="27"/>
  <c r="E144" i="27"/>
  <c r="E224" i="27"/>
  <c r="E279" i="27"/>
  <c r="E49" i="27"/>
  <c r="E172" i="27"/>
  <c r="E252" i="27"/>
  <c r="E305" i="27"/>
  <c r="E370" i="27"/>
  <c r="E53" i="27"/>
  <c r="E156" i="27"/>
  <c r="E80" i="27"/>
  <c r="E184" i="27"/>
  <c r="E264" i="27"/>
  <c r="E320" i="27"/>
  <c r="E11" i="27"/>
  <c r="E324" i="27"/>
  <c r="E35" i="27"/>
  <c r="E84" i="27"/>
  <c r="E160" i="27"/>
  <c r="E240" i="27"/>
  <c r="E355" i="27"/>
  <c r="E164" i="27"/>
  <c r="E219" i="27"/>
  <c r="E36" i="27"/>
  <c r="E89" i="27"/>
  <c r="E192" i="27"/>
  <c r="E272" i="27"/>
  <c r="E330" i="27"/>
  <c r="E13" i="27"/>
  <c r="E63" i="27"/>
  <c r="E114" i="27"/>
  <c r="E194" i="27"/>
  <c r="E249" i="27"/>
  <c r="E302" i="27"/>
  <c r="E90" i="27"/>
  <c r="E222" i="27"/>
  <c r="E331" i="27"/>
  <c r="E40" i="27"/>
  <c r="E115" i="27"/>
  <c r="E195" i="27"/>
  <c r="E275" i="27"/>
  <c r="E360" i="27"/>
  <c r="E91" i="27"/>
  <c r="E364" i="27"/>
  <c r="E65" i="27"/>
  <c r="E196" i="27"/>
  <c r="E251" i="27"/>
  <c r="E304" i="27"/>
  <c r="E369" i="27"/>
  <c r="E119" i="27"/>
  <c r="E199" i="27"/>
  <c r="E339" i="27"/>
  <c r="E23" i="27"/>
  <c r="E72" i="27"/>
  <c r="E93" i="27"/>
  <c r="E120" i="27"/>
  <c r="E145" i="27"/>
  <c r="E200" i="27"/>
  <c r="E225" i="27"/>
  <c r="E280" i="27"/>
  <c r="E342" i="27"/>
  <c r="E32" i="27"/>
  <c r="E211" i="27"/>
  <c r="E291" i="27"/>
  <c r="E34" i="27"/>
  <c r="E104" i="27"/>
  <c r="E159" i="27"/>
  <c r="E132" i="27"/>
  <c r="E50" i="27"/>
  <c r="E74" i="27"/>
  <c r="E99" i="27"/>
  <c r="E124" i="27"/>
  <c r="E179" i="27"/>
  <c r="E204" i="27"/>
  <c r="E259" i="27"/>
  <c r="E284" i="27"/>
  <c r="E314" i="27"/>
  <c r="E371" i="27"/>
  <c r="E24" i="27"/>
  <c r="E152" i="27"/>
  <c r="E232" i="27"/>
  <c r="E343" i="27"/>
  <c r="E51" i="27"/>
  <c r="E75" i="27"/>
  <c r="E129" i="27"/>
  <c r="E154" i="27"/>
  <c r="E209" i="27"/>
  <c r="E234" i="27"/>
  <c r="E289" i="27"/>
  <c r="E315" i="27"/>
  <c r="E372" i="27"/>
  <c r="E5" i="27"/>
  <c r="E25" i="27"/>
  <c r="E102" i="27"/>
  <c r="E182" i="27"/>
  <c r="E262" i="27"/>
  <c r="E344" i="27"/>
  <c r="E52" i="27"/>
  <c r="E76" i="27"/>
  <c r="E130" i="27"/>
  <c r="E155" i="27"/>
  <c r="E210" i="27"/>
  <c r="E235" i="27"/>
  <c r="E290" i="27"/>
  <c r="E316" i="27"/>
  <c r="E379" i="27"/>
  <c r="E79" i="27"/>
  <c r="E103" i="27"/>
  <c r="E183" i="27"/>
  <c r="E263" i="27"/>
  <c r="E319" i="27"/>
  <c r="E345" i="27"/>
  <c r="E213" i="27"/>
  <c r="E373" i="27"/>
  <c r="E14" i="27"/>
  <c r="E41" i="27"/>
  <c r="E81" i="27"/>
  <c r="E121" i="27"/>
  <c r="E161" i="27"/>
  <c r="E186" i="27"/>
  <c r="E241" i="27"/>
  <c r="E281" i="27"/>
  <c r="E306" i="27"/>
  <c r="E361" i="27"/>
  <c r="E29" i="27"/>
  <c r="E54" i="27"/>
  <c r="E109" i="27"/>
  <c r="E134" i="27"/>
  <c r="E189" i="27"/>
  <c r="E229" i="27"/>
  <c r="E254" i="27"/>
  <c r="E309" i="27"/>
  <c r="E334" i="27"/>
  <c r="E374" i="27"/>
  <c r="E3" i="27"/>
  <c r="E82" i="27"/>
  <c r="E122" i="27"/>
  <c r="E162" i="27"/>
  <c r="E322" i="27"/>
  <c r="E30" i="27"/>
  <c r="E70" i="27"/>
  <c r="E110" i="27"/>
  <c r="E150" i="27"/>
  <c r="E175" i="27"/>
  <c r="E215" i="27"/>
  <c r="E270" i="27"/>
  <c r="E295" i="27"/>
  <c r="E4" i="27"/>
  <c r="E16" i="27"/>
  <c r="E43" i="27"/>
  <c r="E83" i="27"/>
  <c r="E123" i="27"/>
  <c r="E163" i="27"/>
  <c r="E203" i="27"/>
  <c r="E243" i="27"/>
  <c r="E283" i="27"/>
  <c r="E323" i="27"/>
  <c r="E363" i="27"/>
  <c r="E133" i="27"/>
  <c r="E173" i="27"/>
  <c r="E253" i="27"/>
  <c r="E293" i="27"/>
  <c r="E333" i="27"/>
  <c r="E26" i="27"/>
  <c r="E66" i="27"/>
  <c r="E106" i="27"/>
  <c r="E146" i="27"/>
  <c r="E201" i="27"/>
  <c r="E226" i="27"/>
  <c r="E266" i="27"/>
  <c r="E321" i="27"/>
  <c r="E346" i="27"/>
  <c r="E69" i="27"/>
  <c r="E94" i="27"/>
  <c r="E149" i="27"/>
  <c r="E174" i="27"/>
  <c r="E214" i="27"/>
  <c r="E269" i="27"/>
  <c r="E294" i="27"/>
  <c r="E349" i="27"/>
  <c r="E15" i="27"/>
  <c r="E42" i="27"/>
  <c r="E202" i="27"/>
  <c r="E242" i="27"/>
  <c r="E282" i="27"/>
  <c r="E362" i="27"/>
  <c r="E55" i="27"/>
  <c r="E95" i="27"/>
  <c r="E135" i="27"/>
  <c r="E190" i="27"/>
  <c r="E230" i="27"/>
  <c r="E255" i="27"/>
  <c r="E310" i="27"/>
  <c r="E335" i="27"/>
  <c r="E350" i="27"/>
  <c r="E375" i="27"/>
  <c r="E31" i="27"/>
  <c r="E56" i="27"/>
  <c r="E71" i="27"/>
  <c r="E96" i="27"/>
  <c r="E111" i="27"/>
  <c r="E136" i="27"/>
  <c r="E151" i="27"/>
  <c r="E176" i="27"/>
  <c r="E191" i="27"/>
  <c r="E216" i="27"/>
  <c r="E231" i="27"/>
  <c r="E256" i="27"/>
  <c r="E271" i="27"/>
  <c r="E296" i="27"/>
  <c r="E311" i="27"/>
  <c r="E336" i="27"/>
  <c r="E351" i="27"/>
  <c r="E376" i="27"/>
  <c r="E312" i="27"/>
  <c r="E352" i="27"/>
  <c r="E6" i="27"/>
  <c r="E20" i="27"/>
  <c r="E45" i="27"/>
  <c r="E60" i="27"/>
  <c r="E85" i="27"/>
  <c r="E100" i="27"/>
  <c r="E125" i="27"/>
  <c r="E140" i="27"/>
  <c r="E165" i="27"/>
  <c r="E180" i="27"/>
  <c r="E205" i="27"/>
  <c r="E220" i="27"/>
  <c r="E245" i="27"/>
  <c r="E260" i="27"/>
  <c r="E285" i="27"/>
  <c r="E300" i="27"/>
  <c r="E325" i="27"/>
  <c r="E340" i="27"/>
  <c r="E365" i="27"/>
  <c r="E380" i="27"/>
  <c r="E33" i="27"/>
  <c r="E73" i="27"/>
  <c r="E113" i="27"/>
  <c r="E153" i="27"/>
  <c r="E193" i="27"/>
  <c r="E233" i="27"/>
  <c r="E273" i="27"/>
  <c r="E313" i="27"/>
  <c r="E353" i="27"/>
  <c r="E9" i="27"/>
  <c r="E21" i="27"/>
  <c r="E46" i="27"/>
  <c r="E61" i="27"/>
  <c r="E86" i="27"/>
  <c r="E101" i="27"/>
  <c r="E126" i="27"/>
  <c r="E141" i="27"/>
  <c r="E166" i="27"/>
  <c r="E181" i="27"/>
  <c r="E206" i="27"/>
  <c r="E221" i="27"/>
  <c r="E246" i="27"/>
  <c r="E261" i="27"/>
  <c r="E286" i="27"/>
  <c r="E301" i="27"/>
  <c r="E326" i="27"/>
  <c r="E341" i="27"/>
  <c r="E366" i="27"/>
  <c r="E381" i="27"/>
  <c r="E17" i="27"/>
  <c r="E27" i="27"/>
  <c r="E47" i="27"/>
  <c r="E57" i="27"/>
  <c r="E67" i="27"/>
  <c r="E87" i="27"/>
  <c r="E97" i="27"/>
  <c r="E107" i="27"/>
  <c r="E117" i="27"/>
  <c r="E137" i="27"/>
  <c r="E147" i="27"/>
  <c r="E157" i="27"/>
  <c r="E167" i="27"/>
  <c r="E177" i="27"/>
  <c r="E187" i="27"/>
  <c r="E197" i="27"/>
  <c r="E207" i="27"/>
  <c r="E227" i="27"/>
  <c r="E237" i="27"/>
  <c r="E247" i="27"/>
  <c r="E257" i="27"/>
  <c r="E267" i="27"/>
  <c r="E277" i="27"/>
  <c r="E287" i="27"/>
  <c r="E297" i="27"/>
  <c r="E307" i="27"/>
  <c r="E317" i="27"/>
  <c r="E327" i="27"/>
  <c r="E337" i="27"/>
  <c r="E347" i="27"/>
  <c r="E357" i="27"/>
  <c r="E377" i="27"/>
  <c r="E8" i="27"/>
  <c r="E18" i="27"/>
  <c r="E28" i="27"/>
  <c r="E38" i="27"/>
  <c r="E48" i="27"/>
  <c r="E58" i="27"/>
  <c r="E68" i="27"/>
  <c r="E78" i="27"/>
  <c r="E88" i="27"/>
  <c r="E98" i="27"/>
  <c r="E108" i="27"/>
  <c r="E118" i="27"/>
  <c r="E128" i="27"/>
  <c r="E138" i="27"/>
  <c r="E148" i="27"/>
  <c r="E158" i="27"/>
  <c r="E168" i="27"/>
  <c r="E178" i="27"/>
  <c r="E188" i="27"/>
  <c r="E198" i="27"/>
  <c r="E208" i="27"/>
  <c r="E218" i="27"/>
  <c r="E228" i="27"/>
  <c r="E238" i="27"/>
  <c r="E248" i="27"/>
  <c r="E258" i="27"/>
  <c r="E268" i="27"/>
  <c r="E278" i="27"/>
  <c r="E288" i="27"/>
  <c r="E298" i="27"/>
  <c r="E308" i="27"/>
  <c r="E318" i="27"/>
  <c r="E328" i="27"/>
  <c r="E338" i="27"/>
  <c r="E348" i="27"/>
  <c r="E358" i="27"/>
  <c r="E368" i="27"/>
  <c r="E378" i="27"/>
  <c r="E7" i="27"/>
  <c r="E37" i="27"/>
  <c r="E77" i="27"/>
  <c r="E127" i="27"/>
  <c r="E217" i="27"/>
  <c r="E367" i="27"/>
  <c r="E2" i="27"/>
  <c r="C55" i="27"/>
  <c r="C161" i="27"/>
  <c r="C285" i="27"/>
  <c r="C346" i="27"/>
  <c r="C80" i="27"/>
  <c r="C133" i="27"/>
  <c r="C253" i="27"/>
  <c r="C33" i="27"/>
  <c r="C195" i="27"/>
  <c r="C286" i="27"/>
  <c r="C347" i="27"/>
  <c r="C12" i="27"/>
  <c r="C81" i="27"/>
  <c r="C111" i="27"/>
  <c r="C136" i="27"/>
  <c r="C254" i="27"/>
  <c r="C287" i="27"/>
  <c r="C349" i="27"/>
  <c r="C34" i="27"/>
  <c r="C60" i="27"/>
  <c r="C140" i="27"/>
  <c r="C166" i="27"/>
  <c r="C196" i="27"/>
  <c r="C289" i="27"/>
  <c r="C323" i="27"/>
  <c r="C13" i="27"/>
  <c r="C112" i="27"/>
  <c r="C231" i="27"/>
  <c r="C255" i="27"/>
  <c r="C350" i="27"/>
  <c r="C61" i="27"/>
  <c r="C84" i="27"/>
  <c r="C144" i="27"/>
  <c r="C167" i="27"/>
  <c r="C197" i="27"/>
  <c r="C290" i="27"/>
  <c r="C324" i="27"/>
  <c r="C14" i="27"/>
  <c r="C37" i="27"/>
  <c r="C113" i="27"/>
  <c r="C171" i="27"/>
  <c r="C202" i="27"/>
  <c r="C232" i="27"/>
  <c r="C262" i="27"/>
  <c r="C356" i="27"/>
  <c r="C62" i="27"/>
  <c r="C91" i="27"/>
  <c r="C114" i="27"/>
  <c r="C145" i="27"/>
  <c r="C174" i="27"/>
  <c r="C291" i="27"/>
  <c r="C325" i="27"/>
  <c r="C361" i="27"/>
  <c r="C15" i="27"/>
  <c r="C44" i="27"/>
  <c r="C92" i="27"/>
  <c r="C179" i="27"/>
  <c r="C203" i="27"/>
  <c r="C233" i="27"/>
  <c r="C266" i="27"/>
  <c r="C66" i="27"/>
  <c r="C115" i="27"/>
  <c r="C146" i="27"/>
  <c r="C292" i="27"/>
  <c r="C326" i="27"/>
  <c r="C362" i="27"/>
  <c r="C16" i="27"/>
  <c r="C45" i="27"/>
  <c r="C93" i="27"/>
  <c r="C117" i="27"/>
  <c r="C147" i="27"/>
  <c r="C180" i="27"/>
  <c r="C206" i="27"/>
  <c r="C237" i="27"/>
  <c r="C267" i="27"/>
  <c r="C297" i="27"/>
  <c r="C366" i="27"/>
  <c r="C124" i="27"/>
  <c r="C239" i="27"/>
  <c r="C269" i="27"/>
  <c r="C302" i="27"/>
  <c r="C332" i="27"/>
  <c r="C46" i="27"/>
  <c r="C70" i="27"/>
  <c r="C94" i="27"/>
  <c r="C125" i="27"/>
  <c r="C149" i="27"/>
  <c r="C181" i="27"/>
  <c r="C214" i="27"/>
  <c r="C367" i="27"/>
  <c r="C29" i="27"/>
  <c r="C194" i="27"/>
  <c r="C5" i="27"/>
  <c r="C106" i="27"/>
  <c r="C220" i="27"/>
  <c r="C312" i="27"/>
  <c r="C59" i="27"/>
  <c r="C162" i="27"/>
  <c r="C23" i="27"/>
  <c r="C182" i="27"/>
  <c r="C240" i="27"/>
  <c r="C273" i="27"/>
  <c r="C303" i="27"/>
  <c r="C333" i="27"/>
  <c r="C369" i="27"/>
  <c r="C47" i="27"/>
  <c r="C73" i="27"/>
  <c r="C95" i="27"/>
  <c r="C126" i="27"/>
  <c r="C215" i="27"/>
  <c r="C307" i="27"/>
  <c r="C26" i="27"/>
  <c r="C159" i="27"/>
  <c r="C183" i="27"/>
  <c r="C250" i="27"/>
  <c r="C274" i="27"/>
  <c r="C309" i="27"/>
  <c r="C49" i="27"/>
  <c r="C77" i="27"/>
  <c r="C100" i="27"/>
  <c r="C127" i="27"/>
  <c r="C344" i="27"/>
  <c r="C371" i="27"/>
  <c r="C27" i="27"/>
  <c r="C102" i="27"/>
  <c r="C160" i="27"/>
  <c r="C184" i="27"/>
  <c r="C217" i="27"/>
  <c r="C251" i="27"/>
  <c r="C310" i="27"/>
  <c r="C79" i="27"/>
  <c r="C103" i="27"/>
  <c r="C129" i="27"/>
  <c r="C219" i="27"/>
  <c r="C279" i="27"/>
  <c r="C345" i="27"/>
  <c r="C3" i="27"/>
  <c r="C17" i="27"/>
  <c r="C35" i="27"/>
  <c r="C50" i="27"/>
  <c r="C67" i="27"/>
  <c r="C82" i="27"/>
  <c r="C134" i="27"/>
  <c r="C150" i="27"/>
  <c r="C169" i="27"/>
  <c r="C204" i="27"/>
  <c r="C221" i="27"/>
  <c r="C241" i="27"/>
  <c r="C256" i="27"/>
  <c r="C276" i="27"/>
  <c r="C313" i="27"/>
  <c r="C372" i="27"/>
  <c r="C101" i="27"/>
  <c r="C116" i="27"/>
  <c r="C185" i="27"/>
  <c r="C205" i="27"/>
  <c r="C261" i="27"/>
  <c r="C296" i="27"/>
  <c r="C355" i="27"/>
  <c r="C4" i="27"/>
  <c r="C22" i="27"/>
  <c r="C36" i="27"/>
  <c r="C51" i="27"/>
  <c r="C69" i="27"/>
  <c r="C83" i="27"/>
  <c r="C135" i="27"/>
  <c r="C151" i="27"/>
  <c r="C225" i="27"/>
  <c r="C242" i="27"/>
  <c r="C277" i="27"/>
  <c r="C314" i="27"/>
  <c r="C335" i="27"/>
  <c r="C373" i="27"/>
  <c r="C155" i="27"/>
  <c r="C191" i="27"/>
  <c r="C226" i="27"/>
  <c r="C243" i="27"/>
  <c r="C299" i="27"/>
  <c r="C320" i="27"/>
  <c r="C336" i="27"/>
  <c r="C379" i="27"/>
  <c r="C122" i="27"/>
  <c r="C137" i="27"/>
  <c r="C172" i="27"/>
  <c r="C207" i="27"/>
  <c r="C263" i="27"/>
  <c r="C280" i="27"/>
  <c r="C300" i="27"/>
  <c r="C359" i="27"/>
  <c r="C6" i="27"/>
  <c r="C24" i="27"/>
  <c r="C39" i="27"/>
  <c r="C56" i="27"/>
  <c r="C71" i="27"/>
  <c r="C89" i="27"/>
  <c r="C104" i="27"/>
  <c r="C156" i="27"/>
  <c r="C192" i="27"/>
  <c r="C209" i="27"/>
  <c r="C227" i="27"/>
  <c r="C244" i="27"/>
  <c r="C264" i="27"/>
  <c r="C321" i="27"/>
  <c r="C337" i="27"/>
  <c r="C380" i="27"/>
  <c r="C123" i="27"/>
  <c r="C139" i="27"/>
  <c r="C173" i="27"/>
  <c r="C284" i="27"/>
  <c r="C301" i="27"/>
  <c r="C339" i="27"/>
  <c r="C360" i="27"/>
  <c r="C11" i="27"/>
  <c r="C25" i="27"/>
  <c r="C40" i="27"/>
  <c r="C57" i="27"/>
  <c r="C72" i="27"/>
  <c r="C90" i="27"/>
  <c r="C105" i="27"/>
  <c r="C157" i="27"/>
  <c r="C210" i="27"/>
  <c r="C230" i="27"/>
  <c r="C265" i="27"/>
  <c r="C322" i="27"/>
  <c r="C343" i="27"/>
  <c r="C381" i="27"/>
  <c r="C315" i="27"/>
  <c r="C351" i="27"/>
  <c r="C374" i="27"/>
  <c r="C7" i="27"/>
  <c r="C19" i="27"/>
  <c r="C30" i="27"/>
  <c r="C41" i="27"/>
  <c r="C52" i="27"/>
  <c r="C63" i="27"/>
  <c r="C74" i="27"/>
  <c r="C85" i="27"/>
  <c r="C96" i="27"/>
  <c r="C107" i="27"/>
  <c r="C119" i="27"/>
  <c r="C130" i="27"/>
  <c r="C141" i="27"/>
  <c r="C152" i="27"/>
  <c r="C163" i="27"/>
  <c r="C186" i="27"/>
  <c r="C199" i="27"/>
  <c r="C222" i="27"/>
  <c r="C245" i="27"/>
  <c r="C281" i="27"/>
  <c r="C304" i="27"/>
  <c r="C327" i="27"/>
  <c r="C340" i="27"/>
  <c r="C363" i="27"/>
  <c r="C175" i="27"/>
  <c r="C211" i="27"/>
  <c r="C234" i="27"/>
  <c r="C257" i="27"/>
  <c r="C270" i="27"/>
  <c r="C293" i="27"/>
  <c r="C316" i="27"/>
  <c r="C329" i="27"/>
  <c r="C352" i="27"/>
  <c r="C375" i="27"/>
  <c r="C9" i="27"/>
  <c r="C20" i="27"/>
  <c r="C31" i="27"/>
  <c r="C42" i="27"/>
  <c r="C53" i="27"/>
  <c r="C64" i="27"/>
  <c r="C75" i="27"/>
  <c r="C86" i="27"/>
  <c r="C97" i="27"/>
  <c r="C109" i="27"/>
  <c r="C120" i="27"/>
  <c r="C131" i="27"/>
  <c r="C142" i="27"/>
  <c r="C153" i="27"/>
  <c r="C164" i="27"/>
  <c r="C187" i="27"/>
  <c r="C200" i="27"/>
  <c r="C223" i="27"/>
  <c r="C246" i="27"/>
  <c r="C259" i="27"/>
  <c r="C282" i="27"/>
  <c r="C305" i="27"/>
  <c r="C341" i="27"/>
  <c r="C364" i="27"/>
  <c r="C176" i="27"/>
  <c r="C189" i="27"/>
  <c r="C212" i="27"/>
  <c r="C235" i="27"/>
  <c r="C271" i="27"/>
  <c r="C294" i="27"/>
  <c r="C317" i="27"/>
  <c r="C330" i="27"/>
  <c r="C353" i="27"/>
  <c r="C376" i="27"/>
  <c r="C10" i="27"/>
  <c r="C21" i="27"/>
  <c r="C32" i="27"/>
  <c r="C43" i="27"/>
  <c r="C54" i="27"/>
  <c r="C65" i="27"/>
  <c r="C76" i="27"/>
  <c r="C87" i="27"/>
  <c r="C99" i="27"/>
  <c r="C110" i="27"/>
  <c r="C121" i="27"/>
  <c r="C132" i="27"/>
  <c r="C143" i="27"/>
  <c r="C154" i="27"/>
  <c r="C165" i="27"/>
  <c r="C201" i="27"/>
  <c r="C224" i="27"/>
  <c r="C247" i="27"/>
  <c r="C260" i="27"/>
  <c r="C283" i="27"/>
  <c r="C306" i="27"/>
  <c r="C319" i="27"/>
  <c r="C342" i="27"/>
  <c r="C365" i="27"/>
  <c r="C177" i="27"/>
  <c r="C190" i="27"/>
  <c r="C213" i="27"/>
  <c r="C236" i="27"/>
  <c r="C249" i="27"/>
  <c r="C272" i="27"/>
  <c r="C295" i="27"/>
  <c r="C331" i="27"/>
  <c r="C354" i="27"/>
  <c r="C377" i="27"/>
  <c r="C170" i="27"/>
  <c r="C193" i="27"/>
  <c r="C216" i="27"/>
  <c r="C229" i="27"/>
  <c r="C252" i="27"/>
  <c r="C275" i="27"/>
  <c r="C311" i="27"/>
  <c r="C334" i="27"/>
  <c r="C357" i="27"/>
  <c r="C370" i="27"/>
  <c r="C8" i="27"/>
  <c r="C18" i="27"/>
  <c r="C28" i="27"/>
  <c r="C38" i="27"/>
  <c r="C48" i="27"/>
  <c r="C58" i="27"/>
  <c r="C68" i="27"/>
  <c r="C78" i="27"/>
  <c r="C88" i="27"/>
  <c r="C98" i="27"/>
  <c r="C108" i="27"/>
  <c r="C118" i="27"/>
  <c r="C128" i="27"/>
  <c r="C138" i="27"/>
  <c r="C148" i="27"/>
  <c r="C158" i="27"/>
  <c r="C168" i="27"/>
  <c r="C178" i="27"/>
  <c r="C188" i="27"/>
  <c r="C198" i="27"/>
  <c r="C208" i="27"/>
  <c r="C218" i="27"/>
  <c r="C228" i="27"/>
  <c r="C238" i="27"/>
  <c r="C248" i="27"/>
  <c r="C258" i="27"/>
  <c r="C268" i="27"/>
  <c r="C278" i="27"/>
  <c r="C288" i="27"/>
  <c r="C298" i="27"/>
  <c r="C308" i="27"/>
  <c r="C318" i="27"/>
  <c r="C328" i="27"/>
  <c r="C338" i="27"/>
  <c r="C348" i="27"/>
  <c r="C358" i="27"/>
  <c r="C368" i="27"/>
  <c r="C378" i="27"/>
  <c r="C2" i="27"/>
  <c r="G3" i="34" a="1"/>
  <c r="C2" i="46" a="1"/>
  <c r="G4" i="34" a="1"/>
  <c r="G2" i="34" a="1"/>
  <c r="G3" i="12" a="1"/>
  <c r="G71" i="12" a="1"/>
  <c r="G76" i="12" a="1"/>
  <c r="G96" i="12" a="1"/>
  <c r="G129" i="12" a="1"/>
  <c r="G106" i="12" a="1"/>
  <c r="G124" i="12" a="1"/>
  <c r="G47" i="12" a="1"/>
  <c r="G14" i="12" a="1"/>
  <c r="G21" i="12" a="1"/>
  <c r="G89" i="12" a="1"/>
  <c r="G44" i="12" a="1"/>
  <c r="G120" i="12" a="1"/>
  <c r="G82" i="12" a="1"/>
  <c r="G26" i="12" a="1"/>
  <c r="G59" i="12" a="1"/>
  <c r="G19" i="12" a="1"/>
  <c r="G65" i="12" a="1"/>
  <c r="G36" i="12" a="1"/>
  <c r="G59" i="12" l="1"/>
  <c r="G26" i="12"/>
  <c r="G82" i="12"/>
  <c r="M82" i="12" s="1"/>
  <c r="G120" i="12"/>
  <c r="P120" i="12" s="1"/>
  <c r="G44" i="12"/>
  <c r="G89" i="12"/>
  <c r="P89" i="12" s="1"/>
  <c r="G21" i="12"/>
  <c r="G14" i="12"/>
  <c r="G47" i="12"/>
  <c r="M47" i="12" s="1"/>
  <c r="G124" i="12"/>
  <c r="L124" i="12" s="1"/>
  <c r="G106" i="12"/>
  <c r="G129" i="12"/>
  <c r="P129" i="12" s="1"/>
  <c r="G96" i="12"/>
  <c r="G76" i="12"/>
  <c r="M76" i="12" s="1"/>
  <c r="G71" i="12"/>
  <c r="K71" i="12" s="1"/>
  <c r="G3" i="12"/>
  <c r="F58" i="12"/>
  <c r="F25" i="12"/>
  <c r="F81" i="12"/>
  <c r="F119" i="12"/>
  <c r="F43" i="12"/>
  <c r="F88" i="12"/>
  <c r="F20" i="12"/>
  <c r="F13" i="12"/>
  <c r="F46" i="12"/>
  <c r="F123" i="12"/>
  <c r="F105" i="12"/>
  <c r="F128" i="12"/>
  <c r="F95" i="12"/>
  <c r="F75" i="12"/>
  <c r="F70" i="12"/>
  <c r="F2" i="12"/>
  <c r="G19" i="12"/>
  <c r="F18" i="12"/>
  <c r="G65" i="12"/>
  <c r="F65" i="12" s="1"/>
  <c r="G36" i="12"/>
  <c r="F36" i="12" s="1"/>
  <c r="M18" i="12"/>
  <c r="J18" i="12"/>
  <c r="P18" i="12"/>
  <c r="K18" i="12"/>
  <c r="L18" i="12"/>
  <c r="P13" i="12"/>
  <c r="M13" i="12"/>
  <c r="L13" i="12"/>
  <c r="K13" i="12"/>
  <c r="J13" i="12"/>
  <c r="C2" i="46"/>
  <c r="G4" i="34"/>
  <c r="G3" i="34"/>
  <c r="G2" i="34"/>
  <c r="A128" i="12"/>
  <c r="J128" i="12"/>
  <c r="K128" i="12"/>
  <c r="L128" i="12"/>
  <c r="M128" i="12"/>
  <c r="P128" i="12"/>
  <c r="A129" i="12"/>
  <c r="A130" i="12"/>
  <c r="P123" i="12"/>
  <c r="M123" i="12"/>
  <c r="L123" i="12"/>
  <c r="K123" i="12"/>
  <c r="J123" i="12"/>
  <c r="P119" i="12"/>
  <c r="M119" i="12"/>
  <c r="L119" i="12"/>
  <c r="K119" i="12"/>
  <c r="J119" i="12"/>
  <c r="P105" i="12"/>
  <c r="M105" i="12"/>
  <c r="L105" i="12"/>
  <c r="K105" i="12"/>
  <c r="J105" i="12"/>
  <c r="P88" i="12"/>
  <c r="M88" i="12"/>
  <c r="L88" i="12"/>
  <c r="K88" i="12"/>
  <c r="J88" i="12"/>
  <c r="P95" i="12"/>
  <c r="M95" i="12"/>
  <c r="L95" i="12"/>
  <c r="K95" i="12"/>
  <c r="J95" i="12"/>
  <c r="P81" i="12"/>
  <c r="M81" i="12"/>
  <c r="L81" i="12"/>
  <c r="K81" i="12"/>
  <c r="J81" i="12"/>
  <c r="P75" i="12"/>
  <c r="M75" i="12"/>
  <c r="L75" i="12"/>
  <c r="K75" i="12"/>
  <c r="J75" i="12"/>
  <c r="P70" i="12"/>
  <c r="M70" i="12"/>
  <c r="L70" i="12"/>
  <c r="K70" i="12"/>
  <c r="J70" i="12"/>
  <c r="P58" i="12"/>
  <c r="M58" i="12"/>
  <c r="L58" i="12"/>
  <c r="K58" i="12"/>
  <c r="J58" i="12"/>
  <c r="P46" i="12"/>
  <c r="M46" i="12"/>
  <c r="L46" i="12"/>
  <c r="K46" i="12"/>
  <c r="J46" i="12"/>
  <c r="P35" i="12"/>
  <c r="M35" i="12"/>
  <c r="L35" i="12"/>
  <c r="K35" i="12"/>
  <c r="J35" i="12"/>
  <c r="P25" i="12"/>
  <c r="M25" i="12"/>
  <c r="L25" i="12"/>
  <c r="K25" i="12"/>
  <c r="J25" i="12"/>
  <c r="P2" i="12"/>
  <c r="M2" i="12"/>
  <c r="L2" i="12"/>
  <c r="K2" i="12"/>
  <c r="J2" i="12"/>
  <c r="G2" i="22" a="1"/>
  <c r="J2" i="34" a="1"/>
  <c r="D2" i="22" a="1"/>
  <c r="C2" i="22" a="1"/>
  <c r="F2" i="22" a="1"/>
  <c r="G83" i="12" a="1"/>
  <c r="G48" i="12" a="1"/>
  <c r="G77" i="12" a="1"/>
  <c r="G121" i="12" a="1"/>
  <c r="G125" i="12" a="1"/>
  <c r="G72" i="12" a="1"/>
  <c r="G45" i="12" a="1"/>
  <c r="G107" i="12" a="1"/>
  <c r="G4" i="12" a="1"/>
  <c r="G90" i="12" a="1"/>
  <c r="G130" i="12" a="1"/>
  <c r="G60" i="12" a="1"/>
  <c r="G22" i="12" a="1"/>
  <c r="G27" i="12" a="1"/>
  <c r="G15" i="12" a="1"/>
  <c r="G97" i="12" a="1"/>
  <c r="G66" i="12" a="1"/>
  <c r="G37" i="12" a="1"/>
  <c r="J82" i="12" l="1"/>
  <c r="J124" i="12"/>
  <c r="K124" i="12"/>
  <c r="M124" i="12"/>
  <c r="P124" i="12"/>
  <c r="G97" i="12"/>
  <c r="G15" i="12"/>
  <c r="G27" i="12"/>
  <c r="G22" i="12"/>
  <c r="G60" i="12"/>
  <c r="G130" i="12"/>
  <c r="G90" i="12"/>
  <c r="G4" i="12"/>
  <c r="G107" i="12"/>
  <c r="G45" i="12"/>
  <c r="G72" i="12"/>
  <c r="G125" i="12"/>
  <c r="K125" i="12" s="1"/>
  <c r="G121" i="12"/>
  <c r="G77" i="12"/>
  <c r="G48" i="12"/>
  <c r="M48" i="12" s="1"/>
  <c r="G83" i="12"/>
  <c r="F96" i="12"/>
  <c r="F26" i="12"/>
  <c r="F14" i="12"/>
  <c r="F15" i="12" s="1"/>
  <c r="F21" i="12"/>
  <c r="F59" i="12"/>
  <c r="M36" i="12"/>
  <c r="L96" i="12"/>
  <c r="F129" i="12"/>
  <c r="F89" i="12"/>
  <c r="F3" i="12"/>
  <c r="F106" i="12"/>
  <c r="F44" i="12"/>
  <c r="P14" i="12"/>
  <c r="F71" i="12"/>
  <c r="F124" i="12"/>
  <c r="F120" i="12"/>
  <c r="L106" i="12"/>
  <c r="F76" i="12"/>
  <c r="F47" i="12"/>
  <c r="F82" i="12"/>
  <c r="F19" i="12"/>
  <c r="G66" i="12"/>
  <c r="F66" i="12" s="1"/>
  <c r="G37" i="12"/>
  <c r="F37" i="12" s="1"/>
  <c r="P26" i="12"/>
  <c r="J59" i="12"/>
  <c r="M129" i="12"/>
  <c r="K120" i="12"/>
  <c r="K82" i="12"/>
  <c r="L120" i="12"/>
  <c r="L82" i="12"/>
  <c r="L129" i="12"/>
  <c r="K129" i="12"/>
  <c r="J129" i="12"/>
  <c r="M120" i="12"/>
  <c r="J125" i="12"/>
  <c r="P125" i="12"/>
  <c r="K47" i="12"/>
  <c r="J89" i="12"/>
  <c r="P106" i="12"/>
  <c r="J120" i="12"/>
  <c r="J47" i="12"/>
  <c r="P76" i="12"/>
  <c r="K89" i="12"/>
  <c r="J106" i="12"/>
  <c r="M106" i="12"/>
  <c r="M107" i="12"/>
  <c r="P47" i="12"/>
  <c r="J71" i="12"/>
  <c r="K106" i="12"/>
  <c r="L71" i="12"/>
  <c r="K76" i="12"/>
  <c r="M71" i="12"/>
  <c r="P71" i="12"/>
  <c r="J76" i="12"/>
  <c r="P82" i="12"/>
  <c r="J96" i="12"/>
  <c r="K96" i="12"/>
  <c r="M96" i="12"/>
  <c r="P96" i="12"/>
  <c r="L89" i="12"/>
  <c r="M89" i="12"/>
  <c r="L76" i="12"/>
  <c r="L59" i="12"/>
  <c r="M59" i="12"/>
  <c r="P59" i="12"/>
  <c r="L47" i="12"/>
  <c r="K59" i="12"/>
  <c r="K36" i="12"/>
  <c r="L3" i="12"/>
  <c r="L36" i="12"/>
  <c r="P36" i="12"/>
  <c r="J36" i="12"/>
  <c r="J21" i="12"/>
  <c r="M21" i="12"/>
  <c r="L21" i="12"/>
  <c r="P21" i="12"/>
  <c r="K21" i="12"/>
  <c r="M3" i="12"/>
  <c r="P3" i="12"/>
  <c r="M26" i="12"/>
  <c r="L14" i="12"/>
  <c r="J14" i="12"/>
  <c r="K14" i="12"/>
  <c r="M14" i="12"/>
  <c r="J3" i="12"/>
  <c r="K3" i="12"/>
  <c r="J26" i="12"/>
  <c r="K26" i="12"/>
  <c r="L26" i="12"/>
  <c r="J2" i="34"/>
  <c r="G2" i="22"/>
  <c r="F2" i="22"/>
  <c r="D2" i="22"/>
  <c r="C2" i="22"/>
  <c r="A94" i="12"/>
  <c r="G126" i="12" a="1"/>
  <c r="G98" i="12" a="1"/>
  <c r="G91" i="12" a="1"/>
  <c r="G122" i="12" a="1"/>
  <c r="G16" i="12" a="1"/>
  <c r="G5" i="12" a="1"/>
  <c r="G78" i="12" a="1"/>
  <c r="G28" i="12" a="1"/>
  <c r="G108" i="12" a="1"/>
  <c r="G49" i="12" a="1"/>
  <c r="G61" i="12" a="1"/>
  <c r="G73" i="12" a="1"/>
  <c r="G23" i="12" a="1"/>
  <c r="G84" i="12" a="1"/>
  <c r="G67" i="12" a="1"/>
  <c r="G38" i="12" a="1"/>
  <c r="L125" i="12" l="1"/>
  <c r="M125" i="12"/>
  <c r="G84" i="12"/>
  <c r="G23" i="12"/>
  <c r="G73" i="12"/>
  <c r="G61" i="12"/>
  <c r="G49" i="12"/>
  <c r="J49" i="12" s="1"/>
  <c r="G108" i="12"/>
  <c r="M108" i="12" s="1"/>
  <c r="G28" i="12"/>
  <c r="P28" i="12" s="1"/>
  <c r="G78" i="12"/>
  <c r="G5" i="12"/>
  <c r="G16" i="12"/>
  <c r="F16" i="12" s="1"/>
  <c r="G122" i="12"/>
  <c r="G91" i="12"/>
  <c r="G98" i="12"/>
  <c r="G126" i="12"/>
  <c r="P126" i="12" s="1"/>
  <c r="F83" i="12"/>
  <c r="F45" i="12"/>
  <c r="F22" i="12"/>
  <c r="F72" i="12"/>
  <c r="F60" i="12"/>
  <c r="F48" i="12"/>
  <c r="F107" i="12"/>
  <c r="F27" i="12"/>
  <c r="F77" i="12"/>
  <c r="F4" i="12"/>
  <c r="F5" i="12" s="1"/>
  <c r="F121" i="12"/>
  <c r="F90" i="12"/>
  <c r="F97" i="12"/>
  <c r="F125" i="12"/>
  <c r="F130" i="12"/>
  <c r="G67" i="12"/>
  <c r="F67" i="12" s="1"/>
  <c r="G38" i="12"/>
  <c r="F38" i="12" s="1"/>
  <c r="P130" i="12"/>
  <c r="J130" i="12"/>
  <c r="L130" i="12"/>
  <c r="M130" i="12"/>
  <c r="K130" i="12"/>
  <c r="K48" i="12"/>
  <c r="M126" i="12"/>
  <c r="K107" i="12"/>
  <c r="P107" i="12"/>
  <c r="J107" i="12"/>
  <c r="K121" i="12"/>
  <c r="J121" i="12"/>
  <c r="P121" i="12"/>
  <c r="M121" i="12"/>
  <c r="L121" i="12"/>
  <c r="L107" i="12"/>
  <c r="P90" i="12"/>
  <c r="M90" i="12"/>
  <c r="L90" i="12"/>
  <c r="K90" i="12"/>
  <c r="J90" i="12"/>
  <c r="J83" i="12"/>
  <c r="M83" i="12"/>
  <c r="L83" i="12"/>
  <c r="K83" i="12"/>
  <c r="P83" i="12"/>
  <c r="K97" i="12"/>
  <c r="P97" i="12"/>
  <c r="M97" i="12"/>
  <c r="L97" i="12"/>
  <c r="J97" i="12"/>
  <c r="L77" i="12"/>
  <c r="J77" i="12"/>
  <c r="P77" i="12"/>
  <c r="K77" i="12"/>
  <c r="M77" i="12"/>
  <c r="P72" i="12"/>
  <c r="M72" i="12"/>
  <c r="L72" i="12"/>
  <c r="K72" i="12"/>
  <c r="J72" i="12"/>
  <c r="P48" i="12"/>
  <c r="L48" i="12"/>
  <c r="J48" i="12"/>
  <c r="L60" i="12"/>
  <c r="K60" i="12"/>
  <c r="J60" i="12"/>
  <c r="P60" i="12"/>
  <c r="M60" i="12"/>
  <c r="M45" i="12"/>
  <c r="L45" i="12"/>
  <c r="J45" i="12"/>
  <c r="K45" i="12"/>
  <c r="P45" i="12"/>
  <c r="K37" i="12"/>
  <c r="J37" i="12"/>
  <c r="P37" i="12"/>
  <c r="M37" i="12"/>
  <c r="L37" i="12"/>
  <c r="L15" i="12"/>
  <c r="P15" i="12"/>
  <c r="J15" i="12"/>
  <c r="K15" i="12"/>
  <c r="M15" i="12"/>
  <c r="P4" i="12"/>
  <c r="L4" i="12"/>
  <c r="K4" i="12"/>
  <c r="M4" i="12"/>
  <c r="J4" i="12"/>
  <c r="P27" i="12"/>
  <c r="M27" i="12"/>
  <c r="L27" i="12"/>
  <c r="K27" i="12"/>
  <c r="J27" i="12"/>
  <c r="A89" i="12"/>
  <c r="G29" i="12" a="1"/>
  <c r="G24" i="12" a="1"/>
  <c r="G79" i="12" a="1"/>
  <c r="G99" i="12" a="1"/>
  <c r="G74" i="12" a="1"/>
  <c r="G6" i="12" a="1"/>
  <c r="G127" i="12" a="1"/>
  <c r="G62" i="12" a="1"/>
  <c r="G50" i="12" a="1"/>
  <c r="G109" i="12" a="1"/>
  <c r="G92" i="12" a="1"/>
  <c r="G85" i="12" a="1"/>
  <c r="G68" i="12" a="1"/>
  <c r="G39" i="12" a="1"/>
  <c r="K126" i="12" l="1"/>
  <c r="L126" i="12"/>
  <c r="J126" i="12"/>
  <c r="G85" i="12"/>
  <c r="G92" i="12"/>
  <c r="G109" i="12"/>
  <c r="G50" i="12"/>
  <c r="G62" i="12"/>
  <c r="G127" i="12"/>
  <c r="P127" i="12" s="1"/>
  <c r="G6" i="12"/>
  <c r="G74" i="12"/>
  <c r="G99" i="12"/>
  <c r="G79" i="12"/>
  <c r="G24" i="12"/>
  <c r="G29" i="12"/>
  <c r="K29" i="12" s="1"/>
  <c r="F6" i="12"/>
  <c r="F84" i="12"/>
  <c r="F91" i="12"/>
  <c r="F108" i="12"/>
  <c r="F122" i="12"/>
  <c r="F49" i="12"/>
  <c r="F61" i="12"/>
  <c r="F126" i="12"/>
  <c r="F73" i="12"/>
  <c r="F98" i="12"/>
  <c r="F78" i="12"/>
  <c r="F23" i="12"/>
  <c r="F28" i="12"/>
  <c r="G68" i="12"/>
  <c r="F68" i="12" s="1"/>
  <c r="G39" i="12"/>
  <c r="F39" i="12" s="1"/>
  <c r="J108" i="12"/>
  <c r="K108" i="12"/>
  <c r="M122" i="12"/>
  <c r="L122" i="12"/>
  <c r="K122" i="12"/>
  <c r="J122" i="12"/>
  <c r="P122" i="12"/>
  <c r="P108" i="12"/>
  <c r="L108" i="12"/>
  <c r="P91" i="12"/>
  <c r="M91" i="12"/>
  <c r="L91" i="12"/>
  <c r="K91" i="12"/>
  <c r="J91" i="12"/>
  <c r="L98" i="12"/>
  <c r="K98" i="12"/>
  <c r="P98" i="12"/>
  <c r="J98" i="12"/>
  <c r="M98" i="12"/>
  <c r="P84" i="12"/>
  <c r="M84" i="12"/>
  <c r="L84" i="12"/>
  <c r="K84" i="12"/>
  <c r="J84" i="12"/>
  <c r="P78" i="12"/>
  <c r="M78" i="12"/>
  <c r="K78" i="12"/>
  <c r="J78" i="12"/>
  <c r="L78" i="12"/>
  <c r="K49" i="12"/>
  <c r="P49" i="12"/>
  <c r="P73" i="12"/>
  <c r="M73" i="12"/>
  <c r="L73" i="12"/>
  <c r="K73" i="12"/>
  <c r="J73" i="12"/>
  <c r="L49" i="12"/>
  <c r="M49" i="12"/>
  <c r="M61" i="12"/>
  <c r="L61" i="12"/>
  <c r="K61" i="12"/>
  <c r="J61" i="12"/>
  <c r="P61" i="12"/>
  <c r="M38" i="12"/>
  <c r="L38" i="12"/>
  <c r="K38" i="12"/>
  <c r="J38" i="12"/>
  <c r="P38" i="12"/>
  <c r="K28" i="12"/>
  <c r="J28" i="12"/>
  <c r="L28" i="12"/>
  <c r="M28" i="12"/>
  <c r="K16" i="12"/>
  <c r="P16" i="12"/>
  <c r="L16" i="12"/>
  <c r="M16" i="12"/>
  <c r="J16" i="12"/>
  <c r="J5" i="12"/>
  <c r="P5" i="12"/>
  <c r="M5" i="12"/>
  <c r="L5" i="12"/>
  <c r="K5" i="12"/>
  <c r="L29" i="12"/>
  <c r="A73" i="12"/>
  <c r="A72" i="12"/>
  <c r="A87" i="12"/>
  <c r="A61" i="12"/>
  <c r="G86" i="12" a="1"/>
  <c r="G7" i="12" a="1"/>
  <c r="G30" i="12" a="1"/>
  <c r="G110" i="12" a="1"/>
  <c r="G93" i="12" a="1"/>
  <c r="G51" i="12" a="1"/>
  <c r="G100" i="12" a="1"/>
  <c r="G63" i="12" a="1"/>
  <c r="G80" i="12" a="1"/>
  <c r="G69" i="12" a="1"/>
  <c r="G40" i="12" a="1"/>
  <c r="J127" i="12" l="1"/>
  <c r="K127" i="12"/>
  <c r="F24" i="12"/>
  <c r="G80" i="12"/>
  <c r="G63" i="12"/>
  <c r="G100" i="12"/>
  <c r="G51" i="12"/>
  <c r="M51" i="12" s="1"/>
  <c r="G93" i="12"/>
  <c r="G110" i="12"/>
  <c r="G30" i="12"/>
  <c r="G7" i="12"/>
  <c r="F7" i="12" s="1"/>
  <c r="G86" i="12"/>
  <c r="F127" i="12"/>
  <c r="M127" i="12"/>
  <c r="F79" i="12"/>
  <c r="F62" i="12"/>
  <c r="F99" i="12"/>
  <c r="F50" i="12"/>
  <c r="F74" i="12"/>
  <c r="F92" i="12"/>
  <c r="F109" i="12"/>
  <c r="M50" i="12"/>
  <c r="K109" i="12"/>
  <c r="L127" i="12"/>
  <c r="F29" i="12"/>
  <c r="F85" i="12"/>
  <c r="G69" i="12"/>
  <c r="F69" i="12" s="1"/>
  <c r="G40" i="12"/>
  <c r="F40" i="12" s="1"/>
  <c r="M29" i="12"/>
  <c r="J29" i="12"/>
  <c r="P29" i="12"/>
  <c r="L109" i="12"/>
  <c r="P50" i="12"/>
  <c r="J109" i="12"/>
  <c r="M109" i="12"/>
  <c r="P109" i="12"/>
  <c r="J50" i="12"/>
  <c r="J92" i="12"/>
  <c r="P92" i="12"/>
  <c r="M92" i="12"/>
  <c r="L92" i="12"/>
  <c r="K92" i="12"/>
  <c r="L85" i="12"/>
  <c r="K85" i="12"/>
  <c r="P85" i="12"/>
  <c r="J85" i="12"/>
  <c r="M85" i="12"/>
  <c r="M99" i="12"/>
  <c r="L99" i="12"/>
  <c r="J99" i="12"/>
  <c r="P99" i="12"/>
  <c r="K99" i="12"/>
  <c r="J79" i="12"/>
  <c r="M79" i="12"/>
  <c r="L79" i="12"/>
  <c r="K79" i="12"/>
  <c r="P79" i="12"/>
  <c r="J74" i="12"/>
  <c r="P74" i="12"/>
  <c r="M74" i="12"/>
  <c r="L74" i="12"/>
  <c r="K74" i="12"/>
  <c r="K50" i="12"/>
  <c r="L50" i="12"/>
  <c r="M62" i="12"/>
  <c r="L62" i="12"/>
  <c r="K62" i="12"/>
  <c r="J62" i="12"/>
  <c r="P62" i="12"/>
  <c r="P39" i="12"/>
  <c r="M39" i="12"/>
  <c r="L39" i="12"/>
  <c r="K39" i="12"/>
  <c r="J39" i="12"/>
  <c r="P30" i="12"/>
  <c r="P6" i="12"/>
  <c r="M6" i="12"/>
  <c r="L6" i="12"/>
  <c r="K6" i="12"/>
  <c r="J6" i="12"/>
  <c r="A54" i="12"/>
  <c r="A56" i="12"/>
  <c r="A55" i="12"/>
  <c r="A53" i="12"/>
  <c r="A52" i="12"/>
  <c r="A48" i="12"/>
  <c r="G101" i="12" a="1"/>
  <c r="G31" i="12" a="1"/>
  <c r="G8" i="12" a="1"/>
  <c r="G87" i="12" a="1"/>
  <c r="G52" i="12" a="1"/>
  <c r="G94" i="12" a="1"/>
  <c r="G111" i="12" a="1"/>
  <c r="F63" i="12" l="1"/>
  <c r="G101" i="12"/>
  <c r="F100" i="12"/>
  <c r="G111" i="12"/>
  <c r="J111" i="12" s="1"/>
  <c r="G94" i="12"/>
  <c r="G52" i="12"/>
  <c r="M52" i="12" s="1"/>
  <c r="G87" i="12"/>
  <c r="G8" i="12"/>
  <c r="F8" i="12" s="1"/>
  <c r="G31" i="12"/>
  <c r="F110" i="12"/>
  <c r="F93" i="12"/>
  <c r="M110" i="12"/>
  <c r="F51" i="12"/>
  <c r="F86" i="12"/>
  <c r="F30" i="12"/>
  <c r="F80" i="12"/>
  <c r="K110" i="12"/>
  <c r="J110" i="12"/>
  <c r="L110" i="12"/>
  <c r="P110" i="12"/>
  <c r="J51" i="12"/>
  <c r="K93" i="12"/>
  <c r="J93" i="12"/>
  <c r="P93" i="12"/>
  <c r="M93" i="12"/>
  <c r="L93" i="12"/>
  <c r="K86" i="12"/>
  <c r="P86" i="12"/>
  <c r="M86" i="12"/>
  <c r="L86" i="12"/>
  <c r="J86" i="12"/>
  <c r="P100" i="12"/>
  <c r="L100" i="12"/>
  <c r="K100" i="12"/>
  <c r="J100" i="12"/>
  <c r="M100" i="12"/>
  <c r="P80" i="12"/>
  <c r="M80" i="12"/>
  <c r="K80" i="12"/>
  <c r="J80" i="12"/>
  <c r="L80" i="12"/>
  <c r="P51" i="12"/>
  <c r="L51" i="12"/>
  <c r="K51" i="12"/>
  <c r="P64" i="12"/>
  <c r="M64" i="12"/>
  <c r="L64" i="12"/>
  <c r="K64" i="12"/>
  <c r="J64" i="12"/>
  <c r="L63" i="12"/>
  <c r="J63" i="12"/>
  <c r="P63" i="12"/>
  <c r="K63" i="12"/>
  <c r="M63" i="12"/>
  <c r="J40" i="12"/>
  <c r="P40" i="12"/>
  <c r="M40" i="12"/>
  <c r="L40" i="12"/>
  <c r="K40" i="12"/>
  <c r="J30" i="12"/>
  <c r="K30" i="12"/>
  <c r="L30" i="12"/>
  <c r="M30" i="12"/>
  <c r="J7" i="12"/>
  <c r="P7" i="12"/>
  <c r="M7" i="12"/>
  <c r="L7" i="12"/>
  <c r="K7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36" i="13" a="1"/>
  <c r="C33" i="13" a="1"/>
  <c r="C39" i="13" a="1"/>
  <c r="C32" i="13" a="1"/>
  <c r="C37" i="13" a="1"/>
  <c r="C41" i="13" a="1"/>
  <c r="C34" i="13" a="1"/>
  <c r="C31" i="13" a="1"/>
  <c r="C40" i="13" a="1"/>
  <c r="C30" i="13" a="1"/>
  <c r="C35" i="13" a="1"/>
  <c r="C38" i="13" a="1"/>
  <c r="G102" i="12" a="1"/>
  <c r="G53" i="12" a="1"/>
  <c r="G9" i="12" a="1"/>
  <c r="G112" i="12" a="1"/>
  <c r="G32" i="12" a="1"/>
  <c r="G102" i="12" l="1"/>
  <c r="F87" i="12"/>
  <c r="M101" i="12"/>
  <c r="F101" i="12"/>
  <c r="J101" i="12"/>
  <c r="L101" i="12"/>
  <c r="P101" i="12"/>
  <c r="K101" i="12"/>
  <c r="F94" i="12"/>
  <c r="G32" i="12"/>
  <c r="G112" i="12"/>
  <c r="G9" i="12"/>
  <c r="G53" i="12"/>
  <c r="F31" i="12"/>
  <c r="F111" i="12"/>
  <c r="F52" i="12"/>
  <c r="M111" i="12"/>
  <c r="L111" i="12"/>
  <c r="P111" i="12"/>
  <c r="K111" i="12"/>
  <c r="L94" i="12"/>
  <c r="K94" i="12"/>
  <c r="J94" i="12"/>
  <c r="P94" i="12"/>
  <c r="M94" i="12"/>
  <c r="P87" i="12"/>
  <c r="K87" i="12"/>
  <c r="J87" i="12"/>
  <c r="M87" i="12"/>
  <c r="L87" i="12"/>
  <c r="P52" i="12"/>
  <c r="J52" i="12"/>
  <c r="K52" i="12"/>
  <c r="L52" i="12"/>
  <c r="K65" i="12"/>
  <c r="P65" i="12"/>
  <c r="M65" i="12"/>
  <c r="L65" i="12"/>
  <c r="J65" i="12"/>
  <c r="P42" i="12"/>
  <c r="M42" i="12"/>
  <c r="L42" i="12"/>
  <c r="K42" i="12"/>
  <c r="J42" i="12"/>
  <c r="P31" i="12"/>
  <c r="K31" i="12"/>
  <c r="L31" i="12"/>
  <c r="M31" i="12"/>
  <c r="J31" i="12"/>
  <c r="J8" i="12"/>
  <c r="P8" i="12"/>
  <c r="M8" i="12"/>
  <c r="L8" i="12"/>
  <c r="K8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3" i="12" a="1"/>
  <c r="G33" i="12" a="1"/>
  <c r="G10" i="12" a="1"/>
  <c r="G54" i="12" a="1"/>
  <c r="G113" i="12" a="1"/>
  <c r="G103" i="12" l="1"/>
  <c r="L102" i="12"/>
  <c r="F102" i="12"/>
  <c r="K102" i="12"/>
  <c r="M102" i="12"/>
  <c r="J102" i="12"/>
  <c r="P102" i="12"/>
  <c r="G113" i="12"/>
  <c r="M113" i="12" s="1"/>
  <c r="G54" i="12"/>
  <c r="M54" i="12" s="1"/>
  <c r="G10" i="12"/>
  <c r="G33" i="12"/>
  <c r="F112" i="12"/>
  <c r="F53" i="12"/>
  <c r="L53" i="12"/>
  <c r="K112" i="12"/>
  <c r="F9" i="12"/>
  <c r="F10" i="12" s="1"/>
  <c r="F32" i="12"/>
  <c r="L112" i="12"/>
  <c r="P112" i="12"/>
  <c r="M112" i="12"/>
  <c r="J112" i="12"/>
  <c r="J53" i="12"/>
  <c r="K53" i="12"/>
  <c r="M53" i="12"/>
  <c r="P53" i="12"/>
  <c r="K66" i="12"/>
  <c r="J66" i="12"/>
  <c r="P66" i="12"/>
  <c r="L66" i="12"/>
  <c r="M66" i="12"/>
  <c r="P43" i="12"/>
  <c r="M43" i="12"/>
  <c r="L43" i="12"/>
  <c r="K43" i="12"/>
  <c r="J43" i="12"/>
  <c r="K9" i="12"/>
  <c r="J9" i="12"/>
  <c r="M9" i="12"/>
  <c r="L9" i="12"/>
  <c r="P9" i="12"/>
  <c r="J32" i="12"/>
  <c r="K32" i="12"/>
  <c r="L32" i="12"/>
  <c r="M32" i="12"/>
  <c r="P32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C4" i="6" a="1"/>
  <c r="C3" i="6" a="1"/>
  <c r="C5" i="6" a="1"/>
  <c r="H3" i="6" a="1"/>
  <c r="H4" i="6" a="1"/>
  <c r="H5" i="6" a="1"/>
  <c r="G104" i="12" a="1"/>
  <c r="G55" i="12" a="1"/>
  <c r="G11" i="12" a="1"/>
  <c r="G34" i="12" a="1"/>
  <c r="G114" i="12" a="1"/>
  <c r="G104" i="12" l="1"/>
  <c r="K103" i="12"/>
  <c r="P103" i="12"/>
  <c r="F103" i="12"/>
  <c r="L103" i="12"/>
  <c r="J103" i="12"/>
  <c r="M103" i="12"/>
  <c r="G114" i="12"/>
  <c r="P114" i="12" s="1"/>
  <c r="G34" i="12"/>
  <c r="F34" i="12" s="1"/>
  <c r="G11" i="12"/>
  <c r="G55" i="12"/>
  <c r="K55" i="12" s="1"/>
  <c r="F113" i="12"/>
  <c r="F33" i="12"/>
  <c r="F54" i="12"/>
  <c r="P33" i="12"/>
  <c r="P113" i="12"/>
  <c r="L113" i="12"/>
  <c r="J113" i="12"/>
  <c r="K113" i="12"/>
  <c r="K54" i="12"/>
  <c r="L54" i="12"/>
  <c r="P54" i="12"/>
  <c r="J54" i="12"/>
  <c r="K67" i="12"/>
  <c r="J67" i="12"/>
  <c r="M67" i="12"/>
  <c r="P67" i="12"/>
  <c r="L67" i="12"/>
  <c r="P44" i="12"/>
  <c r="M44" i="12"/>
  <c r="L44" i="12"/>
  <c r="K44" i="12"/>
  <c r="J44" i="12"/>
  <c r="J33" i="12"/>
  <c r="K33" i="12"/>
  <c r="L33" i="12"/>
  <c r="M33" i="12"/>
  <c r="J10" i="12"/>
  <c r="P10" i="12"/>
  <c r="M10" i="12"/>
  <c r="L10" i="12"/>
  <c r="K10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E6" i="42" a="1"/>
  <c r="E17" i="42" a="1"/>
  <c r="E25" i="14" a="1"/>
  <c r="C10" i="42" a="1"/>
  <c r="E24" i="14" a="1"/>
  <c r="E2" i="42" a="1"/>
  <c r="C27" i="42" a="1"/>
  <c r="E20" i="42" a="1"/>
  <c r="E23" i="14" a="1"/>
  <c r="E14" i="14" a="1"/>
  <c r="C15" i="42" a="1"/>
  <c r="E5" i="14" a="1"/>
  <c r="C2" i="6" a="1"/>
  <c r="C9" i="42" a="1"/>
  <c r="E26" i="14" a="1"/>
  <c r="E5" i="42" a="1"/>
  <c r="H4" i="6"/>
  <c r="C25" i="42" a="1"/>
  <c r="C3" i="42" a="1"/>
  <c r="C19" i="42" a="1"/>
  <c r="E20" i="14" a="1"/>
  <c r="C6" i="42" a="1"/>
  <c r="H3" i="6"/>
  <c r="C11" i="42" a="1"/>
  <c r="C22" i="42" a="1"/>
  <c r="E8" i="14" a="1"/>
  <c r="C4" i="42" a="1"/>
  <c r="E22" i="14" a="1"/>
  <c r="E25" i="42" a="1"/>
  <c r="C12" i="42" a="1"/>
  <c r="C2" i="42" a="1"/>
  <c r="E15" i="14" a="1"/>
  <c r="C3" i="6"/>
  <c r="C13" i="42" a="1"/>
  <c r="E7" i="14" a="1"/>
  <c r="C5" i="6"/>
  <c r="C14" i="42" a="1"/>
  <c r="E19" i="14" a="1"/>
  <c r="E10" i="14" a="1"/>
  <c r="E12" i="14" a="1"/>
  <c r="H2" i="6" a="1"/>
  <c r="C28" i="42" a="1"/>
  <c r="E23" i="42" a="1"/>
  <c r="C2" i="41" a="1"/>
  <c r="E15" i="42" a="1"/>
  <c r="E10" i="42" a="1"/>
  <c r="H5" i="6"/>
  <c r="E27" i="42" a="1"/>
  <c r="C5" i="42" a="1"/>
  <c r="C8" i="42" a="1"/>
  <c r="E13" i="14" a="1"/>
  <c r="C16" i="42" a="1"/>
  <c r="E3" i="14" a="1"/>
  <c r="E28" i="42" a="1"/>
  <c r="E9" i="14" a="1"/>
  <c r="E16" i="14" a="1"/>
  <c r="C23" i="42" a="1"/>
  <c r="E6" i="14" a="1"/>
  <c r="C21" i="42" a="1"/>
  <c r="E2" i="14" a="1"/>
  <c r="E24" i="42" a="1"/>
  <c r="E4" i="14" a="1"/>
  <c r="E26" i="42" a="1"/>
  <c r="E13" i="42" a="1"/>
  <c r="C7" i="42" a="1"/>
  <c r="E12" i="42" a="1"/>
  <c r="E3" i="42" a="1"/>
  <c r="E18" i="42" a="1"/>
  <c r="E17" i="14" a="1"/>
  <c r="C29" i="42" a="1"/>
  <c r="C26" i="42" a="1"/>
  <c r="C18" i="42" a="1"/>
  <c r="E19" i="42" a="1"/>
  <c r="E27" i="14" a="1"/>
  <c r="E9" i="42" a="1"/>
  <c r="E21" i="14" a="1"/>
  <c r="C20" i="42" a="1"/>
  <c r="E28" i="14" a="1"/>
  <c r="E7" i="42" a="1"/>
  <c r="E29" i="42" a="1"/>
  <c r="E8" i="42" a="1"/>
  <c r="E4" i="42" a="1"/>
  <c r="E22" i="42" a="1"/>
  <c r="E21" i="42" a="1"/>
  <c r="C24" i="42" a="1"/>
  <c r="E14" i="42" a="1"/>
  <c r="E29" i="14" a="1"/>
  <c r="E18" i="14" a="1"/>
  <c r="E16" i="42" a="1"/>
  <c r="C17" i="42" a="1"/>
  <c r="G115" i="12" a="1"/>
  <c r="G12" i="12" a="1"/>
  <c r="G56" i="12" a="1"/>
  <c r="J104" i="12" l="1"/>
  <c r="M104" i="12"/>
  <c r="F104" i="12"/>
  <c r="K104" i="12"/>
  <c r="P104" i="12"/>
  <c r="L104" i="12"/>
  <c r="G56" i="12"/>
  <c r="K56" i="12" s="1"/>
  <c r="G12" i="12"/>
  <c r="G115" i="12"/>
  <c r="F55" i="12"/>
  <c r="F11" i="12"/>
  <c r="F114" i="12"/>
  <c r="J34" i="12"/>
  <c r="P34" i="12"/>
  <c r="M34" i="12"/>
  <c r="L34" i="12"/>
  <c r="K34" i="12"/>
  <c r="L114" i="12"/>
  <c r="J114" i="12"/>
  <c r="K114" i="12"/>
  <c r="P115" i="12"/>
  <c r="M114" i="12"/>
  <c r="M55" i="12"/>
  <c r="P55" i="12"/>
  <c r="L55" i="12"/>
  <c r="J55" i="12"/>
  <c r="J68" i="12"/>
  <c r="P68" i="12"/>
  <c r="M68" i="12"/>
  <c r="L68" i="12"/>
  <c r="K68" i="12"/>
  <c r="P11" i="12"/>
  <c r="L11" i="12"/>
  <c r="M11" i="12"/>
  <c r="J11" i="12"/>
  <c r="K11" i="12"/>
  <c r="J19" i="12"/>
  <c r="K19" i="12"/>
  <c r="P19" i="12"/>
  <c r="M19" i="12"/>
  <c r="L19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5" i="42"/>
  <c r="E15" i="42"/>
  <c r="E25" i="42"/>
  <c r="E2" i="42"/>
  <c r="E12" i="42"/>
  <c r="E22" i="42"/>
  <c r="E9" i="42"/>
  <c r="E19" i="42"/>
  <c r="E29" i="42"/>
  <c r="E7" i="14"/>
  <c r="E17" i="14"/>
  <c r="E27" i="14"/>
  <c r="E8" i="14"/>
  <c r="E18" i="14"/>
  <c r="E28" i="14"/>
  <c r="E9" i="14"/>
  <c r="E19" i="14"/>
  <c r="E29" i="14"/>
  <c r="E10" i="14"/>
  <c r="E20" i="14"/>
  <c r="E21" i="14"/>
  <c r="E12" i="14"/>
  <c r="E22" i="14"/>
  <c r="E3" i="14"/>
  <c r="E13" i="14"/>
  <c r="E23" i="14"/>
  <c r="E4" i="14"/>
  <c r="E14" i="14"/>
  <c r="E24" i="14"/>
  <c r="E5" i="14"/>
  <c r="E15" i="14"/>
  <c r="E25" i="14"/>
  <c r="E6" i="14"/>
  <c r="E16" i="14"/>
  <c r="E26" i="14"/>
  <c r="E2" i="14"/>
  <c r="C2" i="41"/>
  <c r="E11" i="42" a="1"/>
  <c r="E11" i="14" a="1"/>
  <c r="G57" i="12" a="1"/>
  <c r="G116" i="12" a="1"/>
  <c r="G116" i="12" l="1"/>
  <c r="G57" i="12"/>
  <c r="F115" i="12"/>
  <c r="F56" i="12"/>
  <c r="F12" i="12"/>
  <c r="K115" i="12"/>
  <c r="L115" i="12"/>
  <c r="J116" i="12"/>
  <c r="M115" i="12"/>
  <c r="J115" i="12"/>
  <c r="M56" i="12"/>
  <c r="P56" i="12"/>
  <c r="J56" i="12"/>
  <c r="P57" i="12"/>
  <c r="L56" i="12"/>
  <c r="L69" i="12"/>
  <c r="P69" i="12"/>
  <c r="K69" i="12"/>
  <c r="J69" i="12"/>
  <c r="M69" i="12"/>
  <c r="K12" i="12"/>
  <c r="J12" i="12"/>
  <c r="L12" i="12"/>
  <c r="M12" i="12"/>
  <c r="P12" i="12"/>
  <c r="E11" i="14"/>
  <c r="E11" i="42"/>
  <c r="P20" i="12"/>
  <c r="M20" i="12"/>
  <c r="L20" i="12"/>
  <c r="K20" i="12"/>
  <c r="J20" i="12"/>
  <c r="A25" i="11"/>
  <c r="C20" i="13" a="1"/>
  <c r="C19" i="13" a="1"/>
  <c r="C28" i="13" a="1"/>
  <c r="C29" i="13" a="1"/>
  <c r="C21" i="14" a="1"/>
  <c r="C14" i="14" a="1"/>
  <c r="C25" i="14" a="1"/>
  <c r="C23" i="14" a="1"/>
  <c r="C2" i="33" a="1"/>
  <c r="C7" i="13" a="1"/>
  <c r="C3" i="33" a="1"/>
  <c r="C22" i="14" a="1"/>
  <c r="C2" i="14" a="1"/>
  <c r="C26" i="14" a="1"/>
  <c r="C19" i="14" a="1"/>
  <c r="C22" i="13" a="1"/>
  <c r="C6" i="14" a="1"/>
  <c r="C5" i="13" a="1"/>
  <c r="C24" i="14" a="1"/>
  <c r="C3" i="7" a="1"/>
  <c r="C4" i="14" a="1"/>
  <c r="C15" i="13" a="1"/>
  <c r="C16" i="14" a="1"/>
  <c r="C16" i="13" a="1"/>
  <c r="C9" i="13" a="1"/>
  <c r="C28" i="14" a="1"/>
  <c r="C12" i="13" a="1"/>
  <c r="C29" i="14" a="1"/>
  <c r="C4" i="13" a="1"/>
  <c r="C9" i="14" a="1"/>
  <c r="C12" i="14" a="1"/>
  <c r="C11" i="14" a="1"/>
  <c r="C17" i="13" a="1"/>
  <c r="C18" i="14" a="1"/>
  <c r="C11" i="13" a="1"/>
  <c r="C3" i="14" a="1"/>
  <c r="C4" i="33" a="1"/>
  <c r="C15" i="14" a="1"/>
  <c r="C26" i="13" a="1"/>
  <c r="C2" i="7" a="1"/>
  <c r="C3" i="13" a="1"/>
  <c r="C20" i="14" a="1"/>
  <c r="C8" i="14" a="1"/>
  <c r="C17" i="14" a="1"/>
  <c r="C8" i="13" a="1"/>
  <c r="C5" i="14" a="1"/>
  <c r="C14" i="13" a="1"/>
  <c r="C13" i="14" a="1"/>
  <c r="C2" i="13" a="1"/>
  <c r="C23" i="13" a="1"/>
  <c r="C18" i="13" a="1"/>
  <c r="C13" i="13" a="1"/>
  <c r="C10" i="13" a="1"/>
  <c r="C10" i="14" a="1"/>
  <c r="C7" i="14" a="1"/>
  <c r="C27" i="14" a="1"/>
  <c r="C6" i="13" a="1"/>
  <c r="C27" i="13" a="1"/>
  <c r="C24" i="13" a="1"/>
  <c r="C21" i="13" a="1"/>
  <c r="C25" i="13" a="1"/>
  <c r="G117" i="12" a="1"/>
  <c r="G117" i="12" l="1"/>
  <c r="J117" i="12" s="1"/>
  <c r="F57" i="12"/>
  <c r="F116" i="12"/>
  <c r="M116" i="12"/>
  <c r="P116" i="12"/>
  <c r="K116" i="12"/>
  <c r="K57" i="12"/>
  <c r="L116" i="12"/>
  <c r="J57" i="12"/>
  <c r="M57" i="12"/>
  <c r="L57" i="12"/>
  <c r="K22" i="12"/>
  <c r="J22" i="12"/>
  <c r="P22" i="12"/>
  <c r="L22" i="12"/>
  <c r="M22" i="1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G118" i="12" a="1"/>
  <c r="G118" i="12" l="1"/>
  <c r="F117" i="12"/>
  <c r="L117" i="12"/>
  <c r="M117" i="12"/>
  <c r="P117" i="12"/>
  <c r="K117" i="12"/>
  <c r="P23" i="12"/>
  <c r="M23" i="12"/>
  <c r="L23" i="12"/>
  <c r="K23" i="12"/>
  <c r="J23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F118" i="12" l="1"/>
  <c r="P118" i="12"/>
  <c r="K118" i="12"/>
  <c r="L118" i="12"/>
  <c r="J118" i="12"/>
  <c r="M118" i="12"/>
  <c r="K24" i="12"/>
  <c r="P24" i="12"/>
  <c r="M24" i="12"/>
  <c r="L24" i="12"/>
  <c r="J24" i="12"/>
  <c r="A28" i="11"/>
  <c r="A27" i="11"/>
  <c r="A22" i="11" l="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4" i="12" l="1"/>
  <c r="A123" i="12"/>
  <c r="A26" i="11"/>
  <c r="A15" i="11"/>
  <c r="A110" i="12" l="1"/>
  <c r="A6" i="12"/>
  <c r="A8" i="13" l="1"/>
  <c r="A85" i="12"/>
  <c r="A40" i="12" l="1"/>
  <c r="A3" i="7" l="1"/>
  <c r="A121" i="12"/>
  <c r="A19" i="13"/>
  <c r="A15" i="13"/>
  <c r="A11" i="13"/>
  <c r="A97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2" i="12"/>
  <c r="A120" i="12"/>
  <c r="A119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0" i="12"/>
  <c r="A99" i="12"/>
  <c r="A98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G29" i="11" a="1"/>
  <c r="C31" i="2" a="1"/>
  <c r="C11" i="2" a="1"/>
  <c r="C13" i="2" a="1"/>
  <c r="C28" i="2" a="1"/>
  <c r="C10" i="2" a="1"/>
  <c r="G11" i="11" a="1"/>
  <c r="G32" i="11" a="1"/>
  <c r="G10" i="11" a="1"/>
  <c r="C8" i="2" a="1"/>
  <c r="G30" i="11" a="1"/>
  <c r="C25" i="2" a="1"/>
  <c r="C12" i="2" a="1"/>
  <c r="G25" i="11" a="1"/>
  <c r="C33" i="2" a="1"/>
  <c r="G23" i="11" a="1"/>
  <c r="C24" i="2" a="1"/>
  <c r="G18" i="11" a="1"/>
  <c r="C39" i="2" a="1"/>
  <c r="G12" i="11" a="1"/>
  <c r="C21" i="2" a="1"/>
  <c r="C30" i="2" a="1"/>
  <c r="G5" i="11" a="1"/>
  <c r="C29" i="2" a="1"/>
  <c r="G24" i="11" a="1"/>
  <c r="G26" i="11" a="1"/>
  <c r="C18" i="2" a="1"/>
  <c r="G34" i="11" a="1"/>
  <c r="C4" i="2" a="1"/>
  <c r="C3" i="2" a="1"/>
  <c r="G2" i="11" a="1"/>
  <c r="G33" i="11" a="1"/>
  <c r="G19" i="11" a="1"/>
  <c r="G14" i="11" a="1"/>
  <c r="C19" i="2" a="1"/>
  <c r="G13" i="11" a="1"/>
  <c r="G6" i="11" a="1"/>
  <c r="C2" i="2" a="1"/>
  <c r="C5" i="2" a="1"/>
  <c r="C16" i="2" a="1"/>
  <c r="C23" i="2" a="1"/>
  <c r="C38" i="2" a="1"/>
  <c r="G22" i="11" a="1"/>
  <c r="G4" i="11" a="1"/>
  <c r="C37" i="2" a="1"/>
  <c r="G15" i="11" a="1"/>
  <c r="C35" i="2" a="1"/>
  <c r="G27" i="11" a="1"/>
  <c r="G7" i="11" a="1"/>
  <c r="G3" i="11" a="1"/>
  <c r="C7" i="2" a="1"/>
  <c r="C14" i="2" a="1"/>
  <c r="C36" i="2" a="1"/>
  <c r="C27" i="2" a="1"/>
  <c r="G35" i="11" a="1"/>
  <c r="C20" i="2" a="1"/>
  <c r="C9" i="2" a="1"/>
  <c r="C15" i="2" a="1"/>
  <c r="C6" i="2" a="1"/>
  <c r="C22" i="2" a="1"/>
  <c r="C26" i="2" a="1"/>
  <c r="G9" i="11" a="1"/>
  <c r="C17" i="2" a="1"/>
  <c r="G20" i="11" a="1"/>
  <c r="G31" i="11" a="1"/>
  <c r="G21" i="11" a="1"/>
  <c r="C32" i="2" a="1"/>
  <c r="G16" i="11" a="1"/>
  <c r="G28" i="11" a="1"/>
  <c r="C34" i="2" a="1"/>
  <c r="G17" i="11" a="1"/>
  <c r="G8" i="11" a="1"/>
  <c r="G16" i="11" l="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50" i="4" a="1"/>
  <c r="F2" i="4" a="1"/>
  <c r="F41" i="4" a="1"/>
  <c r="F28" i="4" a="1"/>
  <c r="F5" i="4" a="1"/>
  <c r="F45" i="4" a="1"/>
  <c r="F42" i="4" a="1"/>
  <c r="F47" i="4" a="1"/>
  <c r="F34" i="4" a="1"/>
  <c r="F4" i="4" a="1"/>
  <c r="F18" i="4" a="1"/>
  <c r="F19" i="4" a="1"/>
  <c r="F35" i="4" a="1"/>
  <c r="F39" i="4" a="1"/>
  <c r="F3" i="4" a="1"/>
  <c r="F33" i="4" a="1"/>
  <c r="F46" i="4" a="1"/>
  <c r="F37" i="4" a="1"/>
  <c r="F31" i="4" a="1"/>
  <c r="F30" i="4" a="1"/>
  <c r="F40" i="4" a="1"/>
  <c r="F8" i="4" a="1"/>
  <c r="F25" i="4" a="1"/>
  <c r="F44" i="4" a="1"/>
  <c r="F17" i="4" a="1"/>
  <c r="F27" i="4" a="1"/>
  <c r="F26" i="4" a="1"/>
  <c r="F48" i="4" a="1"/>
  <c r="F6" i="4" a="1"/>
  <c r="F29" i="4" a="1"/>
  <c r="F23" i="4" a="1"/>
  <c r="F32" i="4" a="1"/>
  <c r="F11" i="4" a="1"/>
  <c r="F38" i="4" a="1"/>
  <c r="F49" i="4" a="1"/>
  <c r="F14" i="4" a="1"/>
  <c r="F43" i="4" a="1"/>
  <c r="F21" i="4" a="1"/>
  <c r="F9" i="4" a="1"/>
  <c r="F36" i="4" a="1"/>
  <c r="F24" i="4" a="1"/>
  <c r="F20" i="4" a="1"/>
  <c r="F13" i="4" a="1"/>
  <c r="F7" i="4" a="1"/>
  <c r="F16" i="4" a="1"/>
  <c r="F12" i="4" a="1"/>
  <c r="F10" i="4" a="1"/>
  <c r="F22" i="4" a="1"/>
  <c r="F36" i="4" l="1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<sst xmlns="http://schemas.openxmlformats.org/spreadsheetml/2006/main" count="1456" uniqueCount="830">
  <si>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</si>
  <si>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</si>
  <si>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</si>
  <si>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</si>
  <si>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</si>
  <si>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</si>
  <si>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</si>
  <si>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</si>
  <si>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</si>
  <si>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</si>
  <si>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</si>
  <si>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</si>
  <si>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</si>
  <si>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</si>
  <si>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</si>
  <si>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</si>
  <si>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</si>
  <si>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</si>
  <si>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</si>
  <si>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</si>
  <si>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</si>
  <si>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</si>
  <si>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</si>
  <si>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</si>
  <si>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</si>
  <si>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</si>
  <si>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</si>
  <si>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</si>
  <si>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</si>
  <si>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</si>
  <si>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</si>
  <si>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</si>
  <si>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</si>
  <si>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</si>
  <si>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</si>
  <si>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</si>
  <si>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</si>
  <si>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</si>
  <si>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</si>
  <si>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</si>
  <si>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</si>
  <si>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</si>
  <si>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</si>
  <si>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</si>
  <si>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</si>
  <si>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</si>
  <si>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</si>
  <si>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</si>
  <si>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</si>
  <si>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</si>
  <si>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</si>
  <si>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</si>
  <si>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</si>
  <si>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</si>
  <si>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</si>
  <si>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</si>
  <si>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</si>
  <si>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</si>
  <si>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</si>
  <si>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</si>
  <si>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</si>
  <si>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</si>
  <si>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</si>
  <si>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</si>
  <si>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</si>
  <si>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</si>
  <si>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</si>
  <si>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</si>
  <si>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</si>
  <si>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</si>
  <si>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</si>
  <si>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</si>
  <si>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</si>
  <si>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</si>
  <si>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</si>
  <si>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</si>
  <si>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</si>
  <si>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</si>
  <si>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</si>
  <si>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</si>
  <si>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</si>
  <si>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</si>
  <si>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</si>
  <si>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</si>
  <si>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</si>
  <si>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</si>
  <si>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</si>
  <si>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</si>
  <si>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</si>
  <si>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</si>
  <si>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</si>
  <si>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</si>
  <si>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</si>
  <si>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</si>
  <si>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</si>
  <si>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</si>
  <si>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</si>
  <si>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</si>
  <si>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</si>
  <si>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</si>
  <si>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</si>
  <si>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</si>
  <si>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</si>
  <si>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</si>
  <si>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</si>
  <si>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</si>
  <si>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</si>
  <si>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</si>
  <si>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</si>
  <si>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</si>
  <si>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</si>
  <si>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</si>
  <si>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</si>
  <si>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</si>
  <si>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</si>
  <si>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</si>
  <si>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</si>
  <si>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</si>
  <si>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</si>
  <si>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</si>
  <si>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</si>
  <si>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</si>
  <si>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</si>
  <si>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</si>
  <si>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</si>
  <si>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</si>
  <si>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</si>
  <si>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</si>
  <si>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</si>
  <si>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</si>
  <si>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</si>
  <si>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</si>
  <si>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</si>
  <si>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</si>
  <si>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</si>
  <si>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</si>
  <si>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</si>
  <si>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</si>
  <si>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</si>
  <si>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</si>
  <si>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</si>
  <si>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</si>
  <si>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</si>
  <si>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</si>
  <si>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</si>
  <si>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</si>
  <si>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</si>
  <si>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</si>
  <si>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</si>
  <si>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</si>
  <si>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</si>
  <si>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</si>
  <si>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</si>
  <si>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</si>
  <si>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</si>
  <si>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</si>
  <si>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</si>
  <si>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</si>
  <si>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</si>
  <si>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</si>
  <si>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</si>
  <si>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</si>
  <si>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</si>
  <si>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</si>
  <si>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</si>
  <si>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</si>
  <si>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</si>
  <si>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</si>
  <si>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</si>
  <si>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</si>
  <si>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</si>
  <si>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</si>
  <si>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</si>
  <si>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</si>
  <si>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</si>
  <si>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</si>
  <si>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</si>
  <si>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</si>
  <si>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</si>
  <si>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</si>
  <si>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</si>
  <si>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</si>
  <si>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</si>
  <si>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</si>
  <si>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</si>
  <si>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</si>
  <si>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</si>
  <si>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</si>
  <si>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</si>
  <si>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</si>
  <si>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</si>
  <si>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</si>
  <si>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</si>
  <si>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</si>
  <si>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</si>
  <si>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</si>
  <si>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</si>
  <si>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</si>
  <si>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 da unicidade cruzada</t>
  </si>
  <si>
    <t>ColumnId1</t>
  </si>
  <si>
    <t>ColumnId2</t>
  </si>
  <si>
    <t>#TableName1</t>
  </si>
  <si>
    <t>#TableName2</t>
  </si>
  <si>
    <t>#ColumnName1</t>
  </si>
  <si>
    <t>#ColumnName2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</si>
  <si>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</si>
  <si>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</si>
  <si>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</si>
  <si>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</si>
  <si>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</si>
  <si>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</si>
  <si>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</si>
  <si>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</si>
  <si>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</si>
  <si>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</si>
  <si>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</si>
  <si>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</si>
  <si>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</si>
  <si>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</si>
  <si>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</si>
  <si>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</si>
  <si>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</si>
  <si>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</si>
  <si>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</si>
  <si>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</si>
  <si>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</si>
  <si>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</si>
  <si>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</si>
  <si>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</si>
  <si>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</si>
  <si>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</si>
  <si>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</si>
  <si>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</si>
  <si>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</si>
  <si>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</si>
  <si>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</si>
  <si>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</si>
  <si>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</si>
  <si>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</si>
  <si>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</si>
  <si>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</si>
  <si>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</si>
  <si>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</si>
  <si>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</si>
  <si>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</si>
  <si>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</si>
  <si>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</si>
  <si>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</si>
  <si>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</si>
  <si>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</si>
  <si>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</si>
  <si>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</si>
  <si>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</si>
  <si>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</si>
  <si>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</si>
  <si>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</si>
  <si>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</si>
  <si>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</si>
  <si>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</si>
  <si>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</si>
  <si>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</si>
  <si>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</si>
  <si>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</si>
  <si>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</si>
  <si>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</si>
  <si>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</si>
  <si>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</si>
  <si>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</si>
  <si>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</si>
  <si>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</si>
  <si>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</si>
  <si>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</si>
  <si>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</si>
  <si>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</si>
  <si>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</si>
  <si>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</si>
  <si>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</si>
  <si>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</si>
  <si>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</si>
  <si>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</si>
  <si>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</si>
  <si>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</si>
  <si>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</si>
  <si>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</si>
  <si>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</si>
  <si>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</si>
  <si>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</si>
  <si>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</si>
  <si>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</si>
  <si>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</si>
  <si>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</si>
  <si>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</si>
  <si>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</si>
  <si>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</si>
  <si>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</si>
  <si>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</si>
  <si>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</si>
  <si>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</si>
  <si>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</si>
  <si>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</si>
  <si>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</si>
  <si>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</si>
  <si>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</si>
  <si>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</si>
  <si>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</si>
  <si>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</si>
  <si>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</si>
  <si>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</si>
  <si>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</si>
  <si>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</si>
  <si>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</si>
  <si>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</si>
  <si>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</si>
  <si>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</si>
  <si>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</si>
  <si>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</si>
  <si>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</si>
  <si>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</si>
  <si>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</si>
  <si>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</si>
  <si>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</si>
  <si>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</si>
  <si>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</si>
  <si>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</si>
  <si>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</si>
  <si>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</si>
  <si>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</si>
  <si>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</si>
  <si>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</si>
  <si>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</si>
  <si>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</si>
  <si>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</si>
  <si>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</si>
  <si>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</si>
  <si>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</si>
  <si>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</si>
  <si>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</si>
  <si>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</si>
  <si>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</si>
  <si>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</si>
  <si>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</si>
  <si>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</si>
  <si>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</si>
  <si>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</si>
  <si>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</si>
  <si>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</si>
  <si>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</si>
  <si>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</si>
  <si>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</si>
  <si>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</si>
  <si>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</si>
  <si>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</si>
  <si>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</si>
  <si>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</si>
  <si>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</si>
  <si>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</si>
  <si>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</si>
  <si>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</si>
  <si>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</si>
  <si>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</si>
  <si>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</si>
  <si>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</si>
  <si>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</si>
  <si>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</si>
  <si>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</si>
  <si>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</si>
  <si>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</si>
  <si>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</si>
  <si>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</si>
  <si>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</si>
  <si>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</si>
  <si>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</si>
  <si>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</si>
  <si>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</si>
  <si>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</si>
  <si>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</si>
  <si>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</si>
  <si>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</si>
  <si>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</si>
  <si>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</si>
  <si>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</si>
  <si>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</si>
  <si>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</si>
  <si>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</si>
  <si>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</si>
  <si>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</si>
  <si>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</si>
  <si>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</si>
  <si>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</si>
  <si>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</si>
  <si>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</si>
  <si>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</si>
  <si>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</si>
  <si>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</si>
  <si>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</si>
  <si>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</si>
  <si>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Operator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</si>
  <si>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</si>
  <si>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</si>
  <si>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</si>
  <si>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</si>
  <si>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</si>
  <si>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</si>
  <si>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</si>
  <si>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</si>
  <si>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</si>
  <si>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</si>
  <si>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</si>
  <si>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</si>
  <si>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</si>
  <si>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</si>
  <si>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</si>
  <si>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</si>
  <si>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</si>
  <si>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</si>
  <si>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</si>
  <si>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</si>
  <si>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</si>
  <si>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</si>
  <si>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</si>
  <si>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</si>
  <si>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</si>
  <si>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</si>
  <si>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</si>
  <si>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</si>
  <si>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</si>
  <si>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</si>
  <si>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</si>
  <si>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</si>
  <si>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</si>
  <si>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</si>
  <si>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</si>
  <si>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</si>
  <si>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</si>
  <si>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</si>
  <si>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</si>
  <si>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</si>
  <si>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</si>
  <si>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</si>
  <si>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</si>
  <si>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</si>
  <si>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</si>
  <si>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</si>
  <si>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</si>
  <si>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</si>
  <si>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</si>
  <si>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</si>
  <si>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</si>
  <si>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</si>
  <si>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</si>
  <si>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</si>
  <si>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</si>
  <si>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</si>
  <si>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</si>
  <si>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</si>
  <si>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</si>
  <si>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</si>
  <si>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</si>
  <si>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</si>
  <si>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</si>
  <si>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</si>
  <si>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</si>
  <si>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</si>
  <si>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</si>
  <si>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</si>
  <si>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</si>
  <si>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</si>
  <si>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</si>
  <si>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</si>
  <si>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</si>
  <si>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</si>
  <si>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</si>
  <si>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</si>
  <si>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</si>
  <si>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</si>
  <si>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</si>
  <si>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</si>
  <si>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</si>
  <si>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</si>
  <si>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</si>
  <si>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</si>
  <si>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</si>
  <si>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</si>
  <si>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</si>
  <si>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</si>
  <si>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</si>
  <si>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</si>
  <si>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</si>
  <si>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</si>
  <si>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</si>
  <si>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</si>
  <si>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</si>
  <si>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</si>
  <si>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</si>
  <si>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</si>
  <si>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</si>
  <si>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</si>
  <si>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</si>
  <si>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</si>
  <si>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</si>
  <si>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</si>
  <si>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</si>
  <si>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</si>
  <si>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</si>
  <si>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</si>
  <si>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</si>
  <si>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</si>
  <si>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</si>
  <si>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</si>
  <si>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</si>
  <si>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</si>
  <si>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</si>
  <si>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</si>
  <si>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</si>
  <si>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</si>
  <si>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</si>
  <si>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</si>
  <si>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</si>
  <si>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</si>
  <si>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WhenExpressionId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</si>
  <si>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</si>
  <si>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</si>
  <si>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</si>
  <si>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</si>
  <si>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</si>
  <si>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</si>
  <si>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</si>
  <si>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</si>
  <si>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</si>
  <si>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</si>
  <si>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</si>
  <si>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</si>
  <si>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</si>
  <si>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</si>
  <si>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</si>
  <si>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</si>
  <si>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</si>
  <si>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</si>
  <si>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</si>
  <si>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</si>
  <si>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</si>
  <si>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</si>
  <si>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</si>
  <si>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</si>
  <si>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</si>
  <si>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</si>
  <si>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</si>
  <si>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</si>
  <si>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</si>
  <si>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</si>
  <si>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</si>
  <si>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</si>
  <si>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</si>
  <si>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</si>
  <si>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</si>
  <si>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</si>
  <si>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</si>
  <si>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</si>
  <si>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</si>
  <si>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</si>
  <si>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</si>
  <si>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</si>
  <si>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</si>
  <si>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</si>
  <si>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</si>
  <si>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</si>
  <si>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</si>
  <si>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</si>
  <si>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</si>
  <si>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</si>
  <si>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</si>
  <si>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</si>
  <si>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</si>
  <si>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</si>
  <si>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</si>
  <si>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</si>
  <si>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</si>
  <si>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</si>
  <si>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</si>
  <si>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</si>
  <si>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</si>
  <si>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</si>
  <si>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</si>
  <si>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</si>
  <si>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</si>
  <si>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</si>
  <si>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</si>
  <si>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</si>
  <si>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</si>
  <si>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</si>
  <si>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</si>
  <si>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</si>
  <si>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</si>
  <si>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</si>
  <si>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</si>
  <si>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</si>
  <si>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</si>
  <si>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</si>
  <si>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</si>
  <si>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</si>
  <si>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</si>
  <si>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</si>
  <si>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</si>
  <si>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</si>
  <si>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</si>
  <si>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</si>
  <si>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</si>
  <si>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</si>
  <si>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</si>
  <si>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</si>
  <si>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</si>
  <si>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</si>
  <si>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</si>
  <si>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</si>
  <si>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</si>
  <si>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</si>
  <si>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</si>
  <si>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</si>
  <si>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</si>
  <si>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</si>
  <si>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</si>
  <si>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</si>
  <si>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</si>
  <si>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</si>
  <si>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</si>
  <si>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</si>
  <si>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</si>
  <si>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</si>
  <si>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</si>
  <si>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</si>
  <si>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</si>
  <si>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</si>
  <si>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</si>
  <si>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</si>
  <si>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</si>
  <si>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</si>
  <si>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</si>
  <si>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</si>
  <si>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</si>
  <si>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</si>
  <si>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</si>
  <si>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Id da coluna-chave</t>
  </si>
  <si>
    <t>Coluna-chave</t>
  </si>
  <si>
    <t>Sequência da coluna-chave</t>
  </si>
  <si>
    <t>IsBirectional</t>
  </si>
  <si>
    <t>Coluna</t>
  </si>
  <si>
    <t>Engines 0001</t>
  </si>
  <si>
    <t>LeftColumnId</t>
  </si>
  <si>
    <t>RightColumnId</t>
  </si>
  <si>
    <t>#RightTableColumnName</t>
  </si>
  <si>
    <t>#LeftTableColumnName</t>
  </si>
  <si>
    <t>RightValue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</si>
  <si>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</si>
  <si>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</si>
  <si>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</si>
  <si>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</si>
  <si>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</si>
  <si>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</si>
  <si>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</si>
  <si>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</si>
  <si>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</si>
  <si>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</si>
  <si>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</si>
  <si>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</si>
  <si>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</si>
  <si>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</si>
  <si>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</si>
  <si>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</si>
  <si>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</si>
  <si>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</si>
  <si>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</si>
  <si>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</si>
  <si>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</si>
  <si>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</si>
  <si>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</si>
  <si>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</si>
  <si>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</si>
  <si>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</si>
  <si>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</si>
  <si>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</si>
  <si>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</si>
  <si>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</si>
  <si>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</si>
  <si>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</si>
  <si>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</si>
  <si>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</si>
  <si>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</si>
  <si>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</si>
  <si>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#ComparatorName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</si>
  <si>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</si>
  <si>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</si>
  <si>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</si>
  <si>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</si>
  <si>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</si>
  <si>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</si>
  <si>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</si>
  <si>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</si>
  <si>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#WhenExpressionName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</si>
  <si>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</si>
  <si>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</si>
  <si>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</si>
  <si>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</si>
  <si>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</si>
  <si>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</si>
  <si>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</si>
  <si>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</si>
  <si>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</si>
  <si>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</si>
  <si>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</si>
  <si>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</si>
  <si>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</si>
  <si>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</si>
  <si>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</si>
  <si>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</si>
  <si>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</si>
  <si>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</si>
  <si>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</si>
  <si>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</si>
  <si>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</si>
  <si>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</si>
  <si>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</si>
  <si>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</si>
  <si>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http://teste.com</t>
  </si>
  <si>
    <t>Endpoint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</si>
  <si>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</si>
  <si>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</si>
  <si>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</si>
  <si>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</si>
  <si>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</si>
  <si>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</si>
  <si>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</si>
  <si>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</si>
  <si>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</si>
  <si>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</si>
  <si>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</si>
  <si>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</si>
  <si>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</si>
  <si>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</si>
  <si>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</si>
  <si>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</si>
  <si>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</si>
  <si>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</si>
  <si>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</si>
  <si>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</si>
  <si>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</si>
  <si>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</si>
  <si>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</si>
  <si>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</si>
  <si>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</si>
  <si>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</si>
  <si>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</si>
  <si>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</si>
  <si>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</si>
  <si>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</si>
  <si>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</si>
  <si>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</si>
  <si>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</si>
  <si>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</si>
  <si>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Hooks</t>
  </si>
  <si>
    <t>Hok</t>
  </si>
  <si>
    <t>Ganchos</t>
  </si>
  <si>
    <t>HookId</t>
  </si>
  <si>
    <t>#HookName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</si>
  <si>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</si>
  <si>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</si>
  <si>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</si>
  <si>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</si>
  <si>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</si>
  <si>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</si>
  <si>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</si>
  <si>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</si>
  <si>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</si>
  <si>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</si>
  <si>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</si>
  <si>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</si>
  <si>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</si>
  <si>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</si>
  <si>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</si>
  <si>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</si>
  <si>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</si>
  <si>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Ganchos Pré/Pós CRUD</t>
  </si>
  <si>
    <t>Scripts de Ganchos</t>
  </si>
  <si>
    <t>Endpoints HTTP(S) de Ganchos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</si>
  <si>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</si>
  <si>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</si>
  <si>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</si>
  <si>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</si>
  <si>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</si>
  <si>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</si>
  <si>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</si>
  <si>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</si>
  <si>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</si>
  <si>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</si>
  <si>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</si>
  <si>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</si>
  <si>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</si>
  <si>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</si>
  <si>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</si>
  <si>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</si>
  <si>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</si>
  <si>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</si>
  <si>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</si>
  <si>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</si>
  <si>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</si>
  <si>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</si>
  <si>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</si>
  <si>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</si>
  <si>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Sequência da chave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</si>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</sst>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tabSelected="1" workbookViewId="0">
      <pane ySplit="1" topLeftCell="A2" activePane="bottomLeft" state="frozen"/>
      <selection pane="bottomLeft" activeCell="L6" sqref="L6"/>
    </sheetView>
  </sheetViews>
  <sheetFormatPr defaultColWidth="11.7109375" defaultRowHeight="15"/>
  <cols>
    <col min="1" max="1" width="3" bestFit="1" customWidth="1"/>
    <col min="2" max="2" width="10.28515625" bestFit="1" customWidth="1"/>
    <col min="3" max="3" width="12.42578125" bestFit="1" customWidth="1"/>
    <col min="4" max="4" width="12.85546875" bestFit="1" customWidth="1"/>
    <col min="5" max="5" width="13.28515625" bestFit="1" customWidth="1"/>
    <col min="6" max="8" width="12.42578125" bestFit="1" customWidth="1"/>
    <col min="9" max="9" width="12.7109375" bestFit="1" customWidth="1"/>
    <col min="10" max="10" width="13.140625" style="6" bestFit="1" customWidth="1"/>
    <col min="11" max="11" width="12.425781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172</v>
      </c>
      <c r="G1" s="1" t="s">
        <v>2</v>
      </c>
      <c r="H1" s="1" t="s">
        <v>169</v>
      </c>
      <c r="I1" s="1" t="s">
        <v>23</v>
      </c>
      <c r="J1" s="1" t="s">
        <v>627</v>
      </c>
      <c r="K1" s="1" t="s">
        <v>554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217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selection activeCell="C15" sqref="C15"/>
    </sheetView>
  </sheetViews>
  <sheetFormatPr defaultColWidth="9.140625" defaultRowHeight="15"/>
  <cols>
    <col min="1" max="1" width="3" bestFit="1" customWidth="1"/>
    <col min="2" max="2" width="7.5703125" style="6" bestFit="1" customWidth="1"/>
    <col min="3" max="3" width="22" bestFit="1" customWidth="1"/>
    <col min="4" max="4" width="5.28515625" bestFit="1" customWidth="1"/>
    <col min="5" max="5" width="25.7109375" bestFit="1" customWidth="1"/>
  </cols>
  <sheetData>
    <row r="1" spans="1:4" s="1" customFormat="1">
      <c r="A1" s="1" t="s">
        <v>0</v>
      </c>
      <c r="B1" s="1" t="s">
        <v>652</v>
      </c>
      <c r="C1" s="1" t="s">
        <v>67</v>
      </c>
      <c r="D1" s="1" t="s">
        <v>653</v>
      </c>
    </row>
    <row r="2" spans="1:4">
      <c r="A2">
        <f>ROW(A2)-1</f>
        <v>1</v>
      </c>
      <c r="B2" s="6" t="s">
        <v>397</v>
      </c>
      <c r="C2" t="s">
        <v>738</v>
      </c>
      <c r="D2">
        <v>2</v>
      </c>
    </row>
    <row r="3" spans="1:4">
      <c r="A3">
        <f>ROW(A3)-1</f>
        <v>2</v>
      </c>
      <c r="B3" s="6" t="s">
        <v>654</v>
      </c>
      <c r="C3" t="s">
        <v>667</v>
      </c>
      <c r="D3">
        <v>2</v>
      </c>
    </row>
    <row r="4" spans="1:4">
      <c r="A4">
        <f>ROW(A4)-1</f>
        <v>3</v>
      </c>
      <c r="B4" s="6" t="s">
        <v>480</v>
      </c>
      <c r="C4" t="s">
        <v>668</v>
      </c>
      <c r="D4">
        <v>2</v>
      </c>
    </row>
    <row r="5" spans="1:4">
      <c r="A5">
        <f>ROW(A5)-1</f>
        <v>4</v>
      </c>
      <c r="B5" s="6" t="s">
        <v>655</v>
      </c>
      <c r="C5" t="s">
        <v>669</v>
      </c>
      <c r="D5">
        <v>2</v>
      </c>
    </row>
    <row r="6" spans="1:4">
      <c r="A6">
        <f t="shared" ref="A6:A15" si="0">ROW(A6)-1</f>
        <v>5</v>
      </c>
      <c r="B6" s="6" t="s">
        <v>656</v>
      </c>
      <c r="C6" t="s">
        <v>665</v>
      </c>
      <c r="D6">
        <v>2</v>
      </c>
    </row>
    <row r="7" spans="1:4">
      <c r="A7">
        <f t="shared" si="0"/>
        <v>6</v>
      </c>
      <c r="B7" s="6" t="s">
        <v>398</v>
      </c>
      <c r="C7" t="s">
        <v>666</v>
      </c>
      <c r="D7">
        <v>2</v>
      </c>
    </row>
    <row r="8" spans="1:4">
      <c r="A8">
        <f t="shared" si="0"/>
        <v>7</v>
      </c>
      <c r="B8" s="6" t="s">
        <v>657</v>
      </c>
      <c r="C8" t="s">
        <v>670</v>
      </c>
    </row>
    <row r="9" spans="1:4">
      <c r="A9">
        <f t="shared" si="0"/>
        <v>8</v>
      </c>
      <c r="B9" s="6" t="s">
        <v>658</v>
      </c>
      <c r="C9" t="s">
        <v>671</v>
      </c>
    </row>
    <row r="10" spans="1:4">
      <c r="A10">
        <f t="shared" si="0"/>
        <v>9</v>
      </c>
      <c r="B10" s="6" t="s">
        <v>659</v>
      </c>
      <c r="C10" t="s">
        <v>672</v>
      </c>
      <c r="D10">
        <v>2</v>
      </c>
    </row>
    <row r="11" spans="1:4">
      <c r="A11">
        <f t="shared" si="0"/>
        <v>10</v>
      </c>
      <c r="B11" s="6" t="s">
        <v>660</v>
      </c>
      <c r="C11" t="s">
        <v>673</v>
      </c>
      <c r="D11">
        <v>2</v>
      </c>
    </row>
    <row r="12" spans="1:4">
      <c r="A12">
        <f t="shared" si="0"/>
        <v>11</v>
      </c>
      <c r="B12" s="6" t="s">
        <v>661</v>
      </c>
      <c r="C12" t="s">
        <v>675</v>
      </c>
      <c r="D12">
        <v>3</v>
      </c>
    </row>
    <row r="13" spans="1:4">
      <c r="A13">
        <f t="shared" si="0"/>
        <v>12</v>
      </c>
      <c r="B13" s="6" t="s">
        <v>662</v>
      </c>
      <c r="C13" t="s">
        <v>674</v>
      </c>
      <c r="D13">
        <v>3</v>
      </c>
    </row>
    <row r="14" spans="1:4">
      <c r="A14">
        <f t="shared" si="0"/>
        <v>13</v>
      </c>
      <c r="B14" s="6" t="s">
        <v>663</v>
      </c>
      <c r="C14" t="s">
        <v>676</v>
      </c>
      <c r="D14">
        <v>1</v>
      </c>
    </row>
    <row r="15" spans="1:4">
      <c r="A15">
        <f t="shared" si="0"/>
        <v>14</v>
      </c>
      <c r="B15" s="6" t="s">
        <v>664</v>
      </c>
      <c r="C15" t="s">
        <v>677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44" activePane="bottomLeft" state="frozen"/>
      <selection pane="bottomLeft" activeCell="D65" sqref="D65"/>
    </sheetView>
  </sheetViews>
  <sheetFormatPr defaultColWidth="10.42578125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3.28515625" bestFit="1" customWidth="1"/>
    <col min="5" max="5" width="18" style="6" bestFit="1" customWidth="1"/>
    <col min="6" max="6" width="23" bestFit="1" customWidth="1"/>
  </cols>
  <sheetData>
    <row r="1" spans="1:6" s="1" customFormat="1">
      <c r="A1" s="1" t="s">
        <v>0</v>
      </c>
      <c r="B1" s="1" t="s">
        <v>16</v>
      </c>
      <c r="C1" s="1" t="s">
        <v>148</v>
      </c>
      <c r="D1" s="1" t="s">
        <v>689</v>
      </c>
      <c r="E1" s="1" t="s">
        <v>688</v>
      </c>
      <c r="F1" s="1" t="s">
        <v>737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13" sqref="C13"/>
    </sheetView>
  </sheetViews>
  <sheetFormatPr defaultColWidth="40.85546875" defaultRowHeight="15"/>
  <cols>
    <col min="1" max="1" width="3" bestFit="1" customWidth="1"/>
    <col min="2" max="2" width="14" bestFit="1" customWidth="1"/>
    <col min="3" max="3" width="29.85546875" bestFit="1" customWidth="1"/>
    <col min="4" max="5" width="12.42578125" bestFit="1" customWidth="1"/>
  </cols>
  <sheetData>
    <row r="1" spans="1:5" s="1" customFormat="1">
      <c r="A1" s="1" t="s">
        <v>0</v>
      </c>
      <c r="B1" s="1" t="s">
        <v>1</v>
      </c>
      <c r="C1" s="1" t="s">
        <v>495</v>
      </c>
      <c r="D1" s="1" t="s">
        <v>502</v>
      </c>
      <c r="E1" s="1" t="s">
        <v>24</v>
      </c>
    </row>
    <row r="2" spans="1:5">
      <c r="A2">
        <f>ROW(A2)-1</f>
        <v>1</v>
      </c>
      <c r="B2" t="s">
        <v>229</v>
      </c>
      <c r="C2" t="s">
        <v>496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230</v>
      </c>
      <c r="C3" t="s">
        <v>497</v>
      </c>
      <c r="D3" t="b">
        <v>0</v>
      </c>
      <c r="E3" t="b">
        <v>0</v>
      </c>
    </row>
    <row r="4" spans="1:5">
      <c r="A4">
        <f t="shared" si="0"/>
        <v>3</v>
      </c>
      <c r="B4" t="s">
        <v>231</v>
      </c>
      <c r="C4" t="s">
        <v>542</v>
      </c>
      <c r="D4" t="b">
        <v>0</v>
      </c>
      <c r="E4" t="b">
        <v>0</v>
      </c>
    </row>
    <row r="5" spans="1:5">
      <c r="A5">
        <f t="shared" si="0"/>
        <v>4</v>
      </c>
      <c r="B5" t="s">
        <v>232</v>
      </c>
      <c r="C5" t="s">
        <v>498</v>
      </c>
      <c r="D5" t="b">
        <v>0</v>
      </c>
      <c r="E5" t="b">
        <v>0</v>
      </c>
    </row>
    <row r="6" spans="1:5">
      <c r="A6">
        <f t="shared" si="0"/>
        <v>5</v>
      </c>
      <c r="B6" t="s">
        <v>233</v>
      </c>
      <c r="C6" s="15" t="s">
        <v>499</v>
      </c>
      <c r="D6" t="b">
        <v>1</v>
      </c>
      <c r="E6" t="b">
        <v>0</v>
      </c>
    </row>
    <row r="7" spans="1:5">
      <c r="A7">
        <f t="shared" si="0"/>
        <v>6</v>
      </c>
      <c r="B7" t="s">
        <v>279</v>
      </c>
      <c r="C7" s="15" t="s">
        <v>543</v>
      </c>
      <c r="D7" t="b">
        <v>1</v>
      </c>
      <c r="E7" t="b">
        <v>0</v>
      </c>
    </row>
    <row r="8" spans="1:5">
      <c r="A8">
        <f t="shared" si="0"/>
        <v>7</v>
      </c>
      <c r="B8" t="s">
        <v>280</v>
      </c>
      <c r="C8" s="15" t="s">
        <v>500</v>
      </c>
      <c r="D8" t="b">
        <v>1</v>
      </c>
      <c r="E8" t="b">
        <v>0</v>
      </c>
    </row>
    <row r="9" spans="1:5">
      <c r="A9">
        <f t="shared" si="0"/>
        <v>8</v>
      </c>
      <c r="B9" t="s">
        <v>281</v>
      </c>
      <c r="C9" s="15" t="s">
        <v>501</v>
      </c>
      <c r="D9" t="b">
        <v>0</v>
      </c>
      <c r="E9" t="b">
        <v>0</v>
      </c>
    </row>
    <row r="10" spans="1:5">
      <c r="A10">
        <f t="shared" si="0"/>
        <v>9</v>
      </c>
      <c r="B10" t="s">
        <v>282</v>
      </c>
      <c r="C10" s="15" t="s">
        <v>544</v>
      </c>
      <c r="D10" t="b">
        <v>0</v>
      </c>
      <c r="E10" t="b">
        <v>0</v>
      </c>
    </row>
    <row r="11" spans="1:5">
      <c r="A11">
        <f t="shared" si="0"/>
        <v>10</v>
      </c>
      <c r="B11" t="s">
        <v>283</v>
      </c>
      <c r="C11" s="10" t="s">
        <v>545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16" sqref="D16"/>
    </sheetView>
  </sheetViews>
  <sheetFormatPr defaultColWidth="10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6.85546875" bestFit="1" customWidth="1"/>
    <col min="5" max="6" width="27.140625" style="2" bestFit="1" customWidth="1"/>
    <col min="7" max="8" width="12.42578125" bestFit="1" customWidth="1"/>
    <col min="9" max="9" width="14.28515625" bestFit="1" customWidth="1"/>
    <col min="10" max="10" width="17.85546875" bestFit="1" customWidth="1"/>
    <col min="11" max="11" width="12.42578125" bestFit="1" customWidth="1"/>
    <col min="13" max="13" width="22.7109375" customWidth="1"/>
  </cols>
  <sheetData>
    <row r="1" spans="1:11" s="1" customFormat="1">
      <c r="A1" s="1" t="s">
        <v>0</v>
      </c>
      <c r="B1" s="1" t="s">
        <v>16</v>
      </c>
      <c r="C1" s="1" t="s">
        <v>148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522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524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388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207</v>
      </c>
      <c r="F6" s="4" t="s">
        <v>208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209</v>
      </c>
      <c r="F7" s="4" t="s">
        <v>210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389</v>
      </c>
      <c r="E8" s="4" t="s">
        <v>211</v>
      </c>
      <c r="F8" s="4" t="s">
        <v>212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390</v>
      </c>
      <c r="E9" s="4" t="s">
        <v>211</v>
      </c>
      <c r="F9" s="4" t="s">
        <v>212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391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392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387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372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371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375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179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213</v>
      </c>
      <c r="F24" s="4" t="s">
        <v>214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525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393</v>
      </c>
      <c r="E30" s="4" t="s">
        <v>215</v>
      </c>
      <c r="F30" s="4" t="s">
        <v>216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523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374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180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373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178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224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F185" sqref="F185"/>
    </sheetView>
  </sheetViews>
  <sheetFormatPr defaultColWidth="9.42578125" defaultRowHeight="15"/>
  <cols>
    <col min="1" max="1" width="4" bestFit="1" customWidth="1"/>
    <col min="2" max="2" width="8.7109375" bestFit="1" customWidth="1"/>
    <col min="3" max="3" width="14" bestFit="1" customWidth="1"/>
    <col min="4" max="4" width="7" bestFit="1" customWidth="1"/>
    <col min="5" max="5" width="16.85546875" bestFit="1" customWidth="1"/>
    <col min="6" max="6" width="43.28515625" bestFit="1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485</v>
      </c>
      <c r="C1" s="7" t="s">
        <v>264</v>
      </c>
      <c r="D1" s="7" t="s">
        <v>53</v>
      </c>
      <c r="E1" s="7" t="s">
        <v>149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179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180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178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179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234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253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249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236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237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254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254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238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277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240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255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255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256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257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277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236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258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278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244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258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248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254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235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277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251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244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258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243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238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259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236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260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256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244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258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258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66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234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253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249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236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237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254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254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238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277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240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255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255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256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257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277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236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258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278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244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258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248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254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235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277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251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244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258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243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238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259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236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260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256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244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258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258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66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234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261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249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236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237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238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238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239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278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246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262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255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261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241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278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236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251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278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244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251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242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238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235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278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284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685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251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243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238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235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263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261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261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244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251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245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284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234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253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235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236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237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238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238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239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277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246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247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241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277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236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285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278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244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285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248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238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235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277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285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244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285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243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238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235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236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247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286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244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285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285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285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234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253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235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236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237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238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238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239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277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246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247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241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277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236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285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278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244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285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248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238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235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277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285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244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285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243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238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235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236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247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286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244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285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285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285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234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253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235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236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237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238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238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239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277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246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289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241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277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236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288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278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244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288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248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238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235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277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288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244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288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243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238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235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236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289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286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244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288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288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288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290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291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249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236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237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292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296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293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277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248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291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241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277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250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251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277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252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251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248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292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235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277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294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294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251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295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296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235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236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291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291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244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251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297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66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299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298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299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236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237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237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238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239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299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300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301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301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286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299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299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250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297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299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302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297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303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237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299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299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304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305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297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237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238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299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298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286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286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305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297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306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66</v>
      </c>
    </row>
    <row r="344" spans="1:7" ht="13.9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234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286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235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236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237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238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238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239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277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240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287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286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241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277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307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297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278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308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297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242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238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235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277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245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244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297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243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238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235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236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286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286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244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297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245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66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D2" sqref="D2:D6"/>
    </sheetView>
  </sheetViews>
  <sheetFormatPr defaultRowHeight="15"/>
  <cols>
    <col min="1" max="1" width="2.7109375" bestFit="1" customWidth="1"/>
    <col min="2" max="2" width="9" bestFit="1" customWidth="1"/>
    <col min="3" max="3" width="143.140625" customWidth="1"/>
    <col min="4" max="4" width="8.7109375" bestFit="1" customWidth="1"/>
    <col min="5" max="5" width="13.42578125" bestFit="1" customWidth="1"/>
    <col min="6" max="6" width="12.42578125" bestFit="1" customWidth="1"/>
  </cols>
  <sheetData>
    <row r="1" spans="1:6" s="1" customFormat="1">
      <c r="A1" s="1" t="s">
        <v>0</v>
      </c>
      <c r="B1" s="1" t="s">
        <v>1</v>
      </c>
      <c r="C1" s="1" t="s">
        <v>265</v>
      </c>
      <c r="D1" s="1" t="s">
        <v>485</v>
      </c>
      <c r="E1" s="1" t="s">
        <v>264</v>
      </c>
      <c r="F1" s="1" t="s">
        <v>24</v>
      </c>
    </row>
    <row r="2" spans="1:6">
      <c r="A2">
        <f>ROW(A2)-1</f>
        <v>1</v>
      </c>
      <c r="B2" t="s">
        <v>395</v>
      </c>
      <c r="C2" t="s">
        <v>266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267</v>
      </c>
      <c r="C3" t="s">
        <v>268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269</v>
      </c>
      <c r="C4" t="s">
        <v>270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271</v>
      </c>
      <c r="C5" t="s">
        <v>272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273</v>
      </c>
      <c r="C6" t="s">
        <v>274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0"/>
  <sheetViews>
    <sheetView zoomScaleNormal="100" workbookViewId="0">
      <pane ySplit="1" topLeftCell="A2" activePane="bottomLeft" state="frozen"/>
      <selection pane="bottomLeft" activeCell="G43" sqref="G43"/>
    </sheetView>
  </sheetViews>
  <sheetFormatPr defaultColWidth="54.85546875" defaultRowHeight="15"/>
  <cols>
    <col min="1" max="1" width="3" bestFit="1" customWidth="1"/>
    <col min="2" max="2" width="8" bestFit="1" customWidth="1"/>
    <col min="3" max="3" width="12.5703125" bestFit="1" customWidth="1"/>
    <col min="4" max="4" width="7" bestFit="1" customWidth="1"/>
    <col min="5" max="5" width="16.42578125" bestFit="1" customWidth="1"/>
    <col min="6" max="6" width="15.28515625" bestFit="1" customWidth="1"/>
    <col min="7" max="7" width="17.7109375" bestFit="1" customWidth="1"/>
    <col min="8" max="8" width="7" bestFit="1" customWidth="1"/>
    <col min="9" max="9" width="9" bestFit="1" customWidth="1"/>
    <col min="10" max="10" width="7.5703125" bestFit="1" customWidth="1"/>
    <col min="11" max="11" width="9.7109375" bestFit="1" customWidth="1"/>
    <col min="12" max="12" width="10" bestFit="1" customWidth="1"/>
    <col min="13" max="13" width="10.42578125" bestFit="1" customWidth="1"/>
    <col min="14" max="14" width="40" bestFit="1" customWidth="1"/>
    <col min="15" max="15" width="26.5703125" bestFit="1" customWidth="1"/>
  </cols>
  <sheetData>
    <row r="1" spans="1:15" s="1" customFormat="1">
      <c r="A1" s="1" t="s">
        <v>0</v>
      </c>
      <c r="B1" s="1" t="s">
        <v>444</v>
      </c>
      <c r="C1" s="1" t="s">
        <v>352</v>
      </c>
      <c r="D1" s="1" t="s">
        <v>53</v>
      </c>
      <c r="E1" s="1" t="s">
        <v>149</v>
      </c>
      <c r="F1" s="1" t="s">
        <v>148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541</v>
      </c>
      <c r="N1" s="1" t="s">
        <v>142</v>
      </c>
      <c r="O1" s="1" t="s">
        <v>788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64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181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182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183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184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185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458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795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452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453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454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455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456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459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794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457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309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310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311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364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315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317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319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322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323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324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355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356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357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447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448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449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450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451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394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65</v>
      </c>
    </row>
    <row r="44" spans="1:15">
      <c r="A44">
        <f t="shared" ref="A44:A50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521</v>
      </c>
      <c r="H44">
        <v>10</v>
      </c>
      <c r="N44" t="s">
        <v>693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443</v>
      </c>
      <c r="H45">
        <v>10</v>
      </c>
      <c r="M45" s="10"/>
      <c r="N45" s="10" t="s">
        <v>791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793</v>
      </c>
      <c r="H46">
        <v>5</v>
      </c>
      <c r="M46" s="10"/>
      <c r="N46" s="10" t="s">
        <v>520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539</v>
      </c>
      <c r="H47">
        <v>10</v>
      </c>
      <c r="M47" s="10" t="s">
        <v>475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540</v>
      </c>
      <c r="H48">
        <v>10</v>
      </c>
      <c r="M48" s="10" t="s">
        <v>476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726</v>
      </c>
      <c r="H49">
        <v>10</v>
      </c>
      <c r="N49" t="s">
        <v>727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789</v>
      </c>
      <c r="O50" t="s">
        <v>790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E15" sqref="E15"/>
    </sheetView>
  </sheetViews>
  <sheetFormatPr defaultRowHeight="15"/>
  <cols>
    <col min="1" max="1" width="3.7109375" bestFit="1" customWidth="1"/>
    <col min="2" max="2" width="7.42578125" bestFit="1" customWidth="1"/>
    <col min="3" max="3" width="11.7109375" bestFit="1" customWidth="1"/>
    <col min="4" max="4" width="17.28515625" bestFit="1" customWidth="1"/>
    <col min="5" max="5" width="18.5703125" bestFit="1" customWidth="1"/>
    <col min="6" max="6" width="18.5703125" style="2" bestFit="1" customWidth="1"/>
    <col min="7" max="7" width="11.7109375" bestFit="1" customWidth="1"/>
    <col min="9" max="9" width="79.85546875" bestFit="1" customWidth="1"/>
  </cols>
  <sheetData>
    <row r="1" spans="1:9" s="1" customFormat="1">
      <c r="A1" s="1" t="s">
        <v>0</v>
      </c>
      <c r="B1" s="1" t="s">
        <v>444</v>
      </c>
      <c r="C1" s="1" t="s">
        <v>352</v>
      </c>
      <c r="D1" s="13" t="s">
        <v>1</v>
      </c>
      <c r="E1" s="13" t="s">
        <v>537</v>
      </c>
      <c r="F1" s="25" t="s">
        <v>530</v>
      </c>
      <c r="G1" s="1" t="s">
        <v>678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326</v>
      </c>
      <c r="E2" t="s">
        <v>327</v>
      </c>
      <c r="F2" s="26">
        <v>99999999</v>
      </c>
      <c r="G2" t="s">
        <v>785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309</v>
      </c>
      <c r="E3" t="s">
        <v>312</v>
      </c>
      <c r="F3" s="2" t="s">
        <v>699</v>
      </c>
      <c r="G3" t="s">
        <v>785</v>
      </c>
      <c r="I3" t="s">
        <v>538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310</v>
      </c>
      <c r="E4" t="s">
        <v>313</v>
      </c>
      <c r="F4" s="2" t="s">
        <v>700</v>
      </c>
      <c r="G4" t="s">
        <v>785</v>
      </c>
      <c r="I4" t="s">
        <v>786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364</v>
      </c>
      <c r="E5" t="s">
        <v>365</v>
      </c>
      <c r="F5" s="2" t="s">
        <v>701</v>
      </c>
      <c r="G5" t="s">
        <v>785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460</v>
      </c>
      <c r="E6" t="s">
        <v>316</v>
      </c>
      <c r="F6" s="2" t="s">
        <v>702</v>
      </c>
      <c r="G6" t="s">
        <v>785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317</v>
      </c>
      <c r="E7" t="s">
        <v>318</v>
      </c>
      <c r="F7" s="2">
        <v>99999999999</v>
      </c>
      <c r="G7" t="s">
        <v>785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319</v>
      </c>
      <c r="E8" t="s">
        <v>320</v>
      </c>
      <c r="F8" s="2">
        <v>99999999</v>
      </c>
      <c r="G8" t="s">
        <v>785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321</v>
      </c>
      <c r="E9" t="s">
        <v>369</v>
      </c>
      <c r="F9" s="2" t="s">
        <v>703</v>
      </c>
      <c r="G9" t="s">
        <v>785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322</v>
      </c>
      <c r="E10" t="s">
        <v>370</v>
      </c>
      <c r="F10" s="2" t="s">
        <v>704</v>
      </c>
      <c r="G10" t="s">
        <v>785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323</v>
      </c>
      <c r="E11" t="s">
        <v>361</v>
      </c>
      <c r="F11" s="2" t="s">
        <v>705</v>
      </c>
      <c r="G11" t="s">
        <v>785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324</v>
      </c>
      <c r="E12" t="s">
        <v>325</v>
      </c>
      <c r="F12" s="2" t="s">
        <v>706</v>
      </c>
      <c r="G12" t="s">
        <v>787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355</v>
      </c>
      <c r="E13" t="s">
        <v>358</v>
      </c>
      <c r="F13" s="2" t="s">
        <v>707</v>
      </c>
      <c r="G13" t="s">
        <v>785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447</v>
      </c>
      <c r="E14" t="s">
        <v>359</v>
      </c>
      <c r="F14" s="2" t="s">
        <v>708</v>
      </c>
      <c r="G14" t="s">
        <v>785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448</v>
      </c>
      <c r="E15" t="s">
        <v>360</v>
      </c>
      <c r="F15" s="2" t="s">
        <v>709</v>
      </c>
      <c r="G15" t="s">
        <v>785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449</v>
      </c>
      <c r="E16" t="s">
        <v>367</v>
      </c>
      <c r="F16" s="4" t="s">
        <v>710</v>
      </c>
      <c r="G16" t="s">
        <v>787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450</v>
      </c>
      <c r="E17" t="s">
        <v>368</v>
      </c>
      <c r="F17" s="4" t="s">
        <v>711</v>
      </c>
      <c r="G17" t="s">
        <v>787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356</v>
      </c>
      <c r="E18" t="s">
        <v>362</v>
      </c>
      <c r="F18" s="2" t="s">
        <v>712</v>
      </c>
      <c r="G18" t="s">
        <v>785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451</v>
      </c>
      <c r="E19" t="s">
        <v>363</v>
      </c>
      <c r="F19" s="2" t="s">
        <v>713</v>
      </c>
      <c r="G19" t="s">
        <v>785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357</v>
      </c>
      <c r="E20" t="s">
        <v>318</v>
      </c>
      <c r="F20" s="2">
        <v>99999999999</v>
      </c>
      <c r="G20" t="s">
        <v>785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703125" defaultRowHeight="15"/>
  <cols>
    <col min="1" max="1" width="3" bestFit="1" customWidth="1"/>
    <col min="2" max="2" width="9.5703125" bestFit="1" customWidth="1"/>
    <col min="3" max="3" width="17.7109375" bestFit="1" customWidth="1"/>
    <col min="4" max="4" width="7.42578125" bestFit="1" customWidth="1"/>
    <col min="5" max="6" width="17.7109375" bestFit="1" customWidth="1"/>
    <col min="7" max="7" width="41.140625" bestFit="1" customWidth="1"/>
    <col min="8" max="8" width="26.42578125" style="12" bestFit="1" customWidth="1"/>
  </cols>
  <sheetData>
    <row r="1" spans="1:8" s="1" customFormat="1">
      <c r="A1" s="1" t="s">
        <v>0</v>
      </c>
      <c r="B1" s="1" t="s">
        <v>98</v>
      </c>
      <c r="C1" s="1" t="s">
        <v>155</v>
      </c>
      <c r="D1" s="1" t="s">
        <v>54</v>
      </c>
      <c r="E1" s="1" t="s">
        <v>150</v>
      </c>
      <c r="F1" s="8" t="s">
        <v>461</v>
      </c>
      <c r="G1" s="8" t="s">
        <v>462</v>
      </c>
      <c r="H1" s="9" t="s">
        <v>463</v>
      </c>
    </row>
    <row r="2" spans="1:8">
      <c r="A2">
        <f>ROW(A2)-1</f>
        <v>1</v>
      </c>
      <c r="B2">
        <v>21</v>
      </c>
      <c r="C2" t="str" cm="1">
        <f t="array" ref="C2">GetValue("Dmn",B2,"Name")</f>
        <v>Nchar(1)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686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687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330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331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330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331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332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333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366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334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335</v>
      </c>
      <c r="H13" s="12" t="s">
        <v>314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334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336</v>
      </c>
      <c r="H15" s="12" t="s">
        <v>314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8.7109375" bestFit="1" customWidth="1"/>
    <col min="5" max="5" width="13.42578125" bestFit="1" customWidth="1"/>
    <col min="6" max="6" width="7" bestFit="1" customWidth="1"/>
    <col min="7" max="7" width="13.140625" bestFit="1" customWidth="1"/>
  </cols>
  <sheetData>
    <row r="1" spans="1:7" s="1" customFormat="1">
      <c r="A1" s="1" t="s">
        <v>0</v>
      </c>
      <c r="B1" s="1" t="s">
        <v>444</v>
      </c>
      <c r="C1" s="1" t="s">
        <v>352</v>
      </c>
      <c r="D1" s="1" t="s">
        <v>485</v>
      </c>
      <c r="E1" s="1" t="s">
        <v>264</v>
      </c>
      <c r="F1" s="1" t="s">
        <v>1</v>
      </c>
      <c r="G1" s="1" t="s">
        <v>67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170</v>
      </c>
      <c r="G2" t="s">
        <v>171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12.42578125" bestFit="1" customWidth="1"/>
    <col min="5" max="5" width="39.140625" bestFit="1" customWidth="1"/>
    <col min="6" max="6" width="154.140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86</v>
      </c>
      <c r="C1" s="1" t="s">
        <v>153</v>
      </c>
      <c r="D1" s="1" t="s">
        <v>445</v>
      </c>
      <c r="E1" s="1" t="s">
        <v>328</v>
      </c>
      <c r="F1" s="1" t="s">
        <v>225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226</v>
      </c>
      <c r="E2" t="s">
        <v>219</v>
      </c>
      <c r="F2" t="s">
        <v>468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275</v>
      </c>
      <c r="E3" t="s">
        <v>219</v>
      </c>
      <c r="F3" t="s">
        <v>469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276</v>
      </c>
      <c r="E4" t="s">
        <v>219</v>
      </c>
      <c r="F4" t="s">
        <v>470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6.28515625" bestFit="1" customWidth="1"/>
    <col min="5" max="5" width="7" bestFit="1" customWidth="1"/>
    <col min="6" max="6" width="13.140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86</v>
      </c>
      <c r="C1" s="1" t="s">
        <v>153</v>
      </c>
      <c r="D1" s="1" t="s">
        <v>353</v>
      </c>
      <c r="E1" s="1" t="s">
        <v>1</v>
      </c>
      <c r="F1" s="1" t="s">
        <v>67</v>
      </c>
      <c r="G1" s="1" t="s">
        <v>68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354</v>
      </c>
      <c r="E2" t="s">
        <v>170</v>
      </c>
      <c r="F2" t="s">
        <v>171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C7" sqref="C7"/>
    </sheetView>
  </sheetViews>
  <sheetFormatPr defaultColWidth="8.28515625" defaultRowHeight="15"/>
  <cols>
    <col min="1" max="1" width="2.7109375" bestFit="1" customWidth="1"/>
    <col min="2" max="2" width="9.140625" bestFit="1" customWidth="1"/>
    <col min="3" max="3" width="13.85546875" bestFit="1" customWidth="1"/>
    <col min="4" max="4" width="9.7109375" bestFit="1" customWidth="1"/>
    <col min="5" max="5" width="12" bestFit="1" customWidth="1"/>
    <col min="6" max="6" width="33.85546875" bestFit="1" customWidth="1"/>
    <col min="7" max="7" width="14" bestFit="1" customWidth="1"/>
    <col min="8" max="8" width="20.28515625" bestFit="1" customWidth="1"/>
    <col min="9" max="9" width="12.42578125" bestFit="1" customWidth="1"/>
  </cols>
  <sheetData>
    <row r="1" spans="1:9" s="1" customFormat="1">
      <c r="A1" s="1" t="s">
        <v>0</v>
      </c>
      <c r="B1" s="1" t="s">
        <v>69</v>
      </c>
      <c r="C1" s="1" t="s">
        <v>152</v>
      </c>
      <c r="D1" s="1" t="s">
        <v>70</v>
      </c>
      <c r="E1" s="1" t="s">
        <v>71</v>
      </c>
      <c r="F1" s="1" t="s">
        <v>72</v>
      </c>
      <c r="G1" s="1" t="s">
        <v>74</v>
      </c>
      <c r="H1" s="1" t="s">
        <v>167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486</v>
      </c>
      <c r="F2" t="s">
        <v>487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75</v>
      </c>
      <c r="F3" t="s">
        <v>490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489</v>
      </c>
      <c r="F4" t="s">
        <v>488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491</v>
      </c>
      <c r="F5" t="s">
        <v>492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11" activePane="bottomLeft" state="frozen"/>
      <selection pane="bottomLeft" activeCell="E33" sqref="E33"/>
    </sheetView>
  </sheetViews>
  <sheetFormatPr defaultColWidth="10.5703125" defaultRowHeight="15"/>
  <cols>
    <col min="1" max="1" width="3" bestFit="1" customWidth="1"/>
    <col min="2" max="2" width="10.85546875" bestFit="1" customWidth="1"/>
    <col min="3" max="3" width="15.5703125" bestFit="1" customWidth="1"/>
    <col min="4" max="4" width="12.28515625" bestFit="1" customWidth="1"/>
    <col min="5" max="5" width="5.28515625" bestFit="1" customWidth="1"/>
    <col min="6" max="6" width="38.7109375" bestFit="1" customWidth="1"/>
    <col min="7" max="7" width="9.42578125" bestFit="1" customWidth="1"/>
    <col min="8" max="8" width="8" bestFit="1" customWidth="1"/>
    <col min="9" max="9" width="14.28515625" bestFit="1" customWidth="1"/>
    <col min="10" max="10" width="15.140625" bestFit="1" customWidth="1"/>
    <col min="11" max="11" width="19.42578125" bestFit="1" customWidth="1"/>
    <col min="12" max="12" width="49.85546875" bestFit="1" customWidth="1"/>
  </cols>
  <sheetData>
    <row r="1" spans="1:12" s="1" customFormat="1">
      <c r="A1" s="1" t="s">
        <v>0</v>
      </c>
      <c r="B1" s="1" t="s">
        <v>86</v>
      </c>
      <c r="C1" s="1" t="s">
        <v>153</v>
      </c>
      <c r="D1" s="1" t="s">
        <v>1</v>
      </c>
      <c r="E1" s="1" t="s">
        <v>85</v>
      </c>
      <c r="F1" s="1" t="s">
        <v>67</v>
      </c>
      <c r="G1" s="1" t="s">
        <v>165</v>
      </c>
      <c r="H1" s="1" t="s">
        <v>466</v>
      </c>
      <c r="I1" s="1" t="s">
        <v>467</v>
      </c>
      <c r="J1" s="1" t="s">
        <v>694</v>
      </c>
      <c r="K1" s="1" t="s">
        <v>695</v>
      </c>
      <c r="L1" s="1" t="s">
        <v>696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96</v>
      </c>
      <c r="E2" t="s">
        <v>337</v>
      </c>
      <c r="F2" t="s">
        <v>764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740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690</v>
      </c>
      <c r="E3" t="s">
        <v>691</v>
      </c>
      <c r="F3" t="s">
        <v>692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692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818</v>
      </c>
      <c r="E4" t="s">
        <v>819</v>
      </c>
      <c r="F4" t="s">
        <v>698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784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377</v>
      </c>
      <c r="E5" t="s">
        <v>380</v>
      </c>
      <c r="F5" t="s">
        <v>384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384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87</v>
      </c>
      <c r="E6" t="s">
        <v>338</v>
      </c>
      <c r="F6" t="s">
        <v>76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76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814</v>
      </c>
      <c r="E7" t="s">
        <v>815</v>
      </c>
      <c r="F7" t="s">
        <v>385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385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376</v>
      </c>
      <c r="E8" t="s">
        <v>379</v>
      </c>
      <c r="F8" t="s">
        <v>383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383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88</v>
      </c>
      <c r="E9" t="s">
        <v>340</v>
      </c>
      <c r="F9" t="s">
        <v>765</v>
      </c>
      <c r="G9" cm="1">
        <f t="array" ref="G9">GetLastId(A9)</f>
        <v>49</v>
      </c>
      <c r="H9">
        <v>2</v>
      </c>
      <c r="I9" t="str" cm="1">
        <f t="array" ref="I9">GetValue("Mnu",H9,"Caption")</f>
        <v>Cadastros</v>
      </c>
      <c r="J9">
        <v>5</v>
      </c>
      <c r="K9" t="s">
        <v>741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89</v>
      </c>
      <c r="E10" t="s">
        <v>339</v>
      </c>
      <c r="F10" t="s">
        <v>766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742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816</v>
      </c>
      <c r="E11" t="s">
        <v>817</v>
      </c>
      <c r="F11" t="s">
        <v>739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739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92</v>
      </c>
      <c r="E12" t="s">
        <v>344</v>
      </c>
      <c r="F12" t="s">
        <v>386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386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465</v>
      </c>
      <c r="E13" t="s">
        <v>594</v>
      </c>
      <c r="F13" t="s">
        <v>767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743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90</v>
      </c>
      <c r="E14" t="s">
        <v>341</v>
      </c>
      <c r="F14" t="s">
        <v>80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80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79</v>
      </c>
      <c r="E15" t="s">
        <v>342</v>
      </c>
      <c r="F15" t="s">
        <v>768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79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93</v>
      </c>
      <c r="E16" t="s">
        <v>345</v>
      </c>
      <c r="F16" t="s">
        <v>78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78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94</v>
      </c>
      <c r="E17" t="s">
        <v>346</v>
      </c>
      <c r="F17" t="s">
        <v>769</v>
      </c>
      <c r="G17" cm="1">
        <f t="array" ref="G17">GetLastId(A17)</f>
        <v>146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744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95</v>
      </c>
      <c r="E18" t="s">
        <v>347</v>
      </c>
      <c r="F18" t="s">
        <v>770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745</v>
      </c>
      <c r="L18" t="str">
        <f t="shared" si="1"/>
        <v>Cadastro de Índices de Tabelas</v>
      </c>
    </row>
    <row r="19" spans="1:12" ht="13.9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140</v>
      </c>
      <c r="E19" t="s">
        <v>381</v>
      </c>
      <c r="F19" t="s">
        <v>771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746</v>
      </c>
      <c r="L19" t="str">
        <f t="shared" si="1"/>
        <v>Cadastro de Chaves de Índices</v>
      </c>
    </row>
    <row r="20" spans="1:12" ht="13.9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483</v>
      </c>
      <c r="E20" t="s">
        <v>484</v>
      </c>
      <c r="F20" t="s">
        <v>772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747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218</v>
      </c>
      <c r="E21" t="s">
        <v>351</v>
      </c>
      <c r="F21" t="s">
        <v>773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748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481</v>
      </c>
      <c r="E22" t="s">
        <v>482</v>
      </c>
      <c r="F22" t="s">
        <v>774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763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378</v>
      </c>
      <c r="E23" t="s">
        <v>382</v>
      </c>
      <c r="F23" t="s">
        <v>775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749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509</v>
      </c>
      <c r="E24" t="s">
        <v>508</v>
      </c>
      <c r="F24" t="s">
        <v>776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750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91</v>
      </c>
      <c r="E25" t="s">
        <v>343</v>
      </c>
      <c r="F25" t="s">
        <v>77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77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503</v>
      </c>
      <c r="E26" t="s">
        <v>714</v>
      </c>
      <c r="F26" t="s">
        <v>777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751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438</v>
      </c>
      <c r="E27" t="s">
        <v>437</v>
      </c>
      <c r="F27" t="s">
        <v>442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752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440</v>
      </c>
      <c r="E28" t="s">
        <v>441</v>
      </c>
      <c r="F28" t="s">
        <v>778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753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526</v>
      </c>
      <c r="E29" t="s">
        <v>527</v>
      </c>
      <c r="F29" t="s">
        <v>779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754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758</v>
      </c>
      <c r="E30" t="s">
        <v>759</v>
      </c>
      <c r="F30" t="s">
        <v>780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760</v>
      </c>
      <c r="L30" t="str">
        <f>"Cadastro de "&amp;F30</f>
        <v>Cadastro de Ganchos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528</v>
      </c>
      <c r="E31" t="s">
        <v>529</v>
      </c>
      <c r="F31" t="s">
        <v>781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528</v>
      </c>
      <c r="L31" t="str">
        <f>"Cadastro de "&amp;F31</f>
        <v>Cadastro de Scripts de Ganchos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828</v>
      </c>
      <c r="E32" t="s">
        <v>829</v>
      </c>
      <c r="F32" t="s">
        <v>782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721</v>
      </c>
      <c r="L32" t="str">
        <f t="shared" ref="L32" si="3">"Cadastro de "&amp;F32</f>
        <v>Cadastro de Endpoints HTTP(S) de Ganchos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220</v>
      </c>
      <c r="E33" t="s">
        <v>348</v>
      </c>
      <c r="F33" t="s">
        <v>783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755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189</v>
      </c>
      <c r="E34" t="s">
        <v>349</v>
      </c>
      <c r="F34" t="s">
        <v>505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756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190</v>
      </c>
      <c r="E35" t="s">
        <v>350</v>
      </c>
      <c r="F35" t="s">
        <v>504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757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130"/>
  <sheetViews>
    <sheetView zoomScale="92" zoomScaleNormal="92" workbookViewId="0">
      <pane ySplit="1" topLeftCell="A62" activePane="bottomLeft" state="frozen"/>
      <selection pane="bottomLeft" sqref="A1:XFD1048576"/>
    </sheetView>
  </sheetViews>
  <sheetFormatPr defaultRowHeight="15"/>
  <cols>
    <col min="1" max="1" width="4.28515625" bestFit="1" customWidth="1"/>
    <col min="2" max="2" width="7.5703125" bestFit="1" customWidth="1"/>
    <col min="3" max="3" width="11.140625" bestFit="1" customWidth="1"/>
    <col min="4" max="4" width="9.5703125" bestFit="1" customWidth="1"/>
    <col min="5" max="5" width="15.42578125" bestFit="1" customWidth="1"/>
    <col min="6" max="6" width="9.7109375" bestFit="1" customWidth="1"/>
    <col min="7" max="7" width="26.28515625" bestFit="1" customWidth="1"/>
    <col min="8" max="8" width="39.7109375" bestFit="1" customWidth="1"/>
    <col min="9" max="9" width="21.7109375" bestFit="1" customWidth="1"/>
    <col min="10" max="11" width="12.42578125" bestFit="1" customWidth="1"/>
    <col min="12" max="12" width="9.7109375" bestFit="1" customWidth="1"/>
    <col min="13" max="13" width="10.140625" bestFit="1" customWidth="1"/>
    <col min="14" max="14" width="9.28515625" bestFit="1" customWidth="1"/>
    <col min="15" max="15" width="11.28515625" bestFit="1" customWidth="1"/>
    <col min="16" max="16" width="10" bestFit="1" customWidth="1"/>
  </cols>
  <sheetData>
    <row r="1" spans="1:16" s="1" customFormat="1">
      <c r="A1" s="17" t="s">
        <v>0</v>
      </c>
      <c r="B1" s="17" t="s">
        <v>97</v>
      </c>
      <c r="C1" s="17" t="s">
        <v>507</v>
      </c>
      <c r="D1" s="17" t="s">
        <v>98</v>
      </c>
      <c r="E1" s="17" t="s">
        <v>155</v>
      </c>
      <c r="F1" s="17" t="s">
        <v>70</v>
      </c>
      <c r="G1" s="17" t="s">
        <v>1</v>
      </c>
      <c r="H1" s="17" t="s">
        <v>67</v>
      </c>
      <c r="I1" s="17" t="s">
        <v>71</v>
      </c>
      <c r="J1" s="17" t="s">
        <v>632</v>
      </c>
      <c r="K1" s="17" t="s">
        <v>633</v>
      </c>
      <c r="L1" s="17" t="s">
        <v>634</v>
      </c>
      <c r="M1" s="17" t="s">
        <v>635</v>
      </c>
      <c r="N1" s="17" t="s">
        <v>638</v>
      </c>
      <c r="O1" s="17" t="s">
        <v>637</v>
      </c>
      <c r="P1" s="17" t="s">
        <v>636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728</v>
      </c>
      <c r="I2" s="20" t="s">
        <v>0</v>
      </c>
      <c r="J2" s="20" t="b">
        <f t="shared" ref="J2:K45" si="1">IF($G2="Id",TRUE,"")</f>
        <v>1</v>
      </c>
      <c r="K2" s="20" t="b">
        <f t="shared" si="1"/>
        <v>1</v>
      </c>
      <c r="L2" s="20" t="b">
        <f t="shared" ref="L2:M45" si="2">IF($G2="Id",FALSE,"")</f>
        <v>0</v>
      </c>
      <c r="M2" s="20" t="b">
        <f t="shared" si="2"/>
        <v>0</v>
      </c>
      <c r="N2" s="20"/>
      <c r="O2" s="20"/>
      <c r="P2" s="20" t="b">
        <f t="shared" ref="P2:P76" si="3">IF($G2="Id",FALSE,"")</f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4">IF(G3="Id",5,F2+5)</f>
        <v>10</v>
      </c>
      <c r="G3" s="20" t="str" cm="1">
        <f t="array" ref="G3">GetColumnName(C3,IF(B3=B2,G2,""))</f>
        <v>Name</v>
      </c>
      <c r="H3" s="20" t="s">
        <v>126</v>
      </c>
      <c r="I3" s="20" t="s">
        <v>99</v>
      </c>
      <c r="J3" s="20" t="str">
        <f t="shared" si="1"/>
        <v/>
      </c>
      <c r="K3" s="20" t="str">
        <f t="shared" si="1"/>
        <v/>
      </c>
      <c r="L3" s="20" t="str">
        <f t="shared" si="2"/>
        <v/>
      </c>
      <c r="M3" s="20" t="str">
        <f t="shared" si="2"/>
        <v/>
      </c>
      <c r="N3" s="20"/>
      <c r="O3" s="20"/>
      <c r="P3" s="20" t="str">
        <f t="shared" si="3"/>
        <v/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4"/>
        <v>15</v>
      </c>
      <c r="G4" s="20" t="str" cm="1">
        <f t="array" ref="G4">GetColumnName(C4,IF(B4=B3,G3,""))</f>
        <v>AskDefault</v>
      </c>
      <c r="H4" s="20" t="s">
        <v>177</v>
      </c>
      <c r="I4" s="20" t="s">
        <v>128</v>
      </c>
      <c r="J4" s="20" t="str">
        <f t="shared" si="1"/>
        <v/>
      </c>
      <c r="K4" s="20" t="str">
        <f t="shared" si="1"/>
        <v/>
      </c>
      <c r="L4" s="20" t="str">
        <f t="shared" si="2"/>
        <v/>
      </c>
      <c r="M4" s="20" t="str">
        <f t="shared" si="2"/>
        <v/>
      </c>
      <c r="N4" s="20"/>
      <c r="O4" s="20"/>
      <c r="P4" s="20" t="str">
        <f t="shared" si="3"/>
        <v/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4"/>
        <v>20</v>
      </c>
      <c r="G5" s="20" t="str" cm="1">
        <f t="array" ref="G5">GetColumnName(C5,IF(B5=B4,G4,""))</f>
        <v>AskMinimum</v>
      </c>
      <c r="H5" s="20" t="s">
        <v>176</v>
      </c>
      <c r="I5" s="20" t="s">
        <v>129</v>
      </c>
      <c r="J5" s="20" t="str">
        <f>IF($G5="Id",TRUE,"")</f>
        <v/>
      </c>
      <c r="K5" s="20" t="str">
        <f>IF($G5="Id",TRUE,"")</f>
        <v/>
      </c>
      <c r="L5" s="20" t="str">
        <f>IF($G5="Id",FALSE,"")</f>
        <v/>
      </c>
      <c r="M5" s="20" t="str">
        <f>IF($G5="Id",FALSE,"")</f>
        <v/>
      </c>
      <c r="N5" s="20"/>
      <c r="O5" s="20"/>
      <c r="P5" s="20" t="str">
        <f>IF($G5="Id",FALSE,"")</f>
        <v/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4"/>
        <v>25</v>
      </c>
      <c r="G6" s="20" t="str" cm="1">
        <f t="array" ref="G6">GetColumnName(C6,IF(B6=B5,G5,""))</f>
        <v>AskMaximum</v>
      </c>
      <c r="H6" s="20" t="s">
        <v>175</v>
      </c>
      <c r="I6" s="20" t="s">
        <v>130</v>
      </c>
      <c r="J6" s="20" t="str">
        <f>IF($G6="Id",TRUE,"")</f>
        <v/>
      </c>
      <c r="K6" s="20" t="str">
        <f>IF($G6="Id",TRUE,"")</f>
        <v/>
      </c>
      <c r="L6" s="20" t="str">
        <f>IF($G6="Id",FALSE,"")</f>
        <v/>
      </c>
      <c r="M6" s="20" t="str">
        <f>IF($G6="Id",FALSE,"")</f>
        <v/>
      </c>
      <c r="N6" s="20"/>
      <c r="O6" s="20"/>
      <c r="P6" s="20" t="str">
        <f>IF($G6="Id",FALSE,"")</f>
        <v/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4"/>
        <v>30</v>
      </c>
      <c r="G7" s="20" t="str" cm="1">
        <f t="array" ref="G7">GetColumnName(C7,IF(B7=B6,G6,""))</f>
        <v>AskInWords</v>
      </c>
      <c r="H7" s="20" t="s">
        <v>174</v>
      </c>
      <c r="I7" s="20" t="s">
        <v>173</v>
      </c>
      <c r="J7" s="20" t="str">
        <f t="shared" si="1"/>
        <v/>
      </c>
      <c r="K7" s="20" t="str">
        <f t="shared" si="1"/>
        <v/>
      </c>
      <c r="L7" s="20" t="str">
        <f t="shared" si="2"/>
        <v/>
      </c>
      <c r="M7" s="20" t="str">
        <f t="shared" si="2"/>
        <v/>
      </c>
      <c r="N7" s="20"/>
      <c r="O7" s="20"/>
      <c r="P7" s="20" t="str">
        <f t="shared" si="3"/>
        <v/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4"/>
        <v>35</v>
      </c>
      <c r="G8" s="20" t="str" cm="1">
        <f t="array" ref="G8">GetColumnName(C8,IF(B8=B7,G7,""))</f>
        <v>AskMask</v>
      </c>
      <c r="H8" s="20" t="s">
        <v>553</v>
      </c>
      <c r="I8" s="20" t="s">
        <v>127</v>
      </c>
      <c r="J8" s="20" t="str">
        <f t="shared" si="1"/>
        <v/>
      </c>
      <c r="K8" s="20" t="str">
        <f t="shared" si="1"/>
        <v/>
      </c>
      <c r="L8" s="20" t="str">
        <f t="shared" si="2"/>
        <v/>
      </c>
      <c r="M8" s="20" t="str">
        <f t="shared" si="2"/>
        <v/>
      </c>
      <c r="N8" s="20"/>
      <c r="O8" s="20"/>
      <c r="P8" s="20" t="str">
        <f t="shared" si="3"/>
        <v/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4"/>
        <v>40</v>
      </c>
      <c r="G9" s="20" t="str" cm="1">
        <f t="array" ref="G9">GetColumnName(C9,IF(B9=B8,G8,""))</f>
        <v>AskGridable</v>
      </c>
      <c r="H9" s="20" t="s">
        <v>552</v>
      </c>
      <c r="I9" s="20" t="s">
        <v>551</v>
      </c>
      <c r="J9" s="20" t="str">
        <f t="shared" si="1"/>
        <v/>
      </c>
      <c r="K9" s="20" t="str">
        <f t="shared" si="1"/>
        <v/>
      </c>
      <c r="L9" s="20" t="str">
        <f t="shared" si="2"/>
        <v/>
      </c>
      <c r="M9" s="20" t="str">
        <f t="shared" si="2"/>
        <v/>
      </c>
      <c r="N9" s="20"/>
      <c r="O9" s="20"/>
      <c r="P9" s="20" t="str">
        <f t="shared" si="3"/>
        <v/>
      </c>
    </row>
    <row r="10" spans="1:16">
      <c r="A10" s="20">
        <f t="shared" ref="A10:A83" si="5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4"/>
        <v>45</v>
      </c>
      <c r="G10" s="20" t="str" cm="1">
        <f t="array" ref="G10">GetColumnName(C10,IF(B10=B9,G9,""))</f>
        <v>AskFilterable</v>
      </c>
      <c r="H10" s="20" t="s">
        <v>546</v>
      </c>
      <c r="I10" s="20" t="s">
        <v>550</v>
      </c>
      <c r="J10" s="20" t="str">
        <f t="shared" si="1"/>
        <v/>
      </c>
      <c r="K10" s="20" t="str">
        <f t="shared" si="1"/>
        <v/>
      </c>
      <c r="L10" s="20" t="str">
        <f t="shared" si="2"/>
        <v/>
      </c>
      <c r="M10" s="20" t="str">
        <f t="shared" si="2"/>
        <v/>
      </c>
      <c r="N10" s="20"/>
      <c r="O10" s="20"/>
      <c r="P10" s="20" t="str">
        <f t="shared" si="3"/>
        <v/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4"/>
        <v>50</v>
      </c>
      <c r="G11" s="20" t="str" cm="1">
        <f t="array" ref="G11">GetColumnName(C11,IF(B11=B10,G10,""))</f>
        <v>AskEncrypted</v>
      </c>
      <c r="H11" s="20" t="s">
        <v>547</v>
      </c>
      <c r="I11" s="20" t="s">
        <v>548</v>
      </c>
      <c r="J11" s="20" t="str">
        <f t="shared" si="1"/>
        <v/>
      </c>
      <c r="K11" s="20" t="str">
        <f t="shared" si="1"/>
        <v/>
      </c>
      <c r="L11" s="20" t="str">
        <f t="shared" si="2"/>
        <v/>
      </c>
      <c r="M11" s="20" t="str">
        <f t="shared" si="2"/>
        <v/>
      </c>
      <c r="N11" s="20"/>
      <c r="O11" s="20"/>
      <c r="P11" s="20" t="str">
        <f t="shared" si="3"/>
        <v/>
      </c>
    </row>
    <row r="12" spans="1:16">
      <c r="A12" s="20">
        <f t="shared" si="5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4"/>
        <v>55</v>
      </c>
      <c r="G12" s="20" t="str" cm="1">
        <f t="array" ref="G12">GetColumnName(C12,IF(B12=B11,G11,""))</f>
        <v>AskListable</v>
      </c>
      <c r="H12" s="20" t="s">
        <v>549</v>
      </c>
      <c r="I12" s="20" t="s">
        <v>555</v>
      </c>
      <c r="J12" s="20" t="str">
        <f t="shared" si="1"/>
        <v/>
      </c>
      <c r="K12" s="20" t="str">
        <f t="shared" si="1"/>
        <v/>
      </c>
      <c r="L12" s="20" t="str">
        <f t="shared" si="2"/>
        <v/>
      </c>
      <c r="M12" s="20" t="str">
        <f t="shared" si="2"/>
        <v/>
      </c>
      <c r="N12" s="20"/>
      <c r="O12" s="20"/>
      <c r="P12" s="20" t="str">
        <f t="shared" si="3"/>
        <v/>
      </c>
    </row>
    <row r="13" spans="1:16">
      <c r="A13" s="18">
        <f t="shared" si="5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4"/>
        <v>5</v>
      </c>
      <c r="G13" s="18" t="str" cm="1">
        <f t="array" ref="G13">GetColumnName(C13,IF(B13=B12,G12,""))</f>
        <v>Id</v>
      </c>
      <c r="H13" s="18" t="s">
        <v>729</v>
      </c>
      <c r="I13" s="18" t="s">
        <v>0</v>
      </c>
      <c r="J13" s="18" t="b">
        <f t="shared" si="1"/>
        <v>1</v>
      </c>
      <c r="K13" s="18" t="b">
        <f t="shared" si="1"/>
        <v>1</v>
      </c>
      <c r="L13" s="18" t="b">
        <f t="shared" si="2"/>
        <v>0</v>
      </c>
      <c r="M13" s="18" t="b">
        <f t="shared" si="2"/>
        <v>0</v>
      </c>
      <c r="N13" s="18"/>
      <c r="O13" s="18"/>
      <c r="P13" s="18" t="b">
        <f t="shared" si="3"/>
        <v>0</v>
      </c>
    </row>
    <row r="14" spans="1:16">
      <c r="A14" s="18">
        <f t="shared" si="5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4"/>
        <v>10</v>
      </c>
      <c r="G14" s="18" t="str" cm="1">
        <f t="array" ref="G14">GetColumnName(C14,IF(B14=B13,G13,""))</f>
        <v>Symbol</v>
      </c>
      <c r="H14" s="18" t="s">
        <v>730</v>
      </c>
      <c r="I14" s="18" t="s">
        <v>732</v>
      </c>
      <c r="J14" s="18" t="str">
        <f t="shared" si="1"/>
        <v/>
      </c>
      <c r="K14" s="18" t="str">
        <f t="shared" si="1"/>
        <v/>
      </c>
      <c r="L14" s="18" t="str">
        <f t="shared" si="2"/>
        <v/>
      </c>
      <c r="M14" s="18" t="str">
        <f t="shared" si="2"/>
        <v/>
      </c>
      <c r="N14" s="18"/>
      <c r="O14" s="18"/>
      <c r="P14" s="18" t="str">
        <f t="shared" si="3"/>
        <v/>
      </c>
    </row>
    <row r="15" spans="1:16">
      <c r="A15" s="18">
        <f t="shared" si="5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4"/>
        <v>15</v>
      </c>
      <c r="G15" s="18" t="str" cm="1">
        <f t="array" ref="G15">GetColumnName(C15,IF(B15=B14,G14,""))</f>
        <v>Description</v>
      </c>
      <c r="H15" s="18" t="s">
        <v>731</v>
      </c>
      <c r="I15" s="18" t="s">
        <v>111</v>
      </c>
      <c r="J15" s="18" t="str">
        <f t="shared" si="1"/>
        <v/>
      </c>
      <c r="K15" s="18" t="str">
        <f t="shared" si="1"/>
        <v/>
      </c>
      <c r="L15" s="18" t="str">
        <f t="shared" si="2"/>
        <v/>
      </c>
      <c r="M15" s="18" t="str">
        <f t="shared" si="2"/>
        <v/>
      </c>
      <c r="N15" s="18"/>
      <c r="O15" s="18"/>
      <c r="P15" s="18" t="str">
        <f t="shared" si="3"/>
        <v/>
      </c>
    </row>
    <row r="16" spans="1:16">
      <c r="A16" s="18">
        <f t="shared" si="5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4"/>
        <v>20</v>
      </c>
      <c r="G16" s="18" t="str" cm="1">
        <f t="array" ref="G16">GetColumnName(C16,IF(B16=B15,G15,""))</f>
        <v>Arity</v>
      </c>
      <c r="H16" s="18" t="s">
        <v>733</v>
      </c>
      <c r="I16" s="18" t="s">
        <v>734</v>
      </c>
      <c r="J16" s="18" t="str">
        <f t="shared" si="1"/>
        <v/>
      </c>
      <c r="K16" s="18" t="str">
        <f t="shared" si="1"/>
        <v/>
      </c>
      <c r="L16" s="18" t="str">
        <f t="shared" si="2"/>
        <v/>
      </c>
      <c r="M16" s="18" t="str">
        <f t="shared" si="2"/>
        <v/>
      </c>
      <c r="N16" s="18"/>
      <c r="O16" s="18"/>
      <c r="P16" s="18" t="str">
        <f t="shared" si="3"/>
        <v/>
      </c>
    </row>
    <row r="17" spans="1:16">
      <c r="A17" s="20">
        <f t="shared" si="5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735</v>
      </c>
      <c r="I17" s="20" t="s">
        <v>0</v>
      </c>
      <c r="J17" s="20" t="b">
        <f t="shared" si="1"/>
        <v>1</v>
      </c>
      <c r="K17" s="20" t="b">
        <f t="shared" si="1"/>
        <v>1</v>
      </c>
      <c r="L17" s="20" t="b">
        <f t="shared" si="2"/>
        <v>0</v>
      </c>
      <c r="M17" s="20" t="b">
        <f t="shared" si="2"/>
        <v>0</v>
      </c>
      <c r="N17" s="20"/>
      <c r="O17" s="20"/>
      <c r="P17" s="20" t="b">
        <f t="shared" si="3"/>
        <v>0</v>
      </c>
    </row>
    <row r="18" spans="1:16">
      <c r="A18" s="20">
        <f t="shared" si="5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4"/>
        <v>10</v>
      </c>
      <c r="G18" s="20" t="str" cm="1">
        <f t="array" ref="G18">GetColumnName(C18,IF(B18=B17,G17,""))</f>
        <v>CategoryId</v>
      </c>
      <c r="H18" s="20" t="s">
        <v>736</v>
      </c>
      <c r="I18" s="20" t="s">
        <v>100</v>
      </c>
      <c r="J18" s="20" t="str">
        <f t="shared" si="1"/>
        <v/>
      </c>
      <c r="K18" s="20" t="str">
        <f t="shared" si="1"/>
        <v/>
      </c>
      <c r="L18" s="20" t="str">
        <f t="shared" si="2"/>
        <v/>
      </c>
      <c r="M18" s="20" t="str">
        <f t="shared" si="2"/>
        <v/>
      </c>
      <c r="N18" s="20"/>
      <c r="O18" s="20"/>
      <c r="P18" s="20" t="str">
        <f t="shared" si="3"/>
        <v/>
      </c>
    </row>
    <row r="19" spans="1:16">
      <c r="A19" s="20">
        <f t="shared" ref="A19:A27" si="6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4"/>
        <v>15</v>
      </c>
      <c r="G19" s="20" t="str" cm="1">
        <f t="array" ref="G19">GetColumnName(C19,IF(B19=B18,G18,""))</f>
        <v>ComparatorId</v>
      </c>
      <c r="H19" s="20" t="s">
        <v>792</v>
      </c>
      <c r="I19" s="20" t="s">
        <v>792</v>
      </c>
      <c r="J19" s="20" t="str">
        <f t="shared" ref="J19:K24" si="7">IF($G19="Id",TRUE,"")</f>
        <v/>
      </c>
      <c r="K19" s="20" t="str">
        <f t="shared" si="7"/>
        <v/>
      </c>
      <c r="L19" s="20" t="str">
        <f t="shared" ref="L19:M24" si="8">IF($G19="Id",FALSE,"")</f>
        <v/>
      </c>
      <c r="M19" s="20" t="str">
        <f t="shared" si="8"/>
        <v/>
      </c>
      <c r="N19" s="20"/>
      <c r="O19" s="20"/>
      <c r="P19" s="20" t="str">
        <f t="shared" ref="P19:P24" si="9">IF($G19="Id",FALSE,"")</f>
        <v/>
      </c>
    </row>
    <row r="20" spans="1:16">
      <c r="A20" s="18">
        <f t="shared" si="6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4"/>
        <v>5</v>
      </c>
      <c r="G20" s="18" t="str" cm="1">
        <f t="array" ref="G20">GetColumnName(C20,IF(B20=B19,G19,""))</f>
        <v>Id</v>
      </c>
      <c r="H20" s="18" t="s">
        <v>446</v>
      </c>
      <c r="I20" s="18" t="s">
        <v>0</v>
      </c>
      <c r="J20" s="18" t="b">
        <f t="shared" si="7"/>
        <v>1</v>
      </c>
      <c r="K20" s="18" t="b">
        <f t="shared" si="7"/>
        <v>1</v>
      </c>
      <c r="L20" s="18" t="b">
        <f t="shared" si="8"/>
        <v>0</v>
      </c>
      <c r="M20" s="18" t="b">
        <f t="shared" si="8"/>
        <v>0</v>
      </c>
      <c r="N20" s="18"/>
      <c r="O20" s="18"/>
      <c r="P20" s="18" t="b">
        <f t="shared" si="9"/>
        <v>0</v>
      </c>
    </row>
    <row r="21" spans="1:16">
      <c r="A21" s="18">
        <f t="shared" si="6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4"/>
        <v>10</v>
      </c>
      <c r="G21" s="18" t="str" cm="1">
        <f t="array" ref="G21">GetColumnName(C21,IF(B21=B20,G20,""))</f>
        <v>Name</v>
      </c>
      <c r="H21" s="18" t="s">
        <v>797</v>
      </c>
      <c r="I21" s="18" t="s">
        <v>99</v>
      </c>
      <c r="J21" s="18" t="str">
        <f t="shared" si="7"/>
        <v/>
      </c>
      <c r="K21" s="18" t="str">
        <f t="shared" si="7"/>
        <v/>
      </c>
      <c r="L21" s="18" t="str">
        <f t="shared" si="8"/>
        <v/>
      </c>
      <c r="M21" s="18" t="str">
        <f t="shared" si="8"/>
        <v/>
      </c>
      <c r="N21" s="18"/>
      <c r="O21" s="18"/>
      <c r="P21" s="18" t="str">
        <f t="shared" si="9"/>
        <v/>
      </c>
    </row>
    <row r="22" spans="1:16">
      <c r="A22" s="18">
        <f t="shared" si="6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4"/>
        <v>15</v>
      </c>
      <c r="G22" s="18" t="str" cm="1">
        <f t="array" ref="G22">GetColumnName(C22,IF(B22=B21,G21,""))</f>
        <v>Provider</v>
      </c>
      <c r="H22" s="18" t="s">
        <v>531</v>
      </c>
      <c r="I22" s="18" t="s">
        <v>532</v>
      </c>
      <c r="J22" s="18" t="str">
        <f t="shared" si="7"/>
        <v/>
      </c>
      <c r="K22" s="18" t="str">
        <f t="shared" si="7"/>
        <v/>
      </c>
      <c r="L22" s="18" t="str">
        <f t="shared" si="8"/>
        <v/>
      </c>
      <c r="M22" s="18" t="str">
        <f t="shared" si="8"/>
        <v/>
      </c>
      <c r="N22" s="18"/>
      <c r="O22" s="18"/>
      <c r="P22" s="18" t="str">
        <f t="shared" si="9"/>
        <v/>
      </c>
    </row>
    <row r="23" spans="1:16">
      <c r="A23" s="18">
        <f t="shared" si="6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4"/>
        <v>20</v>
      </c>
      <c r="G23" s="18" t="str" cm="1">
        <f t="array" ref="G23">GetColumnName(C23,IF(B23=B22,G22,""))</f>
        <v>AskDirectory</v>
      </c>
      <c r="H23" s="18" t="s">
        <v>533</v>
      </c>
      <c r="I23" s="18" t="s">
        <v>534</v>
      </c>
      <c r="J23" s="18" t="str">
        <f t="shared" si="7"/>
        <v/>
      </c>
      <c r="K23" s="18" t="str">
        <f t="shared" si="7"/>
        <v/>
      </c>
      <c r="L23" s="18" t="str">
        <f t="shared" si="8"/>
        <v/>
      </c>
      <c r="M23" s="18" t="str">
        <f t="shared" si="8"/>
        <v/>
      </c>
      <c r="N23" s="18"/>
      <c r="O23" s="18"/>
      <c r="P23" s="18" t="str">
        <f t="shared" si="9"/>
        <v/>
      </c>
    </row>
    <row r="24" spans="1:16">
      <c r="A24" s="18">
        <f t="shared" si="6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4"/>
        <v>25</v>
      </c>
      <c r="G24" s="18" t="str" cm="1">
        <f t="array" ref="G24">GetColumnName(C24,IF(B24=B23,G23,""))</f>
        <v>IsActive</v>
      </c>
      <c r="H24" s="18" t="s">
        <v>804</v>
      </c>
      <c r="I24" s="18" t="s">
        <v>114</v>
      </c>
      <c r="J24" s="18" t="str">
        <f t="shared" si="7"/>
        <v/>
      </c>
      <c r="K24" s="18" t="str">
        <f t="shared" si="7"/>
        <v/>
      </c>
      <c r="L24" s="18" t="str">
        <f t="shared" si="8"/>
        <v/>
      </c>
      <c r="M24" s="18" t="str">
        <f t="shared" si="8"/>
        <v/>
      </c>
      <c r="N24" s="18"/>
      <c r="O24" s="18"/>
      <c r="P24" s="18" t="str">
        <f t="shared" si="9"/>
        <v/>
      </c>
    </row>
    <row r="25" spans="1:16">
      <c r="A25" s="20">
        <f t="shared" si="6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4"/>
        <v>5</v>
      </c>
      <c r="G25" s="20" t="str" cm="1">
        <f t="array" ref="G25">GetColumnName(C25,IF(B25=B24,G24,""))</f>
        <v>Id</v>
      </c>
      <c r="H25" s="20" t="s">
        <v>556</v>
      </c>
      <c r="I25" s="20" t="s">
        <v>0</v>
      </c>
      <c r="J25" s="20" t="b">
        <f t="shared" si="1"/>
        <v>1</v>
      </c>
      <c r="K25" s="20" t="b">
        <f t="shared" si="1"/>
        <v>1</v>
      </c>
      <c r="L25" s="20" t="b">
        <f t="shared" si="2"/>
        <v>0</v>
      </c>
      <c r="M25" s="20" t="b">
        <f t="shared" si="2"/>
        <v>0</v>
      </c>
      <c r="N25" s="20"/>
      <c r="O25" s="20"/>
      <c r="P25" s="20" t="b">
        <f t="shared" si="3"/>
        <v>0</v>
      </c>
    </row>
    <row r="26" spans="1:16">
      <c r="A26" s="20">
        <f t="shared" si="6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4"/>
        <v>10</v>
      </c>
      <c r="G26" s="20" t="str" cm="1">
        <f t="array" ref="G26">GetColumnName(C26,IF(B26=B25,G25,""))</f>
        <v>CategoryId</v>
      </c>
      <c r="H26" s="20" t="s">
        <v>798</v>
      </c>
      <c r="I26" s="20" t="s">
        <v>100</v>
      </c>
      <c r="J26" s="20" t="str">
        <f t="shared" si="1"/>
        <v/>
      </c>
      <c r="K26" s="20" t="str">
        <f t="shared" si="1"/>
        <v/>
      </c>
      <c r="L26" s="20" t="str">
        <f t="shared" si="2"/>
        <v/>
      </c>
      <c r="M26" s="20" t="str">
        <f t="shared" si="2"/>
        <v/>
      </c>
      <c r="N26" s="20"/>
      <c r="O26" s="20"/>
      <c r="P26" s="20" t="str">
        <f t="shared" si="3"/>
        <v/>
      </c>
    </row>
    <row r="27" spans="1:16">
      <c r="A27" s="20">
        <f t="shared" si="6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4"/>
        <v>15</v>
      </c>
      <c r="G27" s="20" t="str" cm="1">
        <f t="array" ref="G27">GetColumnName(C27,IF(B27=B26,G26,""))</f>
        <v>Name</v>
      </c>
      <c r="H27" s="20" t="s">
        <v>557</v>
      </c>
      <c r="I27" s="20" t="s">
        <v>99</v>
      </c>
      <c r="J27" s="20" t="str">
        <f t="shared" si="1"/>
        <v/>
      </c>
      <c r="K27" s="20" t="str">
        <f t="shared" si="1"/>
        <v/>
      </c>
      <c r="L27" s="20" t="str">
        <f t="shared" si="2"/>
        <v/>
      </c>
      <c r="M27" s="20" t="str">
        <f t="shared" si="2"/>
        <v/>
      </c>
      <c r="N27" s="20"/>
      <c r="O27" s="20"/>
      <c r="P27" s="20" t="str">
        <f t="shared" si="3"/>
        <v/>
      </c>
    </row>
    <row r="28" spans="1:16">
      <c r="A28" s="20">
        <f t="shared" si="5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4"/>
        <v>20</v>
      </c>
      <c r="G28" s="20" t="str" cm="1">
        <f t="array" ref="G28">GetColumnName(C28,IF(B28=B27,G27,""))</f>
        <v>Minimum</v>
      </c>
      <c r="H28" s="20" t="s">
        <v>558</v>
      </c>
      <c r="I28" s="20" t="s">
        <v>559</v>
      </c>
      <c r="J28" s="20" t="str">
        <f t="shared" si="1"/>
        <v/>
      </c>
      <c r="K28" s="20" t="str">
        <f t="shared" si="1"/>
        <v/>
      </c>
      <c r="L28" s="20" t="str">
        <f t="shared" si="2"/>
        <v/>
      </c>
      <c r="M28" s="20" t="str">
        <f t="shared" si="2"/>
        <v/>
      </c>
      <c r="N28" s="20"/>
      <c r="O28" s="20"/>
      <c r="P28" s="20" t="str">
        <f t="shared" si="3"/>
        <v/>
      </c>
    </row>
    <row r="29" spans="1:16">
      <c r="A29" s="20">
        <f t="shared" si="5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4"/>
        <v>25</v>
      </c>
      <c r="G29" s="20" t="str" cm="1">
        <f t="array" ref="G29">GetColumnName(C29,IF(B29=B28,G28,""))</f>
        <v>Maximum</v>
      </c>
      <c r="H29" s="20" t="s">
        <v>560</v>
      </c>
      <c r="I29" s="20" t="s">
        <v>564</v>
      </c>
      <c r="J29" s="20" t="str">
        <f t="shared" si="1"/>
        <v/>
      </c>
      <c r="K29" s="20" t="str">
        <f t="shared" si="1"/>
        <v/>
      </c>
      <c r="L29" s="20" t="str">
        <f t="shared" si="2"/>
        <v/>
      </c>
      <c r="M29" s="20" t="str">
        <f t="shared" si="2"/>
        <v/>
      </c>
      <c r="N29" s="20"/>
      <c r="O29" s="20"/>
      <c r="P29" s="20" t="str">
        <f t="shared" si="3"/>
        <v/>
      </c>
    </row>
    <row r="30" spans="1:16">
      <c r="A30" s="20">
        <f t="shared" si="5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4"/>
        <v>30</v>
      </c>
      <c r="G30" s="20" t="str" cm="1">
        <f t="array" ref="G30">GetColumnName(C30,IF(B30=B29,G29,""))</f>
        <v>AskLength</v>
      </c>
      <c r="H30" s="20" t="s">
        <v>561</v>
      </c>
      <c r="I30" s="20" t="s">
        <v>561</v>
      </c>
      <c r="J30" s="20" t="str">
        <f t="shared" si="1"/>
        <v/>
      </c>
      <c r="K30" s="20" t="str">
        <f t="shared" si="1"/>
        <v/>
      </c>
      <c r="L30" s="20" t="str">
        <f t="shared" si="2"/>
        <v/>
      </c>
      <c r="M30" s="20" t="str">
        <f t="shared" si="2"/>
        <v/>
      </c>
      <c r="N30" s="20"/>
      <c r="O30" s="20"/>
      <c r="P30" s="20" t="str">
        <f t="shared" si="3"/>
        <v/>
      </c>
    </row>
    <row r="31" spans="1:16">
      <c r="A31" s="20">
        <f t="shared" si="5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4"/>
        <v>35</v>
      </c>
      <c r="G31" s="20" t="str" cm="1">
        <f t="array" ref="G31">GetColumnName(C31,IF(B31=B30,G30,""))</f>
        <v>AskDecimals</v>
      </c>
      <c r="H31" s="20" t="s">
        <v>562</v>
      </c>
      <c r="I31" s="20" t="s">
        <v>562</v>
      </c>
      <c r="J31" s="20" t="str">
        <f t="shared" si="1"/>
        <v/>
      </c>
      <c r="K31" s="20" t="str">
        <f t="shared" si="1"/>
        <v/>
      </c>
      <c r="L31" s="20" t="str">
        <f t="shared" si="2"/>
        <v/>
      </c>
      <c r="M31" s="20" t="str">
        <f t="shared" si="2"/>
        <v/>
      </c>
      <c r="N31" s="20"/>
      <c r="O31" s="20"/>
      <c r="P31" s="20" t="str">
        <f t="shared" si="3"/>
        <v/>
      </c>
    </row>
    <row r="32" spans="1:16">
      <c r="A32" s="20">
        <f t="shared" si="5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4"/>
        <v>40</v>
      </c>
      <c r="G32" s="20" t="str" cm="1">
        <f t="array" ref="G32">GetColumnName(C32,IF(B32=B31,G31,""))</f>
        <v>AskPrimarykey</v>
      </c>
      <c r="H32" s="20" t="s">
        <v>813</v>
      </c>
      <c r="I32" s="20" t="s">
        <v>813</v>
      </c>
      <c r="J32" s="20" t="str">
        <f t="shared" si="1"/>
        <v/>
      </c>
      <c r="K32" s="20" t="str">
        <f t="shared" si="1"/>
        <v/>
      </c>
      <c r="L32" s="20" t="str">
        <f t="shared" si="2"/>
        <v/>
      </c>
      <c r="M32" s="20" t="str">
        <f t="shared" si="2"/>
        <v/>
      </c>
      <c r="N32" s="20"/>
      <c r="O32" s="20"/>
      <c r="P32" s="20" t="str">
        <f t="shared" si="3"/>
        <v/>
      </c>
    </row>
    <row r="33" spans="1:16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4"/>
        <v>45</v>
      </c>
      <c r="G33" s="20" t="str" cm="1">
        <f t="array" ref="G33">GetColumnName(C33,IF(B33=B32,G32,""))</f>
        <v>AskAutoincrement</v>
      </c>
      <c r="H33" s="20" t="s">
        <v>563</v>
      </c>
      <c r="I33" s="20" t="s">
        <v>563</v>
      </c>
      <c r="J33" s="20" t="str">
        <f t="shared" si="1"/>
        <v/>
      </c>
      <c r="K33" s="20" t="str">
        <f t="shared" si="1"/>
        <v/>
      </c>
      <c r="L33" s="20" t="str">
        <f t="shared" si="2"/>
        <v/>
      </c>
      <c r="M33" s="20" t="str">
        <f t="shared" si="2"/>
        <v/>
      </c>
      <c r="N33" s="20"/>
      <c r="O33" s="20"/>
      <c r="P33" s="20" t="str">
        <f t="shared" si="3"/>
        <v/>
      </c>
    </row>
    <row r="34" spans="1:16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4"/>
        <v>50</v>
      </c>
      <c r="G34" s="20" t="str" cm="1">
        <f t="array" ref="G34">GetColumnName(C34,IF(B34=B33,G33,""))</f>
        <v>IsActive</v>
      </c>
      <c r="H34" s="20" t="s">
        <v>568</v>
      </c>
      <c r="I34" s="20" t="s">
        <v>114</v>
      </c>
      <c r="J34" s="20" t="str">
        <f t="shared" si="1"/>
        <v/>
      </c>
      <c r="K34" s="20" t="str">
        <f t="shared" si="1"/>
        <v/>
      </c>
      <c r="L34" s="20" t="str">
        <f t="shared" si="2"/>
        <v/>
      </c>
      <c r="M34" s="20" t="str">
        <f t="shared" si="2"/>
        <v/>
      </c>
      <c r="N34" s="20"/>
      <c r="O34" s="20"/>
      <c r="P34" s="20" t="str">
        <f t="shared" si="3"/>
        <v/>
      </c>
    </row>
    <row r="35" spans="1:16">
      <c r="A35" s="18">
        <f t="shared" si="5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4"/>
        <v>5</v>
      </c>
      <c r="G35" s="18" t="str" cm="1">
        <f t="array" ref="G35">GetColumnName(C35,IF(B35=B34,G34,""))</f>
        <v>Id</v>
      </c>
      <c r="H35" s="18" t="s">
        <v>581</v>
      </c>
      <c r="I35" s="18" t="s">
        <v>0</v>
      </c>
      <c r="J35" s="18" t="b">
        <f t="shared" si="1"/>
        <v>1</v>
      </c>
      <c r="K35" s="18" t="b">
        <f t="shared" si="1"/>
        <v>1</v>
      </c>
      <c r="L35" s="18" t="b">
        <f t="shared" si="2"/>
        <v>0</v>
      </c>
      <c r="M35" s="18" t="b">
        <f t="shared" si="2"/>
        <v>0</v>
      </c>
      <c r="N35" s="18"/>
      <c r="O35" s="18"/>
      <c r="P35" s="18" t="b">
        <f t="shared" si="3"/>
        <v>0</v>
      </c>
    </row>
    <row r="36" spans="1:16">
      <c r="A36" s="18">
        <f t="shared" si="5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4"/>
        <v>10</v>
      </c>
      <c r="G36" s="18" t="str" cm="1">
        <f t="array" ref="G36">GetColumnName(C36,IF(B36=B35,G35,""))</f>
        <v>EngineId</v>
      </c>
      <c r="H36" s="18" t="s">
        <v>805</v>
      </c>
      <c r="I36" s="18" t="s">
        <v>464</v>
      </c>
      <c r="J36" s="18" t="str">
        <f t="shared" si="1"/>
        <v/>
      </c>
      <c r="K36" s="18" t="str">
        <f t="shared" si="1"/>
        <v/>
      </c>
      <c r="L36" s="18" t="str">
        <f t="shared" si="2"/>
        <v/>
      </c>
      <c r="M36" s="18" t="str">
        <f t="shared" si="2"/>
        <v/>
      </c>
      <c r="N36" s="18"/>
      <c r="O36" s="18"/>
      <c r="P36" s="18" t="str">
        <f t="shared" si="3"/>
        <v/>
      </c>
    </row>
    <row r="37" spans="1:16">
      <c r="A37" s="18">
        <f t="shared" si="5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4"/>
        <v>15</v>
      </c>
      <c r="G37" s="18" t="str" cm="1">
        <f t="array" ref="G37">GetColumnName(C37,IF(B37=B36,G36,""))</f>
        <v>TypeId</v>
      </c>
      <c r="H37" s="18" t="s">
        <v>556</v>
      </c>
      <c r="I37" s="18" t="s">
        <v>101</v>
      </c>
      <c r="J37" s="18" t="str">
        <f t="shared" si="1"/>
        <v/>
      </c>
      <c r="K37" s="18" t="str">
        <f t="shared" si="1"/>
        <v/>
      </c>
      <c r="L37" s="18" t="str">
        <f t="shared" si="2"/>
        <v/>
      </c>
      <c r="M37" s="18" t="str">
        <f t="shared" si="2"/>
        <v/>
      </c>
      <c r="N37" s="18"/>
      <c r="O37" s="18"/>
      <c r="P37" s="18" t="str">
        <f t="shared" si="3"/>
        <v/>
      </c>
    </row>
    <row r="38" spans="1:16">
      <c r="A38" s="18">
        <f t="shared" si="5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4"/>
        <v>20</v>
      </c>
      <c r="G38" s="18" t="str" cm="1">
        <f t="array" ref="G38">GetColumnName(C38,IF(B38=B37,G37,""))</f>
        <v>Name</v>
      </c>
      <c r="H38" s="18" t="s">
        <v>582</v>
      </c>
      <c r="I38" s="18" t="s">
        <v>99</v>
      </c>
      <c r="J38" s="18" t="str">
        <f t="shared" si="1"/>
        <v/>
      </c>
      <c r="K38" s="18" t="str">
        <f t="shared" si="1"/>
        <v/>
      </c>
      <c r="L38" s="18" t="str">
        <f t="shared" si="2"/>
        <v/>
      </c>
      <c r="M38" s="18" t="str">
        <f t="shared" si="2"/>
        <v/>
      </c>
      <c r="N38" s="18"/>
      <c r="O38" s="18"/>
      <c r="P38" s="18" t="str">
        <f t="shared" si="3"/>
        <v/>
      </c>
    </row>
    <row r="39" spans="1:16">
      <c r="A39" s="18">
        <f t="shared" si="5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4"/>
        <v>25</v>
      </c>
      <c r="G39" s="18" t="str" cm="1">
        <f t="array" ref="G39">GetColumnName(C39,IF(B39=B38,G38,""))</f>
        <v>Length</v>
      </c>
      <c r="H39" s="18" t="s">
        <v>799</v>
      </c>
      <c r="I39" s="18" t="s">
        <v>104</v>
      </c>
      <c r="J39" s="18" t="str">
        <f t="shared" si="1"/>
        <v/>
      </c>
      <c r="K39" s="18" t="str">
        <f t="shared" si="1"/>
        <v/>
      </c>
      <c r="L39" s="18" t="str">
        <f t="shared" si="2"/>
        <v/>
      </c>
      <c r="M39" s="18" t="str">
        <f t="shared" si="2"/>
        <v/>
      </c>
      <c r="N39" s="18"/>
      <c r="O39" s="18"/>
      <c r="P39" s="18" t="str">
        <f t="shared" si="3"/>
        <v/>
      </c>
    </row>
    <row r="40" spans="1:16">
      <c r="A40" s="18">
        <f t="shared" si="5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4"/>
        <v>30</v>
      </c>
      <c r="G40" s="18" t="str" cm="1">
        <f t="array" ref="G40">GetColumnName(C40,IF(B40=B39,G39,""))</f>
        <v>Decimals</v>
      </c>
      <c r="H40" s="18" t="s">
        <v>800</v>
      </c>
      <c r="I40" s="18" t="s">
        <v>106</v>
      </c>
      <c r="J40" s="18" t="str">
        <f t="shared" si="1"/>
        <v/>
      </c>
      <c r="K40" s="18" t="str">
        <f t="shared" si="1"/>
        <v/>
      </c>
      <c r="L40" s="18" t="str">
        <f t="shared" si="2"/>
        <v/>
      </c>
      <c r="M40" s="18" t="str">
        <f t="shared" si="2"/>
        <v/>
      </c>
      <c r="N40" s="18"/>
      <c r="O40" s="18"/>
      <c r="P40" s="18" t="str">
        <f t="shared" si="3"/>
        <v/>
      </c>
    </row>
    <row r="41" spans="1:16">
      <c r="A41" s="20">
        <f t="shared" si="5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4"/>
        <v>5</v>
      </c>
      <c r="G41" s="20" t="str" cm="1">
        <f t="array" ref="G41">GetColumnName(C41,IF(B41=B40,G40,""))</f>
        <v>Id</v>
      </c>
      <c r="H41" s="20" t="s">
        <v>590</v>
      </c>
      <c r="I41" s="20" t="s">
        <v>0</v>
      </c>
      <c r="J41" s="20" t="b">
        <f t="shared" si="1"/>
        <v>1</v>
      </c>
      <c r="K41" s="20" t="b">
        <f t="shared" si="1"/>
        <v>1</v>
      </c>
      <c r="L41" s="20" t="b">
        <f t="shared" si="2"/>
        <v>0</v>
      </c>
      <c r="M41" s="20" t="b">
        <f t="shared" si="2"/>
        <v>0</v>
      </c>
      <c r="N41" s="20"/>
      <c r="O41" s="20"/>
      <c r="P41" s="20" t="b">
        <f t="shared" si="3"/>
        <v>0</v>
      </c>
    </row>
    <row r="42" spans="1:16">
      <c r="A42" s="20">
        <f t="shared" si="5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4"/>
        <v>10</v>
      </c>
      <c r="G42" s="20" t="str" cm="1">
        <f t="array" ref="G42">GetColumnName(C42,IF(B42=B41,G41,""))</f>
        <v>Name</v>
      </c>
      <c r="H42" s="20" t="s">
        <v>565</v>
      </c>
      <c r="I42" s="20" t="s">
        <v>99</v>
      </c>
      <c r="J42" s="20" t="str">
        <f t="shared" si="1"/>
        <v/>
      </c>
      <c r="K42" s="20" t="str">
        <f t="shared" si="1"/>
        <v/>
      </c>
      <c r="L42" s="20" t="str">
        <f t="shared" si="2"/>
        <v/>
      </c>
      <c r="M42" s="20" t="str">
        <f t="shared" si="2"/>
        <v/>
      </c>
      <c r="N42" s="20"/>
      <c r="O42" s="20"/>
      <c r="P42" s="20" t="str">
        <f t="shared" si="3"/>
        <v/>
      </c>
    </row>
    <row r="43" spans="1:16">
      <c r="A43" s="20">
        <f t="shared" si="5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4"/>
        <v>15</v>
      </c>
      <c r="G43" s="20" t="str" cm="1">
        <f t="array" ref="G43">GetColumnName(C43,IF(B43=B42,G42,""))</f>
        <v>Logo</v>
      </c>
      <c r="H43" s="20" t="s">
        <v>796</v>
      </c>
      <c r="I43" s="20" t="s">
        <v>567</v>
      </c>
      <c r="J43" s="20" t="str">
        <f t="shared" si="1"/>
        <v/>
      </c>
      <c r="K43" s="20" t="str">
        <f t="shared" si="1"/>
        <v/>
      </c>
      <c r="L43" s="20" t="str">
        <f t="shared" si="2"/>
        <v/>
      </c>
      <c r="M43" s="20" t="str">
        <f t="shared" si="2"/>
        <v/>
      </c>
      <c r="N43" s="20"/>
      <c r="O43" s="20"/>
      <c r="P43" s="20" t="str">
        <f t="shared" si="3"/>
        <v/>
      </c>
    </row>
    <row r="44" spans="1:16">
      <c r="A44" s="20">
        <f t="shared" si="5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4"/>
        <v>20</v>
      </c>
      <c r="G44" s="20" t="str" cm="1">
        <f t="array" ref="G44">GetColumnName(C44,IF(B44=B43,G43,""))</f>
        <v>EngineId</v>
      </c>
      <c r="H44" s="20" t="s">
        <v>446</v>
      </c>
      <c r="I44" s="20" t="s">
        <v>464</v>
      </c>
      <c r="J44" s="20" t="str">
        <f t="shared" si="1"/>
        <v/>
      </c>
      <c r="K44" s="20" t="str">
        <f t="shared" si="1"/>
        <v/>
      </c>
      <c r="L44" s="20" t="str">
        <f t="shared" si="2"/>
        <v/>
      </c>
      <c r="M44" s="20" t="str">
        <f t="shared" si="2"/>
        <v/>
      </c>
      <c r="N44" s="20"/>
      <c r="O44" s="20"/>
      <c r="P44" s="20" t="str">
        <f t="shared" si="3"/>
        <v/>
      </c>
    </row>
    <row r="45" spans="1:16">
      <c r="A45" s="20">
        <f t="shared" si="5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4"/>
        <v>25</v>
      </c>
      <c r="G45" s="20" t="str" cm="1">
        <f t="array" ref="G45">GetColumnName(C45,IF(B45=B44,G44,""))</f>
        <v>IsActive</v>
      </c>
      <c r="H45" s="20" t="s">
        <v>806</v>
      </c>
      <c r="I45" s="20" t="s">
        <v>114</v>
      </c>
      <c r="J45" s="20" t="str">
        <f t="shared" si="1"/>
        <v/>
      </c>
      <c r="K45" s="20" t="str">
        <f t="shared" si="1"/>
        <v/>
      </c>
      <c r="L45" s="20" t="str">
        <f t="shared" si="2"/>
        <v/>
      </c>
      <c r="M45" s="20" t="str">
        <f t="shared" si="2"/>
        <v/>
      </c>
      <c r="N45" s="20"/>
      <c r="O45" s="20"/>
      <c r="P45" s="20" t="str">
        <f t="shared" si="3"/>
        <v/>
      </c>
    </row>
    <row r="46" spans="1:16">
      <c r="A46" s="18">
        <f t="shared" si="5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4"/>
        <v>5</v>
      </c>
      <c r="G46" s="18" t="str" cm="1">
        <f t="array" ref="G46">GetColumnName(C46,IF(B46=B45,G45,""))</f>
        <v>Id</v>
      </c>
      <c r="H46" s="18" t="s">
        <v>569</v>
      </c>
      <c r="I46" s="18" t="s">
        <v>0</v>
      </c>
      <c r="J46" s="18" t="b">
        <f t="shared" ref="J46:K76" si="10">IF($G46="Id",TRUE,"")</f>
        <v>1</v>
      </c>
      <c r="K46" s="18" t="b">
        <f t="shared" si="10"/>
        <v>1</v>
      </c>
      <c r="L46" s="18" t="b">
        <f t="shared" ref="L46:M76" si="11">IF($G46="Id",FALSE,"")</f>
        <v>0</v>
      </c>
      <c r="M46" s="18" t="b">
        <f t="shared" si="11"/>
        <v>0</v>
      </c>
      <c r="N46" s="18"/>
      <c r="O46" s="18"/>
      <c r="P46" s="18" t="b">
        <f t="shared" si="3"/>
        <v>0</v>
      </c>
    </row>
    <row r="47" spans="1:16">
      <c r="A47" s="18">
        <f t="shared" si="5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4"/>
        <v>10</v>
      </c>
      <c r="G47" s="18" t="str" cm="1">
        <f t="array" ref="G47">GetColumnName(C47,IF(B47=B46,G46,""))</f>
        <v>ClientId</v>
      </c>
      <c r="H47" s="18" t="s">
        <v>570</v>
      </c>
      <c r="I47" s="18" t="s">
        <v>101</v>
      </c>
      <c r="J47" s="18" t="str">
        <f t="shared" si="10"/>
        <v/>
      </c>
      <c r="K47" s="18" t="str">
        <f t="shared" si="10"/>
        <v/>
      </c>
      <c r="L47" s="18" t="str">
        <f t="shared" si="11"/>
        <v/>
      </c>
      <c r="M47" s="18" t="str">
        <f t="shared" si="11"/>
        <v/>
      </c>
      <c r="N47" s="18"/>
      <c r="O47" s="18"/>
      <c r="P47" s="18" t="str">
        <f t="shared" si="3"/>
        <v/>
      </c>
    </row>
    <row r="48" spans="1:16">
      <c r="A48" s="18">
        <f t="shared" si="5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4"/>
        <v>15</v>
      </c>
      <c r="G48" s="18" t="str" cm="1">
        <f t="array" ref="G48">GetColumnName(C48,IF(B48=B47,G47,""))</f>
        <v>TypeId</v>
      </c>
      <c r="H48" s="18" t="s">
        <v>102</v>
      </c>
      <c r="I48" s="18" t="s">
        <v>99</v>
      </c>
      <c r="J48" s="18" t="str">
        <f t="shared" si="10"/>
        <v/>
      </c>
      <c r="K48" s="18" t="str">
        <f t="shared" si="10"/>
        <v/>
      </c>
      <c r="L48" s="18" t="str">
        <f t="shared" si="11"/>
        <v/>
      </c>
      <c r="M48" s="18" t="str">
        <f t="shared" si="11"/>
        <v/>
      </c>
      <c r="N48" s="18"/>
      <c r="O48" s="18"/>
      <c r="P48" s="18" t="str">
        <f t="shared" si="3"/>
        <v/>
      </c>
    </row>
    <row r="49" spans="1:16">
      <c r="A49" s="18">
        <f t="shared" si="5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4"/>
        <v>20</v>
      </c>
      <c r="G49" s="18" t="str" cm="1">
        <f t="array" ref="G49">GetColumnName(C49,IF(B49=B48,G48,""))</f>
        <v>Name</v>
      </c>
      <c r="H49" s="18" t="s">
        <v>103</v>
      </c>
      <c r="I49" s="18" t="s">
        <v>104</v>
      </c>
      <c r="J49" s="18" t="str">
        <f t="shared" si="10"/>
        <v/>
      </c>
      <c r="K49" s="18" t="str">
        <f t="shared" si="10"/>
        <v/>
      </c>
      <c r="L49" s="18" t="str">
        <f t="shared" si="11"/>
        <v/>
      </c>
      <c r="M49" s="18" t="str">
        <f t="shared" si="11"/>
        <v/>
      </c>
      <c r="N49" s="18"/>
      <c r="O49" s="18"/>
      <c r="P49" s="18" t="str">
        <f t="shared" si="3"/>
        <v/>
      </c>
    </row>
    <row r="50" spans="1:16">
      <c r="A50" s="18">
        <f t="shared" si="5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4"/>
        <v>25</v>
      </c>
      <c r="G50" s="18" t="str" cm="1">
        <f t="array" ref="G50">GetColumnName(C50,IF(B50=B49,G49,""))</f>
        <v>Length</v>
      </c>
      <c r="H50" s="18" t="s">
        <v>105</v>
      </c>
      <c r="I50" s="18" t="s">
        <v>106</v>
      </c>
      <c r="J50" s="18" t="str">
        <f t="shared" si="10"/>
        <v/>
      </c>
      <c r="K50" s="18" t="str">
        <f t="shared" si="10"/>
        <v/>
      </c>
      <c r="L50" s="18" t="str">
        <f t="shared" si="11"/>
        <v/>
      </c>
      <c r="M50" s="18" t="str">
        <f t="shared" si="11"/>
        <v/>
      </c>
      <c r="N50" s="18"/>
      <c r="O50" s="18"/>
      <c r="P50" s="18" t="str">
        <f t="shared" si="3"/>
        <v/>
      </c>
    </row>
    <row r="51" spans="1:16">
      <c r="A51" s="18">
        <f t="shared" si="5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4"/>
        <v>30</v>
      </c>
      <c r="G51" s="18" t="str" cm="1">
        <f t="array" ref="G51">GetColumnName(C51,IF(B51=B50,G50,""))</f>
        <v>Decimals</v>
      </c>
      <c r="H51" s="18" t="s">
        <v>571</v>
      </c>
      <c r="I51" s="18" t="s">
        <v>141</v>
      </c>
      <c r="J51" s="18" t="str">
        <f t="shared" si="10"/>
        <v/>
      </c>
      <c r="K51" s="18" t="str">
        <f t="shared" si="10"/>
        <v/>
      </c>
      <c r="L51" s="18" t="str">
        <f t="shared" si="11"/>
        <v/>
      </c>
      <c r="M51" s="18" t="str">
        <f t="shared" si="11"/>
        <v/>
      </c>
      <c r="N51" s="18"/>
      <c r="O51" s="18"/>
      <c r="P51" s="18" t="str">
        <f t="shared" si="3"/>
        <v/>
      </c>
    </row>
    <row r="52" spans="1:16">
      <c r="A52" s="18">
        <f t="shared" si="5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4"/>
        <v>35</v>
      </c>
      <c r="G52" s="18" t="str" cm="1">
        <f t="array" ref="G52">GetColumnName(C52,IF(B52=B51,G51,""))</f>
        <v>Default</v>
      </c>
      <c r="H52" s="18" t="s">
        <v>572</v>
      </c>
      <c r="I52" s="18" t="s">
        <v>573</v>
      </c>
      <c r="J52" s="18" t="str">
        <f t="shared" si="10"/>
        <v/>
      </c>
      <c r="K52" s="18" t="str">
        <f t="shared" si="10"/>
        <v/>
      </c>
      <c r="L52" s="18" t="str">
        <f t="shared" si="11"/>
        <v/>
      </c>
      <c r="M52" s="18" t="str">
        <f t="shared" si="11"/>
        <v/>
      </c>
      <c r="N52" s="18"/>
      <c r="O52" s="18"/>
      <c r="P52" s="18" t="str">
        <f t="shared" si="3"/>
        <v/>
      </c>
    </row>
    <row r="53" spans="1:16">
      <c r="A53" s="18">
        <f t="shared" si="5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4"/>
        <v>40</v>
      </c>
      <c r="G53" s="18" t="str" cm="1">
        <f t="array" ref="G53">GetColumnName(C53,IF(B53=B52,G52,""))</f>
        <v>Minimum</v>
      </c>
      <c r="H53" s="18" t="s">
        <v>574</v>
      </c>
      <c r="I53" s="18" t="s">
        <v>575</v>
      </c>
      <c r="J53" s="18" t="str">
        <f t="shared" si="10"/>
        <v/>
      </c>
      <c r="K53" s="18" t="str">
        <f t="shared" si="10"/>
        <v/>
      </c>
      <c r="L53" s="18" t="str">
        <f t="shared" si="11"/>
        <v/>
      </c>
      <c r="M53" s="18" t="str">
        <f t="shared" si="11"/>
        <v/>
      </c>
      <c r="N53" s="18"/>
      <c r="O53" s="18"/>
      <c r="P53" s="18" t="str">
        <f t="shared" si="3"/>
        <v/>
      </c>
    </row>
    <row r="54" spans="1:16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4"/>
        <v>45</v>
      </c>
      <c r="G54" s="18" t="str" cm="1">
        <f t="array" ref="G54">GetColumnName(C54,IF(B54=B53,G53,""))</f>
        <v>Maximum</v>
      </c>
      <c r="H54" s="18" t="s">
        <v>109</v>
      </c>
      <c r="I54" s="18" t="s">
        <v>576</v>
      </c>
      <c r="J54" s="18" t="str">
        <f t="shared" si="10"/>
        <v/>
      </c>
      <c r="K54" s="18" t="str">
        <f t="shared" si="10"/>
        <v/>
      </c>
      <c r="L54" s="18" t="str">
        <f t="shared" si="11"/>
        <v/>
      </c>
      <c r="M54" s="18" t="str">
        <f t="shared" si="11"/>
        <v/>
      </c>
      <c r="N54" s="18"/>
      <c r="O54" s="18"/>
      <c r="P54" s="18" t="str">
        <f t="shared" si="3"/>
        <v/>
      </c>
    </row>
    <row r="55" spans="1:16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4"/>
        <v>50</v>
      </c>
      <c r="G55" s="18" t="str" cm="1">
        <f t="array" ref="G55">GetColumnName(C55,IF(B55=B54,G54,""))</f>
        <v>ValidChars</v>
      </c>
      <c r="H55" s="18" t="s">
        <v>107</v>
      </c>
      <c r="I55" s="18" t="s">
        <v>559</v>
      </c>
      <c r="J55" s="18" t="str">
        <f t="shared" si="10"/>
        <v/>
      </c>
      <c r="K55" s="18" t="str">
        <f t="shared" si="10"/>
        <v/>
      </c>
      <c r="L55" s="18" t="str">
        <f t="shared" si="11"/>
        <v/>
      </c>
      <c r="M55" s="18" t="str">
        <f t="shared" si="11"/>
        <v/>
      </c>
      <c r="N55" s="18"/>
      <c r="O55" s="18"/>
      <c r="P55" s="18" t="str">
        <f t="shared" si="3"/>
        <v/>
      </c>
    </row>
    <row r="56" spans="1:16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4"/>
        <v>55</v>
      </c>
      <c r="G56" s="18" t="str" cm="1">
        <f t="array" ref="G56">GetColumnName(C56,IF(B56=B55,G55,""))</f>
        <v>ValidValues</v>
      </c>
      <c r="H56" s="18" t="s">
        <v>108</v>
      </c>
      <c r="I56" s="18" t="s">
        <v>564</v>
      </c>
      <c r="J56" s="18" t="str">
        <f t="shared" si="10"/>
        <v/>
      </c>
      <c r="K56" s="18" t="str">
        <f t="shared" si="10"/>
        <v/>
      </c>
      <c r="L56" s="18" t="str">
        <f t="shared" si="11"/>
        <v/>
      </c>
      <c r="M56" s="18" t="str">
        <f t="shared" si="11"/>
        <v/>
      </c>
      <c r="N56" s="18"/>
      <c r="O56" s="18"/>
      <c r="P56" s="18" t="str">
        <f t="shared" si="3"/>
        <v/>
      </c>
    </row>
    <row r="57" spans="1:16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4"/>
        <v>60</v>
      </c>
      <c r="G57" s="18" t="str" cm="1">
        <f t="array" ref="G57">GetColumnName(C57,IF(B57=B56,G56,""))</f>
        <v>ListValues</v>
      </c>
      <c r="H57" s="18" t="s">
        <v>108</v>
      </c>
      <c r="I57" s="18" t="s">
        <v>564</v>
      </c>
      <c r="J57" s="18" t="str">
        <f t="shared" si="10"/>
        <v/>
      </c>
      <c r="K57" s="18" t="str">
        <f t="shared" si="10"/>
        <v/>
      </c>
      <c r="L57" s="18" t="str">
        <f t="shared" si="11"/>
        <v/>
      </c>
      <c r="M57" s="18" t="str">
        <f t="shared" si="11"/>
        <v/>
      </c>
      <c r="N57" s="18"/>
      <c r="O57" s="18"/>
      <c r="P57" s="18" t="str">
        <f t="shared" si="3"/>
        <v/>
      </c>
    </row>
    <row r="58" spans="1:16">
      <c r="A58" s="20">
        <f t="shared" si="5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4"/>
        <v>5</v>
      </c>
      <c r="G58" s="20" t="str" cm="1">
        <f t="array" ref="G58">GetColumnName(C58,IF(B58=B57,G57,""))</f>
        <v>Id</v>
      </c>
      <c r="H58" s="20" t="s">
        <v>577</v>
      </c>
      <c r="I58" s="20" t="s">
        <v>0</v>
      </c>
      <c r="J58" s="20" t="b">
        <f t="shared" si="10"/>
        <v>1</v>
      </c>
      <c r="K58" s="20" t="b">
        <f t="shared" si="10"/>
        <v>1</v>
      </c>
      <c r="L58" s="20" t="b">
        <f t="shared" si="11"/>
        <v>0</v>
      </c>
      <c r="M58" s="20" t="b">
        <f t="shared" si="11"/>
        <v>0</v>
      </c>
      <c r="N58" s="20"/>
      <c r="O58" s="20"/>
      <c r="P58" s="20" t="b">
        <f t="shared" si="3"/>
        <v>0</v>
      </c>
    </row>
    <row r="59" spans="1:16">
      <c r="A59" s="20">
        <f t="shared" si="5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4"/>
        <v>10</v>
      </c>
      <c r="G59" s="20" t="str" cm="1">
        <f t="array" ref="G59">GetColumnName(C59,IF(B59=B58,G58,""))</f>
        <v>ClientId</v>
      </c>
      <c r="H59" s="20" t="s">
        <v>801</v>
      </c>
      <c r="I59" s="20" t="s">
        <v>591</v>
      </c>
      <c r="J59" s="20" t="str">
        <f t="shared" si="10"/>
        <v/>
      </c>
      <c r="K59" s="20" t="str">
        <f t="shared" si="10"/>
        <v/>
      </c>
      <c r="L59" s="20" t="str">
        <f t="shared" si="11"/>
        <v/>
      </c>
      <c r="M59" s="20" t="str">
        <f t="shared" si="11"/>
        <v/>
      </c>
      <c r="N59" s="20"/>
      <c r="O59" s="20"/>
      <c r="P59" s="20" t="str">
        <f t="shared" si="3"/>
        <v/>
      </c>
    </row>
    <row r="60" spans="1:16">
      <c r="A60" s="20">
        <f t="shared" si="5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4"/>
        <v>15</v>
      </c>
      <c r="G60" s="20" t="str" cm="1">
        <f t="array" ref="G60">GetColumnName(C60,IF(B60=B59,G59,""))</f>
        <v>Name</v>
      </c>
      <c r="H60" s="20" t="s">
        <v>578</v>
      </c>
      <c r="I60" s="20" t="s">
        <v>99</v>
      </c>
      <c r="J60" s="20" t="str">
        <f t="shared" si="10"/>
        <v/>
      </c>
      <c r="K60" s="20" t="str">
        <f t="shared" si="10"/>
        <v/>
      </c>
      <c r="L60" s="20" t="str">
        <f t="shared" si="11"/>
        <v/>
      </c>
      <c r="M60" s="20" t="str">
        <f t="shared" si="11"/>
        <v/>
      </c>
      <c r="N60" s="20"/>
      <c r="O60" s="20"/>
      <c r="P60" s="20" t="str">
        <f t="shared" si="3"/>
        <v/>
      </c>
    </row>
    <row r="61" spans="1:16">
      <c r="A61" s="20">
        <f t="shared" si="5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4"/>
        <v>20</v>
      </c>
      <c r="G61" s="20" t="str" cm="1">
        <f t="array" ref="G61">GetColumnName(C61,IF(B61=B60,G60,""))</f>
        <v>EditMask</v>
      </c>
      <c r="H61" s="20" t="s">
        <v>110</v>
      </c>
      <c r="I61" s="20" t="s">
        <v>802</v>
      </c>
      <c r="J61" s="20" t="str">
        <f t="shared" si="10"/>
        <v/>
      </c>
      <c r="K61" s="20" t="str">
        <f t="shared" si="10"/>
        <v/>
      </c>
      <c r="L61" s="20" t="str">
        <f t="shared" si="11"/>
        <v/>
      </c>
      <c r="M61" s="20" t="str">
        <f t="shared" si="11"/>
        <v/>
      </c>
      <c r="N61" s="20"/>
      <c r="O61" s="20"/>
      <c r="P61" s="20" t="str">
        <f t="shared" si="3"/>
        <v/>
      </c>
    </row>
    <row r="62" spans="1:16">
      <c r="A62" s="20">
        <f t="shared" si="5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4"/>
        <v>25</v>
      </c>
      <c r="G62" s="20" t="str" cm="1">
        <f t="array" ref="G62">GetColumnName(C62,IF(B62=B61,G61,""))</f>
        <v>ValidMask</v>
      </c>
      <c r="H62" s="20" t="s">
        <v>579</v>
      </c>
      <c r="I62" s="20" t="s">
        <v>803</v>
      </c>
      <c r="J62" s="20" t="str">
        <f t="shared" si="10"/>
        <v/>
      </c>
      <c r="K62" s="20" t="str">
        <f t="shared" si="10"/>
        <v/>
      </c>
      <c r="L62" s="20" t="str">
        <f t="shared" si="11"/>
        <v/>
      </c>
      <c r="M62" s="20" t="str">
        <f t="shared" si="11"/>
        <v/>
      </c>
      <c r="N62" s="20"/>
      <c r="O62" s="20"/>
      <c r="P62" s="20" t="str">
        <f t="shared" si="3"/>
        <v/>
      </c>
    </row>
    <row r="63" spans="1:16">
      <c r="A63" s="20">
        <f t="shared" si="5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4"/>
        <v>30</v>
      </c>
      <c r="G63" s="20" t="str" cm="1">
        <f t="array" ref="G63">GetColumnName(C63,IF(B63=B62,G62,""))</f>
        <v>Modificators</v>
      </c>
      <c r="H63" s="20" t="s">
        <v>114</v>
      </c>
      <c r="I63" s="20" t="s">
        <v>114</v>
      </c>
      <c r="J63" s="20" t="str">
        <f t="shared" si="10"/>
        <v/>
      </c>
      <c r="K63" s="20" t="str">
        <f t="shared" si="10"/>
        <v/>
      </c>
      <c r="L63" s="20" t="str">
        <f t="shared" si="11"/>
        <v/>
      </c>
      <c r="M63" s="20" t="str">
        <f t="shared" si="11"/>
        <v/>
      </c>
      <c r="N63" s="20"/>
      <c r="O63" s="20"/>
      <c r="P63" s="20" t="str">
        <f t="shared" si="3"/>
        <v/>
      </c>
    </row>
    <row r="64" spans="1:16">
      <c r="A64" s="18">
        <f t="shared" si="5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4"/>
        <v>5</v>
      </c>
      <c r="G64" s="18" t="str" cm="1">
        <f t="array" ref="G64">GetColumnName(C64,IF(B64=B63,G63,""))</f>
        <v>Id</v>
      </c>
      <c r="H64" s="18" t="s">
        <v>583</v>
      </c>
      <c r="I64" s="18" t="s">
        <v>0</v>
      </c>
      <c r="J64" s="18" t="b">
        <f t="shared" si="10"/>
        <v>1</v>
      </c>
      <c r="K64" s="18" t="b">
        <f t="shared" si="10"/>
        <v>1</v>
      </c>
      <c r="L64" s="18" t="b">
        <f t="shared" si="11"/>
        <v>0</v>
      </c>
      <c r="M64" s="18" t="b">
        <f t="shared" si="11"/>
        <v>0</v>
      </c>
      <c r="N64" s="18"/>
      <c r="O64" s="18"/>
      <c r="P64" s="18" t="b">
        <f t="shared" si="3"/>
        <v>0</v>
      </c>
    </row>
    <row r="65" spans="1:16">
      <c r="A65" s="18">
        <f t="shared" si="5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4"/>
        <v>10</v>
      </c>
      <c r="G65" s="18" t="str" cm="1">
        <f t="array" ref="G65">GetColumnName(C65,IF(B65=B64,G64,""))</f>
        <v>DomainId</v>
      </c>
      <c r="H65" s="18" t="s">
        <v>580</v>
      </c>
      <c r="I65" s="18" t="s">
        <v>120</v>
      </c>
      <c r="J65" s="18" t="str">
        <f t="shared" si="10"/>
        <v/>
      </c>
      <c r="K65" s="18" t="str">
        <f t="shared" si="10"/>
        <v/>
      </c>
      <c r="L65" s="18" t="str">
        <f t="shared" si="11"/>
        <v/>
      </c>
      <c r="M65" s="18" t="str">
        <f t="shared" si="11"/>
        <v/>
      </c>
      <c r="N65" s="18"/>
      <c r="O65" s="18"/>
      <c r="P65" s="18" t="str">
        <f t="shared" si="3"/>
        <v/>
      </c>
    </row>
    <row r="66" spans="1:16">
      <c r="A66" s="18">
        <f t="shared" si="5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4"/>
        <v>15</v>
      </c>
      <c r="G66" s="18" t="str" cm="1">
        <f t="array" ref="G66">GetColumnName(C66,IF(B66=B65,G65,""))</f>
        <v>MaskId</v>
      </c>
      <c r="H66" s="18" t="s">
        <v>577</v>
      </c>
      <c r="I66" s="18" t="s">
        <v>110</v>
      </c>
      <c r="J66" s="18" t="str">
        <f t="shared" si="10"/>
        <v/>
      </c>
      <c r="K66" s="18" t="str">
        <f t="shared" si="10"/>
        <v/>
      </c>
      <c r="L66" s="18" t="str">
        <f t="shared" si="11"/>
        <v/>
      </c>
      <c r="M66" s="18" t="str">
        <f t="shared" si="11"/>
        <v/>
      </c>
      <c r="N66" s="18"/>
      <c r="O66" s="18"/>
      <c r="P66" s="18" t="str">
        <f t="shared" si="3"/>
        <v/>
      </c>
    </row>
    <row r="67" spans="1:16">
      <c r="A67" s="18">
        <f t="shared" si="5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0" si="12">IF(G67="Id",5,F66+5)</f>
        <v>20</v>
      </c>
      <c r="G67" s="18" t="str" cm="1">
        <f t="array" ref="G67">GetColumnName(C67,IF(B67=B66,G66,""))</f>
        <v>CheckDigitModule</v>
      </c>
      <c r="H67" s="18" t="s">
        <v>584</v>
      </c>
      <c r="I67" s="18" t="s">
        <v>588</v>
      </c>
      <c r="J67" s="18" t="str">
        <f t="shared" si="10"/>
        <v/>
      </c>
      <c r="K67" s="18" t="str">
        <f t="shared" si="10"/>
        <v/>
      </c>
      <c r="L67" s="18" t="str">
        <f t="shared" si="11"/>
        <v/>
      </c>
      <c r="M67" s="18" t="str">
        <f t="shared" si="11"/>
        <v/>
      </c>
      <c r="N67" s="18"/>
      <c r="O67" s="18"/>
      <c r="P67" s="18" t="str">
        <f t="shared" si="3"/>
        <v/>
      </c>
    </row>
    <row r="68" spans="1:16">
      <c r="A68" s="18">
        <f t="shared" si="5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12"/>
        <v>25</v>
      </c>
      <c r="G68" s="18" t="str" cm="1">
        <f t="array" ref="G68">GetColumnName(C68,IF(B68=B67,G67,""))</f>
        <v>CheckDigitFactors</v>
      </c>
      <c r="H68" s="18" t="s">
        <v>585</v>
      </c>
      <c r="I68" s="18" t="s">
        <v>587</v>
      </c>
      <c r="J68" s="18" t="str">
        <f t="shared" si="10"/>
        <v/>
      </c>
      <c r="K68" s="18" t="str">
        <f t="shared" si="10"/>
        <v/>
      </c>
      <c r="L68" s="18" t="str">
        <f t="shared" si="11"/>
        <v/>
      </c>
      <c r="M68" s="18" t="str">
        <f t="shared" si="11"/>
        <v/>
      </c>
      <c r="N68" s="18"/>
      <c r="O68" s="18"/>
      <c r="P68" s="18" t="str">
        <f t="shared" si="3"/>
        <v/>
      </c>
    </row>
    <row r="69" spans="1:16">
      <c r="A69" s="18">
        <f t="shared" si="5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12"/>
        <v>30</v>
      </c>
      <c r="G69" s="18" t="str" cm="1">
        <f t="array" ref="G69">GetColumnName(C69,IF(B69=B68,G68,""))</f>
        <v>CheckDigitGreaterThanNine</v>
      </c>
      <c r="H69" s="18" t="s">
        <v>586</v>
      </c>
      <c r="I69" s="18" t="s">
        <v>592</v>
      </c>
      <c r="J69" s="18" t="str">
        <f t="shared" si="10"/>
        <v/>
      </c>
      <c r="K69" s="18" t="str">
        <f t="shared" si="10"/>
        <v/>
      </c>
      <c r="L69" s="18" t="str">
        <f t="shared" si="11"/>
        <v/>
      </c>
      <c r="M69" s="18" t="str">
        <f t="shared" si="11"/>
        <v/>
      </c>
      <c r="N69" s="18"/>
      <c r="O69" s="18"/>
      <c r="P69" s="18" t="str">
        <f t="shared" si="3"/>
        <v/>
      </c>
    </row>
    <row r="70" spans="1:16">
      <c r="A70" s="20">
        <f t="shared" si="5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12"/>
        <v>5</v>
      </c>
      <c r="G70" s="20" t="str" cm="1">
        <f t="array" ref="G70">GetColumnName(C70,IF(B70=B69,G69,""))</f>
        <v>Id</v>
      </c>
      <c r="H70" s="20" t="s">
        <v>589</v>
      </c>
      <c r="I70" s="20" t="s">
        <v>0</v>
      </c>
      <c r="J70" s="20" t="b">
        <f t="shared" si="10"/>
        <v>1</v>
      </c>
      <c r="K70" s="20" t="b">
        <f t="shared" si="10"/>
        <v>1</v>
      </c>
      <c r="L70" s="20" t="b">
        <f t="shared" si="11"/>
        <v>0</v>
      </c>
      <c r="M70" s="20" t="b">
        <f t="shared" si="11"/>
        <v>0</v>
      </c>
      <c r="N70" s="20"/>
      <c r="O70" s="20"/>
      <c r="P70" s="20" t="b">
        <f t="shared" si="3"/>
        <v>0</v>
      </c>
    </row>
    <row r="71" spans="1:16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12"/>
        <v>10</v>
      </c>
      <c r="G71" s="20" t="str" cm="1">
        <f t="array" ref="G71">GetColumnName(C71,IF(B71=B70,G70,""))</f>
        <v>ClientId</v>
      </c>
      <c r="H71" s="20" t="s">
        <v>590</v>
      </c>
      <c r="I71" s="20" t="s">
        <v>591</v>
      </c>
      <c r="J71" s="20" t="str">
        <f t="shared" si="10"/>
        <v/>
      </c>
      <c r="K71" s="20" t="str">
        <f t="shared" si="10"/>
        <v/>
      </c>
      <c r="L71" s="20" t="str">
        <f t="shared" si="11"/>
        <v/>
      </c>
      <c r="M71" s="20" t="str">
        <f t="shared" si="11"/>
        <v/>
      </c>
      <c r="N71" s="20"/>
      <c r="O71" s="20"/>
      <c r="P71" s="20" t="str">
        <f t="shared" si="3"/>
        <v/>
      </c>
    </row>
    <row r="72" spans="1:16">
      <c r="A72" s="20">
        <f t="shared" si="5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12"/>
        <v>15</v>
      </c>
      <c r="G72" s="20" t="str" cm="1">
        <f t="array" ref="G72">GetColumnName(C72,IF(B72=B71,G71,""))</f>
        <v>EngineId</v>
      </c>
      <c r="H72" s="20" t="s">
        <v>597</v>
      </c>
      <c r="I72" s="20" t="s">
        <v>99</v>
      </c>
      <c r="J72" s="20" t="str">
        <f t="shared" si="10"/>
        <v/>
      </c>
      <c r="K72" s="20" t="str">
        <f t="shared" si="10"/>
        <v/>
      </c>
      <c r="L72" s="20" t="str">
        <f t="shared" si="11"/>
        <v/>
      </c>
      <c r="M72" s="20" t="str">
        <f t="shared" si="11"/>
        <v/>
      </c>
      <c r="N72" s="20"/>
      <c r="O72" s="20"/>
      <c r="P72" s="20" t="str">
        <f t="shared" si="3"/>
        <v/>
      </c>
    </row>
    <row r="73" spans="1:16">
      <c r="A73" s="20">
        <f t="shared" si="5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12"/>
        <v>20</v>
      </c>
      <c r="G73" s="20" t="str" cm="1">
        <f t="array" ref="G73">GetColumnName(C73,IF(B73=B72,G72,""))</f>
        <v>Name</v>
      </c>
      <c r="H73" s="20" t="s">
        <v>612</v>
      </c>
      <c r="I73" s="20" t="s">
        <v>111</v>
      </c>
      <c r="J73" s="20" t="str">
        <f t="shared" si="10"/>
        <v/>
      </c>
      <c r="K73" s="20" t="str">
        <f t="shared" si="10"/>
        <v/>
      </c>
      <c r="L73" s="20" t="str">
        <f t="shared" si="11"/>
        <v/>
      </c>
      <c r="M73" s="20" t="str">
        <f t="shared" si="11"/>
        <v/>
      </c>
      <c r="N73" s="20"/>
      <c r="O73" s="20"/>
      <c r="P73" s="20" t="str">
        <f t="shared" si="3"/>
        <v/>
      </c>
    </row>
    <row r="74" spans="1:16">
      <c r="A74" s="20">
        <f t="shared" si="5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12"/>
        <v>25</v>
      </c>
      <c r="G74" s="20" t="str" cm="1">
        <f t="array" ref="G74">GetColumnName(C74,IF(B74=B73,G73,""))</f>
        <v>Description</v>
      </c>
      <c r="H74" s="20" t="s">
        <v>566</v>
      </c>
      <c r="I74" s="20" t="s">
        <v>567</v>
      </c>
      <c r="J74" s="20" t="str">
        <f t="shared" si="10"/>
        <v/>
      </c>
      <c r="K74" s="20" t="str">
        <f t="shared" si="10"/>
        <v/>
      </c>
      <c r="L74" s="20" t="str">
        <f t="shared" si="11"/>
        <v/>
      </c>
      <c r="M74" s="20" t="str">
        <f t="shared" si="11"/>
        <v/>
      </c>
      <c r="N74" s="20"/>
      <c r="O74" s="20"/>
      <c r="P74" s="20" t="str">
        <f t="shared" si="3"/>
        <v/>
      </c>
    </row>
    <row r="75" spans="1:16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12"/>
        <v>5</v>
      </c>
      <c r="G75" s="18" t="str" cm="1">
        <f t="array" ref="G75">GetColumnName(C75,IF(B75=B74,G74,""))</f>
        <v>Id</v>
      </c>
      <c r="H75" s="18" t="s">
        <v>593</v>
      </c>
      <c r="I75" s="18" t="s">
        <v>195</v>
      </c>
      <c r="J75" s="18" t="b">
        <f t="shared" si="10"/>
        <v>1</v>
      </c>
      <c r="K75" s="18" t="b">
        <f t="shared" si="10"/>
        <v>1</v>
      </c>
      <c r="L75" s="18" t="b">
        <f t="shared" si="11"/>
        <v>0</v>
      </c>
      <c r="M75" s="18" t="b">
        <f t="shared" si="11"/>
        <v>0</v>
      </c>
      <c r="N75" s="18"/>
      <c r="O75" s="18"/>
      <c r="P75" s="18" t="b">
        <f t="shared" si="3"/>
        <v>0</v>
      </c>
    </row>
    <row r="76" spans="1:16">
      <c r="A76" s="18">
        <f t="shared" si="5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12"/>
        <v>10</v>
      </c>
      <c r="G76" s="18" t="str" cm="1">
        <f t="array" ref="G76">GetColumnName(C76,IF(B76=B75,G75,""))</f>
        <v>DatabaseId</v>
      </c>
      <c r="H76" s="18" t="s">
        <v>590</v>
      </c>
      <c r="I76" s="18" t="s">
        <v>591</v>
      </c>
      <c r="J76" s="18" t="str">
        <f t="shared" si="10"/>
        <v/>
      </c>
      <c r="K76" s="18" t="str">
        <f t="shared" si="10"/>
        <v/>
      </c>
      <c r="L76" s="18" t="str">
        <f t="shared" si="11"/>
        <v/>
      </c>
      <c r="M76" s="18" t="str">
        <f t="shared" si="11"/>
        <v/>
      </c>
      <c r="N76" s="18"/>
      <c r="O76" s="18"/>
      <c r="P76" s="18" t="str">
        <f t="shared" si="3"/>
        <v/>
      </c>
    </row>
    <row r="77" spans="1:16">
      <c r="A77" s="18">
        <f t="shared" si="5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12"/>
        <v>15</v>
      </c>
      <c r="G77" s="18" t="str" cm="1">
        <f t="array" ref="G77">GetColumnName(C77,IF(B77=B76,G76,""))</f>
        <v>Environment</v>
      </c>
      <c r="H77" s="18" t="s">
        <v>589</v>
      </c>
      <c r="I77" s="18" t="s">
        <v>115</v>
      </c>
      <c r="J77" s="18" t="str">
        <f t="shared" ref="J77:K105" si="13">IF($G77="Id",TRUE,"")</f>
        <v/>
      </c>
      <c r="K77" s="18" t="str">
        <f t="shared" si="13"/>
        <v/>
      </c>
      <c r="L77" s="18" t="str">
        <f t="shared" ref="L77:M105" si="14">IF($G77="Id",FALSE,"")</f>
        <v/>
      </c>
      <c r="M77" s="18" t="str">
        <f t="shared" si="14"/>
        <v/>
      </c>
      <c r="N77" s="18"/>
      <c r="O77" s="18"/>
      <c r="P77" s="18" t="str">
        <f t="shared" ref="P77:P130" si="15">IF($G77="Id",FALSE,"")</f>
        <v/>
      </c>
    </row>
    <row r="78" spans="1:16">
      <c r="A78" s="18">
        <f t="shared" si="5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12"/>
        <v>20</v>
      </c>
      <c r="G78" s="18" t="str" cm="1">
        <f t="array" ref="G78">GetColumnName(C78,IF(B78=B77,G77,""))</f>
        <v>Directory</v>
      </c>
      <c r="H78" s="18" t="s">
        <v>595</v>
      </c>
      <c r="I78" s="18" t="s">
        <v>596</v>
      </c>
      <c r="J78" s="18" t="str">
        <f t="shared" si="13"/>
        <v/>
      </c>
      <c r="K78" s="18" t="str">
        <f t="shared" si="13"/>
        <v/>
      </c>
      <c r="L78" s="18" t="str">
        <f t="shared" si="14"/>
        <v/>
      </c>
      <c r="M78" s="18" t="str">
        <f t="shared" si="14"/>
        <v/>
      </c>
      <c r="N78" s="18"/>
      <c r="O78" s="18"/>
      <c r="P78" s="18" t="str">
        <f t="shared" si="15"/>
        <v/>
      </c>
    </row>
    <row r="79" spans="1:16">
      <c r="A79" s="18">
        <f t="shared" si="5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12"/>
        <v>25</v>
      </c>
      <c r="G79" s="18" t="str" cm="1">
        <f t="array" ref="G79">GetColumnName(C79,IF(B79=B78,G78,""))</f>
        <v>ConnectionString</v>
      </c>
      <c r="H79" s="18" t="s">
        <v>598</v>
      </c>
      <c r="I79" s="18" t="s">
        <v>599</v>
      </c>
      <c r="J79" s="18" t="str">
        <f t="shared" si="13"/>
        <v/>
      </c>
      <c r="K79" s="18" t="str">
        <f t="shared" si="13"/>
        <v/>
      </c>
      <c r="L79" s="18" t="str">
        <f t="shared" si="14"/>
        <v/>
      </c>
      <c r="M79" s="18" t="str">
        <f t="shared" si="14"/>
        <v/>
      </c>
      <c r="N79" s="18"/>
      <c r="O79" s="18"/>
      <c r="P79" s="18" t="str">
        <f t="shared" si="15"/>
        <v/>
      </c>
    </row>
    <row r="80" spans="1:16">
      <c r="A80" s="18">
        <f t="shared" si="5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12"/>
        <v>30</v>
      </c>
      <c r="G80" s="18" t="str" cm="1">
        <f t="array" ref="G80">GetColumnName(C80,IF(B80=B79,G79,""))</f>
        <v>IsActive</v>
      </c>
      <c r="H80" s="18" t="s">
        <v>600</v>
      </c>
      <c r="I80" s="18" t="s">
        <v>601</v>
      </c>
      <c r="J80" s="18" t="str">
        <f t="shared" si="13"/>
        <v/>
      </c>
      <c r="K80" s="18" t="str">
        <f t="shared" si="13"/>
        <v/>
      </c>
      <c r="L80" s="18" t="str">
        <f t="shared" si="14"/>
        <v/>
      </c>
      <c r="M80" s="18" t="str">
        <f t="shared" si="14"/>
        <v/>
      </c>
      <c r="N80" s="18"/>
      <c r="O80" s="18"/>
      <c r="P80" s="18" t="str">
        <f t="shared" si="15"/>
        <v/>
      </c>
    </row>
    <row r="81" spans="1:16">
      <c r="A81" s="20">
        <f t="shared" si="5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12"/>
        <v>5</v>
      </c>
      <c r="G81" s="20" t="str" cm="1">
        <f t="array" ref="G81">GetColumnName(C81,IF(B81=B80,G80,""))</f>
        <v>Id</v>
      </c>
      <c r="H81" s="20" t="s">
        <v>602</v>
      </c>
      <c r="I81" s="20" t="s">
        <v>0</v>
      </c>
      <c r="J81" s="20" t="b">
        <f t="shared" si="13"/>
        <v>1</v>
      </c>
      <c r="K81" s="20" t="b">
        <f t="shared" si="13"/>
        <v>1</v>
      </c>
      <c r="L81" s="20" t="b">
        <f t="shared" si="14"/>
        <v>0</v>
      </c>
      <c r="M81" s="20" t="b">
        <f t="shared" si="14"/>
        <v>0</v>
      </c>
      <c r="N81" s="20"/>
      <c r="O81" s="20"/>
      <c r="P81" s="20" t="b">
        <f t="shared" si="15"/>
        <v>0</v>
      </c>
    </row>
    <row r="82" spans="1:16">
      <c r="A82" s="20">
        <f t="shared" si="5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12"/>
        <v>10</v>
      </c>
      <c r="G82" s="20" t="str" cm="1">
        <f t="array" ref="G82">GetColumnName(C82,IF(B82=B81,G81,""))</f>
        <v>DatabaseId</v>
      </c>
      <c r="H82" s="20" t="s">
        <v>603</v>
      </c>
      <c r="I82" s="20" t="s">
        <v>115</v>
      </c>
      <c r="J82" s="20" t="str">
        <f t="shared" si="13"/>
        <v/>
      </c>
      <c r="K82" s="20" t="str">
        <f t="shared" si="13"/>
        <v/>
      </c>
      <c r="L82" s="20" t="str">
        <f t="shared" si="14"/>
        <v/>
      </c>
      <c r="M82" s="20" t="str">
        <f t="shared" si="14"/>
        <v/>
      </c>
      <c r="N82" s="20"/>
      <c r="O82" s="20"/>
      <c r="P82" s="20" t="str">
        <f t="shared" si="15"/>
        <v/>
      </c>
    </row>
    <row r="83" spans="1:16">
      <c r="A83" s="20">
        <f t="shared" si="5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12"/>
        <v>15</v>
      </c>
      <c r="G83" s="20" t="str" cm="1">
        <f t="array" ref="G83">GetColumnName(C83,IF(B83=B82,G82,""))</f>
        <v>Prefix</v>
      </c>
      <c r="H83" s="20" t="s">
        <v>604</v>
      </c>
      <c r="I83" s="20" t="s">
        <v>605</v>
      </c>
      <c r="J83" s="20" t="str">
        <f t="shared" si="13"/>
        <v/>
      </c>
      <c r="K83" s="20" t="str">
        <f t="shared" si="13"/>
        <v/>
      </c>
      <c r="L83" s="20" t="str">
        <f t="shared" si="14"/>
        <v/>
      </c>
      <c r="M83" s="20" t="str">
        <f t="shared" si="14"/>
        <v/>
      </c>
      <c r="N83" s="20"/>
      <c r="O83" s="20"/>
      <c r="P83" s="20" t="str">
        <f t="shared" si="15"/>
        <v/>
      </c>
    </row>
    <row r="84" spans="1:16">
      <c r="A84" s="20">
        <f t="shared" ref="A84:A130" si="16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12"/>
        <v>20</v>
      </c>
      <c r="G84" s="20" t="str" cm="1">
        <f t="array" ref="G84">GetColumnName(C84,IF(B84=B83,G83,""))</f>
        <v>Name</v>
      </c>
      <c r="H84" s="20" t="s">
        <v>606</v>
      </c>
      <c r="I84" s="20" t="s">
        <v>99</v>
      </c>
      <c r="J84" s="20" t="str">
        <f t="shared" si="13"/>
        <v/>
      </c>
      <c r="K84" s="20" t="str">
        <f t="shared" si="13"/>
        <v/>
      </c>
      <c r="L84" s="20" t="str">
        <f t="shared" si="14"/>
        <v/>
      </c>
      <c r="M84" s="20" t="str">
        <f t="shared" si="14"/>
        <v/>
      </c>
      <c r="N84" s="20"/>
      <c r="O84" s="20"/>
      <c r="P84" s="20" t="str">
        <f t="shared" si="15"/>
        <v/>
      </c>
    </row>
    <row r="85" spans="1:16">
      <c r="A85" s="20">
        <f t="shared" si="16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12"/>
        <v>25</v>
      </c>
      <c r="G85" s="20" t="str" cm="1">
        <f t="array" ref="G85">GetColumnName(C85,IF(B85=B84,G84,""))</f>
        <v>Description</v>
      </c>
      <c r="H85" s="20" t="s">
        <v>607</v>
      </c>
      <c r="I85" s="20" t="s">
        <v>111</v>
      </c>
      <c r="J85" s="20" t="str">
        <f t="shared" si="13"/>
        <v/>
      </c>
      <c r="K85" s="20" t="str">
        <f t="shared" si="13"/>
        <v/>
      </c>
      <c r="L85" s="20" t="str">
        <f t="shared" si="14"/>
        <v/>
      </c>
      <c r="M85" s="20" t="str">
        <f t="shared" si="14"/>
        <v/>
      </c>
      <c r="N85" s="20"/>
      <c r="O85" s="20"/>
      <c r="P85" s="20" t="str">
        <f t="shared" si="15"/>
        <v/>
      </c>
    </row>
    <row r="86" spans="1:16">
      <c r="A86" s="20">
        <f t="shared" si="16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12"/>
        <v>30</v>
      </c>
      <c r="G86" s="20" t="str" cm="1">
        <f t="array" ref="G86">GetColumnName(C86,IF(B86=B85,G85,""))</f>
        <v>MaxRetryLogins</v>
      </c>
      <c r="H86" s="20" t="s">
        <v>608</v>
      </c>
      <c r="I86" s="20" t="s">
        <v>609</v>
      </c>
      <c r="J86" s="20" t="str">
        <f t="shared" si="13"/>
        <v/>
      </c>
      <c r="K86" s="20" t="str">
        <f t="shared" si="13"/>
        <v/>
      </c>
      <c r="L86" s="20" t="str">
        <f t="shared" si="14"/>
        <v/>
      </c>
      <c r="M86" s="20" t="str">
        <f t="shared" si="14"/>
        <v/>
      </c>
      <c r="N86" s="20"/>
      <c r="O86" s="20"/>
      <c r="P86" s="20" t="str">
        <f t="shared" si="15"/>
        <v/>
      </c>
    </row>
    <row r="87" spans="1:16">
      <c r="A87" s="20">
        <f t="shared" si="16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12"/>
        <v>35</v>
      </c>
      <c r="G87" s="20" t="str" cm="1">
        <f t="array" ref="G87">GetColumnName(C87,IF(B87=B86,G86,""))</f>
        <v>IsActive</v>
      </c>
      <c r="H87" s="20" t="s">
        <v>610</v>
      </c>
      <c r="I87" s="20" t="s">
        <v>114</v>
      </c>
      <c r="J87" s="20" t="str">
        <f t="shared" si="13"/>
        <v/>
      </c>
      <c r="K87" s="20" t="str">
        <f t="shared" si="13"/>
        <v/>
      </c>
      <c r="L87" s="20" t="str">
        <f t="shared" si="14"/>
        <v/>
      </c>
      <c r="M87" s="20" t="str">
        <f t="shared" si="14"/>
        <v/>
      </c>
      <c r="N87" s="20"/>
      <c r="O87" s="20"/>
      <c r="P87" s="20" t="str">
        <f t="shared" si="15"/>
        <v/>
      </c>
    </row>
    <row r="88" spans="1:16">
      <c r="A88" s="18">
        <f t="shared" si="16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12"/>
        <v>5</v>
      </c>
      <c r="G88" s="18" t="str" cm="1">
        <f t="array" ref="G88">GetColumnName(C88,IF(B88=B87,G87,""))</f>
        <v>Id</v>
      </c>
      <c r="H88" s="18" t="s">
        <v>613</v>
      </c>
      <c r="I88" s="18" t="s">
        <v>0</v>
      </c>
      <c r="J88" s="18" t="b">
        <f t="shared" si="13"/>
        <v>1</v>
      </c>
      <c r="K88" s="18" t="b">
        <f t="shared" si="13"/>
        <v>1</v>
      </c>
      <c r="L88" s="18" t="b">
        <f t="shared" si="14"/>
        <v>0</v>
      </c>
      <c r="M88" s="18" t="b">
        <f t="shared" si="14"/>
        <v>0</v>
      </c>
      <c r="N88" s="18"/>
      <c r="O88" s="18"/>
      <c r="P88" s="18" t="b">
        <f t="shared" si="15"/>
        <v>0</v>
      </c>
    </row>
    <row r="89" spans="1:16">
      <c r="A89" s="18">
        <f t="shared" si="16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12"/>
        <v>10</v>
      </c>
      <c r="G89" s="18" t="str" cm="1">
        <f t="array" ref="G89">GetColumnName(C89,IF(B89=B88,G88,""))</f>
        <v>SystemId</v>
      </c>
      <c r="H89" s="18" t="s">
        <v>602</v>
      </c>
      <c r="I89" s="18" t="s">
        <v>112</v>
      </c>
      <c r="J89" s="18" t="str">
        <f t="shared" si="13"/>
        <v/>
      </c>
      <c r="K89" s="18" t="str">
        <f t="shared" si="13"/>
        <v/>
      </c>
      <c r="L89" s="18" t="str">
        <f t="shared" si="14"/>
        <v/>
      </c>
      <c r="M89" s="18" t="str">
        <f t="shared" si="14"/>
        <v/>
      </c>
      <c r="N89" s="18"/>
      <c r="O89" s="18"/>
      <c r="P89" s="18" t="str">
        <f t="shared" si="15"/>
        <v/>
      </c>
    </row>
    <row r="90" spans="1:16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12"/>
        <v>15</v>
      </c>
      <c r="G90" s="18" t="str" cm="1">
        <f t="array" ref="G90">GetColumnName(C90,IF(B90=B89,G89,""))</f>
        <v>Sequence</v>
      </c>
      <c r="H90" s="18" t="s">
        <v>619</v>
      </c>
      <c r="I90" s="18" t="s">
        <v>620</v>
      </c>
      <c r="J90" s="18" t="str">
        <f t="shared" si="13"/>
        <v/>
      </c>
      <c r="K90" s="18" t="str">
        <f t="shared" si="13"/>
        <v/>
      </c>
      <c r="L90" s="18" t="str">
        <f t="shared" si="14"/>
        <v/>
      </c>
      <c r="M90" s="18" t="str">
        <f t="shared" si="14"/>
        <v/>
      </c>
      <c r="N90" s="18"/>
      <c r="O90" s="18"/>
      <c r="P90" s="18" t="str">
        <f t="shared" si="15"/>
        <v/>
      </c>
    </row>
    <row r="91" spans="1:16">
      <c r="A91" s="18">
        <f t="shared" si="16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12"/>
        <v>20</v>
      </c>
      <c r="G91" s="18" t="str" cm="1">
        <f t="array" ref="G91">GetColumnName(C91,IF(B91=B90,G90,""))</f>
        <v>Caption</v>
      </c>
      <c r="H91" s="18" t="s">
        <v>614</v>
      </c>
      <c r="I91" s="18" t="s">
        <v>113</v>
      </c>
      <c r="J91" s="18" t="str">
        <f t="shared" si="13"/>
        <v/>
      </c>
      <c r="K91" s="18" t="str">
        <f t="shared" si="13"/>
        <v/>
      </c>
      <c r="L91" s="18" t="str">
        <f t="shared" si="14"/>
        <v/>
      </c>
      <c r="M91" s="18" t="str">
        <f t="shared" si="14"/>
        <v/>
      </c>
      <c r="N91" s="18"/>
      <c r="O91" s="18"/>
      <c r="P91" s="18" t="str">
        <f t="shared" si="15"/>
        <v/>
      </c>
    </row>
    <row r="92" spans="1:16">
      <c r="A92" s="18">
        <f t="shared" si="16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12"/>
        <v>25</v>
      </c>
      <c r="G92" s="18" t="str" cm="1">
        <f t="array" ref="G92">GetColumnName(C92,IF(B92=B91,G91,""))</f>
        <v>Message</v>
      </c>
      <c r="H92" s="18" t="s">
        <v>615</v>
      </c>
      <c r="I92" s="18" t="s">
        <v>616</v>
      </c>
      <c r="J92" s="18" t="str">
        <f t="shared" si="13"/>
        <v/>
      </c>
      <c r="K92" s="18" t="str">
        <f t="shared" si="13"/>
        <v/>
      </c>
      <c r="L92" s="18" t="str">
        <f t="shared" si="14"/>
        <v/>
      </c>
      <c r="M92" s="18" t="str">
        <f t="shared" si="14"/>
        <v/>
      </c>
      <c r="N92" s="18"/>
      <c r="O92" s="18"/>
      <c r="P92" s="18" t="str">
        <f t="shared" si="15"/>
        <v/>
      </c>
    </row>
    <row r="93" spans="1:16">
      <c r="A93" s="18">
        <f t="shared" si="16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12"/>
        <v>30</v>
      </c>
      <c r="G93" s="18" t="str" cm="1">
        <f t="array" ref="G93">GetColumnName(C93,IF(B93=B92,G92,""))</f>
        <v>ParentMenuId</v>
      </c>
      <c r="H93" s="18" t="s">
        <v>617</v>
      </c>
      <c r="I93" s="18" t="s">
        <v>618</v>
      </c>
      <c r="J93" s="18" t="str">
        <f t="shared" si="13"/>
        <v/>
      </c>
      <c r="K93" s="18" t="str">
        <f t="shared" si="13"/>
        <v/>
      </c>
      <c r="L93" s="18" t="str">
        <f t="shared" si="14"/>
        <v/>
      </c>
      <c r="M93" s="18" t="str">
        <f t="shared" si="14"/>
        <v/>
      </c>
      <c r="N93" s="18"/>
      <c r="O93" s="18"/>
      <c r="P93" s="18" t="str">
        <f t="shared" si="15"/>
        <v/>
      </c>
    </row>
    <row r="94" spans="1:16">
      <c r="A94" s="18">
        <f t="shared" si="16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12"/>
        <v>35</v>
      </c>
      <c r="G94" s="18" t="str" cm="1">
        <f t="array" ref="G94">GetColumnName(C94,IF(B94=B93,G93,""))</f>
        <v>IsActive</v>
      </c>
      <c r="H94" s="18" t="s">
        <v>621</v>
      </c>
      <c r="I94" s="18" t="s">
        <v>114</v>
      </c>
      <c r="J94" s="18" t="str">
        <f t="shared" si="13"/>
        <v/>
      </c>
      <c r="K94" s="18" t="str">
        <f t="shared" si="13"/>
        <v/>
      </c>
      <c r="L94" s="18" t="str">
        <f t="shared" si="14"/>
        <v/>
      </c>
      <c r="M94" s="18" t="str">
        <f t="shared" si="14"/>
        <v/>
      </c>
      <c r="N94" s="18"/>
      <c r="O94" s="18"/>
      <c r="P94" s="18" t="str">
        <f t="shared" si="15"/>
        <v/>
      </c>
    </row>
    <row r="95" spans="1:16">
      <c r="A95" s="20">
        <f t="shared" ref="A95:A104" si="17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12"/>
        <v>5</v>
      </c>
      <c r="G95" s="20" t="str" cm="1">
        <f t="array" ref="G95">GetColumnName(C95,IF(B95=B94,G94,""))</f>
        <v>Id</v>
      </c>
      <c r="H95" s="20" t="s">
        <v>611</v>
      </c>
      <c r="I95" s="20" t="s">
        <v>0</v>
      </c>
      <c r="J95" s="20" t="b">
        <f t="shared" ref="J95:K104" si="18">IF($G95="Id",TRUE,"")</f>
        <v>1</v>
      </c>
      <c r="K95" s="20" t="b">
        <f t="shared" si="18"/>
        <v>1</v>
      </c>
      <c r="L95" s="20" t="b">
        <f t="shared" ref="L95:M104" si="19">IF($G95="Id",FALSE,"")</f>
        <v>0</v>
      </c>
      <c r="M95" s="20" t="b">
        <f t="shared" si="19"/>
        <v>0</v>
      </c>
      <c r="N95" s="20"/>
      <c r="O95" s="20"/>
      <c r="P95" s="20" t="b">
        <f t="shared" ref="P95:P104" si="20">IF($G95="Id",FALSE,"")</f>
        <v>0</v>
      </c>
    </row>
    <row r="96" spans="1:16">
      <c r="A96" s="20">
        <f t="shared" si="17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12"/>
        <v>10</v>
      </c>
      <c r="G96" s="20" t="str" cm="1">
        <f t="array" ref="G96">GetColumnName(C96,IF(B96=B95,G95,""))</f>
        <v>DatabaseId</v>
      </c>
      <c r="H96" s="20" t="s">
        <v>589</v>
      </c>
      <c r="I96" s="20" t="s">
        <v>115</v>
      </c>
      <c r="J96" s="20" t="str">
        <f t="shared" si="18"/>
        <v/>
      </c>
      <c r="K96" s="20" t="str">
        <f t="shared" si="18"/>
        <v/>
      </c>
      <c r="L96" s="20" t="str">
        <f t="shared" si="19"/>
        <v/>
      </c>
      <c r="M96" s="20" t="str">
        <f t="shared" si="19"/>
        <v/>
      </c>
      <c r="N96" s="20"/>
      <c r="O96" s="20"/>
      <c r="P96" s="20" t="str">
        <f t="shared" si="20"/>
        <v/>
      </c>
    </row>
    <row r="97" spans="1:16">
      <c r="A97" s="20">
        <f t="shared" si="17"/>
        <v>96</v>
      </c>
      <c r="B97" s="21">
        <v>15</v>
      </c>
      <c r="C97" s="20" t="str" cm="1">
        <f t="array" ref="C97">GetValue("Tbl",B97,"Alias")</f>
        <v>Tbl</v>
      </c>
      <c r="D97" s="20">
        <v>10</v>
      </c>
      <c r="E97" s="20" t="str" cm="1">
        <f t="array" ref="E97">GetValue("Dmn",D97,"Name")</f>
        <v>Nvarchar(25)</v>
      </c>
      <c r="F97" s="20">
        <f t="shared" si="12"/>
        <v>15</v>
      </c>
      <c r="G97" s="20" t="str" cm="1">
        <f t="array" ref="G97">GetColumnName(C97,IF(B97=B96,G96,""))</f>
        <v>Name</v>
      </c>
      <c r="H97" s="20" t="s">
        <v>116</v>
      </c>
      <c r="I97" s="20" t="s">
        <v>99</v>
      </c>
      <c r="J97" s="20" t="str">
        <f t="shared" si="18"/>
        <v/>
      </c>
      <c r="K97" s="20" t="str">
        <f t="shared" si="18"/>
        <v/>
      </c>
      <c r="L97" s="20" t="str">
        <f t="shared" si="19"/>
        <v/>
      </c>
      <c r="M97" s="20" t="str">
        <f t="shared" si="19"/>
        <v/>
      </c>
      <c r="N97" s="20"/>
      <c r="O97" s="20"/>
      <c r="P97" s="20" t="str">
        <f t="shared" si="20"/>
        <v/>
      </c>
    </row>
    <row r="98" spans="1:16">
      <c r="A98" s="20">
        <f t="shared" si="17"/>
        <v>97</v>
      </c>
      <c r="B98" s="21">
        <v>15</v>
      </c>
      <c r="C98" s="20" t="str" cm="1">
        <f t="array" ref="C98">GetValue("Tbl",B98,"Alias")</f>
        <v>Tbl</v>
      </c>
      <c r="D98" s="20">
        <v>9</v>
      </c>
      <c r="E98" s="20" t="str" cm="1">
        <f t="array" ref="E98">GetValue("Dmn",D98,"Name")</f>
        <v>Nvarchar(20)</v>
      </c>
      <c r="F98" s="20">
        <f t="shared" si="12"/>
        <v>20</v>
      </c>
      <c r="G98" s="20" t="str" cm="1">
        <f t="array" ref="G98">GetColumnName(C98,IF(B98=B97,G97,""))</f>
        <v>Alias</v>
      </c>
      <c r="H98" s="20" t="s">
        <v>117</v>
      </c>
      <c r="I98" s="20" t="s">
        <v>85</v>
      </c>
      <c r="J98" s="20" t="str">
        <f t="shared" si="18"/>
        <v/>
      </c>
      <c r="K98" s="20" t="str">
        <f t="shared" si="18"/>
        <v/>
      </c>
      <c r="L98" s="20" t="str">
        <f t="shared" si="19"/>
        <v/>
      </c>
      <c r="M98" s="20" t="str">
        <f t="shared" si="19"/>
        <v/>
      </c>
      <c r="N98" s="20"/>
      <c r="O98" s="20"/>
      <c r="P98" s="20" t="str">
        <f t="shared" si="20"/>
        <v/>
      </c>
    </row>
    <row r="99" spans="1:16">
      <c r="A99" s="20">
        <f t="shared" si="17"/>
        <v>98</v>
      </c>
      <c r="B99" s="21">
        <v>15</v>
      </c>
      <c r="C99" s="20" t="str" cm="1">
        <f t="array" ref="C99">GetValue("Tbl",B99,"Alias")</f>
        <v>Tbl</v>
      </c>
      <c r="D99" s="20">
        <v>11</v>
      </c>
      <c r="E99" s="20" t="str" cm="1">
        <f t="array" ref="E99">GetValue("Dmn",D99,"Name")</f>
        <v>Nvarchar(50)</v>
      </c>
      <c r="F99" s="20">
        <f t="shared" si="12"/>
        <v>25</v>
      </c>
      <c r="G99" s="20" t="str" cm="1">
        <f t="array" ref="G99">GetColumnName(C99,IF(B99=B98,G98,""))</f>
        <v>Description</v>
      </c>
      <c r="H99" s="20" t="s">
        <v>118</v>
      </c>
      <c r="I99" s="20" t="s">
        <v>111</v>
      </c>
      <c r="J99" s="20" t="str">
        <f t="shared" si="18"/>
        <v/>
      </c>
      <c r="K99" s="20" t="str">
        <f t="shared" si="18"/>
        <v/>
      </c>
      <c r="L99" s="20" t="str">
        <f t="shared" si="19"/>
        <v/>
      </c>
      <c r="M99" s="20" t="str">
        <f t="shared" si="19"/>
        <v/>
      </c>
      <c r="N99" s="20"/>
      <c r="O99" s="20"/>
      <c r="P99" s="20" t="str">
        <f t="shared" si="20"/>
        <v/>
      </c>
    </row>
    <row r="100" spans="1:16">
      <c r="A100" s="20">
        <f t="shared" si="17"/>
        <v>99</v>
      </c>
      <c r="B100" s="21">
        <v>15</v>
      </c>
      <c r="C100" s="20" t="str" cm="1">
        <f t="array" ref="C100">GetValue("Tbl",B100,"Alias")</f>
        <v>Tbl</v>
      </c>
      <c r="D100" s="20">
        <v>1</v>
      </c>
      <c r="E100" s="20" t="str" cm="1">
        <f t="array" ref="E100">GetValue("Dmn",D100,"Name")</f>
        <v>BigInteger</v>
      </c>
      <c r="F100" s="20">
        <f>IF(G100="Id",5,F99+5)</f>
        <v>30</v>
      </c>
      <c r="G100" s="20" t="str" cm="1">
        <f t="array" ref="G100">GetColumnName(C100,IF(B100=B99,G99,""))</f>
        <v>CurrentId</v>
      </c>
      <c r="H100" s="20" t="s">
        <v>827</v>
      </c>
      <c r="I100" s="20" t="s">
        <v>826</v>
      </c>
      <c r="J100" s="20" t="str">
        <f t="shared" si="18"/>
        <v/>
      </c>
      <c r="K100" s="20" t="str">
        <f t="shared" si="18"/>
        <v/>
      </c>
      <c r="L100" s="20" t="str">
        <f t="shared" si="19"/>
        <v/>
      </c>
      <c r="M100" s="20" t="str">
        <f t="shared" si="19"/>
        <v/>
      </c>
      <c r="N100" s="20"/>
      <c r="O100" s="20"/>
      <c r="P100" s="20" t="str">
        <f t="shared" si="20"/>
        <v/>
      </c>
    </row>
    <row r="101" spans="1:16">
      <c r="A101" s="20">
        <f t="shared" si="17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 t="shared" ref="F101:F104" si="21">IF(G101="Id",5,F100+5)</f>
        <v>35</v>
      </c>
      <c r="G101" s="20" t="str" cm="1">
        <f t="array" ref="G101">GetColumnName(C101,IF(B101=B100,G100,""))</f>
        <v>MenuId</v>
      </c>
      <c r="H101" s="20" t="s">
        <v>820</v>
      </c>
      <c r="I101" s="20" t="s">
        <v>824</v>
      </c>
      <c r="J101" s="20" t="str">
        <f t="shared" si="18"/>
        <v/>
      </c>
      <c r="K101" s="20" t="str">
        <f t="shared" si="18"/>
        <v/>
      </c>
      <c r="L101" s="20" t="str">
        <f t="shared" si="19"/>
        <v/>
      </c>
      <c r="M101" s="20" t="str">
        <f t="shared" si="19"/>
        <v/>
      </c>
      <c r="N101" s="20"/>
      <c r="O101" s="20"/>
      <c r="P101" s="20" t="str">
        <f t="shared" si="20"/>
        <v/>
      </c>
    </row>
    <row r="102" spans="1:16">
      <c r="A102" s="20">
        <f t="shared" si="17"/>
        <v>101</v>
      </c>
      <c r="B102" s="21">
        <v>15</v>
      </c>
      <c r="C102" s="20" t="str" cm="1">
        <f t="array" ref="C102">GetValue("Tbl",B102,"Alias")</f>
        <v>Tbl</v>
      </c>
      <c r="D102" s="20">
        <v>2</v>
      </c>
      <c r="E102" s="20" t="str" cm="1">
        <f t="array" ref="E102">GetValue("Dmn",D102,"Name")</f>
        <v>Integer</v>
      </c>
      <c r="F102" s="20">
        <f t="shared" si="21"/>
        <v>40</v>
      </c>
      <c r="G102" s="20" t="str" cm="1">
        <f t="array" ref="G102">GetColumnName(C102,IF(B102=B101,G101,""))</f>
        <v>MenuSequence</v>
      </c>
      <c r="H102" s="20" t="s">
        <v>821</v>
      </c>
      <c r="I102" s="20" t="s">
        <v>113</v>
      </c>
      <c r="J102" s="20" t="str">
        <f t="shared" si="18"/>
        <v/>
      </c>
      <c r="K102" s="20" t="str">
        <f t="shared" si="18"/>
        <v/>
      </c>
      <c r="L102" s="20" t="str">
        <f t="shared" si="19"/>
        <v/>
      </c>
      <c r="M102" s="20" t="str">
        <f t="shared" si="19"/>
        <v/>
      </c>
      <c r="N102" s="20"/>
      <c r="O102" s="20"/>
      <c r="P102" s="20" t="str">
        <f t="shared" si="20"/>
        <v/>
      </c>
    </row>
    <row r="103" spans="1:16">
      <c r="A103" s="20">
        <f t="shared" si="17"/>
        <v>102</v>
      </c>
      <c r="B103" s="21">
        <v>15</v>
      </c>
      <c r="C103" s="20" t="str" cm="1">
        <f t="array" ref="C103">GetValue("Tbl",B103,"Alias")</f>
        <v>Tbl</v>
      </c>
      <c r="D103" s="20">
        <v>9</v>
      </c>
      <c r="E103" s="20" t="str" cm="1">
        <f t="array" ref="E103">GetValue("Dmn",D103,"Name")</f>
        <v>Nvarchar(20)</v>
      </c>
      <c r="F103" s="20">
        <f t="shared" si="21"/>
        <v>45</v>
      </c>
      <c r="G103" s="20" t="str" cm="1">
        <f t="array" ref="G103">GetColumnName(C103,IF(B103=B102,G102,""))</f>
        <v>MenuCaption</v>
      </c>
      <c r="H103" s="20" t="s">
        <v>822</v>
      </c>
      <c r="I103" s="20" t="s">
        <v>825</v>
      </c>
      <c r="J103" s="20" t="str">
        <f t="shared" si="18"/>
        <v/>
      </c>
      <c r="K103" s="20" t="str">
        <f t="shared" si="18"/>
        <v/>
      </c>
      <c r="L103" s="20" t="str">
        <f t="shared" si="19"/>
        <v/>
      </c>
      <c r="M103" s="20" t="str">
        <f t="shared" si="19"/>
        <v/>
      </c>
      <c r="N103" s="20"/>
      <c r="O103" s="20"/>
      <c r="P103" s="20" t="str">
        <f t="shared" si="20"/>
        <v/>
      </c>
    </row>
    <row r="104" spans="1:16">
      <c r="A104" s="20">
        <f t="shared" si="17"/>
        <v>103</v>
      </c>
      <c r="B104" s="21">
        <v>15</v>
      </c>
      <c r="C104" s="20" t="str" cm="1">
        <f t="array" ref="C104">GetValue("Tbl",B104,"Alias")</f>
        <v>Tbl</v>
      </c>
      <c r="D104" s="20">
        <v>11</v>
      </c>
      <c r="E104" s="20" t="str" cm="1">
        <f t="array" ref="E104">GetValue("Dmn",D104,"Name")</f>
        <v>Nvarchar(50)</v>
      </c>
      <c r="F104" s="20">
        <f t="shared" si="21"/>
        <v>50</v>
      </c>
      <c r="G104" s="20" t="str" cm="1">
        <f t="array" ref="G104">GetColumnName(C104,IF(B104=B103,G103,""))</f>
        <v>MenuMessage</v>
      </c>
      <c r="H104" s="20" t="s">
        <v>823</v>
      </c>
      <c r="I104" s="20" t="s">
        <v>618</v>
      </c>
      <c r="J104" s="20" t="str">
        <f t="shared" si="18"/>
        <v/>
      </c>
      <c r="K104" s="20" t="str">
        <f t="shared" si="18"/>
        <v/>
      </c>
      <c r="L104" s="20" t="str">
        <f t="shared" si="19"/>
        <v/>
      </c>
      <c r="M104" s="20" t="str">
        <f t="shared" si="19"/>
        <v/>
      </c>
      <c r="N104" s="20"/>
      <c r="O104" s="20"/>
      <c r="P104" s="20" t="str">
        <f t="shared" si="20"/>
        <v/>
      </c>
    </row>
    <row r="105" spans="1:16">
      <c r="A105" s="18">
        <f t="shared" si="16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IF(G105="Id",5,F100+5)</f>
        <v>5</v>
      </c>
      <c r="G105" s="18" t="str" cm="1">
        <f t="array" ref="G105">GetColumnName(C105,IF(B105=B100,G100,""))</f>
        <v>Id</v>
      </c>
      <c r="H105" s="18" t="s">
        <v>622</v>
      </c>
      <c r="I105" s="18" t="s">
        <v>0</v>
      </c>
      <c r="J105" s="18" t="b">
        <f t="shared" si="13"/>
        <v>1</v>
      </c>
      <c r="K105" s="18" t="b">
        <f t="shared" si="13"/>
        <v>1</v>
      </c>
      <c r="L105" s="18" t="b">
        <f t="shared" si="14"/>
        <v>0</v>
      </c>
      <c r="M105" s="18" t="b">
        <f t="shared" si="14"/>
        <v>0</v>
      </c>
      <c r="N105" s="18"/>
      <c r="O105" s="18"/>
      <c r="P105" s="18" t="b">
        <f t="shared" si="15"/>
        <v>0</v>
      </c>
    </row>
    <row r="106" spans="1:16">
      <c r="A106" s="18">
        <f t="shared" si="16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12"/>
        <v>10</v>
      </c>
      <c r="G106" s="18" t="str" cm="1">
        <f t="array" ref="G106">GetColumnName(C106,IF(B106=B105,G105,""))</f>
        <v>TableId</v>
      </c>
      <c r="H106" s="18" t="s">
        <v>611</v>
      </c>
      <c r="I106" s="18" t="s">
        <v>119</v>
      </c>
      <c r="J106" s="18" t="str">
        <f t="shared" ref="J106:K130" si="22">IF($G106="Id",TRUE,"")</f>
        <v/>
      </c>
      <c r="K106" s="18" t="str">
        <f t="shared" si="22"/>
        <v/>
      </c>
      <c r="L106" s="18" t="str">
        <f t="shared" ref="L106:M130" si="23">IF($G106="Id",FALSE,"")</f>
        <v/>
      </c>
      <c r="M106" s="18" t="str">
        <f t="shared" si="23"/>
        <v/>
      </c>
      <c r="N106" s="18"/>
      <c r="O106" s="18"/>
      <c r="P106" s="18" t="str">
        <f t="shared" si="15"/>
        <v/>
      </c>
    </row>
    <row r="107" spans="1:16">
      <c r="A107" s="18">
        <f t="shared" si="16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12"/>
        <v>15</v>
      </c>
      <c r="G107" s="18" t="str" cm="1">
        <f t="array" ref="G107">GetColumnName(C107,IF(B107=B106,G106,""))</f>
        <v>DomainId</v>
      </c>
      <c r="H107" s="18" t="s">
        <v>623</v>
      </c>
      <c r="I107" s="18" t="s">
        <v>120</v>
      </c>
      <c r="J107" s="18" t="str">
        <f t="shared" si="22"/>
        <v/>
      </c>
      <c r="K107" s="18" t="str">
        <f t="shared" si="22"/>
        <v/>
      </c>
      <c r="L107" s="18" t="str">
        <f t="shared" si="23"/>
        <v/>
      </c>
      <c r="M107" s="18" t="str">
        <f t="shared" si="23"/>
        <v/>
      </c>
      <c r="N107" s="18"/>
      <c r="O107" s="18"/>
      <c r="P107" s="18" t="str">
        <f t="shared" si="15"/>
        <v/>
      </c>
    </row>
    <row r="108" spans="1:16">
      <c r="A108" s="18">
        <f t="shared" si="16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12"/>
        <v>20</v>
      </c>
      <c r="G108" s="18" t="str" cm="1">
        <f t="array" ref="G108">GetColumnName(C108,IF(B108=B107,G107,""))</f>
        <v>Sequence</v>
      </c>
      <c r="H108" s="18" t="s">
        <v>624</v>
      </c>
      <c r="I108" s="18" t="s">
        <v>113</v>
      </c>
      <c r="J108" s="18" t="str">
        <f t="shared" si="22"/>
        <v/>
      </c>
      <c r="K108" s="18" t="str">
        <f t="shared" si="22"/>
        <v/>
      </c>
      <c r="L108" s="18" t="str">
        <f t="shared" si="23"/>
        <v/>
      </c>
      <c r="M108" s="18" t="str">
        <f t="shared" si="23"/>
        <v/>
      </c>
      <c r="N108" s="18"/>
      <c r="O108" s="18"/>
      <c r="P108" s="18" t="str">
        <f t="shared" si="15"/>
        <v/>
      </c>
    </row>
    <row r="109" spans="1:16">
      <c r="A109" s="18">
        <f t="shared" si="16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12"/>
        <v>25</v>
      </c>
      <c r="G109" s="18" t="str" cm="1">
        <f t="array" ref="G109">GetColumnName(C109,IF(B109=B108,G108,""))</f>
        <v>Name</v>
      </c>
      <c r="H109" s="18" t="s">
        <v>121</v>
      </c>
      <c r="I109" s="18" t="s">
        <v>99</v>
      </c>
      <c r="J109" s="18" t="str">
        <f t="shared" si="22"/>
        <v/>
      </c>
      <c r="K109" s="18" t="str">
        <f t="shared" si="22"/>
        <v/>
      </c>
      <c r="L109" s="18" t="str">
        <f t="shared" si="23"/>
        <v/>
      </c>
      <c r="M109" s="18" t="str">
        <f t="shared" si="23"/>
        <v/>
      </c>
      <c r="N109" s="18"/>
      <c r="O109" s="18"/>
      <c r="P109" s="18" t="str">
        <f t="shared" si="15"/>
        <v/>
      </c>
    </row>
    <row r="110" spans="1:16">
      <c r="A110" s="18">
        <f t="shared" si="16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12"/>
        <v>30</v>
      </c>
      <c r="G110" s="18" t="str" cm="1">
        <f t="array" ref="G110">GetColumnName(C110,IF(B110=B109,G109,""))</f>
        <v>Description</v>
      </c>
      <c r="H110" s="18" t="s">
        <v>625</v>
      </c>
      <c r="I110" s="18" t="s">
        <v>111</v>
      </c>
      <c r="J110" s="18" t="str">
        <f t="shared" si="22"/>
        <v/>
      </c>
      <c r="K110" s="18" t="str">
        <f t="shared" si="22"/>
        <v/>
      </c>
      <c r="L110" s="18" t="str">
        <f t="shared" si="23"/>
        <v/>
      </c>
      <c r="M110" s="18" t="str">
        <f t="shared" si="23"/>
        <v/>
      </c>
      <c r="N110" s="18"/>
      <c r="O110" s="18"/>
      <c r="P110" s="18" t="str">
        <f t="shared" si="15"/>
        <v/>
      </c>
    </row>
    <row r="111" spans="1:16">
      <c r="A111" s="18">
        <f t="shared" si="16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12"/>
        <v>35</v>
      </c>
      <c r="G111" s="18" t="str" cm="1">
        <f t="array" ref="G111">GetColumnName(C111,IF(B111=B110,G110,""))</f>
        <v>Caption</v>
      </c>
      <c r="H111" s="18" t="s">
        <v>626</v>
      </c>
      <c r="I111" s="18" t="s">
        <v>616</v>
      </c>
      <c r="J111" s="18" t="str">
        <f t="shared" si="22"/>
        <v/>
      </c>
      <c r="K111" s="18" t="str">
        <f t="shared" si="22"/>
        <v/>
      </c>
      <c r="L111" s="18" t="str">
        <f t="shared" si="23"/>
        <v/>
      </c>
      <c r="M111" s="18" t="str">
        <f t="shared" si="23"/>
        <v/>
      </c>
      <c r="N111" s="18"/>
      <c r="O111" s="18"/>
      <c r="P111" s="18" t="str">
        <f t="shared" si="15"/>
        <v/>
      </c>
    </row>
    <row r="112" spans="1:16">
      <c r="A112" s="18">
        <f t="shared" si="16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12"/>
        <v>40</v>
      </c>
      <c r="G112" s="18" t="str" cm="1">
        <f t="array" ref="G112">GetColumnName(C112,IF(B112=B111,G111,""))</f>
        <v>IsRequired</v>
      </c>
      <c r="H112" s="18" t="s">
        <v>628</v>
      </c>
      <c r="I112" s="18" t="s">
        <v>576</v>
      </c>
      <c r="J112" s="18" t="str">
        <f t="shared" si="22"/>
        <v/>
      </c>
      <c r="K112" s="18" t="str">
        <f t="shared" si="22"/>
        <v/>
      </c>
      <c r="L112" s="18" t="str">
        <f t="shared" si="23"/>
        <v/>
      </c>
      <c r="M112" s="18" t="str">
        <f t="shared" si="23"/>
        <v/>
      </c>
      <c r="N112" s="18"/>
      <c r="O112" s="18"/>
      <c r="P112" s="18" t="str">
        <f t="shared" si="15"/>
        <v/>
      </c>
    </row>
    <row r="113" spans="1:16">
      <c r="A113" s="18">
        <f t="shared" si="16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12"/>
        <v>45</v>
      </c>
      <c r="G113" s="18" t="str" cm="1">
        <f t="array" ref="G113">GetColumnName(C113,IF(B113=B112,G112,""))</f>
        <v>IsFilterable</v>
      </c>
      <c r="H113" s="18" t="s">
        <v>629</v>
      </c>
      <c r="I113" s="18" t="s">
        <v>559</v>
      </c>
      <c r="J113" s="18" t="str">
        <f t="shared" si="22"/>
        <v/>
      </c>
      <c r="K113" s="18" t="str">
        <f t="shared" si="22"/>
        <v/>
      </c>
      <c r="L113" s="18" t="str">
        <f t="shared" si="23"/>
        <v/>
      </c>
      <c r="M113" s="18" t="str">
        <f t="shared" si="23"/>
        <v/>
      </c>
      <c r="N113" s="18"/>
      <c r="O113" s="18"/>
      <c r="P113" s="18" t="str">
        <f t="shared" si="15"/>
        <v/>
      </c>
    </row>
    <row r="114" spans="1:16">
      <c r="A114" s="18">
        <f t="shared" si="16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12"/>
        <v>50</v>
      </c>
      <c r="G114" s="18" t="str" cm="1">
        <f t="array" ref="G114">GetColumnName(C114,IF(B114=B113,G113,""))</f>
        <v>IsEditable</v>
      </c>
      <c r="H114" s="18" t="s">
        <v>630</v>
      </c>
      <c r="I114" s="18" t="s">
        <v>564</v>
      </c>
      <c r="J114" s="18" t="str">
        <f t="shared" si="22"/>
        <v/>
      </c>
      <c r="K114" s="18" t="str">
        <f t="shared" si="22"/>
        <v/>
      </c>
      <c r="L114" s="18" t="str">
        <f t="shared" si="23"/>
        <v/>
      </c>
      <c r="M114" s="18" t="str">
        <f t="shared" si="23"/>
        <v/>
      </c>
      <c r="N114" s="18"/>
      <c r="O114" s="18"/>
      <c r="P114" s="18" t="str">
        <f t="shared" si="15"/>
        <v/>
      </c>
    </row>
    <row r="115" spans="1:16">
      <c r="A115" s="18">
        <f t="shared" si="16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12"/>
        <v>55</v>
      </c>
      <c r="G115" s="18" t="str" cm="1">
        <f t="array" ref="G115">GetColumnName(C115,IF(B115=B114,G114,""))</f>
        <v>IsGridable</v>
      </c>
      <c r="H115" s="18" t="s">
        <v>679</v>
      </c>
      <c r="I115" s="18" t="s">
        <v>682</v>
      </c>
      <c r="J115" s="18" t="str">
        <f t="shared" si="22"/>
        <v/>
      </c>
      <c r="K115" s="18" t="str">
        <f t="shared" si="22"/>
        <v/>
      </c>
      <c r="L115" s="18" t="str">
        <f t="shared" si="23"/>
        <v/>
      </c>
      <c r="M115" s="18" t="str">
        <f t="shared" si="23"/>
        <v/>
      </c>
      <c r="N115" s="18"/>
      <c r="O115" s="18"/>
      <c r="P115" s="18" t="str">
        <f t="shared" si="15"/>
        <v/>
      </c>
    </row>
    <row r="116" spans="1:16">
      <c r="A116" s="18">
        <f t="shared" si="16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12"/>
        <v>60</v>
      </c>
      <c r="G116" s="18" t="str" cm="1">
        <f t="array" ref="G116">GetColumnName(C116,IF(B116=B115,G115,""))</f>
        <v>IsListable</v>
      </c>
      <c r="H116" s="18" t="s">
        <v>680</v>
      </c>
      <c r="I116" s="18" t="s">
        <v>681</v>
      </c>
      <c r="J116" s="18" t="str">
        <f t="shared" si="22"/>
        <v/>
      </c>
      <c r="K116" s="18" t="str">
        <f t="shared" si="22"/>
        <v/>
      </c>
      <c r="L116" s="18" t="str">
        <f t="shared" si="23"/>
        <v/>
      </c>
      <c r="M116" s="18" t="str">
        <f t="shared" si="23"/>
        <v/>
      </c>
      <c r="N116" s="18"/>
      <c r="O116" s="18"/>
      <c r="P116" s="18" t="str">
        <f t="shared" si="15"/>
        <v/>
      </c>
    </row>
    <row r="117" spans="1:16">
      <c r="A117" s="18">
        <f t="shared" si="16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12"/>
        <v>65</v>
      </c>
      <c r="G117" s="18" t="str" cm="1">
        <f t="array" ref="G117">GetColumnName(C117,IF(B117=B116,G116,""))</f>
        <v>IsEncrypted</v>
      </c>
      <c r="H117" s="18" t="s">
        <v>684</v>
      </c>
      <c r="I117" s="18" t="s">
        <v>683</v>
      </c>
      <c r="J117" s="18" t="str">
        <f t="shared" si="22"/>
        <v/>
      </c>
      <c r="K117" s="18" t="str">
        <f t="shared" si="22"/>
        <v/>
      </c>
      <c r="L117" s="18" t="str">
        <f t="shared" si="23"/>
        <v/>
      </c>
      <c r="M117" s="18" t="str">
        <f t="shared" si="23"/>
        <v/>
      </c>
      <c r="N117" s="18"/>
      <c r="O117" s="18"/>
      <c r="P117" s="18" t="str">
        <f t="shared" si="15"/>
        <v/>
      </c>
    </row>
    <row r="118" spans="1:16">
      <c r="A118" s="18">
        <f t="shared" si="16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12"/>
        <v>70</v>
      </c>
      <c r="G118" s="18" t="str" cm="1">
        <f t="array" ref="G118">GetColumnName(C118,IF(B118=B117,G117,""))</f>
        <v>IsInWords</v>
      </c>
      <c r="H118" s="18" t="s">
        <v>810</v>
      </c>
      <c r="I118" s="18" t="s">
        <v>811</v>
      </c>
      <c r="J118" s="18" t="str">
        <f t="shared" si="22"/>
        <v/>
      </c>
      <c r="K118" s="18" t="str">
        <f t="shared" si="22"/>
        <v/>
      </c>
      <c r="L118" s="18" t="str">
        <f t="shared" si="23"/>
        <v/>
      </c>
      <c r="M118" s="18" t="str">
        <f t="shared" si="23"/>
        <v/>
      </c>
      <c r="N118" s="18"/>
      <c r="O118" s="18"/>
      <c r="P118" s="18" t="str">
        <f t="shared" si="15"/>
        <v/>
      </c>
    </row>
    <row r="119" spans="1:16">
      <c r="A119" s="20">
        <f t="shared" si="16"/>
        <v>118</v>
      </c>
      <c r="B119" s="21">
        <v>17</v>
      </c>
      <c r="C119" s="20" t="str" cm="1">
        <f t="array" ref="C119">GetValue("Tbl",B119,"Alias")</f>
        <v>Idx</v>
      </c>
      <c r="D119" s="20">
        <v>1</v>
      </c>
      <c r="E119" s="20" t="str" cm="1">
        <f t="array" ref="E119">GetValue("Dmn",D119,"Name")</f>
        <v>BigInteger</v>
      </c>
      <c r="F119" s="20">
        <f t="shared" si="12"/>
        <v>5</v>
      </c>
      <c r="G119" s="20" t="str" cm="1">
        <f t="array" ref="G119">GetColumnName(C119,IF(B119=B118,G118,""))</f>
        <v>Id</v>
      </c>
      <c r="H119" s="20" t="s">
        <v>639</v>
      </c>
      <c r="I119" s="20" t="s">
        <v>112</v>
      </c>
      <c r="J119" s="20" t="b">
        <f t="shared" si="22"/>
        <v>1</v>
      </c>
      <c r="K119" s="20" t="b">
        <f t="shared" si="22"/>
        <v>1</v>
      </c>
      <c r="L119" s="20" t="b">
        <f t="shared" si="23"/>
        <v>0</v>
      </c>
      <c r="M119" s="20" t="b">
        <f t="shared" si="23"/>
        <v>0</v>
      </c>
      <c r="N119" s="20"/>
      <c r="O119" s="20"/>
      <c r="P119" s="20" t="b">
        <f t="shared" si="15"/>
        <v>0</v>
      </c>
    </row>
    <row r="120" spans="1:16">
      <c r="A120" s="20">
        <f t="shared" si="16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 t="shared" si="12"/>
        <v>10</v>
      </c>
      <c r="G120" s="20" t="str" cm="1">
        <f t="array" ref="G120">GetColumnName(C120,IF(B120=B119,G119,""))</f>
        <v>TableId</v>
      </c>
      <c r="H120" s="20" t="s">
        <v>631</v>
      </c>
      <c r="I120" s="20" t="s">
        <v>640</v>
      </c>
      <c r="J120" s="20" t="str">
        <f t="shared" si="22"/>
        <v/>
      </c>
      <c r="K120" s="20" t="str">
        <f t="shared" si="22"/>
        <v/>
      </c>
      <c r="L120" s="20" t="str">
        <f t="shared" si="23"/>
        <v/>
      </c>
      <c r="M120" s="20" t="str">
        <f t="shared" si="23"/>
        <v/>
      </c>
      <c r="N120" s="20"/>
      <c r="O120" s="20"/>
      <c r="P120" s="20" t="str">
        <f t="shared" si="15"/>
        <v/>
      </c>
    </row>
    <row r="121" spans="1:16">
      <c r="A121" s="20">
        <f t="shared" si="16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12"/>
        <v>15</v>
      </c>
      <c r="G121" s="20" t="str" cm="1">
        <f t="array" ref="G121">GetColumnName(C121,IF(B121=B120,G120,""))</f>
        <v>Name</v>
      </c>
      <c r="H121" s="20" t="s">
        <v>641</v>
      </c>
      <c r="I121" s="20" t="s">
        <v>642</v>
      </c>
      <c r="J121" s="20" t="str">
        <f t="shared" si="22"/>
        <v/>
      </c>
      <c r="K121" s="20" t="str">
        <f t="shared" si="22"/>
        <v/>
      </c>
      <c r="L121" s="20" t="str">
        <f t="shared" si="23"/>
        <v/>
      </c>
      <c r="M121" s="20" t="str">
        <f t="shared" si="23"/>
        <v/>
      </c>
      <c r="N121" s="20"/>
      <c r="O121" s="20"/>
      <c r="P121" s="20" t="str">
        <f t="shared" si="15"/>
        <v/>
      </c>
    </row>
    <row r="122" spans="1:16">
      <c r="A122" s="20">
        <f t="shared" si="16"/>
        <v>121</v>
      </c>
      <c r="B122" s="21">
        <v>17</v>
      </c>
      <c r="C122" s="20" t="str" cm="1">
        <f t="array" ref="C122">GetValue("Tbl",B122,"Alias")</f>
        <v>Idx</v>
      </c>
      <c r="D122" s="20">
        <v>4</v>
      </c>
      <c r="E122" s="20" t="str" cm="1">
        <f t="array" ref="E122">GetValue("Dmn",D122,"Name")</f>
        <v>SmallInteger</v>
      </c>
      <c r="F122" s="20">
        <f t="shared" si="12"/>
        <v>20</v>
      </c>
      <c r="G122" s="20" t="str" cm="1">
        <f t="array" ref="G122">GetColumnName(C122,IF(B122=B121,G121,""))</f>
        <v>IsUnique</v>
      </c>
      <c r="H122" s="20" t="s">
        <v>643</v>
      </c>
      <c r="I122" s="20" t="s">
        <v>113</v>
      </c>
      <c r="J122" s="20" t="str">
        <f t="shared" si="22"/>
        <v/>
      </c>
      <c r="K122" s="20" t="str">
        <f t="shared" si="22"/>
        <v/>
      </c>
      <c r="L122" s="20" t="str">
        <f t="shared" si="23"/>
        <v/>
      </c>
      <c r="M122" s="20" t="str">
        <f t="shared" si="23"/>
        <v/>
      </c>
      <c r="N122" s="20"/>
      <c r="O122" s="20"/>
      <c r="P122" s="20" t="str">
        <f t="shared" si="15"/>
        <v/>
      </c>
    </row>
    <row r="123" spans="1:16">
      <c r="A123" s="18">
        <f t="shared" si="16"/>
        <v>122</v>
      </c>
      <c r="B123" s="19">
        <v>18</v>
      </c>
      <c r="C123" s="18" t="str" cm="1">
        <f t="array" ref="C123">GetValue("Tbl",B123,"Alias")</f>
        <v>Idk</v>
      </c>
      <c r="D123" s="18">
        <v>1</v>
      </c>
      <c r="E123" s="18" t="str" cm="1">
        <f t="array" ref="E123">GetValue("Dmn",D123,"Name")</f>
        <v>BigInteger</v>
      </c>
      <c r="F123" s="18">
        <f t="shared" si="12"/>
        <v>5</v>
      </c>
      <c r="G123" s="18" t="str" cm="1">
        <f t="array" ref="G123">GetColumnName(C123,IF(B123=B122,G122,""))</f>
        <v>Id</v>
      </c>
      <c r="H123" s="18" t="s">
        <v>639</v>
      </c>
      <c r="I123" s="18" t="s">
        <v>0</v>
      </c>
      <c r="J123" s="18" t="b">
        <f t="shared" si="22"/>
        <v>1</v>
      </c>
      <c r="K123" s="18" t="b">
        <f t="shared" si="22"/>
        <v>1</v>
      </c>
      <c r="L123" s="18" t="b">
        <f t="shared" si="23"/>
        <v>0</v>
      </c>
      <c r="M123" s="18" t="b">
        <f t="shared" si="23"/>
        <v>0</v>
      </c>
      <c r="N123" s="18"/>
      <c r="O123" s="18"/>
      <c r="P123" s="18" t="b">
        <f t="shared" si="15"/>
        <v>0</v>
      </c>
    </row>
    <row r="124" spans="1:16">
      <c r="A124" s="18">
        <f t="shared" si="16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12"/>
        <v>10</v>
      </c>
      <c r="G124" s="18" t="str" cm="1">
        <f t="array" ref="G124">GetColumnName(C124,IF(B124=B123,G123,""))</f>
        <v>IndexId</v>
      </c>
      <c r="H124" s="18" t="s">
        <v>631</v>
      </c>
      <c r="I124" s="18" t="s">
        <v>640</v>
      </c>
      <c r="J124" s="18" t="str">
        <f t="shared" si="22"/>
        <v/>
      </c>
      <c r="K124" s="18" t="str">
        <f t="shared" si="22"/>
        <v/>
      </c>
      <c r="L124" s="18" t="str">
        <f t="shared" si="23"/>
        <v/>
      </c>
      <c r="M124" s="18" t="str">
        <f t="shared" si="23"/>
        <v/>
      </c>
      <c r="N124" s="18"/>
      <c r="O124" s="18"/>
      <c r="P124" s="18" t="str">
        <f t="shared" si="15"/>
        <v/>
      </c>
    </row>
    <row r="125" spans="1:16">
      <c r="A125" s="18">
        <f t="shared" si="16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12"/>
        <v>15</v>
      </c>
      <c r="G125" s="18" t="str" cm="1">
        <f t="array" ref="G125">GetColumnName(C125,IF(B125=B124,G124,""))</f>
        <v>ColumnId</v>
      </c>
      <c r="H125" s="18" t="s">
        <v>641</v>
      </c>
      <c r="I125" s="18" t="s">
        <v>645</v>
      </c>
      <c r="J125" s="18" t="str">
        <f t="shared" si="22"/>
        <v/>
      </c>
      <c r="K125" s="18" t="str">
        <f t="shared" si="22"/>
        <v/>
      </c>
      <c r="L125" s="18" t="str">
        <f t="shared" si="23"/>
        <v/>
      </c>
      <c r="M125" s="18" t="str">
        <f t="shared" si="23"/>
        <v/>
      </c>
      <c r="N125" s="18"/>
      <c r="O125" s="18"/>
      <c r="P125" s="18" t="str">
        <f t="shared" si="15"/>
        <v/>
      </c>
    </row>
    <row r="126" spans="1:16">
      <c r="A126" s="18">
        <f t="shared" si="16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12"/>
        <v>20</v>
      </c>
      <c r="G126" s="18" t="str" cm="1">
        <f t="array" ref="G126">GetColumnName(C126,IF(B126=B125,G125,""))</f>
        <v>Sequence</v>
      </c>
      <c r="H126" s="18" t="s">
        <v>807</v>
      </c>
      <c r="I126" s="18" t="s">
        <v>113</v>
      </c>
      <c r="J126" s="18" t="str">
        <f t="shared" si="22"/>
        <v/>
      </c>
      <c r="K126" s="18" t="str">
        <f t="shared" si="22"/>
        <v/>
      </c>
      <c r="L126" s="18" t="str">
        <f t="shared" si="23"/>
        <v/>
      </c>
      <c r="M126" s="18" t="str">
        <f t="shared" si="23"/>
        <v/>
      </c>
      <c r="N126" s="18"/>
      <c r="O126" s="18"/>
      <c r="P126" s="18" t="str">
        <f t="shared" si="15"/>
        <v/>
      </c>
    </row>
    <row r="127" spans="1:16">
      <c r="A127" s="18">
        <f t="shared" si="16"/>
        <v>126</v>
      </c>
      <c r="B127" s="19">
        <v>18</v>
      </c>
      <c r="C127" s="18" t="str" cm="1">
        <f t="array" ref="C127">GetValue("Tbl",B127,"Alias")</f>
        <v>Idk</v>
      </c>
      <c r="D127" s="18">
        <v>1</v>
      </c>
      <c r="E127" s="18" t="str" cm="1">
        <f t="array" ref="E127">GetValue("Dmn",D127,"Name")</f>
        <v>BigInteger</v>
      </c>
      <c r="F127" s="18">
        <f t="shared" si="12"/>
        <v>25</v>
      </c>
      <c r="G127" s="18" t="str" cm="1">
        <f t="array" ref="G127">GetColumnName(C127,IF(B127=B126,G126,""))</f>
        <v>IsDescending</v>
      </c>
      <c r="H127" s="18" t="s">
        <v>808</v>
      </c>
      <c r="I127" s="18" t="s">
        <v>809</v>
      </c>
      <c r="J127" s="18" t="str">
        <f t="shared" si="22"/>
        <v/>
      </c>
      <c r="K127" s="18" t="str">
        <f t="shared" si="22"/>
        <v/>
      </c>
      <c r="L127" s="18" t="str">
        <f t="shared" si="23"/>
        <v/>
      </c>
      <c r="M127" s="18" t="str">
        <f t="shared" si="23"/>
        <v/>
      </c>
      <c r="N127" s="18"/>
      <c r="O127" s="18"/>
      <c r="P127" s="18" t="str">
        <f t="shared" si="15"/>
        <v/>
      </c>
    </row>
    <row r="128" spans="1:16">
      <c r="A128" s="20">
        <f t="shared" si="16"/>
        <v>127</v>
      </c>
      <c r="B128" s="21">
        <v>19</v>
      </c>
      <c r="C128" s="20" t="str" cm="1">
        <f t="array" ref="C128">GetValue("Tbl",B128,"Alias")</f>
        <v>Inc</v>
      </c>
      <c r="D128" s="20">
        <v>1</v>
      </c>
      <c r="E128" s="20" t="str" cm="1">
        <f t="array" ref="E128">GetValue("Dmn",D128,"Name")</f>
        <v>BigInteger</v>
      </c>
      <c r="F128" s="20">
        <f t="shared" si="12"/>
        <v>5</v>
      </c>
      <c r="G128" s="20" t="str" cm="1">
        <f t="array" ref="G128">GetColumnName(C128,IF(B128=B127,G127,""))</f>
        <v>Id</v>
      </c>
      <c r="H128" s="20" t="s">
        <v>198</v>
      </c>
      <c r="I128" s="20" t="s">
        <v>0</v>
      </c>
      <c r="J128" s="20" t="b">
        <f t="shared" si="22"/>
        <v>1</v>
      </c>
      <c r="K128" s="20" t="b">
        <f t="shared" si="22"/>
        <v>1</v>
      </c>
      <c r="L128" s="20" t="b">
        <f t="shared" si="23"/>
        <v>0</v>
      </c>
      <c r="M128" s="20" t="b">
        <f t="shared" si="23"/>
        <v>0</v>
      </c>
      <c r="N128" s="20"/>
      <c r="O128" s="20"/>
      <c r="P128" s="20" t="b">
        <f t="shared" si="15"/>
        <v>0</v>
      </c>
    </row>
    <row r="129" spans="1:16">
      <c r="A129" s="20">
        <f t="shared" si="16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12"/>
        <v>10</v>
      </c>
      <c r="G129" s="20" t="str" cm="1">
        <f t="array" ref="G129">GetColumnName(C129,IF(B129=B128,G128,""))</f>
        <v>IndexId</v>
      </c>
      <c r="H129" s="20" t="s">
        <v>631</v>
      </c>
      <c r="I129" s="20" t="s">
        <v>640</v>
      </c>
      <c r="J129" s="20" t="str">
        <f t="shared" si="22"/>
        <v/>
      </c>
      <c r="K129" s="20" t="str">
        <f t="shared" si="22"/>
        <v/>
      </c>
      <c r="L129" s="20" t="str">
        <f t="shared" si="23"/>
        <v/>
      </c>
      <c r="M129" s="20" t="str">
        <f t="shared" si="23"/>
        <v/>
      </c>
      <c r="N129" s="20"/>
      <c r="O129" s="20"/>
      <c r="P129" s="20" t="str">
        <f t="shared" si="15"/>
        <v/>
      </c>
    </row>
    <row r="130" spans="1:16">
      <c r="A130" s="20">
        <f t="shared" si="16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12"/>
        <v>15</v>
      </c>
      <c r="G130" s="20" t="str" cm="1">
        <f t="array" ref="G130">GetColumnName(C130,IF(B130=B129,G129,""))</f>
        <v>ColumnId</v>
      </c>
      <c r="H130" s="20" t="s">
        <v>812</v>
      </c>
      <c r="I130" s="20" t="s">
        <v>645</v>
      </c>
      <c r="J130" s="20" t="str">
        <f t="shared" si="22"/>
        <v/>
      </c>
      <c r="K130" s="20" t="str">
        <f t="shared" si="22"/>
        <v/>
      </c>
      <c r="L130" s="20" t="str">
        <f t="shared" si="23"/>
        <v/>
      </c>
      <c r="M130" s="20" t="str">
        <f t="shared" si="23"/>
        <v/>
      </c>
      <c r="N130" s="20"/>
      <c r="O130" s="20"/>
      <c r="P130" s="20" t="str">
        <f t="shared" si="15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5"/>
  <cols>
    <col min="1" max="1" width="3" bestFit="1" customWidth="1"/>
    <col min="2" max="2" width="7.5703125" bestFit="1" customWidth="1"/>
    <col min="3" max="3" width="22.140625" bestFit="1" customWidth="1"/>
    <col min="4" max="4" width="52.140625" bestFit="1" customWidth="1"/>
    <col min="5" max="5" width="12.42578125" bestFit="1" customWidth="1"/>
  </cols>
  <sheetData>
    <row r="1" spans="1:5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122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139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131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CategoriesComparators</v>
      </c>
      <c r="D4" t="s">
        <v>133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132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134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EnginesTypes</v>
      </c>
      <c r="D7" t="s">
        <v>158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EnginesTypes</v>
      </c>
      <c r="D8" t="s">
        <v>168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135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164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187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DomainsMasks</v>
      </c>
      <c r="D12" t="s">
        <v>136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DomainsMasks</v>
      </c>
      <c r="D13" t="s">
        <v>137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159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186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144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138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160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188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161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162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196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163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166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227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228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205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222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223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223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223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223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223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223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223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223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223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Hooks</v>
      </c>
      <c r="D38" t="s">
        <v>223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223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Endpoints</v>
      </c>
      <c r="D40" t="s">
        <v>223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223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52.140625" bestFit="1" customWidth="1"/>
    <col min="4" max="4" width="9.5703125" bestFit="1" customWidth="1"/>
    <col min="5" max="5" width="16.85546875" bestFit="1" customWidth="1"/>
    <col min="6" max="6" width="9.7109375" bestFit="1" customWidth="1"/>
    <col min="7" max="7" width="12.7109375" bestFit="1" customWidth="1"/>
  </cols>
  <sheetData>
    <row r="1" spans="1:7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  <c r="F1" s="1" t="s">
        <v>70</v>
      </c>
      <c r="G1" s="1" t="s">
        <v>125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AskMinimum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EngineId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Length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Decimals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Length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Default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ListValues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Id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DomainId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MaskId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Name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Description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DatabaseId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Name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Description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ParentMenuId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Description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CurrentId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IsEditable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43.5703125" bestFit="1" customWidth="1"/>
    <col min="4" max="4" width="9.5703125" bestFit="1" customWidth="1"/>
    <col min="5" max="5" width="16.85546875" bestFit="1" customWidth="1"/>
  </cols>
  <sheetData>
    <row r="1" spans="1:5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AskMinimum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EngineId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Length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Decimals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Length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Default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ListValues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Id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DomainId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MaskId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Name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Description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DatabaseId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Name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Description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ParentMenuId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Description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CurrentId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IsEditable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10.5703125" bestFit="1" customWidth="1"/>
    <col min="3" max="3" width="13.28515625" bestFit="1" customWidth="1"/>
    <col min="4" max="4" width="15.28515625" bestFit="1" customWidth="1"/>
    <col min="5" max="5" width="10.5703125" bestFit="1" customWidth="1"/>
    <col min="6" max="6" width="13.28515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199</v>
      </c>
      <c r="C1" s="1" t="s">
        <v>201</v>
      </c>
      <c r="D1" s="1" t="s">
        <v>203</v>
      </c>
      <c r="E1" s="1" t="s">
        <v>200</v>
      </c>
      <c r="F1" s="1" t="s">
        <v>202</v>
      </c>
      <c r="G1" s="1" t="s">
        <v>204</v>
      </c>
      <c r="H1" s="1" t="s">
        <v>644</v>
      </c>
    </row>
    <row r="2" spans="1:8">
      <c r="A2">
        <f>ROW(A2)-1</f>
        <v>1</v>
      </c>
      <c r="B2">
        <v>80</v>
      </c>
      <c r="C2" t="e" cm="1">
        <f t="array" ref="C2">GetValue("Col",B2,"#TableName")</f>
        <v>#VALUE!</v>
      </c>
      <c r="D2" t="str" cm="1">
        <f t="array" ref="D2">GetValue("Col",B2,"Name")</f>
        <v>Id</v>
      </c>
      <c r="E2">
        <v>81</v>
      </c>
      <c r="F2" t="e" cm="1">
        <f t="array" ref="F2">GetValue("Col",E2,"#TableName")</f>
        <v>#VALUE!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12.28515625" bestFit="1" customWidth="1"/>
    <col min="5" max="5" width="8.5703125" bestFit="1" customWidth="1"/>
    <col min="6" max="6" width="5.7109375" bestFit="1" customWidth="1"/>
    <col min="8" max="8" width="15.28515625" bestFit="1" customWidth="1"/>
    <col min="9" max="9" width="9.7109375" bestFit="1" customWidth="1"/>
  </cols>
  <sheetData>
    <row r="1" spans="1:9" s="6" customFormat="1">
      <c r="A1" s="1" t="s">
        <v>0</v>
      </c>
      <c r="B1" s="1" t="s">
        <v>97</v>
      </c>
      <c r="C1" s="1" t="s">
        <v>154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646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L4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5.7109375" defaultRowHeight="15"/>
  <cols>
    <col min="1" max="1" width="2.7109375" bestFit="1" customWidth="1"/>
    <col min="2" max="2" width="12.28515625" bestFit="1" customWidth="1"/>
    <col min="3" max="3" width="9.7109375" bestFit="1" customWidth="1"/>
    <col min="4" max="4" width="13.140625" bestFit="1" customWidth="1"/>
    <col min="5" max="5" width="10.140625" style="6" bestFit="1" customWidth="1"/>
    <col min="6" max="6" width="15" style="6" bestFit="1" customWidth="1"/>
    <col min="7" max="7" width="22.85546875" bestFit="1" customWidth="1"/>
    <col min="8" max="8" width="9" style="6" bestFit="1" customWidth="1"/>
    <col min="9" max="9" width="14.28515625" bestFit="1" customWidth="1"/>
    <col min="10" max="10" width="24" bestFit="1" customWidth="1"/>
    <col min="11" max="11" width="10.7109375" bestFit="1" customWidth="1"/>
    <col min="12" max="12" width="16.140625" style="6" bestFit="1" customWidth="1"/>
  </cols>
  <sheetData>
    <row r="1" spans="1:12" s="6" customFormat="1">
      <c r="A1" s="1" t="s">
        <v>0</v>
      </c>
      <c r="B1" s="1" t="s">
        <v>493</v>
      </c>
      <c r="C1" s="1" t="s">
        <v>70</v>
      </c>
      <c r="D1" s="1" t="s">
        <v>647</v>
      </c>
      <c r="E1" s="1" t="s">
        <v>477</v>
      </c>
      <c r="F1" s="1" t="s">
        <v>535</v>
      </c>
      <c r="G1" s="1" t="s">
        <v>650</v>
      </c>
      <c r="H1" s="1" t="s">
        <v>396</v>
      </c>
      <c r="I1" s="16" t="s">
        <v>648</v>
      </c>
      <c r="J1" s="1" t="s">
        <v>649</v>
      </c>
      <c r="K1" s="1" t="s">
        <v>651</v>
      </c>
      <c r="L1" s="1" t="s">
        <v>536</v>
      </c>
    </row>
    <row r="2" spans="1:12">
      <c r="A2">
        <f>ROW(A2)-1</f>
        <v>1</v>
      </c>
      <c r="B2">
        <v>1</v>
      </c>
      <c r="C2">
        <v>5</v>
      </c>
      <c r="D2">
        <v>1</v>
      </c>
      <c r="F2" s="6" t="s">
        <v>475</v>
      </c>
      <c r="G2" t="e" cm="1">
        <f t="array" ref="G2">GetValue("Col",D2,"#TableName")&amp;"-"&amp;GetValue("Col",D2,"Name")</f>
        <v>#VALUE!</v>
      </c>
      <c r="H2" s="6" t="s">
        <v>398</v>
      </c>
      <c r="I2">
        <v>2</v>
      </c>
      <c r="J2" t="e" cm="1">
        <f t="array" ref="J2">GetValue("Col",I2,"#TableName")&amp;IF(I2="","","-"&amp;GetValue("Col",I2,"Name"))</f>
        <v>#VALUE!</v>
      </c>
    </row>
    <row r="3" spans="1:12">
      <c r="A3">
        <f t="shared" ref="A3:A4" si="0">ROW(A3)-1</f>
        <v>2</v>
      </c>
      <c r="B3">
        <v>1</v>
      </c>
      <c r="C3">
        <v>10</v>
      </c>
      <c r="D3">
        <v>1</v>
      </c>
      <c r="E3" s="6" t="s">
        <v>478</v>
      </c>
      <c r="G3" t="e" cm="1">
        <f t="array" ref="G3">GetValue("Col",D3,"#TableName")&amp;"-"&amp;GetValue("Col",D3,"Name")</f>
        <v>#VALUE!</v>
      </c>
      <c r="H3" s="6" t="s">
        <v>397</v>
      </c>
      <c r="J3" t="str" cm="1">
        <f t="array" ref="J3">GetValue("Col",I3,"#TableName")&amp;IF(I3="","","-"&amp;GetValue("Col",I3,"Name"))</f>
        <v/>
      </c>
      <c r="K3">
        <v>20</v>
      </c>
      <c r="L3" s="6" t="s">
        <v>476</v>
      </c>
    </row>
    <row r="4" spans="1:12">
      <c r="A4">
        <f t="shared" si="0"/>
        <v>3</v>
      </c>
      <c r="B4">
        <v>1</v>
      </c>
      <c r="C4">
        <v>15</v>
      </c>
      <c r="D4">
        <v>1</v>
      </c>
      <c r="E4" s="6" t="s">
        <v>479</v>
      </c>
      <c r="F4" s="6" t="s">
        <v>475</v>
      </c>
      <c r="G4" t="e" cm="1">
        <f t="array" ref="G4">GetValue("Col",D4,"#TableName")&amp;"-"&amp;GetValue("Col",D4,"Name")</f>
        <v>#VALUE!</v>
      </c>
      <c r="H4" s="6" t="s">
        <v>480</v>
      </c>
      <c r="J4" t="str" cm="1">
        <f t="array" ref="J4">GetValue("Col",I4,"#TableName")&amp;IF(I4="","","-"&amp;GetValue("Col",I4,"Name"))</f>
        <v/>
      </c>
      <c r="K4">
        <v>100</v>
      </c>
      <c r="L4" s="6" t="s">
        <v>476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9.5703125" bestFit="1" customWidth="1"/>
    <col min="3" max="3" width="14.28515625" bestFit="1" customWidth="1"/>
    <col min="4" max="4" width="7.5703125" bestFit="1" customWidth="1"/>
    <col min="5" max="5" width="11.140625" bestFit="1" customWidth="1"/>
    <col min="6" max="6" width="18" bestFit="1" customWidth="1"/>
    <col min="7" max="7" width="22.7109375" bestFit="1" customWidth="1"/>
    <col min="8" max="8" width="13.85546875" bestFit="1" customWidth="1"/>
  </cols>
  <sheetData>
    <row r="1" spans="1:14" s="1" customFormat="1">
      <c r="A1" s="1" t="s">
        <v>0</v>
      </c>
      <c r="B1" s="1" t="s">
        <v>124</v>
      </c>
      <c r="C1" s="1" t="s">
        <v>157</v>
      </c>
      <c r="D1" s="1" t="s">
        <v>97</v>
      </c>
      <c r="E1" s="1" t="s">
        <v>507</v>
      </c>
      <c r="F1" s="1" t="s">
        <v>519</v>
      </c>
      <c r="G1" s="1" t="s">
        <v>697</v>
      </c>
      <c r="H1" s="1" t="s">
        <v>197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AskDefault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28515625" defaultRowHeight="15"/>
  <cols>
    <col min="1" max="1" width="2.7109375" bestFit="1" customWidth="1"/>
    <col min="2" max="2" width="8" bestFit="1" customWidth="1"/>
    <col min="3" max="3" width="12.5703125" bestFit="1" customWidth="1"/>
    <col min="4" max="4" width="7.7109375" bestFit="1" customWidth="1"/>
    <col min="5" max="5" width="9.42578125" bestFit="1" customWidth="1"/>
    <col min="6" max="6" width="11.28515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444</v>
      </c>
      <c r="C1" s="1" t="s">
        <v>352</v>
      </c>
      <c r="D1" s="1" t="s">
        <v>1</v>
      </c>
      <c r="E1" s="1" t="s">
        <v>81</v>
      </c>
      <c r="F1" s="1" t="s">
        <v>82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143</v>
      </c>
      <c r="E2" t="s">
        <v>143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146</v>
      </c>
      <c r="E3" t="s">
        <v>83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7109375" defaultRowHeight="15"/>
  <cols>
    <col min="1" max="1" width="3" bestFit="1" customWidth="1"/>
    <col min="2" max="2" width="9.140625" bestFit="1" customWidth="1"/>
    <col min="3" max="3" width="13.85546875" bestFit="1" customWidth="1"/>
    <col min="4" max="4" width="6.85546875" bestFit="1" customWidth="1"/>
    <col min="5" max="5" width="11.42578125" bestFit="1" customWidth="1"/>
    <col min="6" max="6" width="7.5703125" bestFit="1" customWidth="1"/>
    <col min="7" max="7" width="22.140625" bestFit="1" customWidth="1"/>
    <col min="8" max="11" width="12.42578125" bestFit="1" customWidth="1"/>
  </cols>
  <sheetData>
    <row r="1" spans="1:11" s="1" customFormat="1">
      <c r="A1" s="1" t="s">
        <v>0</v>
      </c>
      <c r="B1" s="1" t="s">
        <v>69</v>
      </c>
      <c r="C1" s="1" t="s">
        <v>152</v>
      </c>
      <c r="D1" s="1" t="s">
        <v>84</v>
      </c>
      <c r="E1" s="1" t="s">
        <v>151</v>
      </c>
      <c r="F1" s="1" t="s">
        <v>97</v>
      </c>
      <c r="G1" s="1" t="s">
        <v>154</v>
      </c>
      <c r="H1" s="1" t="s">
        <v>471</v>
      </c>
      <c r="I1" s="1" t="s">
        <v>472</v>
      </c>
      <c r="J1" s="1" t="s">
        <v>473</v>
      </c>
      <c r="K1" s="1" t="s">
        <v>474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CategoriesComparators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EnginesTypes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DomainsMasks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CategoriesComparators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EnginesTypes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DomainsMasks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E16" sqref="E16"/>
    </sheetView>
  </sheetViews>
  <sheetFormatPr defaultColWidth="93.42578125" defaultRowHeight="15"/>
  <cols>
    <col min="1" max="1" width="3" bestFit="1" customWidth="1"/>
    <col min="2" max="2" width="11.5703125" bestFit="1" customWidth="1"/>
    <col min="3" max="3" width="10.5703125" bestFit="1" customWidth="1"/>
    <col min="4" max="4" width="15.28515625" bestFit="1" customWidth="1"/>
    <col min="5" max="5" width="47.28515625" bestFit="1" customWidth="1"/>
    <col min="6" max="6" width="12.425781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148</v>
      </c>
      <c r="E1" s="8" t="s">
        <v>67</v>
      </c>
      <c r="F1" s="1" t="s">
        <v>24</v>
      </c>
    </row>
    <row r="2" spans="1:6">
      <c r="A2" s="10">
        <f>ROW(A2)-1</f>
        <v>1</v>
      </c>
      <c r="B2" s="10" t="s">
        <v>399</v>
      </c>
      <c r="C2" s="10"/>
      <c r="D2" s="10" t="str" cm="1">
        <f t="array" ref="D2">GetValue("Cat",C2,"Name")</f>
        <v/>
      </c>
      <c r="E2" s="10" t="s">
        <v>428</v>
      </c>
      <c r="F2" t="b">
        <v>1</v>
      </c>
    </row>
    <row r="3" spans="1:6">
      <c r="A3" s="10">
        <f t="shared" ref="A3:A20" si="0">ROW(A3)-1</f>
        <v>2</v>
      </c>
      <c r="B3" s="10" t="s">
        <v>400</v>
      </c>
      <c r="C3" s="10"/>
      <c r="D3" s="10" t="str" cm="1">
        <f t="array" ref="D3">GetValue("Cat",C3,"Name")</f>
        <v/>
      </c>
      <c r="E3" s="10" t="s">
        <v>429</v>
      </c>
      <c r="F3" t="b">
        <v>1</v>
      </c>
    </row>
    <row r="4" spans="1:6">
      <c r="A4" s="10">
        <f t="shared" si="0"/>
        <v>3</v>
      </c>
      <c r="B4" s="10" t="s">
        <v>401</v>
      </c>
      <c r="C4" s="10"/>
      <c r="D4" s="10" t="str" cm="1">
        <f t="array" ref="D4">GetValue("Cat",C4,"Name")</f>
        <v/>
      </c>
      <c r="E4" s="10" t="s">
        <v>430</v>
      </c>
      <c r="F4" t="b">
        <v>1</v>
      </c>
    </row>
    <row r="5" spans="1:6">
      <c r="A5" s="10">
        <f t="shared" si="0"/>
        <v>4</v>
      </c>
      <c r="B5" s="10" t="s">
        <v>402</v>
      </c>
      <c r="C5" s="10"/>
      <c r="D5" s="10" t="str" cm="1">
        <f t="array" ref="D5">GetValue("Cat",C5,"Name")</f>
        <v/>
      </c>
      <c r="E5" s="10" t="s">
        <v>431</v>
      </c>
      <c r="F5" t="b">
        <v>1</v>
      </c>
    </row>
    <row r="6" spans="1:6">
      <c r="A6" s="10">
        <f t="shared" si="0"/>
        <v>5</v>
      </c>
      <c r="B6" s="10" t="s">
        <v>403</v>
      </c>
      <c r="C6" s="10"/>
      <c r="D6" s="10" t="str" cm="1">
        <f t="array" ref="D6">GetValue("Cat",C6,"Name")</f>
        <v/>
      </c>
      <c r="E6" s="10" t="s">
        <v>432</v>
      </c>
      <c r="F6" t="b">
        <v>1</v>
      </c>
    </row>
    <row r="7" spans="1:6">
      <c r="A7" s="10">
        <f t="shared" si="0"/>
        <v>6</v>
      </c>
      <c r="B7" s="10" t="s">
        <v>404</v>
      </c>
      <c r="C7" s="10"/>
      <c r="D7" s="10" t="str" cm="1">
        <f t="array" ref="D7">GetValue("Cat",C7,"Name")</f>
        <v/>
      </c>
      <c r="E7" s="10" t="s">
        <v>433</v>
      </c>
      <c r="F7" t="b">
        <v>1</v>
      </c>
    </row>
    <row r="8" spans="1:6">
      <c r="A8" s="10">
        <f t="shared" si="0"/>
        <v>7</v>
      </c>
      <c r="B8" s="10" t="s">
        <v>405</v>
      </c>
      <c r="C8" s="10">
        <v>10</v>
      </c>
      <c r="D8" s="10" t="str" cm="1">
        <f t="array" ref="D8">GetValue("Cat",C8,"Name")</f>
        <v>undefined</v>
      </c>
      <c r="E8" s="10" t="s">
        <v>434</v>
      </c>
      <c r="F8" t="b">
        <v>1</v>
      </c>
    </row>
    <row r="9" spans="1:6">
      <c r="A9" s="10">
        <f t="shared" si="0"/>
        <v>8</v>
      </c>
      <c r="B9" s="10" t="s">
        <v>406</v>
      </c>
      <c r="C9" s="10">
        <v>1</v>
      </c>
      <c r="D9" s="10" t="str" cm="1">
        <f t="array" ref="D9">GetValue("Cat",C9,"Name")</f>
        <v>string</v>
      </c>
      <c r="E9" s="10" t="s">
        <v>407</v>
      </c>
      <c r="F9" t="b">
        <v>1</v>
      </c>
    </row>
    <row r="10" spans="1:6">
      <c r="A10" s="10">
        <f t="shared" si="0"/>
        <v>9</v>
      </c>
      <c r="B10" s="10" t="s">
        <v>408</v>
      </c>
      <c r="C10" s="10">
        <v>1</v>
      </c>
      <c r="D10" s="10" t="str" cm="1">
        <f t="array" ref="D10">GetValue("Cat",C10,"Name")</f>
        <v>string</v>
      </c>
      <c r="E10" s="10" t="s">
        <v>409</v>
      </c>
      <c r="F10" t="b">
        <v>1</v>
      </c>
    </row>
    <row r="11" spans="1:6">
      <c r="A11" s="10">
        <f t="shared" si="0"/>
        <v>10</v>
      </c>
      <c r="B11" s="10" t="s">
        <v>410</v>
      </c>
      <c r="C11" s="10">
        <v>1</v>
      </c>
      <c r="D11" s="10" t="str" cm="1">
        <f t="array" ref="D11">GetValue("Cat",C11,"Name")</f>
        <v>string</v>
      </c>
      <c r="E11" s="10" t="s">
        <v>411</v>
      </c>
      <c r="F11" t="b">
        <v>1</v>
      </c>
    </row>
    <row r="12" spans="1:6">
      <c r="A12" s="10">
        <f t="shared" si="0"/>
        <v>11</v>
      </c>
      <c r="B12" s="10" t="s">
        <v>412</v>
      </c>
      <c r="C12" s="10">
        <v>1</v>
      </c>
      <c r="D12" s="10" t="str" cm="1">
        <f t="array" ref="D12">GetValue("Cat",C12,"Name")</f>
        <v>string</v>
      </c>
      <c r="E12" s="10" t="s">
        <v>413</v>
      </c>
      <c r="F12" t="b">
        <v>1</v>
      </c>
    </row>
    <row r="13" spans="1:6">
      <c r="A13" s="10">
        <f t="shared" si="0"/>
        <v>12</v>
      </c>
      <c r="B13" s="10" t="s">
        <v>414</v>
      </c>
      <c r="C13" s="10">
        <v>10</v>
      </c>
      <c r="D13" s="10" t="str" cm="1">
        <f t="array" ref="D13">GetValue("Cat",C13,"Name")</f>
        <v>undefined</v>
      </c>
      <c r="E13" s="10" t="s">
        <v>435</v>
      </c>
      <c r="F13" t="b">
        <v>1</v>
      </c>
    </row>
    <row r="14" spans="1:6">
      <c r="A14" s="10">
        <f t="shared" si="0"/>
        <v>13</v>
      </c>
      <c r="B14" s="10" t="s">
        <v>415</v>
      </c>
      <c r="C14" s="10">
        <v>10</v>
      </c>
      <c r="D14" s="10" t="str" cm="1">
        <f t="array" ref="D14">GetValue("Cat",C14,"Name")</f>
        <v>undefined</v>
      </c>
      <c r="E14" s="10" t="s">
        <v>436</v>
      </c>
      <c r="F14" t="b">
        <v>1</v>
      </c>
    </row>
    <row r="15" spans="1:6">
      <c r="A15" s="10">
        <f t="shared" si="0"/>
        <v>14</v>
      </c>
      <c r="B15" s="10" t="s">
        <v>416</v>
      </c>
      <c r="C15" s="10">
        <v>2</v>
      </c>
      <c r="D15" s="10" t="str" cm="1">
        <f t="array" ref="D15">GetValue("Cat",C15,"Name")</f>
        <v>number</v>
      </c>
      <c r="E15" s="10" t="s">
        <v>417</v>
      </c>
      <c r="F15" t="b">
        <v>1</v>
      </c>
    </row>
    <row r="16" spans="1:6">
      <c r="A16" s="10">
        <f t="shared" si="0"/>
        <v>15</v>
      </c>
      <c r="B16" s="10" t="s">
        <v>418</v>
      </c>
      <c r="C16" s="10">
        <v>2</v>
      </c>
      <c r="D16" s="10" t="str" cm="1">
        <f t="array" ref="D16">GetValue("Cat",C16,"Name")</f>
        <v>number</v>
      </c>
      <c r="E16" s="10" t="s">
        <v>419</v>
      </c>
      <c r="F16" t="b">
        <v>1</v>
      </c>
    </row>
    <row r="17" spans="1:6">
      <c r="A17" s="10">
        <f t="shared" si="0"/>
        <v>16</v>
      </c>
      <c r="B17" s="10" t="s">
        <v>420</v>
      </c>
      <c r="C17" s="10">
        <v>2</v>
      </c>
      <c r="D17" s="10" t="str" cm="1">
        <f t="array" ref="D17">GetValue("Cat",C17,"Name")</f>
        <v>number</v>
      </c>
      <c r="E17" s="10" t="s">
        <v>421</v>
      </c>
      <c r="F17" t="b">
        <v>1</v>
      </c>
    </row>
    <row r="18" spans="1:6">
      <c r="A18" s="10">
        <f t="shared" si="0"/>
        <v>17</v>
      </c>
      <c r="B18" s="10" t="s">
        <v>422</v>
      </c>
      <c r="C18" s="10">
        <v>1</v>
      </c>
      <c r="D18" s="10" t="str" cm="1">
        <f t="array" ref="D18">GetValue("Cat",C18,"Name")</f>
        <v>string</v>
      </c>
      <c r="E18" s="10" t="s">
        <v>423</v>
      </c>
      <c r="F18" t="b">
        <v>1</v>
      </c>
    </row>
    <row r="19" spans="1:6">
      <c r="A19" s="10">
        <f t="shared" si="0"/>
        <v>18</v>
      </c>
      <c r="B19" s="10" t="s">
        <v>424</v>
      </c>
      <c r="C19" s="10">
        <v>1</v>
      </c>
      <c r="D19" s="10" t="str" cm="1">
        <f t="array" ref="D19">GetValue("Cat",C19,"Name")</f>
        <v>string</v>
      </c>
      <c r="E19" s="10" t="s">
        <v>425</v>
      </c>
      <c r="F19" t="b">
        <v>1</v>
      </c>
    </row>
    <row r="20" spans="1:6">
      <c r="A20" s="10">
        <f t="shared" si="0"/>
        <v>19</v>
      </c>
      <c r="B20" s="10" t="s">
        <v>426</v>
      </c>
      <c r="C20" s="10">
        <v>1</v>
      </c>
      <c r="D20" s="10" t="str" cm="1">
        <f t="array" ref="D20">GetValue("Cat",C20,"Name")</f>
        <v>string</v>
      </c>
      <c r="E20" s="10" t="s">
        <v>427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sqref="A1:A2"/>
    </sheetView>
  </sheetViews>
  <sheetFormatPr defaultColWidth="9" defaultRowHeight="15"/>
  <cols>
    <col min="1" max="1" width="2.7109375" bestFit="1" customWidth="1"/>
    <col min="2" max="2" width="12.28515625" bestFit="1" customWidth="1"/>
    <col min="3" max="3" width="17" bestFit="1" customWidth="1"/>
    <col min="4" max="4" width="10.42578125" bestFit="1" customWidth="1"/>
    <col min="5" max="5" width="15.140625" bestFit="1" customWidth="1"/>
    <col min="6" max="6" width="8.5703125" bestFit="1" customWidth="1"/>
  </cols>
  <sheetData>
    <row r="1" spans="1:6" s="1" customFormat="1">
      <c r="A1" s="8" t="s">
        <v>0</v>
      </c>
      <c r="B1" s="1" t="s">
        <v>493</v>
      </c>
      <c r="C1" s="1" t="s">
        <v>506</v>
      </c>
      <c r="D1" s="1" t="s">
        <v>494</v>
      </c>
      <c r="E1" s="1" t="s">
        <v>439</v>
      </c>
      <c r="F1" s="1" t="s">
        <v>329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399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7" bestFit="1" customWidth="1"/>
    <col min="5" max="5" width="7.85546875" bestFit="1" customWidth="1"/>
    <col min="6" max="6" width="10.5703125" bestFit="1" customWidth="1"/>
    <col min="7" max="7" width="10.85546875" bestFit="1" customWidth="1"/>
    <col min="8" max="8" width="12.42578125" bestFit="1" customWidth="1"/>
    <col min="9" max="9" width="12.85546875" bestFit="1" customWidth="1"/>
    <col min="10" max="10" width="15.28515625" bestFit="1" customWidth="1"/>
    <col min="11" max="11" width="14.42578125" bestFit="1" customWidth="1"/>
    <col min="12" max="12" width="10.42578125" bestFit="1" customWidth="1"/>
    <col min="13" max="13" width="12.42578125" bestFit="1" customWidth="1"/>
  </cols>
  <sheetData>
    <row r="1" spans="1:13" s="1" customFormat="1">
      <c r="A1" s="1" t="s">
        <v>0</v>
      </c>
      <c r="B1" s="1" t="s">
        <v>444</v>
      </c>
      <c r="C1" s="1" t="s">
        <v>352</v>
      </c>
      <c r="D1" s="1" t="s">
        <v>1</v>
      </c>
      <c r="E1" s="1" t="s">
        <v>510</v>
      </c>
      <c r="F1" s="1" t="s">
        <v>443</v>
      </c>
      <c r="G1" s="1" t="s">
        <v>511</v>
      </c>
      <c r="H1" s="1" t="s">
        <v>512</v>
      </c>
      <c r="I1" s="1" t="s">
        <v>513</v>
      </c>
      <c r="J1" s="1" t="s">
        <v>514</v>
      </c>
      <c r="K1" s="1" t="s">
        <v>515</v>
      </c>
      <c r="L1" s="1" t="s">
        <v>516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715</v>
      </c>
      <c r="E2">
        <v>1</v>
      </c>
      <c r="F2" t="s">
        <v>716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sqref="A1:XFD1048576"/>
    </sheetView>
  </sheetViews>
  <sheetFormatPr defaultColWidth="9"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8.28515625" bestFit="1" customWidth="1"/>
    <col min="5" max="5" width="12.42578125" bestFit="1" customWidth="1"/>
    <col min="6" max="6" width="8" bestFit="1" customWidth="1"/>
  </cols>
  <sheetData>
    <row r="1" spans="1:6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518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717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10.85546875" bestFit="1" customWidth="1"/>
    <col min="5" max="5" width="15.5703125" bestFit="1" customWidth="1"/>
    <col min="6" max="6" width="9.7109375" bestFit="1" customWidth="1"/>
    <col min="7" max="7" width="20.5703125" bestFit="1" customWidth="1"/>
  </cols>
  <sheetData>
    <row r="1" spans="1:7" s="1" customFormat="1">
      <c r="A1" s="1" t="s">
        <v>0</v>
      </c>
      <c r="B1" s="1" t="s">
        <v>761</v>
      </c>
      <c r="C1" s="1" t="s">
        <v>762</v>
      </c>
      <c r="D1" s="1" t="s">
        <v>86</v>
      </c>
      <c r="E1" s="1" t="s">
        <v>153</v>
      </c>
      <c r="F1" s="1" t="s">
        <v>70</v>
      </c>
      <c r="G1" s="1" t="s">
        <v>517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718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P22" sqref="P22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9.7109375" bestFit="1" customWidth="1"/>
    <col min="5" max="5" width="8.140625" bestFit="1" customWidth="1"/>
    <col min="6" max="6" width="16" bestFit="1" customWidth="1"/>
  </cols>
  <sheetData>
    <row r="1" spans="1:6">
      <c r="A1" s="1" t="s">
        <v>0</v>
      </c>
      <c r="B1" s="1" t="s">
        <v>761</v>
      </c>
      <c r="C1" s="1" t="s">
        <v>762</v>
      </c>
      <c r="D1" s="1" t="s">
        <v>70</v>
      </c>
      <c r="E1" s="1" t="s">
        <v>724</v>
      </c>
      <c r="F1" s="1" t="s">
        <v>723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725</v>
      </c>
      <c r="F2" s="28" t="s">
        <v>722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I9" sqref="I9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9.140625" bestFit="1" customWidth="1"/>
    <col min="5" max="5" width="13.85546875" bestFit="1" customWidth="1"/>
    <col min="6" max="6" width="6.85546875" bestFit="1" customWidth="1"/>
    <col min="7" max="7" width="11.42578125" bestFit="1" customWidth="1"/>
    <col min="8" max="8" width="9.7109375" bestFit="1" customWidth="1"/>
    <col min="9" max="9" width="8.7109375" bestFit="1" customWidth="1"/>
  </cols>
  <sheetData>
    <row r="1" spans="1:9" s="1" customFormat="1">
      <c r="A1" s="1" t="s">
        <v>0</v>
      </c>
      <c r="B1" s="1" t="s">
        <v>444</v>
      </c>
      <c r="C1" s="1" t="s">
        <v>352</v>
      </c>
      <c r="D1" s="1" t="s">
        <v>69</v>
      </c>
      <c r="E1" s="1" t="s">
        <v>152</v>
      </c>
      <c r="F1" s="1" t="s">
        <v>84</v>
      </c>
      <c r="G1" s="1" t="s">
        <v>151</v>
      </c>
      <c r="H1" s="1" t="s">
        <v>145</v>
      </c>
      <c r="I1" s="1" t="s">
        <v>147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5"/>
  <cols>
    <col min="1" max="1" width="2.7109375" bestFit="1" customWidth="1"/>
    <col min="2" max="2" width="9.42578125" bestFit="1" customWidth="1"/>
    <col min="3" max="3" width="11.85546875" bestFit="1" customWidth="1"/>
  </cols>
  <sheetData>
    <row r="1" spans="1:3" s="1" customFormat="1">
      <c r="A1" s="1" t="s">
        <v>0</v>
      </c>
      <c r="B1" s="1" t="s">
        <v>221</v>
      </c>
      <c r="C1" s="1" t="s">
        <v>191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2.7109375" bestFit="1" customWidth="1"/>
    <col min="2" max="2" width="12.85546875" bestFit="1" customWidth="1"/>
    <col min="3" max="3" width="11.140625" bestFit="1" customWidth="1"/>
    <col min="4" max="4" width="7.28515625" bestFit="1" customWidth="1"/>
    <col min="5" max="5" width="10.5703125" bestFit="1" customWidth="1"/>
    <col min="6" max="6" width="12.7109375" bestFit="1" customWidth="1"/>
    <col min="7" max="7" width="11.85546875" bestFit="1" customWidth="1"/>
  </cols>
  <sheetData>
    <row r="1" spans="1:7" s="1" customFormat="1">
      <c r="A1" s="1" t="s">
        <v>0</v>
      </c>
      <c r="B1" s="1" t="s">
        <v>192</v>
      </c>
      <c r="C1" s="1" t="s">
        <v>193</v>
      </c>
      <c r="D1" s="1" t="s">
        <v>73</v>
      </c>
      <c r="E1" s="1" t="s">
        <v>206</v>
      </c>
      <c r="F1" s="1" t="s">
        <v>194</v>
      </c>
      <c r="G1" s="1" t="s">
        <v>191</v>
      </c>
    </row>
    <row r="2" spans="1:7">
      <c r="A2" s="10">
        <f>ROW(A2)-1</f>
        <v>1</v>
      </c>
      <c r="B2">
        <v>1</v>
      </c>
      <c r="C2" t="s">
        <v>93</v>
      </c>
      <c r="D2" t="s">
        <v>719</v>
      </c>
      <c r="E2" t="s">
        <v>720</v>
      </c>
      <c r="F2" t="s">
        <v>720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Hok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2024-02-10T11:10:23Z</dcterms:created>
  <dcterms:modified xsi:type="dcterms:W3CDTF">2025-12-17T19:00:19Z</dcterms:modified>
</cp:coreProperties>
</file>