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EEB46DCC-19B7-426B-AB8C-382CD99EF48F}" xr6:coauthVersionLast="47" xr6:coauthVersionMax="47" xr10:uidLastSave="{00000000-0000-0000-0000-000000000000}"/>
  <bookViews>
    <workbookView xWindow="-120" yWindow="-120" windowWidth="29040" windowHeight="16440" tabRatio="969" activeTab="1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3" i="4" l="1"/>
  <c r="A52" i="4"/>
  <c r="A51" i="4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04" i="12"/>
  <c r="A103" i="12"/>
  <c r="A102" i="12"/>
  <c r="A101" i="12"/>
  <c r="E213" i="12" a="1"/>
  <c r="C213" i="12" a="1"/>
  <c r="C216" i="12" a="1"/>
  <c r="C214" i="12" a="1"/>
  <c r="C217" i="12" a="1"/>
  <c r="C218" i="12" a="1"/>
  <c r="C215" i="12" a="1"/>
  <c r="E212" i="12" a="1"/>
  <c r="C212" i="12" a="1"/>
  <c r="E210" i="12" a="1"/>
  <c r="C210" i="12" a="1"/>
  <c r="C211" i="12" a="1"/>
  <c r="E209" i="12" a="1"/>
  <c r="C209" i="12" a="1"/>
  <c r="C204" i="12" a="1"/>
  <c r="C207" i="12" a="1"/>
  <c r="E205" i="12" a="1"/>
  <c r="C205" i="12" a="1"/>
  <c r="C208" i="12" a="1"/>
  <c r="E206" i="12" a="1"/>
  <c r="C206" i="12" a="1"/>
  <c r="E204" i="12" a="1"/>
  <c r="E203" i="12" a="1"/>
  <c r="C203" i="12" a="1"/>
  <c r="E199" i="12" a="1"/>
  <c r="C199" i="12" a="1"/>
  <c r="C202" i="12" a="1"/>
  <c r="C200" i="12" a="1"/>
  <c r="C201" i="12" a="1"/>
  <c r="E198" i="12" a="1"/>
  <c r="C198" i="12" a="1"/>
  <c r="E195" i="12" a="1"/>
  <c r="C195" i="12" a="1"/>
  <c r="C196" i="12" a="1"/>
  <c r="E194" i="12" a="1"/>
  <c r="C194" i="12" a="1"/>
  <c r="C197" i="12" a="1"/>
  <c r="E193" i="12" a="1"/>
  <c r="C193" i="12" a="1"/>
  <c r="C190" i="12" a="1"/>
  <c r="C191" i="12" a="1"/>
  <c r="E189" i="12" a="1"/>
  <c r="C189" i="12" a="1"/>
  <c r="C192" i="12" a="1"/>
  <c r="E188" i="12" a="1"/>
  <c r="C188" i="12" a="1"/>
  <c r="C179" i="12" a="1"/>
  <c r="C182" i="12" a="1"/>
  <c r="C185" i="12" a="1"/>
  <c r="E177" i="12" a="1"/>
  <c r="C177" i="12" a="1"/>
  <c r="C180" i="12" a="1"/>
  <c r="C183" i="12" a="1"/>
  <c r="C186" i="12" a="1"/>
  <c r="C178" i="12" a="1"/>
  <c r="C181" i="12" a="1"/>
  <c r="C184" i="12" a="1"/>
  <c r="C187" i="12" a="1"/>
  <c r="E176" i="12" a="1"/>
  <c r="C176" i="12" a="1"/>
  <c r="C175" i="12" a="1"/>
  <c r="E173" i="12" a="1"/>
  <c r="C173" i="12" a="1"/>
  <c r="E174" i="12" a="1"/>
  <c r="C174" i="12" a="1"/>
  <c r="E172" i="12" a="1"/>
  <c r="C172" i="12" a="1"/>
  <c r="C168" i="12" a="1"/>
  <c r="C171" i="12" a="1"/>
  <c r="C169" i="12" a="1"/>
  <c r="C170" i="12" a="1"/>
  <c r="E167" i="12" a="1"/>
  <c r="C167" i="12" a="1"/>
  <c r="C160" i="12" a="1"/>
  <c r="C163" i="12" a="1"/>
  <c r="C166" i="12" a="1"/>
  <c r="E160" i="12" a="1"/>
  <c r="E161" i="12" a="1"/>
  <c r="C161" i="12" a="1"/>
  <c r="C164" i="12" a="1"/>
  <c r="E162" i="12" a="1"/>
  <c r="C162" i="12" a="1"/>
  <c r="C165" i="12" a="1"/>
  <c r="E159" i="12" a="1"/>
  <c r="C159" i="12" a="1"/>
  <c r="C155" i="12" a="1"/>
  <c r="C158" i="12" a="1"/>
  <c r="C156" i="12" a="1"/>
  <c r="E154" i="12" a="1"/>
  <c r="C154" i="12" a="1"/>
  <c r="C157" i="12" a="1"/>
  <c r="E153" i="12" a="1"/>
  <c r="C153" i="12" a="1"/>
  <c r="E149" i="12" a="1"/>
  <c r="C149" i="12" a="1"/>
  <c r="C152" i="12" a="1"/>
  <c r="E150" i="12" a="1"/>
  <c r="C150" i="12" a="1"/>
  <c r="E151" i="12" a="1"/>
  <c r="C151" i="12" a="1"/>
  <c r="E148" i="12" a="1"/>
  <c r="C148" i="12" a="1"/>
  <c r="K2" i="34" a="1"/>
  <c r="K4" i="34" a="1"/>
  <c r="K3" i="34" a="1"/>
  <c r="G4" i="34" a="1"/>
  <c r="G3" i="34" a="1"/>
  <c r="G2" i="34" a="1"/>
  <c r="E141" i="12" a="1"/>
  <c r="I4" i="34" a="1"/>
  <c r="I3" i="34" a="1"/>
  <c r="I2" i="34" a="1"/>
  <c r="C147" i="12" a="1"/>
  <c r="E145" i="12" a="1"/>
  <c r="C146" i="12" a="1"/>
  <c r="C145" i="12" a="1"/>
  <c r="C144" i="12" a="1"/>
  <c r="E135" i="12" a="1"/>
  <c r="C135" i="12" a="1"/>
  <c r="E103" i="12" a="1"/>
  <c r="E101" i="12" a="1"/>
  <c r="C103" i="12" a="1"/>
  <c r="C101" i="12" a="1"/>
  <c r="E104" i="12" a="1"/>
  <c r="E102" i="12" a="1"/>
  <c r="C102" i="12" a="1"/>
  <c r="C104" i="12" a="1"/>
  <c r="E134" i="12" a="1"/>
  <c r="C139" i="12" a="1"/>
  <c r="E133" i="12" a="1"/>
  <c r="E138" i="12" a="1"/>
  <c r="C134" i="12" a="1"/>
  <c r="C138" i="12" a="1"/>
  <c r="C133" i="12" a="1"/>
  <c r="C132" i="12" a="1"/>
  <c r="E136" i="12" a="1"/>
  <c r="E132" i="12" a="1"/>
  <c r="C137" i="12" a="1"/>
  <c r="E131" i="12" a="1"/>
  <c r="C136" i="12" a="1"/>
  <c r="C131" i="12" a="1"/>
  <c r="E144" i="12" a="1"/>
  <c r="C142" i="12" a="1"/>
  <c r="C141" i="12" a="1"/>
  <c r="E139" i="12" a="1"/>
  <c r="C140" i="12" a="1"/>
  <c r="C143" i="12" a="1"/>
  <c r="E218" i="12" a="1"/>
  <c r="E217" i="12" a="1"/>
  <c r="E216" i="12" a="1"/>
  <c r="E215" i="12" a="1"/>
  <c r="E214" i="12" a="1"/>
  <c r="E211" i="12" a="1"/>
  <c r="E208" i="12" a="1"/>
  <c r="E207" i="12" a="1"/>
  <c r="E202" i="12" a="1"/>
  <c r="E201" i="12" a="1"/>
  <c r="E200" i="12" a="1"/>
  <c r="E197" i="12" a="1"/>
  <c r="E196" i="12" a="1"/>
  <c r="E192" i="12" a="1"/>
  <c r="E191" i="12" a="1"/>
  <c r="E190" i="12" a="1"/>
  <c r="E187" i="12" a="1"/>
  <c r="E186" i="12" a="1"/>
  <c r="E185" i="12" a="1"/>
  <c r="E184" i="12" a="1"/>
  <c r="E183" i="12" a="1"/>
  <c r="E182" i="12" a="1"/>
  <c r="F53" i="4" a="1"/>
  <c r="E53" i="4" a="1"/>
  <c r="C53" i="4" a="1"/>
  <c r="E52" i="4" a="1"/>
  <c r="C52" i="4" a="1"/>
  <c r="F52" i="4" a="1"/>
  <c r="E181" i="12" a="1"/>
  <c r="E180" i="12" a="1"/>
  <c r="E179" i="12" a="1"/>
  <c r="E178" i="12" a="1"/>
  <c r="E175" i="12" a="1"/>
  <c r="E171" i="12" a="1"/>
  <c r="E170" i="12" a="1"/>
  <c r="E169" i="12" a="1"/>
  <c r="E168" i="12" a="1"/>
  <c r="E166" i="12" a="1"/>
  <c r="E165" i="12" a="1"/>
  <c r="E164" i="12" a="1"/>
  <c r="E163" i="12" a="1"/>
  <c r="E158" i="12" a="1"/>
  <c r="E157" i="12" a="1"/>
  <c r="E156" i="12" a="1"/>
  <c r="E155" i="12" a="1"/>
  <c r="E147" i="12" a="1"/>
  <c r="E146" i="12" a="1"/>
  <c r="E143" i="12" a="1"/>
  <c r="E142" i="12" a="1"/>
  <c r="E140" i="12" a="1"/>
  <c r="E152" i="12" a="1"/>
  <c r="G138" i="12" a="1"/>
  <c r="E137" i="12" a="1"/>
  <c r="F51" i="4" a="1"/>
  <c r="E51" i="4" a="1"/>
  <c r="C51" i="4" a="1"/>
  <c r="C53" i="4" l="1"/>
  <c r="E53" i="4"/>
  <c r="F53" i="4"/>
  <c r="F52" i="4"/>
  <c r="C52" i="4"/>
  <c r="E52" i="4"/>
  <c r="G138" i="12"/>
  <c r="C51" i="4"/>
  <c r="E51" i="4"/>
  <c r="F51" i="4"/>
  <c r="E218" i="12"/>
  <c r="C215" i="12"/>
  <c r="E215" i="12"/>
  <c r="C218" i="12"/>
  <c r="C217" i="12"/>
  <c r="C214" i="12"/>
  <c r="E217" i="12"/>
  <c r="E214" i="12"/>
  <c r="C216" i="12"/>
  <c r="C213" i="12"/>
  <c r="E216" i="12"/>
  <c r="E213" i="12"/>
  <c r="C212" i="12"/>
  <c r="E212" i="12"/>
  <c r="E211" i="12"/>
  <c r="C211" i="12"/>
  <c r="C210" i="12"/>
  <c r="E210" i="12"/>
  <c r="C209" i="12"/>
  <c r="E209" i="12"/>
  <c r="E204" i="12"/>
  <c r="C206" i="12"/>
  <c r="E206" i="12"/>
  <c r="C208" i="12"/>
  <c r="C205" i="12"/>
  <c r="E208" i="12"/>
  <c r="E205" i="12"/>
  <c r="C207" i="12"/>
  <c r="C204" i="12"/>
  <c r="E207" i="12"/>
  <c r="C203" i="12"/>
  <c r="E203" i="12"/>
  <c r="C201" i="12"/>
  <c r="E201" i="12"/>
  <c r="C200" i="12"/>
  <c r="E200" i="12"/>
  <c r="C202" i="12"/>
  <c r="C199" i="12"/>
  <c r="E202" i="12"/>
  <c r="E199" i="12"/>
  <c r="C198" i="12"/>
  <c r="E198" i="12"/>
  <c r="C197" i="12"/>
  <c r="C194" i="12"/>
  <c r="E197" i="12"/>
  <c r="E194" i="12"/>
  <c r="C196" i="12"/>
  <c r="E196" i="12"/>
  <c r="C195" i="12"/>
  <c r="E195" i="12"/>
  <c r="C193" i="12"/>
  <c r="E193" i="12"/>
  <c r="C192" i="12"/>
  <c r="C189" i="12"/>
  <c r="E192" i="12"/>
  <c r="E189" i="12"/>
  <c r="C191" i="12"/>
  <c r="E191" i="12"/>
  <c r="C190" i="12"/>
  <c r="E190" i="12"/>
  <c r="C188" i="12"/>
  <c r="E188" i="12"/>
  <c r="E187" i="12"/>
  <c r="C187" i="12"/>
  <c r="C184" i="12"/>
  <c r="E184" i="12"/>
  <c r="C181" i="12"/>
  <c r="C178" i="12"/>
  <c r="E181" i="12"/>
  <c r="E178" i="12"/>
  <c r="E182" i="12"/>
  <c r="E179" i="12"/>
  <c r="C186" i="12"/>
  <c r="C183" i="12"/>
  <c r="C180" i="12"/>
  <c r="E186" i="12"/>
  <c r="C177" i="12"/>
  <c r="E183" i="12"/>
  <c r="E180" i="12"/>
  <c r="E177" i="12"/>
  <c r="C185" i="12"/>
  <c r="C182" i="12"/>
  <c r="C179" i="12"/>
  <c r="E185" i="12"/>
  <c r="C176" i="12"/>
  <c r="E176" i="12"/>
  <c r="C174" i="12"/>
  <c r="E174" i="12"/>
  <c r="C173" i="12"/>
  <c r="E173" i="12"/>
  <c r="C175" i="12"/>
  <c r="E175" i="12"/>
  <c r="C172" i="12"/>
  <c r="E172" i="12"/>
  <c r="E168" i="12"/>
  <c r="C170" i="12"/>
  <c r="E170" i="12"/>
  <c r="C169" i="12"/>
  <c r="E169" i="12"/>
  <c r="C171" i="12"/>
  <c r="C168" i="12"/>
  <c r="E171" i="12"/>
  <c r="C167" i="12"/>
  <c r="E167" i="12"/>
  <c r="C165" i="12"/>
  <c r="C162" i="12"/>
  <c r="E165" i="12"/>
  <c r="E162" i="12"/>
  <c r="C164" i="12"/>
  <c r="C161" i="12"/>
  <c r="E164" i="12"/>
  <c r="E161" i="12"/>
  <c r="E160" i="12"/>
  <c r="C166" i="12"/>
  <c r="C163" i="12"/>
  <c r="C160" i="12"/>
  <c r="E166" i="12"/>
  <c r="E163" i="12"/>
  <c r="C159" i="12"/>
  <c r="E159" i="12"/>
  <c r="C157" i="12"/>
  <c r="E157" i="12"/>
  <c r="C154" i="12"/>
  <c r="E154" i="12"/>
  <c r="C156" i="12"/>
  <c r="E156" i="12"/>
  <c r="C158" i="12"/>
  <c r="C155" i="12"/>
  <c r="E158" i="12"/>
  <c r="E155" i="12"/>
  <c r="C153" i="12"/>
  <c r="E153" i="12"/>
  <c r="C151" i="12"/>
  <c r="E151" i="12"/>
  <c r="C150" i="12"/>
  <c r="E150" i="12"/>
  <c r="C152" i="12"/>
  <c r="C149" i="12"/>
  <c r="E152" i="12"/>
  <c r="E149" i="12"/>
  <c r="C148" i="12"/>
  <c r="E148" i="12"/>
  <c r="K3" i="34"/>
  <c r="K4" i="34"/>
  <c r="K2" i="34"/>
  <c r="G3" i="34"/>
  <c r="G4" i="34"/>
  <c r="G2" i="34"/>
  <c r="I3" i="34"/>
  <c r="I4" i="34"/>
  <c r="I2" i="34"/>
  <c r="E144" i="12"/>
  <c r="E146" i="12"/>
  <c r="E147" i="12"/>
  <c r="C144" i="12"/>
  <c r="C145" i="12"/>
  <c r="C146" i="12"/>
  <c r="E145" i="12"/>
  <c r="C147" i="12"/>
  <c r="C139" i="12"/>
  <c r="E141" i="12"/>
  <c r="C143" i="12"/>
  <c r="E142" i="12"/>
  <c r="E143" i="12"/>
  <c r="C140" i="12"/>
  <c r="E139" i="12"/>
  <c r="C141" i="12"/>
  <c r="E140" i="12"/>
  <c r="C142" i="12"/>
  <c r="C138" i="12"/>
  <c r="E138" i="12"/>
  <c r="C136" i="12"/>
  <c r="C137" i="12"/>
  <c r="E136" i="12"/>
  <c r="E137" i="12"/>
  <c r="C135" i="12"/>
  <c r="E135" i="12"/>
  <c r="E132" i="12"/>
  <c r="C132" i="12"/>
  <c r="C133" i="12"/>
  <c r="C134" i="12"/>
  <c r="E133" i="12"/>
  <c r="E134" i="12"/>
  <c r="C131" i="12"/>
  <c r="E131" i="12"/>
  <c r="E104" i="12"/>
  <c r="E101" i="12"/>
  <c r="C103" i="12"/>
  <c r="C102" i="12"/>
  <c r="E102" i="12"/>
  <c r="C104" i="12"/>
  <c r="C101" i="12"/>
  <c r="E103" i="12"/>
  <c r="A34" i="12"/>
  <c r="A127" i="12"/>
  <c r="A126" i="12"/>
  <c r="A125" i="12"/>
  <c r="G131" i="12" a="1"/>
  <c r="E34" i="12" a="1"/>
  <c r="G135" i="12" a="1"/>
  <c r="C34" i="12" a="1"/>
  <c r="E125" i="12" a="1"/>
  <c r="C127" i="12" a="1"/>
  <c r="C126" i="12" a="1"/>
  <c r="C125" i="12" a="1"/>
  <c r="G193" i="12" a="1"/>
  <c r="G153" i="12" a="1"/>
  <c r="G198" i="12" a="1"/>
  <c r="G188" i="12" a="1"/>
  <c r="G148" i="12" a="1"/>
  <c r="G212" i="12" a="1"/>
  <c r="G176" i="12" a="1"/>
  <c r="G209" i="12" a="1"/>
  <c r="G172" i="12" a="1"/>
  <c r="G159" i="12" a="1"/>
  <c r="G203" i="12" a="1"/>
  <c r="G167" i="12" a="1"/>
  <c r="E127" i="12" a="1"/>
  <c r="E126" i="12" a="1"/>
  <c r="G212" i="12" l="1"/>
  <c r="G209" i="12"/>
  <c r="G203" i="12"/>
  <c r="G198" i="12"/>
  <c r="G193" i="12"/>
  <c r="G188" i="12"/>
  <c r="G176" i="12"/>
  <c r="G172" i="12"/>
  <c r="G167" i="12"/>
  <c r="G159" i="12"/>
  <c r="G153" i="12"/>
  <c r="G148" i="12"/>
  <c r="G135" i="12"/>
  <c r="G131" i="12"/>
  <c r="E34" i="12"/>
  <c r="C34" i="12"/>
  <c r="C126" i="12"/>
  <c r="E125" i="12"/>
  <c r="C127" i="12"/>
  <c r="E126" i="12"/>
  <c r="E127" i="12"/>
  <c r="C125" i="12"/>
  <c r="G136" i="12" a="1"/>
  <c r="G132" i="12" a="1"/>
  <c r="G194" i="12" a="1"/>
  <c r="G154" i="12" a="1"/>
  <c r="G173" i="12" a="1"/>
  <c r="G168" i="12" a="1"/>
  <c r="G160" i="12" a="1"/>
  <c r="G189" i="12" a="1"/>
  <c r="G149" i="12" a="1"/>
  <c r="G213" i="12" a="1"/>
  <c r="G177" i="12" a="1"/>
  <c r="G139" i="12" a="1"/>
  <c r="G210" i="12" a="1"/>
  <c r="G204" i="12" a="1"/>
  <c r="G199" i="12" a="1"/>
  <c r="G213" i="12" l="1"/>
  <c r="F212" i="12"/>
  <c r="G210" i="12"/>
  <c r="F209" i="12"/>
  <c r="G204" i="12"/>
  <c r="F203" i="12"/>
  <c r="G199" i="12"/>
  <c r="F198" i="12"/>
  <c r="G194" i="12"/>
  <c r="F193" i="12"/>
  <c r="G189" i="12"/>
  <c r="F188" i="12"/>
  <c r="G177" i="12"/>
  <c r="F176" i="12"/>
  <c r="G173" i="12"/>
  <c r="F172" i="12"/>
  <c r="G168" i="12"/>
  <c r="F167" i="12"/>
  <c r="G160" i="12"/>
  <c r="F159" i="12"/>
  <c r="G154" i="12"/>
  <c r="F153" i="12"/>
  <c r="G149" i="12"/>
  <c r="F148" i="12"/>
  <c r="G139" i="12"/>
  <c r="G136" i="12"/>
  <c r="F135" i="12"/>
  <c r="G132" i="12"/>
  <c r="F131" i="12"/>
  <c r="A63" i="12"/>
  <c r="A15" i="4"/>
  <c r="A11" i="12"/>
  <c r="C15" i="4" a="1"/>
  <c r="E15" i="4" a="1"/>
  <c r="G137" i="12" a="1"/>
  <c r="C11" i="12" a="1"/>
  <c r="C63" i="12" a="1"/>
  <c r="E11" i="12" a="1"/>
  <c r="E63" i="12" a="1"/>
  <c r="G133" i="12" a="1"/>
  <c r="G150" i="12" a="1"/>
  <c r="G214" i="12" a="1"/>
  <c r="G174" i="12" a="1"/>
  <c r="G205" i="12" a="1"/>
  <c r="G169" i="12" a="1"/>
  <c r="G140" i="12" a="1"/>
  <c r="G200" i="12" a="1"/>
  <c r="G161" i="12" a="1"/>
  <c r="G195" i="12" a="1"/>
  <c r="G155" i="12" a="1"/>
  <c r="G190" i="12" a="1"/>
  <c r="G178" i="12" a="1"/>
  <c r="G211" i="12" a="1"/>
  <c r="G214" i="12" l="1"/>
  <c r="F213" i="12"/>
  <c r="G211" i="12"/>
  <c r="F210" i="12"/>
  <c r="G205" i="12"/>
  <c r="F204" i="12"/>
  <c r="G200" i="12"/>
  <c r="F199" i="12"/>
  <c r="G195" i="12"/>
  <c r="F194" i="12"/>
  <c r="G190" i="12"/>
  <c r="F189" i="12"/>
  <c r="G178" i="12"/>
  <c r="F177" i="12"/>
  <c r="G174" i="12"/>
  <c r="F173" i="12"/>
  <c r="G169" i="12"/>
  <c r="F168" i="12"/>
  <c r="G161" i="12"/>
  <c r="F160" i="12"/>
  <c r="G155" i="12"/>
  <c r="F154" i="12"/>
  <c r="G150" i="12"/>
  <c r="F149" i="12"/>
  <c r="G140" i="12"/>
  <c r="G137" i="12"/>
  <c r="F136" i="12"/>
  <c r="G133" i="12"/>
  <c r="F132" i="12"/>
  <c r="C63" i="12"/>
  <c r="E63" i="12"/>
  <c r="E15" i="4"/>
  <c r="C15" i="4"/>
  <c r="C11" i="12"/>
  <c r="E11" i="12"/>
  <c r="A12" i="12"/>
  <c r="C12" i="12" a="1"/>
  <c r="E12" i="12" a="1"/>
  <c r="G134" i="12" a="1"/>
  <c r="G196" i="12" a="1"/>
  <c r="G156" i="12" a="1"/>
  <c r="G191" i="12" a="1"/>
  <c r="G151" i="12" a="1"/>
  <c r="G179" i="12" a="1"/>
  <c r="G141" i="12" a="1"/>
  <c r="G215" i="12" a="1"/>
  <c r="G175" i="12" a="1"/>
  <c r="G206" i="12" a="1"/>
  <c r="G170" i="12" a="1"/>
  <c r="G201" i="12" a="1"/>
  <c r="G162" i="12" a="1"/>
  <c r="G215" i="12" l="1"/>
  <c r="F214" i="12"/>
  <c r="F211" i="12"/>
  <c r="G206" i="12"/>
  <c r="F205" i="12"/>
  <c r="G201" i="12"/>
  <c r="F200" i="12"/>
  <c r="G196" i="12"/>
  <c r="F195" i="12"/>
  <c r="G191" i="12"/>
  <c r="F190" i="12"/>
  <c r="G179" i="12"/>
  <c r="F178" i="12"/>
  <c r="G175" i="12"/>
  <c r="F174" i="12"/>
  <c r="G170" i="12"/>
  <c r="F169" i="12"/>
  <c r="G162" i="12"/>
  <c r="F161" i="12"/>
  <c r="G156" i="12"/>
  <c r="F155" i="12"/>
  <c r="G151" i="12"/>
  <c r="F150" i="12"/>
  <c r="G141" i="12"/>
  <c r="F137" i="12"/>
  <c r="F138" i="12" s="1"/>
  <c r="F139" i="12" s="1"/>
  <c r="F140" i="12" s="1"/>
  <c r="G134" i="12"/>
  <c r="F133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41" i="12" a="1"/>
  <c r="E21" i="12" a="1"/>
  <c r="C43" i="12" a="1"/>
  <c r="C42" i="12" a="1"/>
  <c r="E42" i="12" a="1"/>
  <c r="C57" i="12" a="1"/>
  <c r="E44" i="12" a="1"/>
  <c r="C21" i="12" a="1"/>
  <c r="C50" i="4" a="1"/>
  <c r="C41" i="12" a="1"/>
  <c r="E50" i="4" a="1"/>
  <c r="C22" i="4" a="1"/>
  <c r="C45" i="4" a="1"/>
  <c r="E45" i="4" a="1"/>
  <c r="E22" i="4" a="1"/>
  <c r="C45" i="12" a="1"/>
  <c r="E45" i="12" a="1"/>
  <c r="E57" i="12" a="1"/>
  <c r="C44" i="12" a="1"/>
  <c r="E43" i="12" a="1"/>
  <c r="G216" i="12" a="1"/>
  <c r="G171" i="12" a="1"/>
  <c r="G202" i="12" a="1"/>
  <c r="G163" i="12" a="1"/>
  <c r="G142" i="12" a="1"/>
  <c r="G207" i="12" a="1"/>
  <c r="G157" i="12" a="1"/>
  <c r="G197" i="12" a="1"/>
  <c r="G152" i="12" a="1"/>
  <c r="G192" i="12" a="1"/>
  <c r="G180" i="12" a="1"/>
  <c r="G216" i="12" l="1"/>
  <c r="F215" i="12"/>
  <c r="G202" i="12"/>
  <c r="G207" i="12"/>
  <c r="F206" i="12"/>
  <c r="F201" i="12"/>
  <c r="G197" i="12"/>
  <c r="F196" i="12"/>
  <c r="G192" i="12"/>
  <c r="F191" i="12"/>
  <c r="G180" i="12"/>
  <c r="F179" i="12"/>
  <c r="F175" i="12"/>
  <c r="G171" i="12"/>
  <c r="F170" i="12"/>
  <c r="G163" i="12"/>
  <c r="F162" i="12"/>
  <c r="G157" i="12"/>
  <c r="F156" i="12"/>
  <c r="G152" i="12"/>
  <c r="F151" i="12"/>
  <c r="G142" i="12"/>
  <c r="F141" i="12"/>
  <c r="F134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4" i="28" a="1"/>
  <c r="F61" i="53" a="1"/>
  <c r="F8" i="53" a="1"/>
  <c r="C18" i="12" a="1"/>
  <c r="C17" i="12" a="1"/>
  <c r="F7" i="53" a="1"/>
  <c r="F59" i="53" a="1"/>
  <c r="E17" i="12" a="1"/>
  <c r="E6" i="28" a="1"/>
  <c r="F54" i="53" a="1"/>
  <c r="G41" i="12" a="1"/>
  <c r="C2" i="50" a="1"/>
  <c r="F3" i="53" a="1"/>
  <c r="F63" i="53" a="1"/>
  <c r="F21" i="53" a="1"/>
  <c r="F20" i="53" a="1"/>
  <c r="E3" i="28" a="1"/>
  <c r="F46" i="53" a="1"/>
  <c r="F17" i="53" a="1"/>
  <c r="F23" i="53" a="1"/>
  <c r="F48" i="53" a="1"/>
  <c r="F28" i="53" a="1"/>
  <c r="F16" i="53" a="1"/>
  <c r="F62" i="53" a="1"/>
  <c r="F29" i="53" a="1"/>
  <c r="F24" i="53" a="1"/>
  <c r="F2" i="53" a="1"/>
  <c r="F50" i="53" a="1"/>
  <c r="F36" i="53" a="1"/>
  <c r="F40" i="53" a="1"/>
  <c r="F34" i="53" a="1"/>
  <c r="F49" i="53" a="1"/>
  <c r="F45" i="53" a="1"/>
  <c r="F4" i="53" a="1"/>
  <c r="F60" i="53" a="1"/>
  <c r="F56" i="53" a="1"/>
  <c r="F51" i="53" a="1"/>
  <c r="F39" i="53" a="1"/>
  <c r="F9" i="53" a="1"/>
  <c r="F14" i="53" a="1"/>
  <c r="F31" i="53" a="1"/>
  <c r="F43" i="53" a="1"/>
  <c r="F19" i="53" a="1"/>
  <c r="E18" i="12" a="1"/>
  <c r="F69" i="53" a="1"/>
  <c r="F25" i="53" a="1"/>
  <c r="F27" i="53" a="1"/>
  <c r="E2" i="28" a="1"/>
  <c r="E5" i="28" a="1"/>
  <c r="F44" i="53" a="1"/>
  <c r="F30" i="53" a="1"/>
  <c r="F33" i="53" a="1"/>
  <c r="F52" i="53" a="1"/>
  <c r="F41" i="53" a="1"/>
  <c r="F12" i="53" a="1"/>
  <c r="F53" i="53" a="1"/>
  <c r="F26" i="53" a="1"/>
  <c r="F35" i="53" a="1"/>
  <c r="F68" i="53" a="1"/>
  <c r="F32" i="53" a="1"/>
  <c r="F37" i="53" a="1"/>
  <c r="F64" i="53" a="1"/>
  <c r="F42" i="53" a="1"/>
  <c r="F55" i="53" a="1"/>
  <c r="F66" i="53" a="1"/>
  <c r="F65" i="53" a="1"/>
  <c r="F10" i="53" a="1"/>
  <c r="F57" i="53" a="1"/>
  <c r="F58" i="53" a="1"/>
  <c r="F5" i="53" a="1"/>
  <c r="F67" i="53" a="1"/>
  <c r="F15" i="53" a="1"/>
  <c r="F22" i="53" a="1"/>
  <c r="F38" i="53" a="1"/>
  <c r="C2" i="54" a="1"/>
  <c r="F13" i="53" a="1"/>
  <c r="F6" i="53" a="1"/>
  <c r="F47" i="53" a="1"/>
  <c r="F18" i="53" a="1"/>
  <c r="F11" i="53" a="1"/>
  <c r="G217" i="12" a="1"/>
  <c r="G208" i="12" a="1"/>
  <c r="G143" i="12" a="1"/>
  <c r="G181" i="12" a="1"/>
  <c r="G164" i="12" a="1"/>
  <c r="G158" i="12" a="1"/>
  <c r="G217" i="12" l="1"/>
  <c r="F216" i="12"/>
  <c r="G208" i="12"/>
  <c r="F207" i="12"/>
  <c r="F202" i="12"/>
  <c r="F197" i="12"/>
  <c r="F192" i="12"/>
  <c r="G181" i="12"/>
  <c r="F180" i="12"/>
  <c r="F171" i="12"/>
  <c r="G164" i="12"/>
  <c r="F163" i="12"/>
  <c r="G158" i="12"/>
  <c r="F157" i="12"/>
  <c r="F152" i="12"/>
  <c r="G143" i="12"/>
  <c r="F142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E10" i="53" a="1"/>
  <c r="I12" i="11" a="1"/>
  <c r="C37" i="53" a="1"/>
  <c r="I31" i="11" a="1"/>
  <c r="C2" i="49" a="1"/>
  <c r="C2" i="11" a="1"/>
  <c r="C6" i="40" a="1"/>
  <c r="E18" i="53" a="1"/>
  <c r="C55" i="40" a="1"/>
  <c r="C47" i="40" a="1"/>
  <c r="C16" i="11" a="1"/>
  <c r="C33" i="40" a="1"/>
  <c r="I28" i="11" a="1"/>
  <c r="E24" i="53" a="1"/>
  <c r="C105" i="12" a="1"/>
  <c r="C8" i="12" a="1"/>
  <c r="C88" i="12" a="1"/>
  <c r="C74" i="12" a="1"/>
  <c r="C97" i="12" a="1"/>
  <c r="C6" i="12" a="1"/>
  <c r="I2" i="11" a="1"/>
  <c r="E44" i="53" a="1"/>
  <c r="E14" i="53" a="1"/>
  <c r="C32" i="40" a="1"/>
  <c r="C36" i="53" a="1"/>
  <c r="C32" i="53" a="1"/>
  <c r="E66" i="53" a="1"/>
  <c r="C26" i="53" a="1"/>
  <c r="C32" i="11" a="1"/>
  <c r="E67" i="53" a="1"/>
  <c r="C50" i="40" a="1"/>
  <c r="C53" i="40" a="1"/>
  <c r="E65" i="53" a="1"/>
  <c r="C130" i="12" a="1"/>
  <c r="C64" i="12" a="1"/>
  <c r="C20" i="12" a="1"/>
  <c r="C31" i="12" a="1"/>
  <c r="C4" i="12" a="1"/>
  <c r="C86" i="12" a="1"/>
  <c r="C68" i="53" a="1"/>
  <c r="E22" i="53" a="1"/>
  <c r="I4" i="11" a="1"/>
  <c r="C7" i="53" a="1"/>
  <c r="C28" i="53" a="1"/>
  <c r="C49" i="40" a="1"/>
  <c r="E61" i="53" a="1"/>
  <c r="C39" i="40" a="1"/>
  <c r="C10" i="11" a="1"/>
  <c r="I25" i="11" a="1"/>
  <c r="I33" i="11" a="1"/>
  <c r="E35" i="53" a="1"/>
  <c r="E45" i="53" a="1"/>
  <c r="C82" i="12" a="1"/>
  <c r="C15" i="12" a="1"/>
  <c r="C92" i="12" a="1"/>
  <c r="C8" i="53" a="1"/>
  <c r="C2" i="47" a="1"/>
  <c r="I17" i="11" a="1"/>
  <c r="E26" i="53" a="1"/>
  <c r="C116" i="12" a="1"/>
  <c r="E30" i="53" a="1"/>
  <c r="C13" i="11" a="1"/>
  <c r="E2" i="50" a="1"/>
  <c r="E21" i="53" a="1"/>
  <c r="C53" i="53" a="1"/>
  <c r="C41" i="40" a="1"/>
  <c r="C17" i="53" a="1"/>
  <c r="C3" i="11" a="1"/>
  <c r="C77" i="12" a="1"/>
  <c r="C60" i="12" a="1"/>
  <c r="C42" i="53" a="1"/>
  <c r="I3" i="11" a="1"/>
  <c r="C66" i="53" a="1"/>
  <c r="C24" i="11" a="1"/>
  <c r="C27" i="53" a="1"/>
  <c r="C40" i="40" a="1"/>
  <c r="C24" i="40" a="1"/>
  <c r="C18" i="53" a="1"/>
  <c r="C25" i="12" a="1"/>
  <c r="G17" i="12" a="1"/>
  <c r="E63" i="53" a="1"/>
  <c r="C9" i="11" a="1"/>
  <c r="C38" i="40" a="1"/>
  <c r="C6" i="11" a="1"/>
  <c r="C129" i="12" a="1"/>
  <c r="I29" i="11" a="1"/>
  <c r="E15" i="53" a="1"/>
  <c r="C43" i="53" a="1"/>
  <c r="C54" i="40" a="1"/>
  <c r="C89" i="12" a="1"/>
  <c r="C67" i="12" a="1"/>
  <c r="E19" i="53" a="1"/>
  <c r="E16" i="53" a="1"/>
  <c r="E40" i="53" a="1"/>
  <c r="C11" i="11" a="1"/>
  <c r="C50" i="12" a="1"/>
  <c r="C69" i="53" a="1"/>
  <c r="C28" i="11" a="1"/>
  <c r="C2" i="40" a="1"/>
  <c r="E8" i="53" a="1"/>
  <c r="C55" i="12" a="1"/>
  <c r="I27" i="11" a="1"/>
  <c r="C9" i="12" a="1"/>
  <c r="E38" i="53" a="1"/>
  <c r="E32" i="53" a="1"/>
  <c r="C11" i="53" a="1"/>
  <c r="E43" i="53" a="1"/>
  <c r="C60" i="53" a="1"/>
  <c r="E33" i="53" a="1"/>
  <c r="C14" i="40" a="1"/>
  <c r="C48" i="12" a="1"/>
  <c r="C84" i="12" a="1"/>
  <c r="C95" i="12" a="1"/>
  <c r="C122" i="12" a="1"/>
  <c r="I15" i="11" a="1"/>
  <c r="C121" i="12" a="1"/>
  <c r="C63" i="53" a="1"/>
  <c r="C25" i="40" a="1"/>
  <c r="E11" i="53" a="1"/>
  <c r="E52" i="53" a="1"/>
  <c r="C68" i="12" a="1"/>
  <c r="I9" i="11" a="1"/>
  <c r="E48" i="53" a="1"/>
  <c r="C65" i="53" a="1"/>
  <c r="C99" i="12" a="1"/>
  <c r="C24" i="12" a="1"/>
  <c r="C87" i="12" a="1"/>
  <c r="C26" i="12" a="1"/>
  <c r="C13" i="12" a="1"/>
  <c r="E31" i="53" a="1"/>
  <c r="C9" i="40" a="1"/>
  <c r="C44" i="40" a="1"/>
  <c r="E57" i="53" a="1"/>
  <c r="C45" i="40" a="1"/>
  <c r="C111" i="12" a="1"/>
  <c r="C70" i="12" a="1"/>
  <c r="C20" i="40" a="1"/>
  <c r="C21" i="40" a="1"/>
  <c r="C19" i="53" a="1"/>
  <c r="C46" i="53" a="1"/>
  <c r="C32" i="12" a="1"/>
  <c r="C72" i="12" a="1"/>
  <c r="C58" i="53" a="1"/>
  <c r="C6" i="53" a="1"/>
  <c r="C29" i="40" a="1"/>
  <c r="C107" i="12" a="1"/>
  <c r="E42" i="53" a="1"/>
  <c r="C10" i="40" a="1"/>
  <c r="I24" i="11" a="1"/>
  <c r="C51" i="40" a="1"/>
  <c r="C10" i="53" a="1"/>
  <c r="C48" i="53" a="1"/>
  <c r="I23" i="11" a="1"/>
  <c r="C90" i="12" a="1"/>
  <c r="C106" i="12" a="1"/>
  <c r="C18" i="11" a="1"/>
  <c r="C128" i="12" a="1"/>
  <c r="C37" i="12" a="1"/>
  <c r="C93" i="12" a="1"/>
  <c r="C110" i="12" a="1"/>
  <c r="I26" i="11" a="1"/>
  <c r="C28" i="40" a="1"/>
  <c r="E2" i="46" a="1"/>
  <c r="C51" i="53" a="1"/>
  <c r="C58" i="12" a="1"/>
  <c r="E6" i="53" a="1"/>
  <c r="C4" i="11" a="1"/>
  <c r="C22" i="11" a="1"/>
  <c r="E5" i="53" a="1"/>
  <c r="C44" i="53" a="1"/>
  <c r="C54" i="12" a="1"/>
  <c r="C7" i="40" a="1"/>
  <c r="E62" i="53" a="1"/>
  <c r="C17" i="11" a="1"/>
  <c r="C108" i="12" a="1"/>
  <c r="G2" i="15" a="1"/>
  <c r="E13" i="53" a="1"/>
  <c r="C79" i="12" a="1"/>
  <c r="C34" i="40" a="1"/>
  <c r="C30" i="53" a="1"/>
  <c r="C49" i="12" a="1"/>
  <c r="C66" i="12" a="1"/>
  <c r="C115" i="12" a="1"/>
  <c r="E60" i="53" a="1"/>
  <c r="C13" i="53" a="1"/>
  <c r="I6" i="11" a="1"/>
  <c r="C37" i="40" a="1"/>
  <c r="C15" i="53" a="1"/>
  <c r="C40" i="53" a="1"/>
  <c r="C5" i="40" a="1"/>
  <c r="C14" i="53" a="1"/>
  <c r="E13" i="12" a="1"/>
  <c r="C35" i="40" a="1"/>
  <c r="I21" i="11" a="1"/>
  <c r="C52" i="53" a="1"/>
  <c r="C5" i="11" a="1"/>
  <c r="I10" i="11" a="1"/>
  <c r="C24" i="53" a="1"/>
  <c r="C39" i="12" a="1"/>
  <c r="C34" i="11" a="1"/>
  <c r="C59" i="53" a="1"/>
  <c r="C38" i="53" a="1"/>
  <c r="C123" i="12" a="1"/>
  <c r="C47" i="12" a="1"/>
  <c r="C19" i="12" a="1"/>
  <c r="C100" i="12" a="1"/>
  <c r="C80" i="12" a="1"/>
  <c r="G2" i="46" a="1"/>
  <c r="E55" i="53" a="1"/>
  <c r="I34" i="11" a="1"/>
  <c r="C35" i="11" a="1"/>
  <c r="C29" i="53" a="1"/>
  <c r="C117" i="12" a="1"/>
  <c r="C26" i="40" a="1"/>
  <c r="I19" i="11" a="1"/>
  <c r="C25" i="11" a="1"/>
  <c r="C3" i="53" a="1"/>
  <c r="C29" i="11" a="1"/>
  <c r="I30" i="11" a="1"/>
  <c r="C98" i="12" a="1"/>
  <c r="C38" i="12" a="1"/>
  <c r="C4" i="53" a="1"/>
  <c r="C16" i="53" a="1"/>
  <c r="C15" i="11" a="1"/>
  <c r="C2" i="12" a="1"/>
  <c r="E36" i="53" a="1"/>
  <c r="C25" i="53" a="1"/>
  <c r="C41" i="53" a="1"/>
  <c r="E56" i="53" a="1"/>
  <c r="E27" i="53" a="1"/>
  <c r="C120" i="12" a="1"/>
  <c r="C27" i="12" a="1"/>
  <c r="C75" i="12" a="1"/>
  <c r="C96" i="12" a="1"/>
  <c r="C13" i="40" a="1"/>
  <c r="E59" i="53" a="1"/>
  <c r="C39" i="53" a="1"/>
  <c r="C64" i="53" a="1"/>
  <c r="C8" i="40" a="1"/>
  <c r="E49" i="53" a="1"/>
  <c r="E41" i="53" a="1"/>
  <c r="I7" i="11" a="1"/>
  <c r="E16" i="12" a="1"/>
  <c r="C112" i="12" a="1"/>
  <c r="C114" i="12" a="1"/>
  <c r="C35" i="12" a="1"/>
  <c r="C20" i="11" a="1"/>
  <c r="I20" i="11" a="1"/>
  <c r="C16" i="40" a="1"/>
  <c r="C33" i="53" a="1"/>
  <c r="C36" i="40" a="1"/>
  <c r="E54" i="53" a="1"/>
  <c r="C59" i="12" a="1"/>
  <c r="C16" i="12" a="1"/>
  <c r="C29" i="12" a="1"/>
  <c r="C30" i="40" a="1"/>
  <c r="I14" i="11" a="1"/>
  <c r="C19" i="11" a="1"/>
  <c r="C9" i="53" a="1"/>
  <c r="C27" i="40" a="1"/>
  <c r="C65" i="12" a="1"/>
  <c r="C119" i="12" a="1"/>
  <c r="C26" i="11" a="1"/>
  <c r="E7" i="53" a="1"/>
  <c r="E17" i="53" a="1"/>
  <c r="C22" i="53" a="1"/>
  <c r="C15" i="40" a="1"/>
  <c r="C47" i="53" a="1"/>
  <c r="C20" i="53" a="1"/>
  <c r="C12" i="53" a="1"/>
  <c r="E58" i="53" a="1"/>
  <c r="C57" i="53" a="1"/>
  <c r="E50" i="53" a="1"/>
  <c r="C33" i="11" a="1"/>
  <c r="C19" i="40" a="1"/>
  <c r="C5" i="53" a="1"/>
  <c r="C78" i="12" a="1"/>
  <c r="C23" i="12" a="1"/>
  <c r="C5" i="12" a="1"/>
  <c r="C56" i="12" a="1"/>
  <c r="C53" i="12" a="1"/>
  <c r="C56" i="53" a="1"/>
  <c r="C2" i="15" a="1"/>
  <c r="C17" i="40" a="1"/>
  <c r="E51" i="53" a="1"/>
  <c r="C49" i="53" a="1"/>
  <c r="C22" i="40" a="1"/>
  <c r="I22" i="11" a="1"/>
  <c r="C46" i="40" a="1"/>
  <c r="C27" i="11" a="1"/>
  <c r="E47" i="53" a="1"/>
  <c r="C31" i="11" a="1"/>
  <c r="C54" i="53" a="1"/>
  <c r="E34" i="53" a="1"/>
  <c r="E49" i="4" a="1"/>
  <c r="C7" i="12" a="1"/>
  <c r="C40" i="12" a="1"/>
  <c r="C30" i="12" a="1"/>
  <c r="C3" i="12" a="1"/>
  <c r="C14" i="12" a="1"/>
  <c r="I18" i="11" a="1"/>
  <c r="E39" i="53" a="1"/>
  <c r="C30" i="11" a="1"/>
  <c r="C8" i="11" a="1"/>
  <c r="C48" i="40" a="1"/>
  <c r="I35" i="11" a="1"/>
  <c r="E20" i="53" a="1"/>
  <c r="I16" i="11" a="1"/>
  <c r="E37" i="53" a="1"/>
  <c r="C50" i="53" a="1"/>
  <c r="E29" i="53" a="1"/>
  <c r="E28" i="53" a="1"/>
  <c r="C14" i="11" a="1"/>
  <c r="C49" i="4" a="1"/>
  <c r="E15" i="12" a="1"/>
  <c r="C124" i="12" a="1"/>
  <c r="C83" i="12" a="1"/>
  <c r="E14" i="12" a="1"/>
  <c r="C36" i="12" a="1"/>
  <c r="C35" i="53" a="1"/>
  <c r="C23" i="11" a="1"/>
  <c r="E2" i="9" a="1"/>
  <c r="C67" i="53" a="1"/>
  <c r="C21" i="11" a="1"/>
  <c r="C23" i="53" a="1"/>
  <c r="C10" i="12" a="1"/>
  <c r="C81" i="12" a="1"/>
  <c r="C109" i="12" a="1"/>
  <c r="E2" i="15" a="1"/>
  <c r="I11" i="11" a="1"/>
  <c r="C42" i="40" a="1"/>
  <c r="C12" i="11" a="1"/>
  <c r="C62" i="12" a="1"/>
  <c r="C33" i="12" a="1"/>
  <c r="C45" i="53" a="1"/>
  <c r="C3" i="40" a="1"/>
  <c r="E2" i="53" a="1"/>
  <c r="C7" i="11" a="1"/>
  <c r="C94" i="12" a="1"/>
  <c r="C31" i="40" a="1"/>
  <c r="E12" i="53" a="1"/>
  <c r="C69" i="12" a="1"/>
  <c r="E4" i="53" a="1"/>
  <c r="C51" i="12" a="1"/>
  <c r="C76" i="12" a="1"/>
  <c r="C113" i="12" a="1"/>
  <c r="C52" i="40" a="1"/>
  <c r="C55" i="53" a="1"/>
  <c r="C23" i="40" a="1"/>
  <c r="C61" i="12" a="1"/>
  <c r="G42" i="12" a="1"/>
  <c r="C22" i="12" a="1"/>
  <c r="E68" i="53" a="1"/>
  <c r="C18" i="40" a="1"/>
  <c r="C43" i="40" a="1"/>
  <c r="E25" i="53" a="1"/>
  <c r="C85" i="12" a="1"/>
  <c r="C31" i="53" a="1"/>
  <c r="C34" i="53" a="1"/>
  <c r="C11" i="40" a="1"/>
  <c r="I5" i="11" a="1"/>
  <c r="C46" i="12" a="1"/>
  <c r="C118" i="12" a="1"/>
  <c r="C52" i="12" a="1"/>
  <c r="C21" i="53" a="1"/>
  <c r="C61" i="53" a="1"/>
  <c r="C4" i="40" a="1"/>
  <c r="C28" i="12" a="1"/>
  <c r="E64" i="53" a="1"/>
  <c r="E23" i="53" a="1"/>
  <c r="I8" i="11" a="1"/>
  <c r="I13" i="11" a="1"/>
  <c r="E46" i="53" a="1"/>
  <c r="I32" i="11" a="1"/>
  <c r="C62" i="53" a="1"/>
  <c r="C2" i="53" a="1"/>
  <c r="C73" i="12" a="1"/>
  <c r="C12" i="40" a="1"/>
  <c r="E53" i="53" a="1"/>
  <c r="E9" i="53" a="1"/>
  <c r="C71" i="12" a="1"/>
  <c r="E69" i="53" a="1"/>
  <c r="E3" i="53" a="1"/>
  <c r="C91" i="12" a="1"/>
  <c r="G218" i="12" a="1"/>
  <c r="G182" i="12" a="1"/>
  <c r="G165" i="12" a="1"/>
  <c r="G144" i="12" a="1"/>
  <c r="G218" i="12" l="1"/>
  <c r="F217" i="12"/>
  <c r="F208" i="12"/>
  <c r="G182" i="12"/>
  <c r="F181" i="12"/>
  <c r="G165" i="12"/>
  <c r="F164" i="12"/>
  <c r="F158" i="12"/>
  <c r="G144" i="12"/>
  <c r="F143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66" i="12" a="1"/>
  <c r="G183" i="12" a="1"/>
  <c r="F218" i="12" l="1"/>
  <c r="G183" i="12"/>
  <c r="F182" i="12"/>
  <c r="G166" i="12"/>
  <c r="F165" i="12"/>
  <c r="F144" i="12"/>
  <c r="F42" i="12"/>
  <c r="G3" i="40" a="1"/>
  <c r="E214" i="27" a="1"/>
  <c r="E269" i="27" a="1"/>
  <c r="E320" i="27" a="1"/>
  <c r="C233" i="27" a="1"/>
  <c r="E259" i="27" a="1"/>
  <c r="C11" i="31" a="1"/>
  <c r="E121" i="27" a="1"/>
  <c r="E186" i="27" a="1"/>
  <c r="E105" i="27" a="1"/>
  <c r="G12" i="40" a="1"/>
  <c r="E189" i="27" a="1"/>
  <c r="C66" i="27" a="1"/>
  <c r="C48" i="27" a="1"/>
  <c r="E43" i="27" a="1"/>
  <c r="E199" i="27" a="1"/>
  <c r="C85" i="27" a="1"/>
  <c r="G40" i="40" a="1"/>
  <c r="C263" i="27" a="1"/>
  <c r="C336" i="27" a="1"/>
  <c r="C320" i="27" a="1"/>
  <c r="C186" i="27" a="1"/>
  <c r="E271" i="27" a="1"/>
  <c r="C67" i="27" a="1"/>
  <c r="C216" i="27" a="1"/>
  <c r="E265" i="27" a="1"/>
  <c r="D2" i="37" a="1"/>
  <c r="E13" i="40" a="1"/>
  <c r="C93" i="27" a="1"/>
  <c r="C363" i="27" a="1"/>
  <c r="C2" i="31" a="1"/>
  <c r="C68" i="27" a="1"/>
  <c r="E161" i="27" a="1"/>
  <c r="E248" i="27" a="1"/>
  <c r="G23" i="40" a="1"/>
  <c r="C112" i="27" a="1"/>
  <c r="C106" i="27" a="1"/>
  <c r="C136" i="27" a="1"/>
  <c r="C306" i="27" a="1"/>
  <c r="E283" i="27" a="1"/>
  <c r="C101" i="27" a="1"/>
  <c r="E130" i="27" a="1"/>
  <c r="E103" i="27" a="1"/>
  <c r="C17" i="3" a="1"/>
  <c r="E363" i="27" a="1"/>
  <c r="E9" i="31" a="1"/>
  <c r="C10" i="3" a="1"/>
  <c r="E380" i="27" a="1"/>
  <c r="C39" i="4" a="1"/>
  <c r="C8" i="4" a="1"/>
  <c r="C18" i="4" a="1"/>
  <c r="E36" i="4" a="1"/>
  <c r="E79" i="12" a="1"/>
  <c r="E6" i="12" a="1"/>
  <c r="E68" i="12" a="1"/>
  <c r="E36" i="12" a="1"/>
  <c r="G18" i="12" a="1"/>
  <c r="G64" i="12" a="1"/>
  <c r="C79" i="27" a="1"/>
  <c r="C227" i="27" a="1"/>
  <c r="G35" i="40" a="1"/>
  <c r="E301" i="27" a="1"/>
  <c r="G32" i="40" a="1"/>
  <c r="E305" i="27" a="1"/>
  <c r="G4" i="40" a="1"/>
  <c r="E7" i="31" a="1"/>
  <c r="C317" i="27" a="1"/>
  <c r="C378" i="27" a="1"/>
  <c r="C357" i="27" a="1"/>
  <c r="E24" i="40" a="1"/>
  <c r="E345" i="27" a="1"/>
  <c r="C19" i="31" a="1"/>
  <c r="E46" i="4" a="1"/>
  <c r="C21" i="4" a="1"/>
  <c r="E82" i="12" a="1"/>
  <c r="E77" i="12" a="1"/>
  <c r="E85" i="12" a="1"/>
  <c r="E106" i="12" a="1"/>
  <c r="E366" i="27" a="1"/>
  <c r="E5" i="27" a="1"/>
  <c r="C162" i="27" a="1"/>
  <c r="E303" i="27" a="1"/>
  <c r="E323" i="27" a="1"/>
  <c r="E187" i="27" a="1"/>
  <c r="E126" i="27" a="1"/>
  <c r="C358" i="27" a="1"/>
  <c r="E16" i="40" a="1"/>
  <c r="E75" i="27" a="1"/>
  <c r="C76" i="27" a="1"/>
  <c r="D14" i="37" a="1"/>
  <c r="C20" i="3" a="1"/>
  <c r="E280" i="27" a="1"/>
  <c r="C285" i="27" a="1"/>
  <c r="C15" i="3" a="1"/>
  <c r="E195" i="27" a="1"/>
  <c r="E47" i="40" a="1"/>
  <c r="C301" i="27" a="1"/>
  <c r="C124" i="27" a="1"/>
  <c r="E302" i="27" a="1"/>
  <c r="C16" i="4" a="1"/>
  <c r="E7" i="4" a="1"/>
  <c r="C34" i="4" a="1"/>
  <c r="E27" i="4" a="1"/>
  <c r="E3" i="12" a="1"/>
  <c r="E124" i="12" a="1"/>
  <c r="E113" i="12" a="1"/>
  <c r="E123" i="12" a="1"/>
  <c r="E28" i="12" a="1"/>
  <c r="E22" i="27" a="1"/>
  <c r="C208" i="27" a="1"/>
  <c r="E277" i="27" a="1"/>
  <c r="C2" i="38" a="1"/>
  <c r="C3" i="3" a="1"/>
  <c r="E377" i="27" a="1"/>
  <c r="E309" i="27" a="1"/>
  <c r="E54" i="40" a="1"/>
  <c r="G38" i="40" a="1"/>
  <c r="E62" i="27" a="1"/>
  <c r="E82" i="27" a="1"/>
  <c r="E39" i="27" a="1"/>
  <c r="G15" i="40" a="1"/>
  <c r="C128" i="27" a="1"/>
  <c r="C212" i="27" a="1"/>
  <c r="C247" i="27" a="1"/>
  <c r="C217" i="27" a="1"/>
  <c r="C39" i="27" a="1"/>
  <c r="E247" i="27" a="1"/>
  <c r="E49" i="27" a="1"/>
  <c r="C43" i="27" a="1"/>
  <c r="C352" i="27" a="1"/>
  <c r="E233" i="27" a="1"/>
  <c r="E226" i="27" a="1"/>
  <c r="E60" i="27" a="1"/>
  <c r="E312" i="27" a="1"/>
  <c r="C40" i="27" a="1"/>
  <c r="C110" i="27" a="1"/>
  <c r="E262" i="27" a="1"/>
  <c r="C4" i="31" a="1"/>
  <c r="G52" i="40" a="1"/>
  <c r="C14" i="27" a="1"/>
  <c r="C225" i="27" a="1"/>
  <c r="E381" i="27" a="1"/>
  <c r="E102" i="27" a="1"/>
  <c r="E198" i="27" a="1"/>
  <c r="C145" i="27" a="1"/>
  <c r="E118" i="27" a="1"/>
  <c r="E298" i="27" a="1"/>
  <c r="C7" i="3" a="1"/>
  <c r="C62" i="27" a="1"/>
  <c r="E359" i="27" a="1"/>
  <c r="C14" i="3" a="1"/>
  <c r="E123" i="27" a="1"/>
  <c r="D6" i="37" a="1"/>
  <c r="E374" i="27" a="1"/>
  <c r="E3" i="40" a="1"/>
  <c r="E205" i="27" a="1"/>
  <c r="C8" i="3" a="1"/>
  <c r="C330" i="27" a="1"/>
  <c r="E168" i="27" a="1"/>
  <c r="E254" i="27" a="1"/>
  <c r="C46" i="27" a="1"/>
  <c r="E84" i="27" a="1"/>
  <c r="G25" i="40" a="1"/>
  <c r="E87" i="27" a="1"/>
  <c r="C187" i="27" a="1"/>
  <c r="E340" i="27" a="1"/>
  <c r="D9" i="37" a="1"/>
  <c r="E292" i="27" a="1"/>
  <c r="E344" i="27" a="1"/>
  <c r="C332" i="27" a="1"/>
  <c r="C130" i="27" a="1"/>
  <c r="E20" i="27" a="1"/>
  <c r="D4" i="37" a="1"/>
  <c r="E179" i="27" a="1"/>
  <c r="C367" i="27" a="1"/>
  <c r="C46" i="4" a="1"/>
  <c r="C47" i="4" a="1"/>
  <c r="C2" i="4" a="1"/>
  <c r="C26" i="4" a="1"/>
  <c r="E96" i="12" a="1"/>
  <c r="E27" i="12" a="1"/>
  <c r="E116" i="12" a="1"/>
  <c r="E87" i="12" a="1"/>
  <c r="E74" i="12" a="1"/>
  <c r="E86" i="12" a="1"/>
  <c r="C12" i="31" a="1"/>
  <c r="C240" i="27" a="1"/>
  <c r="C283" i="27" a="1"/>
  <c r="E326" i="27" a="1"/>
  <c r="E164" i="27" a="1"/>
  <c r="C172" i="27" a="1"/>
  <c r="E29" i="27" a="1"/>
  <c r="D17" i="37" a="1"/>
  <c r="C333" i="27" a="1"/>
  <c r="E258" i="27" a="1"/>
  <c r="E191" i="27" a="1"/>
  <c r="E85" i="27" a="1"/>
  <c r="E244" i="27" a="1"/>
  <c r="E358" i="27" a="1"/>
  <c r="E181" i="27" a="1"/>
  <c r="E29" i="40" a="1"/>
  <c r="C290" i="27" a="1"/>
  <c r="G8" i="40" a="1"/>
  <c r="G16" i="40" a="1"/>
  <c r="C56" i="27" a="1"/>
  <c r="C248" i="27" a="1"/>
  <c r="C37" i="4" a="1"/>
  <c r="E14" i="4" a="1"/>
  <c r="C31" i="4" a="1"/>
  <c r="E105" i="12" a="1"/>
  <c r="E5" i="12" a="1"/>
  <c r="C304" i="27" a="1"/>
  <c r="C296" i="27" a="1"/>
  <c r="C289" i="27" a="1"/>
  <c r="E372" i="27" a="1"/>
  <c r="E64" i="27" a="1"/>
  <c r="E329" i="27" a="1"/>
  <c r="C120" i="27" a="1"/>
  <c r="C261" i="27" a="1"/>
  <c r="D8" i="37" a="1"/>
  <c r="E220" i="27" a="1"/>
  <c r="D10" i="37" a="1"/>
  <c r="C42" i="27" a="1"/>
  <c r="E51" i="40" a="1"/>
  <c r="E50" i="27" a="1"/>
  <c r="E4" i="40" a="1"/>
  <c r="C38" i="27" a="1"/>
  <c r="E15" i="40" a="1"/>
  <c r="E6" i="31" a="1"/>
  <c r="E169" i="27" a="1"/>
  <c r="E263" i="27" a="1"/>
  <c r="C13" i="3" a="1"/>
  <c r="E375" i="27" a="1"/>
  <c r="E273" i="27" a="1"/>
  <c r="G13" i="40" a="1"/>
  <c r="C345" i="27" a="1"/>
  <c r="E33" i="4" a="1"/>
  <c r="E89" i="12" a="1"/>
  <c r="C2" i="22" a="1"/>
  <c r="C5" i="3" a="1"/>
  <c r="E101" i="27" a="1"/>
  <c r="C182" i="27" a="1"/>
  <c r="E347" i="27" a="1"/>
  <c r="E61" i="27" a="1"/>
  <c r="C183" i="27" a="1"/>
  <c r="G30" i="40" a="1"/>
  <c r="E202" i="27" a="1"/>
  <c r="E18" i="31" a="1"/>
  <c r="C355" i="27" a="1"/>
  <c r="E242" i="27" a="1"/>
  <c r="C115" i="27" a="1"/>
  <c r="C327" i="27" a="1"/>
  <c r="C177" i="27" a="1"/>
  <c r="C18" i="3" a="1"/>
  <c r="C204" i="27" a="1"/>
  <c r="E24" i="27" a="1"/>
  <c r="C185" i="27" a="1"/>
  <c r="C309" i="27" a="1"/>
  <c r="C14" i="31" a="1"/>
  <c r="E310" i="27" a="1"/>
  <c r="E13" i="31" a="1"/>
  <c r="E37" i="27" a="1"/>
  <c r="C121" i="27" a="1"/>
  <c r="E339" i="27" a="1"/>
  <c r="E23" i="27" a="1"/>
  <c r="C221" i="27" a="1"/>
  <c r="E17" i="40" a="1"/>
  <c r="C316" i="27" a="1"/>
  <c r="C137" i="27" a="1"/>
  <c r="C341" i="27" a="1"/>
  <c r="E211" i="27" a="1"/>
  <c r="E131" i="27" a="1"/>
  <c r="C10" i="27" a="1"/>
  <c r="E342" i="27" a="1"/>
  <c r="E315" i="27" a="1"/>
  <c r="E83" i="27" a="1"/>
  <c r="E235" i="27" a="1"/>
  <c r="D13" i="37" a="1"/>
  <c r="E48" i="40" a="1"/>
  <c r="C200" i="27" a="1"/>
  <c r="C4" i="3" a="1"/>
  <c r="E113" i="27" a="1"/>
  <c r="E276" i="27" a="1"/>
  <c r="E367" i="27" a="1"/>
  <c r="C167" i="27" a="1"/>
  <c r="E234" i="27" a="1"/>
  <c r="E360" i="27" a="1"/>
  <c r="C232" i="27" a="1"/>
  <c r="C32" i="27" a="1"/>
  <c r="E229" i="27" a="1"/>
  <c r="E16" i="27" a="1"/>
  <c r="E208" i="27" a="1"/>
  <c r="C13" i="27" a="1"/>
  <c r="E376" i="27" a="1"/>
  <c r="E52" i="40" a="1"/>
  <c r="E15" i="31" a="1"/>
  <c r="C161" i="27" a="1"/>
  <c r="G20" i="40" a="1"/>
  <c r="G50" i="40" a="1"/>
  <c r="E77" i="27" a="1"/>
  <c r="C354" i="27" a="1"/>
  <c r="E355" i="27" a="1"/>
  <c r="C32" i="4" a="1"/>
  <c r="E5" i="4" a="1"/>
  <c r="C11" i="4" a="1"/>
  <c r="E17" i="4" a="1"/>
  <c r="E8" i="12" a="1"/>
  <c r="E72" i="12" a="1"/>
  <c r="E20" i="12" a="1"/>
  <c r="E62" i="12" a="1"/>
  <c r="E71" i="12" a="1"/>
  <c r="E58" i="12" a="1"/>
  <c r="E170" i="27" a="1"/>
  <c r="E173" i="27" a="1"/>
  <c r="E43" i="40" a="1"/>
  <c r="E65" i="27" a="1"/>
  <c r="G37" i="40" a="1"/>
  <c r="G53" i="40" a="1"/>
  <c r="C198" i="27" a="1"/>
  <c r="E145" i="27" a="1"/>
  <c r="E154" i="27" a="1"/>
  <c r="E144" i="27" a="1"/>
  <c r="E378" i="27" a="1"/>
  <c r="C252" i="27" a="1"/>
  <c r="C97" i="27" a="1"/>
  <c r="C255" i="27" a="1"/>
  <c r="C147" i="27" a="1"/>
  <c r="C57" i="27" a="1"/>
  <c r="D20" i="37" a="1"/>
  <c r="E295" i="27" a="1"/>
  <c r="C119" i="27" a="1"/>
  <c r="C151" i="27" a="1"/>
  <c r="E204" i="27" a="1"/>
  <c r="C64" i="27" a="1"/>
  <c r="E3" i="27" a="1"/>
  <c r="E19" i="31" a="1"/>
  <c r="E264" i="27" a="1"/>
  <c r="C312" i="27" a="1"/>
  <c r="E190" i="27" a="1"/>
  <c r="E238" i="27" a="1"/>
  <c r="C16" i="27" a="1"/>
  <c r="C141" i="27" a="1"/>
  <c r="C256" i="27" a="1"/>
  <c r="C365" i="27" a="1"/>
  <c r="E33" i="40" a="1"/>
  <c r="C193" i="27" a="1"/>
  <c r="C47" i="27" a="1"/>
  <c r="C293" i="27" a="1"/>
  <c r="E81" i="27" a="1"/>
  <c r="C353" i="27" a="1"/>
  <c r="C276" i="27" a="1"/>
  <c r="E193" i="27" a="1"/>
  <c r="E279" i="27" a="1"/>
  <c r="G47" i="40" a="1"/>
  <c r="E10" i="31" a="1"/>
  <c r="C42" i="4" a="1"/>
  <c r="C35" i="4" a="1"/>
  <c r="E41" i="4" a="1"/>
  <c r="E38" i="4" a="1"/>
  <c r="C41" i="4" a="1"/>
  <c r="E69" i="12" a="1"/>
  <c r="E94" i="12" a="1"/>
  <c r="E48" i="12" a="1"/>
  <c r="E38" i="12" a="1"/>
  <c r="E49" i="12" a="1"/>
  <c r="E109" i="12" a="1"/>
  <c r="C143" i="27" a="1"/>
  <c r="E178" i="27" a="1"/>
  <c r="C224" i="27" a="1"/>
  <c r="E175" i="27" a="1"/>
  <c r="E36" i="27" a="1"/>
  <c r="E73" i="27" a="1"/>
  <c r="E371" i="27" a="1"/>
  <c r="E155" i="27" a="1"/>
  <c r="E70" i="27" a="1"/>
  <c r="E319" i="27" a="1"/>
  <c r="G49" i="40" a="1"/>
  <c r="C230" i="27" a="1"/>
  <c r="E74" i="27" a="1"/>
  <c r="E352" i="27" a="1"/>
  <c r="E17" i="27" a="1"/>
  <c r="E207" i="27" a="1"/>
  <c r="C372" i="27" a="1"/>
  <c r="C366" i="27" a="1"/>
  <c r="C24" i="4" a="1"/>
  <c r="E24" i="12" a="1"/>
  <c r="E166" i="27" a="1"/>
  <c r="C103" i="27" a="1"/>
  <c r="C237" i="27" a="1"/>
  <c r="C380" i="27" a="1"/>
  <c r="E20" i="40" a="1"/>
  <c r="E180" i="27" a="1"/>
  <c r="C27" i="27" a="1"/>
  <c r="C370" i="27" a="1"/>
  <c r="E33" i="27" a="1"/>
  <c r="E111" i="27" a="1"/>
  <c r="C74" i="27" a="1"/>
  <c r="C72" i="27" a="1"/>
  <c r="C84" i="27" a="1"/>
  <c r="E219" i="27" a="1"/>
  <c r="E350" i="27" a="1"/>
  <c r="E10" i="27" a="1"/>
  <c r="C347" i="27" a="1"/>
  <c r="E28" i="4" a="1"/>
  <c r="E25" i="12" a="1"/>
  <c r="C282" i="27" a="1"/>
  <c r="E201" i="27" a="1"/>
  <c r="G41" i="40" a="1"/>
  <c r="E36" i="40" a="1"/>
  <c r="E31" i="27" a="1"/>
  <c r="C123" i="27" a="1"/>
  <c r="G33" i="40" a="1"/>
  <c r="C205" i="27" a="1"/>
  <c r="E24" i="4" a="1"/>
  <c r="E112" i="12" a="1"/>
  <c r="C179" i="27" a="1"/>
  <c r="C168" i="27" a="1"/>
  <c r="E267" i="27" a="1"/>
  <c r="E245" i="27" a="1"/>
  <c r="E182" i="27" a="1"/>
  <c r="C244" i="27" a="1"/>
  <c r="C299" i="27" a="1"/>
  <c r="E291" i="27" a="1"/>
  <c r="E338" i="27" a="1"/>
  <c r="E16" i="4" a="1"/>
  <c r="C20" i="4" a="1"/>
  <c r="E93" i="12" a="1"/>
  <c r="E95" i="12" a="1"/>
  <c r="E32" i="12" a="1"/>
  <c r="E134" i="27" a="1"/>
  <c r="E11" i="40" a="1"/>
  <c r="C325" i="27" a="1"/>
  <c r="C236" i="27" a="1"/>
  <c r="E66" i="27" a="1"/>
  <c r="E56" i="27" a="1"/>
  <c r="E107" i="27" a="1"/>
  <c r="E6" i="40" a="1"/>
  <c r="E100" i="27" a="1"/>
  <c r="G44" i="40" a="1"/>
  <c r="E304" i="27" a="1"/>
  <c r="E90" i="12" a="1"/>
  <c r="E46" i="12" a="1"/>
  <c r="C239" i="27" a="1"/>
  <c r="C245" i="27" a="1"/>
  <c r="C265" i="27" a="1"/>
  <c r="C294" i="27" a="1"/>
  <c r="C9" i="3" a="1"/>
  <c r="E44" i="40" a="1"/>
  <c r="E35" i="40" a="1"/>
  <c r="E135" i="27" a="1"/>
  <c r="E31" i="4" a="1"/>
  <c r="C144" i="27" a="1"/>
  <c r="E365" i="27" a="1"/>
  <c r="E69" i="27" a="1"/>
  <c r="C102" i="27" a="1"/>
  <c r="G22" i="40" a="1"/>
  <c r="E106" i="27" a="1"/>
  <c r="C362" i="27" a="1"/>
  <c r="E45" i="27" a="1"/>
  <c r="G27" i="40" a="1"/>
  <c r="C96" i="27" a="1"/>
  <c r="E92" i="27" a="1"/>
  <c r="C322" i="27" a="1"/>
  <c r="E44" i="4" a="1"/>
  <c r="E92" i="12" a="1"/>
  <c r="E11" i="31" a="1"/>
  <c r="C41" i="27" a="1"/>
  <c r="E346" i="27" a="1"/>
  <c r="E253" i="27" a="1"/>
  <c r="C196" i="27" a="1"/>
  <c r="C2" i="5" a="1"/>
  <c r="C23" i="27" a="1"/>
  <c r="C171" i="27" a="1"/>
  <c r="E281" i="27" a="1"/>
  <c r="E132" i="27" a="1"/>
  <c r="E336" i="27" a="1"/>
  <c r="C153" i="27" a="1"/>
  <c r="C25" i="4" a="1"/>
  <c r="C5" i="4" a="1"/>
  <c r="E40" i="12" a="1"/>
  <c r="E9" i="12" a="1"/>
  <c r="C88" i="27" a="1"/>
  <c r="E272" i="27" a="1"/>
  <c r="E63" i="27" a="1"/>
  <c r="D12" i="37" a="1"/>
  <c r="C241" i="27" a="1"/>
  <c r="C53" i="27" a="1"/>
  <c r="E40" i="4" a="1"/>
  <c r="C23" i="4" a="1"/>
  <c r="C17" i="4" a="1"/>
  <c r="G88" i="12" a="1"/>
  <c r="E76" i="12" a="1"/>
  <c r="E7" i="12" a="1"/>
  <c r="E75" i="12" a="1"/>
  <c r="E159" i="27" a="1"/>
  <c r="E34" i="27" a="1"/>
  <c r="E72" i="27" a="1"/>
  <c r="E12" i="40" a="1"/>
  <c r="E218" i="27" a="1"/>
  <c r="C344" i="27" a="1"/>
  <c r="E128" i="27" a="1"/>
  <c r="C3" i="4" a="1"/>
  <c r="G46" i="12" a="1"/>
  <c r="E10" i="12" a="1"/>
  <c r="E337" i="27" a="1"/>
  <c r="E47" i="27" a="1"/>
  <c r="C334" i="27" a="1"/>
  <c r="D15" i="37" a="1"/>
  <c r="C379" i="27" a="1"/>
  <c r="E15" i="27" a="1"/>
  <c r="E5" i="31" a="1"/>
  <c r="C6" i="4" a="1"/>
  <c r="E129" i="12" a="1"/>
  <c r="G21" i="40" a="1"/>
  <c r="E21" i="27" a="1"/>
  <c r="C249" i="27" a="1"/>
  <c r="C273" i="27" a="1"/>
  <c r="G26" i="40" a="1"/>
  <c r="E32" i="27" a="1"/>
  <c r="E250" i="27" a="1"/>
  <c r="C61" i="27" a="1"/>
  <c r="E299" i="27" a="1"/>
  <c r="E290" i="27" a="1"/>
  <c r="E41" i="40" a="1"/>
  <c r="E58" i="27" a="1"/>
  <c r="C275" i="27" a="1"/>
  <c r="E8" i="31" a="1"/>
  <c r="E136" i="27" a="1"/>
  <c r="E18" i="27" a="1"/>
  <c r="E35" i="4" a="1"/>
  <c r="E56" i="12" a="1"/>
  <c r="E53" i="12" a="1"/>
  <c r="E84" i="12" a="1"/>
  <c r="C271" i="27" a="1"/>
  <c r="C157" i="27" a="1"/>
  <c r="C374" i="27" a="1"/>
  <c r="E88" i="27" a="1"/>
  <c r="C308" i="27" a="1"/>
  <c r="C251" i="27" a="1"/>
  <c r="E217" i="27" a="1"/>
  <c r="C91" i="27" a="1"/>
  <c r="E227" i="27" a="1"/>
  <c r="C381" i="27" a="1"/>
  <c r="C266" i="27" a="1"/>
  <c r="G7" i="40" a="1"/>
  <c r="E2" i="27" a="1"/>
  <c r="C234" i="27" a="1"/>
  <c r="E152" i="27" a="1"/>
  <c r="C165" i="27" a="1"/>
  <c r="D7" i="37" a="1"/>
  <c r="C100" i="27" a="1"/>
  <c r="E127" i="27" a="1"/>
  <c r="C321" i="27" a="1"/>
  <c r="E20" i="4" a="1"/>
  <c r="E114" i="12" a="1"/>
  <c r="E115" i="12" a="1"/>
  <c r="C132" i="27" a="1"/>
  <c r="C270" i="27" a="1"/>
  <c r="C349" i="27" a="1"/>
  <c r="C27" i="4" a="1"/>
  <c r="E107" i="12" a="1"/>
  <c r="E30" i="12" a="1"/>
  <c r="C86" i="27" a="1"/>
  <c r="E22" i="40" a="1"/>
  <c r="E117" i="27" a="1"/>
  <c r="D16" i="37" a="1"/>
  <c r="E53" i="27" a="1"/>
  <c r="E172" i="27" a="1"/>
  <c r="E216" i="27" a="1"/>
  <c r="E40" i="27" a="1"/>
  <c r="C109" i="27" a="1"/>
  <c r="C40" i="4" a="1"/>
  <c r="C19" i="4" a="1"/>
  <c r="E108" i="12" a="1"/>
  <c r="E31" i="12" a="1"/>
  <c r="E78" i="12" a="1"/>
  <c r="E94" i="27" a="1"/>
  <c r="C118" i="27" a="1"/>
  <c r="E9" i="27" a="1"/>
  <c r="C35" i="27" a="1"/>
  <c r="E95" i="27" a="1"/>
  <c r="C184" i="27" a="1"/>
  <c r="E7" i="40" a="1"/>
  <c r="C190" i="27" a="1"/>
  <c r="C2" i="9" a="1"/>
  <c r="G24" i="40" a="1"/>
  <c r="E30" i="27" a="1"/>
  <c r="C70" i="27" a="1"/>
  <c r="C213" i="27" a="1"/>
  <c r="E23" i="4" a="1"/>
  <c r="E37" i="12" a="1"/>
  <c r="E4" i="12" a="1"/>
  <c r="F2" i="22" a="1"/>
  <c r="C11" i="3" a="1"/>
  <c r="E162" i="27" a="1"/>
  <c r="E331" i="27" a="1"/>
  <c r="C191" i="27" a="1"/>
  <c r="C49" i="27" a="1"/>
  <c r="E4" i="27" a="1"/>
  <c r="E369" i="27" a="1"/>
  <c r="G14" i="40" a="1"/>
  <c r="G39" i="40" a="1"/>
  <c r="C331" i="27" a="1"/>
  <c r="C7" i="31" a="1"/>
  <c r="C342" i="27" a="1"/>
  <c r="E196" i="27" a="1"/>
  <c r="C258" i="27" a="1"/>
  <c r="E139" i="27" a="1"/>
  <c r="E57" i="27" a="1"/>
  <c r="G46" i="40" a="1"/>
  <c r="E317" i="27" a="1"/>
  <c r="E252" i="27" a="1"/>
  <c r="E47" i="4" a="1"/>
  <c r="E130" i="12" a="1"/>
  <c r="E29" i="12" a="1"/>
  <c r="E66" i="12" a="1"/>
  <c r="C163" i="27" a="1"/>
  <c r="C300" i="27" a="1"/>
  <c r="E188" i="27" a="1"/>
  <c r="E38" i="40" a="1"/>
  <c r="E362" i="27" a="1"/>
  <c r="C328" i="27" a="1"/>
  <c r="G17" i="40" a="1"/>
  <c r="E150" i="27" a="1"/>
  <c r="C63" i="27" a="1"/>
  <c r="C126" i="27" a="1"/>
  <c r="G45" i="40" a="1"/>
  <c r="E96" i="27" a="1"/>
  <c r="C33" i="27" a="1"/>
  <c r="C15" i="31" a="1"/>
  <c r="G13" i="12" a="1"/>
  <c r="C192" i="27" a="1"/>
  <c r="C131" i="27" a="1"/>
  <c r="C156" i="27" a="1"/>
  <c r="E296" i="27" a="1"/>
  <c r="C81" i="27" a="1"/>
  <c r="C11" i="27" a="1"/>
  <c r="C75" i="27" a="1"/>
  <c r="C12" i="27" a="1"/>
  <c r="C260" i="27" a="1"/>
  <c r="E80" i="27" a="1"/>
  <c r="C377" i="27" a="1"/>
  <c r="C24" i="27" a="1"/>
  <c r="C95" i="27" a="1"/>
  <c r="E125" i="27" a="1"/>
  <c r="E318" i="27" a="1"/>
  <c r="C4" i="4" a="1"/>
  <c r="C10" i="4" a="1"/>
  <c r="E37" i="4" a="1"/>
  <c r="E2" i="4" a="1"/>
  <c r="E119" i="12" a="1"/>
  <c r="E61" i="12" a="1"/>
  <c r="E67" i="12" a="1"/>
  <c r="E65" i="12" a="1"/>
  <c r="E88" i="12" a="1"/>
  <c r="E100" i="12" a="1"/>
  <c r="C133" i="27" a="1"/>
  <c r="C235" i="27" a="1"/>
  <c r="C89" i="27" a="1"/>
  <c r="E23" i="40" a="1"/>
  <c r="E51" i="27" a="1"/>
  <c r="E78" i="27" a="1"/>
  <c r="C346" i="27" a="1"/>
  <c r="C281" i="27" a="1"/>
  <c r="C375" i="27" a="1"/>
  <c r="E328" i="27" a="1"/>
  <c r="E270" i="27" a="1"/>
  <c r="E14" i="31" a="1"/>
  <c r="E209" i="27" a="1"/>
  <c r="C51" i="27" a="1"/>
  <c r="E41" i="27" a="1"/>
  <c r="C77" i="27" a="1"/>
  <c r="C242" i="27" a="1"/>
  <c r="C107" i="27" a="1"/>
  <c r="E185" i="27" a="1"/>
  <c r="C215" i="27" a="1"/>
  <c r="C211" i="27" a="1"/>
  <c r="E286" i="27" a="1"/>
  <c r="C310" i="27" a="1"/>
  <c r="C6" i="27" a="1"/>
  <c r="E246" i="27" a="1"/>
  <c r="C222" i="27" a="1"/>
  <c r="E143" i="27" a="1"/>
  <c r="E194" i="27" a="1"/>
  <c r="C8" i="31" a="1"/>
  <c r="E307" i="27" a="1"/>
  <c r="E370" i="27" a="1"/>
  <c r="E255" i="27" a="1"/>
  <c r="G9" i="40" a="1"/>
  <c r="E343" i="27" a="1"/>
  <c r="E322" i="27" a="1"/>
  <c r="E112" i="27" a="1"/>
  <c r="C111" i="27" a="1"/>
  <c r="E225" i="27" a="1"/>
  <c r="C44" i="4" a="1"/>
  <c r="E29" i="4" a="1"/>
  <c r="C7" i="4" a="1"/>
  <c r="E111" i="12" a="1"/>
  <c r="E60" i="12" a="1"/>
  <c r="E47" i="12" a="1"/>
  <c r="E59" i="12" a="1"/>
  <c r="E97" i="12" a="1"/>
  <c r="E256" i="27" a="1"/>
  <c r="G43" i="40" a="1"/>
  <c r="C18" i="31" a="1"/>
  <c r="C318" i="27" a="1"/>
  <c r="E137" i="27" a="1"/>
  <c r="E268" i="27" a="1"/>
  <c r="E293" i="27" a="1"/>
  <c r="E222" i="27" a="1"/>
  <c r="D19" i="37" a="1"/>
  <c r="C87" i="27" a="1"/>
  <c r="C286" i="27" a="1"/>
  <c r="C361" i="27" a="1"/>
  <c r="E364" i="27" a="1"/>
  <c r="E325" i="27" a="1"/>
  <c r="C343" i="27" a="1"/>
  <c r="C5" i="27" a="1"/>
  <c r="C9" i="4" a="1"/>
  <c r="C30" i="4" a="1"/>
  <c r="E55" i="12" a="1"/>
  <c r="E120" i="12" a="1"/>
  <c r="E117" i="12" a="1"/>
  <c r="E2" i="40" a="1"/>
  <c r="C257" i="27" a="1"/>
  <c r="C218" i="27" a="1"/>
  <c r="C94" i="27" a="1"/>
  <c r="C12" i="3" a="1"/>
  <c r="C13" i="4" a="1"/>
  <c r="E25" i="40" a="1"/>
  <c r="C210" i="27" a="1"/>
  <c r="C9" i="31" a="1"/>
  <c r="C158" i="27" a="1"/>
  <c r="G11" i="40" a="1"/>
  <c r="C22" i="27" a="1"/>
  <c r="E98" i="27" a="1"/>
  <c r="C238" i="27" a="1"/>
  <c r="E9" i="40" a="1"/>
  <c r="E4" i="31" a="1"/>
  <c r="E11" i="27" a="1"/>
  <c r="E6" i="4" a="1"/>
  <c r="C246" i="27" a="1"/>
  <c r="C6" i="3" a="1"/>
  <c r="C259" i="27" a="1"/>
  <c r="C169" i="27" a="1"/>
  <c r="C60" i="27" a="1"/>
  <c r="C78" i="27" a="1"/>
  <c r="E334" i="27" a="1"/>
  <c r="C180" i="27" a="1"/>
  <c r="E37" i="40" a="1"/>
  <c r="E2" i="31" a="1"/>
  <c r="G54" i="40" a="1"/>
  <c r="C54" i="27" a="1"/>
  <c r="E30" i="4" a="1"/>
  <c r="E83" i="12" a="1"/>
  <c r="E353" i="27" a="1"/>
  <c r="E90" i="27" a="1"/>
  <c r="C288" i="27" a="1"/>
  <c r="C220" i="27" a="1"/>
  <c r="E282" i="27" a="1"/>
  <c r="C50" i="27" a="1"/>
  <c r="E9" i="4" a="1"/>
  <c r="C188" i="27" a="1"/>
  <c r="E153" i="27" a="1"/>
  <c r="E223" i="27" a="1"/>
  <c r="E224" i="27" a="1"/>
  <c r="E314" i="27" a="1"/>
  <c r="E34" i="40" a="1"/>
  <c r="E34" i="4" a="1"/>
  <c r="C228" i="27" a="1"/>
  <c r="C135" i="27" a="1"/>
  <c r="E27" i="40" a="1"/>
  <c r="E49" i="40" a="1"/>
  <c r="E71" i="27" a="1"/>
  <c r="G55" i="40" a="1"/>
  <c r="E243" i="27" a="1"/>
  <c r="E53" i="40" a="1"/>
  <c r="C4" i="27" a="1"/>
  <c r="E260" i="27" a="1"/>
  <c r="C329" i="27" a="1"/>
  <c r="E32" i="4" a="1"/>
  <c r="E26" i="12" a="1"/>
  <c r="C16" i="3" a="1"/>
  <c r="E232" i="27" a="1"/>
  <c r="C311" i="27" a="1"/>
  <c r="E212" i="27" a="1"/>
  <c r="C5" i="31" a="1"/>
  <c r="C202" i="27" a="1"/>
  <c r="E206" i="27" a="1"/>
  <c r="C154" i="27" a="1"/>
  <c r="E25" i="27" a="1"/>
  <c r="C335" i="27" a="1"/>
  <c r="C92" i="27" a="1"/>
  <c r="E321" i="27" a="1"/>
  <c r="E2" i="38" a="1"/>
  <c r="E19" i="27" a="1"/>
  <c r="C264" i="27" a="1"/>
  <c r="E55" i="40" a="1"/>
  <c r="E46" i="27" a="1"/>
  <c r="E373" i="27" a="1"/>
  <c r="E3" i="4" a="1"/>
  <c r="E12" i="4" a="1"/>
  <c r="E110" i="12" a="1"/>
  <c r="E118" i="12" a="1"/>
  <c r="E266" i="27" a="1"/>
  <c r="E55" i="27" a="1"/>
  <c r="E351" i="27" a="1"/>
  <c r="E16" i="31" a="1"/>
  <c r="E59" i="27" a="1"/>
  <c r="E108" i="27" a="1"/>
  <c r="E274" i="27" a="1"/>
  <c r="E19" i="4" a="1"/>
  <c r="E51" i="12" a="1"/>
  <c r="G18" i="40" a="1"/>
  <c r="E146" i="27" a="1"/>
  <c r="E12" i="31" a="1"/>
  <c r="C223" i="27" a="1"/>
  <c r="C59" i="27" a="1"/>
  <c r="C323" i="27" a="1"/>
  <c r="E160" i="27" a="1"/>
  <c r="C146" i="27" a="1"/>
  <c r="E368" i="27" a="1"/>
  <c r="C314" i="27" a="1"/>
  <c r="C37" i="27" a="1"/>
  <c r="C348" i="27" a="1"/>
  <c r="C117" i="27" a="1"/>
  <c r="C90" i="27" a="1"/>
  <c r="C209" i="27" a="1"/>
  <c r="E39" i="40" a="1"/>
  <c r="E332" i="27" a="1"/>
  <c r="G2" i="40" a="1"/>
  <c r="C326" i="27" a="1"/>
  <c r="C194" i="27" a="1"/>
  <c r="C272" i="27" a="1"/>
  <c r="E18" i="4" a="1"/>
  <c r="C38" i="4" a="1"/>
  <c r="E174" i="27" a="1"/>
  <c r="E31" i="40" a="1"/>
  <c r="G42" i="40" a="1"/>
  <c r="E228" i="27" a="1"/>
  <c r="E284" i="27" a="1"/>
  <c r="E149" i="27" a="1"/>
  <c r="C149" i="27" a="1"/>
  <c r="E119" i="27" a="1"/>
  <c r="G29" i="40" a="1"/>
  <c r="C31" i="27" a="1"/>
  <c r="C15" i="27" a="1"/>
  <c r="C254" i="27" a="1"/>
  <c r="C55" i="27" a="1"/>
  <c r="E140" i="27" a="1"/>
  <c r="C36" i="27" a="1"/>
  <c r="C34" i="27" a="1"/>
  <c r="C150" i="27" a="1"/>
  <c r="E221" i="27" a="1"/>
  <c r="C80" i="27" a="1"/>
  <c r="E32" i="40" a="1"/>
  <c r="C214" i="27" a="1"/>
  <c r="E124" i="27" a="1"/>
  <c r="C277" i="27" a="1"/>
  <c r="E48" i="4" a="1"/>
  <c r="E2" i="12" a="1"/>
  <c r="E80" i="12" a="1"/>
  <c r="C197" i="27" a="1"/>
  <c r="C359" i="27" a="1"/>
  <c r="E230" i="27" a="1"/>
  <c r="C219" i="27" a="1"/>
  <c r="C340" i="27" a="1"/>
  <c r="C16" i="31" a="1"/>
  <c r="E120" i="27" a="1"/>
  <c r="E45" i="40" a="1"/>
  <c r="E158" i="27" a="1"/>
  <c r="E28" i="27" a="1"/>
  <c r="E335" i="27" a="1"/>
  <c r="C170" i="27" a="1"/>
  <c r="E306" i="27" a="1"/>
  <c r="C105" i="27" a="1"/>
  <c r="C29" i="27" a="1"/>
  <c r="C338" i="27" a="1"/>
  <c r="C152" i="27" a="1"/>
  <c r="E4" i="4" a="1"/>
  <c r="E52" i="12" a="1"/>
  <c r="E54" i="12" a="1"/>
  <c r="E7" i="27" a="1"/>
  <c r="C303" i="27" a="1"/>
  <c r="C173" i="27" a="1"/>
  <c r="C9" i="27" a="1"/>
  <c r="C195" i="27" a="1"/>
  <c r="E110" i="27" a="1"/>
  <c r="G36" i="40" a="1"/>
  <c r="G51" i="40" a="1"/>
  <c r="C356" i="27" a="1"/>
  <c r="E44" i="27" a="1"/>
  <c r="C199" i="27" a="1"/>
  <c r="E240" i="27" a="1"/>
  <c r="C108" i="27" a="1"/>
  <c r="E142" i="27" a="1"/>
  <c r="E210" i="27" a="1"/>
  <c r="E287" i="27" a="1"/>
  <c r="C48" i="4" a="1"/>
  <c r="G128" i="12" a="1"/>
  <c r="E249" i="27" a="1"/>
  <c r="E349" i="27" a="1"/>
  <c r="E311" i="27" a="1"/>
  <c r="C315" i="27" a="1"/>
  <c r="C82" i="27" a="1"/>
  <c r="E76" i="27" a="1"/>
  <c r="E13" i="27" a="1"/>
  <c r="C2" i="27" a="1"/>
  <c r="C160" i="27" a="1"/>
  <c r="C269" i="27" a="1"/>
  <c r="C148" i="27" a="1"/>
  <c r="C371" i="27" a="1"/>
  <c r="E8" i="27" a="1"/>
  <c r="E356" i="27" a="1"/>
  <c r="E308" i="27" a="1"/>
  <c r="E13" i="4" a="1"/>
  <c r="E8" i="4" a="1"/>
  <c r="E91" i="12" a="1"/>
  <c r="G95" i="12" a="1"/>
  <c r="G58" i="12" a="1"/>
  <c r="C83" i="27" a="1"/>
  <c r="C206" i="27" a="1"/>
  <c r="G5" i="40" a="1"/>
  <c r="E300" i="27" a="1"/>
  <c r="E39" i="4" a="1"/>
  <c r="C25" i="27" a="1"/>
  <c r="C155" i="27" a="1"/>
  <c r="C324" i="27" a="1"/>
  <c r="E35" i="27" a="1"/>
  <c r="E99" i="27" a="1"/>
  <c r="C253" i="27" a="1"/>
  <c r="C297" i="27" a="1"/>
  <c r="E341" i="27" a="1"/>
  <c r="C3" i="31" a="1"/>
  <c r="C45" i="27" a="1"/>
  <c r="C6" i="31" a="1"/>
  <c r="C26" i="27" a="1"/>
  <c r="C7" i="27" a="1"/>
  <c r="E30" i="40" a="1"/>
  <c r="E197" i="27" a="1"/>
  <c r="E361" i="27" a="1"/>
  <c r="E25" i="4" a="1"/>
  <c r="C298" i="27" a="1"/>
  <c r="C114" i="27" a="1"/>
  <c r="C140" i="27" a="1"/>
  <c r="E86" i="27" a="1"/>
  <c r="C350" i="27" a="1"/>
  <c r="E203" i="27" a="1"/>
  <c r="E157" i="27" a="1"/>
  <c r="C262" i="27" a="1"/>
  <c r="C13" i="31" a="1"/>
  <c r="E357" i="27" a="1"/>
  <c r="E176" i="27" a="1"/>
  <c r="E348" i="27" a="1"/>
  <c r="E163" i="27" a="1"/>
  <c r="C279" i="27" a="1"/>
  <c r="C339" i="27" a="1"/>
  <c r="E10" i="4" a="1"/>
  <c r="E23" i="12" a="1"/>
  <c r="E122" i="12" a="1"/>
  <c r="C20" i="27" a="1"/>
  <c r="E257" i="27" a="1"/>
  <c r="C18" i="27" a="1"/>
  <c r="C142" i="27" a="1"/>
  <c r="D5" i="37" a="1"/>
  <c r="E26" i="4" a="1"/>
  <c r="E70" i="12" a="1"/>
  <c r="E147" i="27" a="1"/>
  <c r="C280" i="27" a="1"/>
  <c r="E285" i="27" a="1"/>
  <c r="E231" i="27" a="1"/>
  <c r="C30" i="27" a="1"/>
  <c r="E213" i="27" a="1"/>
  <c r="D18" i="37" a="1"/>
  <c r="E26" i="40" a="1"/>
  <c r="C164" i="27" a="1"/>
  <c r="C295" i="27" a="1"/>
  <c r="E138" i="27" a="1"/>
  <c r="E200" i="27" a="1"/>
  <c r="C33" i="4" a="1"/>
  <c r="G43" i="12" a="1"/>
  <c r="E39" i="12" a="1"/>
  <c r="E183" i="27" a="1"/>
  <c r="C99" i="27" a="1"/>
  <c r="C122" i="27" a="1"/>
  <c r="E27" i="27" a="1"/>
  <c r="C243" i="27" a="1"/>
  <c r="C351" i="27" a="1"/>
  <c r="C69" i="27" a="1"/>
  <c r="E148" i="27" a="1"/>
  <c r="E237" i="27" a="1"/>
  <c r="E297" i="27" a="1"/>
  <c r="E38" i="27" a="1"/>
  <c r="E327" i="27" a="1"/>
  <c r="C20" i="31" a="1"/>
  <c r="C21" i="27" a="1"/>
  <c r="E294" i="27" a="1"/>
  <c r="E52" i="27" a="1"/>
  <c r="E167" i="27" a="1"/>
  <c r="C10" i="31" a="1"/>
  <c r="C207" i="27" a="1"/>
  <c r="C368" i="27" a="1"/>
  <c r="E288" i="27" a="1"/>
  <c r="E3" i="31" a="1"/>
  <c r="E278" i="27" a="1"/>
  <c r="E42" i="4" a="1"/>
  <c r="E99" i="12" a="1"/>
  <c r="C44" i="27" a="1"/>
  <c r="C189" i="27" a="1"/>
  <c r="C278" i="27" a="1"/>
  <c r="E40" i="40" a="1"/>
  <c r="E236" i="27" a="1"/>
  <c r="E289" i="27" a="1"/>
  <c r="E114" i="27" a="1"/>
  <c r="C43" i="4" a="1"/>
  <c r="G105" i="12" a="1"/>
  <c r="E104" i="27" a="1"/>
  <c r="C226" i="27" a="1"/>
  <c r="C291" i="27" a="1"/>
  <c r="E46" i="40" a="1"/>
  <c r="E151" i="27" a="1"/>
  <c r="E10" i="40" a="1"/>
  <c r="C373" i="27" a="1"/>
  <c r="D3" i="37" a="1"/>
  <c r="G19" i="40" a="1"/>
  <c r="C8" i="27" a="1"/>
  <c r="E192" i="27" a="1"/>
  <c r="E14" i="27" a="1"/>
  <c r="E19" i="40" a="1"/>
  <c r="E50" i="40" a="1"/>
  <c r="E21" i="4" a="1"/>
  <c r="C28" i="4" a="1"/>
  <c r="G35" i="12" a="1"/>
  <c r="G75" i="12" a="1"/>
  <c r="E81" i="12" a="1"/>
  <c r="E73" i="12" a="1"/>
  <c r="C376" i="27" a="1"/>
  <c r="C178" i="27" a="1"/>
  <c r="E141" i="27" a="1"/>
  <c r="E21" i="40" a="1"/>
  <c r="G34" i="40" a="1"/>
  <c r="E14" i="40" a="1"/>
  <c r="E251" i="27" a="1"/>
  <c r="E6" i="27" a="1"/>
  <c r="E313" i="27" a="1"/>
  <c r="E128" i="12" a="1"/>
  <c r="G70" i="12" a="1"/>
  <c r="G81" i="12" a="1"/>
  <c r="C166" i="27" a="1"/>
  <c r="E54" i="27" a="1"/>
  <c r="E67" i="27" a="1"/>
  <c r="C28" i="27" a="1"/>
  <c r="E261" i="27" a="1"/>
  <c r="E165" i="27" a="1"/>
  <c r="C231" i="27" a="1"/>
  <c r="E97" i="27" a="1"/>
  <c r="C138" i="27" a="1"/>
  <c r="C65" i="27" a="1"/>
  <c r="C268" i="27" a="1"/>
  <c r="E133" i="27" a="1"/>
  <c r="C174" i="27" a="1"/>
  <c r="C17" i="31" a="1"/>
  <c r="C98" i="27" a="1"/>
  <c r="C274" i="27" a="1"/>
  <c r="C250" i="27" a="1"/>
  <c r="C287" i="27" a="1"/>
  <c r="E43" i="4" a="1"/>
  <c r="E35" i="12" a="1"/>
  <c r="C116" i="27" a="1"/>
  <c r="C203" i="27" a="1"/>
  <c r="E171" i="27" a="1"/>
  <c r="E28" i="40" a="1"/>
  <c r="C113" i="27" a="1"/>
  <c r="E22" i="12" a="1"/>
  <c r="E275" i="27" a="1"/>
  <c r="E116" i="27" a="1"/>
  <c r="C73" i="27" a="1"/>
  <c r="C129" i="27" a="1"/>
  <c r="E42" i="27" a="1"/>
  <c r="G10" i="40" a="1"/>
  <c r="E12" i="27" a="1"/>
  <c r="E215" i="27" a="1"/>
  <c r="C305" i="27" a="1"/>
  <c r="C175" i="27" a="1"/>
  <c r="E156" i="27" a="1"/>
  <c r="C159" i="27" a="1"/>
  <c r="C201" i="27" a="1"/>
  <c r="C71" i="27" a="1"/>
  <c r="E241" i="27" a="1"/>
  <c r="E17" i="31" a="1"/>
  <c r="E48" i="27" a="1"/>
  <c r="E333" i="27" a="1"/>
  <c r="C127" i="27" a="1"/>
  <c r="E177" i="27" a="1"/>
  <c r="C284" i="27" a="1"/>
  <c r="C19" i="27" a="1"/>
  <c r="E91" i="27" a="1"/>
  <c r="E115" i="27" a="1"/>
  <c r="C267" i="27" a="1"/>
  <c r="C58" i="27" a="1"/>
  <c r="E316" i="27" a="1"/>
  <c r="C307" i="27" a="1"/>
  <c r="C139" i="27" a="1"/>
  <c r="C337" i="27" a="1"/>
  <c r="E11" i="4" a="1"/>
  <c r="C12" i="4" a="1"/>
  <c r="G20" i="12" a="1"/>
  <c r="E33" i="12" a="1"/>
  <c r="E98" i="12" a="1"/>
  <c r="E50" i="12" a="1"/>
  <c r="E26" i="27" a="1"/>
  <c r="D11" i="37" a="1"/>
  <c r="C17" i="27" a="1"/>
  <c r="E379" i="27" a="1"/>
  <c r="G6" i="40" a="1"/>
  <c r="E68" i="27" a="1"/>
  <c r="E89" i="27" a="1"/>
  <c r="E109" i="27" a="1"/>
  <c r="C319" i="27" a="1"/>
  <c r="C369" i="27" a="1"/>
  <c r="C3" i="27" a="1"/>
  <c r="E42" i="40" a="1"/>
  <c r="C229" i="27" a="1"/>
  <c r="E20" i="31" a="1"/>
  <c r="G28" i="40" a="1"/>
  <c r="C292" i="27" a="1"/>
  <c r="C36" i="4" a="1"/>
  <c r="G123" i="12" a="1"/>
  <c r="E64" i="12" a="1"/>
  <c r="G48" i="40" a="1"/>
  <c r="E184" i="27" a="1"/>
  <c r="C364" i="27" a="1"/>
  <c r="C19" i="3" a="1"/>
  <c r="C181" i="27" a="1"/>
  <c r="C125" i="27" a="1"/>
  <c r="E239" i="27" a="1"/>
  <c r="C360" i="27" a="1"/>
  <c r="C14" i="4" a="1"/>
  <c r="C313" i="27" a="1"/>
  <c r="E122" i="27" a="1"/>
  <c r="E93" i="27" a="1"/>
  <c r="C104" i="27" a="1"/>
  <c r="E18" i="40" a="1"/>
  <c r="C52" i="27" a="1"/>
  <c r="C134" i="27" a="1"/>
  <c r="C2" i="3" a="1"/>
  <c r="E5" i="40" a="1"/>
  <c r="E79" i="27" a="1"/>
  <c r="C176" i="27" a="1"/>
  <c r="C29" i="4" a="1"/>
  <c r="E19" i="12" a="1"/>
  <c r="G2" i="12" a="1"/>
  <c r="G25" i="12" a="1"/>
  <c r="G119" i="12" a="1"/>
  <c r="E330" i="27" a="1"/>
  <c r="C302" i="27" a="1"/>
  <c r="E8" i="40" a="1"/>
  <c r="E354" i="27" a="1"/>
  <c r="G31" i="40" a="1"/>
  <c r="E324" i="27" a="1"/>
  <c r="E129" i="27" a="1"/>
  <c r="G145" i="12" a="1"/>
  <c r="G184" i="12" a="1"/>
  <c r="E121" i="12" a="1"/>
  <c r="G184" i="12" l="1"/>
  <c r="F183" i="12"/>
  <c r="F166" i="12"/>
  <c r="E129" i="27"/>
  <c r="E324" i="27"/>
  <c r="G31" i="40"/>
  <c r="E354" i="27"/>
  <c r="E8" i="40"/>
  <c r="C302" i="27"/>
  <c r="E330" i="27"/>
  <c r="G119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3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8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28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5" i="12"/>
  <c r="C43" i="4"/>
  <c r="E114" i="27"/>
  <c r="E289" i="27"/>
  <c r="E236" i="27"/>
  <c r="E40" i="40"/>
  <c r="C278" i="27"/>
  <c r="C189" i="27"/>
  <c r="C44" i="27"/>
  <c r="E99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2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28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G145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8" i="12"/>
  <c r="E110" i="12"/>
  <c r="E12" i="4"/>
  <c r="E3" i="4"/>
  <c r="E373" i="27"/>
  <c r="E46" i="27"/>
  <c r="E55" i="40"/>
  <c r="C264" i="27"/>
  <c r="E19" i="27"/>
  <c r="E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7" i="12"/>
  <c r="E120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7" i="12"/>
  <c r="E59" i="12"/>
  <c r="E47" i="12"/>
  <c r="E60" i="12"/>
  <c r="E111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0" i="12"/>
  <c r="E88" i="12"/>
  <c r="E65" i="12"/>
  <c r="E67" i="12"/>
  <c r="E61" i="12"/>
  <c r="E119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0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8" i="12"/>
  <c r="C19" i="4"/>
  <c r="C40" i="4"/>
  <c r="C109" i="27"/>
  <c r="E40" i="27"/>
  <c r="E216" i="27"/>
  <c r="E172" i="27"/>
  <c r="E53" i="27"/>
  <c r="D16" i="37"/>
  <c r="E117" i="27"/>
  <c r="E22" i="40"/>
  <c r="C86" i="27"/>
  <c r="E121" i="12"/>
  <c r="E30" i="12"/>
  <c r="E107" i="12"/>
  <c r="C27" i="4"/>
  <c r="C349" i="27"/>
  <c r="C270" i="27"/>
  <c r="C132" i="27"/>
  <c r="E115" i="12"/>
  <c r="E114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29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2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09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5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6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C2" i="38"/>
  <c r="E277" i="27"/>
  <c r="C208" i="27"/>
  <c r="E22" i="27"/>
  <c r="E28" i="12"/>
  <c r="E123" i="12"/>
  <c r="E113" i="12"/>
  <c r="E124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6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58" i="12"/>
  <c r="F43" i="12"/>
  <c r="A128" i="12"/>
  <c r="A129" i="12"/>
  <c r="A130" i="12"/>
  <c r="G44" i="12" a="1"/>
  <c r="G59" i="12" a="1"/>
  <c r="G129" i="12" a="1"/>
  <c r="G96" i="12" a="1"/>
  <c r="G47" i="12" a="1"/>
  <c r="G124" i="12" a="1"/>
  <c r="G106" i="12" a="1"/>
  <c r="G120" i="12" a="1"/>
  <c r="G76" i="12" a="1"/>
  <c r="G65" i="12" a="1"/>
  <c r="G26" i="12" a="1"/>
  <c r="G36" i="12" a="1"/>
  <c r="G19" i="12" a="1"/>
  <c r="G3" i="12" a="1"/>
  <c r="C2" i="46" a="1"/>
  <c r="G82" i="12" a="1"/>
  <c r="G14" i="12" a="1"/>
  <c r="G21" i="12" a="1"/>
  <c r="G71" i="12" a="1"/>
  <c r="G89" i="12" a="1"/>
  <c r="D2" i="22" a="1"/>
  <c r="G185" i="12" a="1"/>
  <c r="G146" i="12" a="1"/>
  <c r="F128" i="12" l="1"/>
  <c r="F105" i="12"/>
  <c r="F46" i="12"/>
  <c r="G185" i="12"/>
  <c r="F184" i="12"/>
  <c r="F119" i="12"/>
  <c r="F145" i="12"/>
  <c r="F123" i="12"/>
  <c r="F13" i="12"/>
  <c r="G89" i="12"/>
  <c r="G71" i="12"/>
  <c r="G21" i="12"/>
  <c r="F21" i="12" s="1"/>
  <c r="G14" i="12"/>
  <c r="G82" i="12"/>
  <c r="C2" i="46"/>
  <c r="G3" i="12"/>
  <c r="F3" i="12" s="1"/>
  <c r="G19" i="12"/>
  <c r="G36" i="12"/>
  <c r="G26" i="12"/>
  <c r="G65" i="12"/>
  <c r="G76" i="12"/>
  <c r="F76" i="12" s="1"/>
  <c r="G120" i="12"/>
  <c r="G106" i="12"/>
  <c r="G124" i="12"/>
  <c r="G47" i="12"/>
  <c r="F47" i="12" s="1"/>
  <c r="G96" i="12"/>
  <c r="G146" i="12"/>
  <c r="G129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F14" i="12"/>
  <c r="D2" i="22"/>
  <c r="A94" i="12"/>
  <c r="G72" i="12" a="1"/>
  <c r="G130" i="12" a="1"/>
  <c r="G60" i="12" a="1"/>
  <c r="G15" i="12" a="1"/>
  <c r="G45" i="12" a="1"/>
  <c r="G2" i="22" a="1"/>
  <c r="G83" i="12" a="1"/>
  <c r="G22" i="12" a="1"/>
  <c r="G4" i="12" a="1"/>
  <c r="G37" i="12" a="1"/>
  <c r="G27" i="12" a="1"/>
  <c r="G66" i="12" a="1"/>
  <c r="G77" i="12" a="1"/>
  <c r="G121" i="12" a="1"/>
  <c r="G107" i="12" a="1"/>
  <c r="G125" i="12" a="1"/>
  <c r="G48" i="12" a="1"/>
  <c r="G97" i="12" a="1"/>
  <c r="G90" i="12" a="1"/>
  <c r="G186" i="12" a="1"/>
  <c r="G147" i="12" a="1"/>
  <c r="F129" i="12" l="1"/>
  <c r="F120" i="12"/>
  <c r="G186" i="12"/>
  <c r="F185" i="12"/>
  <c r="F19" i="12"/>
  <c r="F82" i="12"/>
  <c r="F71" i="12"/>
  <c r="G90" i="12"/>
  <c r="G97" i="12"/>
  <c r="G48" i="12"/>
  <c r="G125" i="12"/>
  <c r="G107" i="12"/>
  <c r="G121" i="12"/>
  <c r="G77" i="12"/>
  <c r="G66" i="12"/>
  <c r="G27" i="12"/>
  <c r="G37" i="12"/>
  <c r="G4" i="12"/>
  <c r="F4" i="12" s="1"/>
  <c r="G22" i="12"/>
  <c r="G147" i="12"/>
  <c r="G83" i="12"/>
  <c r="G2" i="22"/>
  <c r="G45" i="12"/>
  <c r="F45" i="12" s="1"/>
  <c r="G15" i="12"/>
  <c r="F15" i="12" s="1"/>
  <c r="G60" i="12"/>
  <c r="G130" i="12"/>
  <c r="G72" i="12"/>
  <c r="F146" i="12"/>
  <c r="F65" i="12"/>
  <c r="F106" i="12"/>
  <c r="F36" i="12"/>
  <c r="F124" i="12"/>
  <c r="F89" i="12"/>
  <c r="F26" i="12"/>
  <c r="F96" i="12"/>
  <c r="A89" i="12"/>
  <c r="G91" i="12" a="1"/>
  <c r="G73" i="12" a="1"/>
  <c r="G98" i="12" a="1"/>
  <c r="G49" i="12" a="1"/>
  <c r="G126" i="12" a="1"/>
  <c r="G108" i="12" a="1"/>
  <c r="G78" i="12" a="1"/>
  <c r="G67" i="12" a="1"/>
  <c r="G28" i="12" a="1"/>
  <c r="G16" i="12" a="1"/>
  <c r="G61" i="12" a="1"/>
  <c r="G122" i="12" a="1"/>
  <c r="G38" i="12" a="1"/>
  <c r="G5" i="12" a="1"/>
  <c r="G23" i="12" a="1"/>
  <c r="G84" i="12" a="1"/>
  <c r="G187" i="12" a="1"/>
  <c r="G187" i="12" l="1"/>
  <c r="F186" i="12"/>
  <c r="F72" i="12"/>
  <c r="F125" i="12"/>
  <c r="F121" i="12"/>
  <c r="F48" i="12"/>
  <c r="F27" i="12"/>
  <c r="F77" i="12"/>
  <c r="F90" i="12"/>
  <c r="F107" i="12"/>
  <c r="F97" i="12"/>
  <c r="G84" i="12"/>
  <c r="G23" i="12"/>
  <c r="G5" i="12"/>
  <c r="G38" i="12"/>
  <c r="G122" i="12"/>
  <c r="G61" i="12"/>
  <c r="G16" i="12"/>
  <c r="G28" i="12"/>
  <c r="G67" i="12"/>
  <c r="G78" i="12"/>
  <c r="G108" i="12"/>
  <c r="G126" i="12"/>
  <c r="G49" i="12"/>
  <c r="G98" i="12"/>
  <c r="G73" i="12"/>
  <c r="G91" i="12"/>
  <c r="F130" i="12"/>
  <c r="F37" i="12"/>
  <c r="F66" i="12"/>
  <c r="F60" i="12"/>
  <c r="F22" i="12"/>
  <c r="F147" i="12"/>
  <c r="F83" i="12"/>
  <c r="A73" i="12"/>
  <c r="A72" i="12"/>
  <c r="A87" i="12"/>
  <c r="A61" i="12"/>
  <c r="G85" i="12" a="1"/>
  <c r="G24" i="12" a="1"/>
  <c r="G6" i="12" a="1"/>
  <c r="G68" i="12" a="1"/>
  <c r="G79" i="12" a="1"/>
  <c r="G109" i="12" a="1"/>
  <c r="G127" i="12" a="1"/>
  <c r="G50" i="12" a="1"/>
  <c r="G39" i="12" a="1"/>
  <c r="G62" i="12" a="1"/>
  <c r="G29" i="12" a="1"/>
  <c r="G99" i="12" a="1"/>
  <c r="G74" i="12" a="1"/>
  <c r="G92" i="12" a="1"/>
  <c r="F187" i="12" l="1"/>
  <c r="F91" i="12"/>
  <c r="F84" i="12"/>
  <c r="F16" i="12"/>
  <c r="F122" i="12"/>
  <c r="F23" i="12"/>
  <c r="F78" i="12"/>
  <c r="F5" i="12"/>
  <c r="F108" i="12"/>
  <c r="F61" i="12"/>
  <c r="F28" i="12"/>
  <c r="G92" i="12"/>
  <c r="G74" i="12"/>
  <c r="G99" i="12"/>
  <c r="G29" i="12"/>
  <c r="G62" i="12"/>
  <c r="G39" i="12"/>
  <c r="G50" i="12"/>
  <c r="G127" i="12"/>
  <c r="G109" i="12"/>
  <c r="G79" i="12"/>
  <c r="G68" i="12"/>
  <c r="G6" i="12"/>
  <c r="G24" i="12"/>
  <c r="F24" i="12" s="1"/>
  <c r="G85" i="12"/>
  <c r="F98" i="12"/>
  <c r="F99" i="12" s="1"/>
  <c r="F73" i="12"/>
  <c r="F38" i="12"/>
  <c r="F67" i="12"/>
  <c r="F126" i="12"/>
  <c r="F49" i="12"/>
  <c r="A54" i="12"/>
  <c r="A56" i="12"/>
  <c r="A55" i="12"/>
  <c r="A53" i="12"/>
  <c r="A52" i="12"/>
  <c r="A48" i="12"/>
  <c r="G100" i="12" a="1"/>
  <c r="G30" i="12" a="1"/>
  <c r="G63" i="12" a="1"/>
  <c r="G40" i="12" a="1"/>
  <c r="G51" i="12" a="1"/>
  <c r="G110" i="12" a="1"/>
  <c r="G80" i="12" a="1"/>
  <c r="G7" i="12" a="1"/>
  <c r="G86" i="12" a="1"/>
  <c r="G69" i="12" a="1"/>
  <c r="G93" i="12" a="1"/>
  <c r="F74" i="12" l="1"/>
  <c r="F29" i="12"/>
  <c r="F127" i="12"/>
  <c r="G93" i="12"/>
  <c r="G69" i="12"/>
  <c r="G86" i="12"/>
  <c r="G7" i="12"/>
  <c r="G80" i="12"/>
  <c r="G110" i="12"/>
  <c r="G51" i="12"/>
  <c r="G40" i="12"/>
  <c r="F40" i="12" s="1"/>
  <c r="G63" i="12"/>
  <c r="G30" i="12"/>
  <c r="G100" i="12"/>
  <c r="F68" i="12"/>
  <c r="F85" i="12"/>
  <c r="F6" i="12"/>
  <c r="F109" i="12"/>
  <c r="F92" i="12"/>
  <c r="F93" i="12" s="1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G94" i="12" a="1"/>
  <c r="G87" i="12" a="1"/>
  <c r="G8" i="12" a="1"/>
  <c r="C36" i="13" a="1"/>
  <c r="C33" i="13" a="1"/>
  <c r="C37" i="13" a="1"/>
  <c r="G31" i="12" a="1"/>
  <c r="C34" i="13" a="1"/>
  <c r="C31" i="13" a="1"/>
  <c r="C40" i="13" a="1"/>
  <c r="C30" i="13" a="1"/>
  <c r="C35" i="13" a="1"/>
  <c r="C38" i="13" a="1"/>
  <c r="G111" i="12" a="1"/>
  <c r="C39" i="13" a="1"/>
  <c r="G52" i="12" a="1"/>
  <c r="C32" i="13" a="1"/>
  <c r="C41" i="13" a="1"/>
  <c r="G101" i="12" a="1"/>
  <c r="F30" i="12" l="1"/>
  <c r="F51" i="12"/>
  <c r="F80" i="12"/>
  <c r="F86" i="12"/>
  <c r="F63" i="12"/>
  <c r="F110" i="12"/>
  <c r="G101" i="12"/>
  <c r="G52" i="12"/>
  <c r="G111" i="12"/>
  <c r="G31" i="12"/>
  <c r="G8" i="12"/>
  <c r="G87" i="12"/>
  <c r="G94" i="12"/>
  <c r="F100" i="12"/>
  <c r="F7" i="12"/>
  <c r="F69" i="12"/>
  <c r="F94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2" i="12" a="1"/>
  <c r="G53" i="12" a="1"/>
  <c r="G112" i="12" a="1"/>
  <c r="G32" i="12" a="1"/>
  <c r="G9" i="12" a="1"/>
  <c r="F31" i="12" l="1"/>
  <c r="F52" i="12"/>
  <c r="F111" i="12"/>
  <c r="F87" i="12"/>
  <c r="F101" i="12"/>
  <c r="G9" i="12"/>
  <c r="G32" i="12"/>
  <c r="G112" i="12"/>
  <c r="G53" i="12"/>
  <c r="G102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G10" i="12" a="1"/>
  <c r="G33" i="12" a="1"/>
  <c r="G113" i="12" a="1"/>
  <c r="G54" i="12" a="1"/>
  <c r="G103" i="12" a="1"/>
  <c r="C4" i="6" a="1"/>
  <c r="C5" i="6" a="1"/>
  <c r="H4" i="6" a="1"/>
  <c r="H5" i="6" a="1"/>
  <c r="C3" i="6" a="1"/>
  <c r="H3" i="6" a="1"/>
  <c r="F32" i="12" l="1"/>
  <c r="F102" i="12"/>
  <c r="F53" i="12"/>
  <c r="F112" i="12"/>
  <c r="G103" i="12"/>
  <c r="G54" i="12"/>
  <c r="G113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G104" i="12" a="1"/>
  <c r="C9" i="42" a="1"/>
  <c r="C13" i="42" a="1"/>
  <c r="E28" i="42" a="1"/>
  <c r="E27" i="14" a="1"/>
  <c r="G55" i="12" a="1"/>
  <c r="E26" i="14" a="1"/>
  <c r="E7" i="14" a="1"/>
  <c r="E9" i="14" a="1"/>
  <c r="E9" i="42" a="1"/>
  <c r="G114" i="12" a="1"/>
  <c r="E16" i="14" a="1"/>
  <c r="E21" i="14" a="1"/>
  <c r="G34" i="12" a="1"/>
  <c r="C14" i="42" a="1"/>
  <c r="C23" i="42" a="1"/>
  <c r="C20" i="42" a="1"/>
  <c r="G11" i="12" a="1"/>
  <c r="C25" i="42" a="1"/>
  <c r="E19" i="14" a="1"/>
  <c r="E6" i="14" a="1"/>
  <c r="E28" i="14" a="1"/>
  <c r="C6" i="42" a="1"/>
  <c r="E4" i="14" a="1"/>
  <c r="E25" i="14" a="1"/>
  <c r="E23" i="42" a="1"/>
  <c r="E26" i="42" a="1"/>
  <c r="E22" i="42" a="1"/>
  <c r="C10" i="42" a="1"/>
  <c r="C2" i="41" a="1"/>
  <c r="E21" i="42" a="1"/>
  <c r="E24" i="14" a="1"/>
  <c r="E15" i="42" a="1"/>
  <c r="E8" i="14" a="1"/>
  <c r="C4" i="42" a="1"/>
  <c r="E22" i="14" a="1"/>
  <c r="E23" i="14" a="1"/>
  <c r="E16" i="42" a="1"/>
  <c r="C12" i="42" a="1"/>
  <c r="C29" i="42" a="1"/>
  <c r="C17" i="42" a="1"/>
  <c r="C15" i="42" a="1"/>
  <c r="E13" i="14" a="1"/>
  <c r="C26" i="42" a="1"/>
  <c r="C16" i="42" a="1"/>
  <c r="E3" i="42" a="1"/>
  <c r="C18" i="42" a="1"/>
  <c r="E3" i="14" a="1"/>
  <c r="C3" i="42" a="1"/>
  <c r="E10" i="14" a="1"/>
  <c r="C21" i="42" a="1"/>
  <c r="E7" i="42" a="1"/>
  <c r="C19" i="42" a="1"/>
  <c r="E12" i="14" a="1"/>
  <c r="E2" i="14" a="1"/>
  <c r="E6" i="42" a="1"/>
  <c r="E20" i="14" a="1"/>
  <c r="H2" i="6" a="1"/>
  <c r="E24" i="42" a="1"/>
  <c r="E8" i="42" a="1"/>
  <c r="E17" i="42" a="1"/>
  <c r="C28" i="42" a="1"/>
  <c r="E4" i="42" a="1"/>
  <c r="C11" i="42" a="1"/>
  <c r="E13" i="42" a="1"/>
  <c r="C22" i="42" a="1"/>
  <c r="C7" i="42" a="1"/>
  <c r="C24" i="42" a="1"/>
  <c r="E2" i="42" a="1"/>
  <c r="E10" i="42" a="1"/>
  <c r="E12" i="42" a="1"/>
  <c r="E14" i="42" a="1"/>
  <c r="C27" i="42" a="1"/>
  <c r="E20" i="42" a="1"/>
  <c r="E27" i="42" a="1"/>
  <c r="E18" i="42" a="1"/>
  <c r="E18" i="14" a="1"/>
  <c r="E25" i="42" a="1"/>
  <c r="C5" i="42" a="1"/>
  <c r="E17" i="14" a="1"/>
  <c r="E14" i="14" a="1"/>
  <c r="C8" i="42" a="1"/>
  <c r="C2" i="42" a="1"/>
  <c r="E15" i="14" a="1"/>
  <c r="C2" i="6" a="1"/>
  <c r="E19" i="42" a="1"/>
  <c r="F54" i="12" l="1"/>
  <c r="F103" i="12"/>
  <c r="G11" i="12"/>
  <c r="G34" i="12"/>
  <c r="G114" i="12"/>
  <c r="G55" i="12"/>
  <c r="G10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12" i="12" a="1"/>
  <c r="E5" i="14" a="1"/>
  <c r="E5" i="42" a="1"/>
  <c r="G115" i="12" a="1"/>
  <c r="G56" i="12" a="1"/>
  <c r="F11" i="12" l="1"/>
  <c r="F104" i="12"/>
  <c r="F114" i="12"/>
  <c r="G56" i="12"/>
  <c r="F56" i="12" s="1"/>
  <c r="G115" i="12"/>
  <c r="F115" i="12" s="1"/>
  <c r="E5" i="42"/>
  <c r="E5" i="14"/>
  <c r="G12" i="12"/>
  <c r="F34" i="12"/>
  <c r="F55" i="12"/>
  <c r="A25" i="11"/>
  <c r="G116" i="12" a="1"/>
  <c r="E29" i="42" a="1"/>
  <c r="E29" i="14" a="1"/>
  <c r="C3" i="7" a="1"/>
  <c r="C2" i="7" a="1"/>
  <c r="C21" i="13" a="1"/>
  <c r="C20" i="13" a="1"/>
  <c r="C4" i="14" a="1"/>
  <c r="C3" i="13" a="1"/>
  <c r="C25" i="13" a="1"/>
  <c r="C12" i="13" a="1"/>
  <c r="C3" i="33" a="1"/>
  <c r="C22" i="13" a="1"/>
  <c r="C3" i="14" a="1"/>
  <c r="C6" i="13" a="1"/>
  <c r="C15" i="14" a="1"/>
  <c r="C26" i="13" a="1"/>
  <c r="C24" i="13" a="1"/>
  <c r="C19" i="13" a="1"/>
  <c r="C15" i="13" a="1"/>
  <c r="C20" i="14" a="1"/>
  <c r="C28" i="13" a="1"/>
  <c r="C16" i="14" a="1"/>
  <c r="C8" i="14" a="1"/>
  <c r="C29" i="13" a="1"/>
  <c r="C16" i="13" a="1"/>
  <c r="C17" i="14" a="1"/>
  <c r="C21" i="14" a="1"/>
  <c r="C9" i="13" a="1"/>
  <c r="C8" i="13" a="1"/>
  <c r="C14" i="14" a="1"/>
  <c r="C28" i="14" a="1"/>
  <c r="C5" i="14" a="1"/>
  <c r="C25" i="14" a="1"/>
  <c r="C14" i="13" a="1"/>
  <c r="C23" i="14" a="1"/>
  <c r="C29" i="14" a="1"/>
  <c r="C2" i="33" a="1"/>
  <c r="C4" i="13" a="1"/>
  <c r="C7" i="13" a="1"/>
  <c r="C23" i="13" a="1"/>
  <c r="C12" i="14" a="1"/>
  <c r="C11" i="14" a="1"/>
  <c r="C17" i="13" a="1"/>
  <c r="C18" i="14" a="1"/>
  <c r="C6" i="14" a="1"/>
  <c r="C5" i="13" a="1"/>
  <c r="E11" i="14" a="1"/>
  <c r="G57" i="12" a="1"/>
  <c r="E11" i="42" a="1"/>
  <c r="C13" i="14" a="1"/>
  <c r="C2" i="13" a="1"/>
  <c r="C9" i="14" a="1"/>
  <c r="C18" i="13" a="1"/>
  <c r="C22" i="14" a="1"/>
  <c r="C13" i="13" a="1"/>
  <c r="C2" i="14" a="1"/>
  <c r="C10" i="13" a="1"/>
  <c r="C26" i="14" a="1"/>
  <c r="C10" i="14" a="1"/>
  <c r="C19" i="14" a="1"/>
  <c r="C11" i="13" a="1"/>
  <c r="C7" i="14" a="1"/>
  <c r="C27" i="14" a="1"/>
  <c r="C4" i="33" a="1"/>
  <c r="C27" i="13" a="1"/>
  <c r="C24" i="14" a="1"/>
  <c r="F12" i="12" l="1"/>
  <c r="E11" i="42"/>
  <c r="G57" i="12"/>
  <c r="E11" i="14"/>
  <c r="E29" i="14"/>
  <c r="E29" i="42"/>
  <c r="G116" i="12"/>
  <c r="F116" i="12" s="1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G117" i="12" l="1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F117" i="12"/>
  <c r="A28" i="11"/>
  <c r="A27" i="11"/>
  <c r="F118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9" i="2" a="1"/>
  <c r="C5" i="2" a="1"/>
  <c r="C6" i="2" a="1"/>
  <c r="C30" i="2" a="1"/>
  <c r="C11" i="2" a="1"/>
  <c r="C17" i="2" a="1"/>
  <c r="C29" i="2" a="1"/>
  <c r="G20" i="11" a="1"/>
  <c r="C37" i="2" a="1"/>
  <c r="C10" i="2" a="1"/>
  <c r="C35" i="2" a="1"/>
  <c r="G32" i="11" a="1"/>
  <c r="G27" i="11" a="1"/>
  <c r="G10" i="11" a="1"/>
  <c r="C4" i="2" a="1"/>
  <c r="C8" i="2" a="1"/>
  <c r="G2" i="11" a="1"/>
  <c r="C14" i="2" a="1"/>
  <c r="C33" i="2" a="1"/>
  <c r="G23" i="11" a="1"/>
  <c r="G12" i="11" a="1"/>
  <c r="C16" i="2" a="1"/>
  <c r="C22" i="2" a="1"/>
  <c r="C38" i="2" a="1"/>
  <c r="G5" i="11" a="1"/>
  <c r="C28" i="2" a="1"/>
  <c r="G15" i="11" a="1"/>
  <c r="C18" i="2" a="1"/>
  <c r="G34" i="11" a="1"/>
  <c r="G3" i="11" a="1"/>
  <c r="G30" i="11" a="1"/>
  <c r="C25" i="2" a="1"/>
  <c r="C19" i="2" a="1"/>
  <c r="G13" i="11" a="1"/>
  <c r="C15" i="2" a="1"/>
  <c r="G29" i="11" a="1"/>
  <c r="C21" i="2" a="1"/>
  <c r="C23" i="2" a="1"/>
  <c r="C26" i="2" a="1"/>
  <c r="G9" i="11" a="1"/>
  <c r="G22" i="11" a="1"/>
  <c r="G4" i="11" a="1"/>
  <c r="G24" i="11" a="1"/>
  <c r="G31" i="11" a="1"/>
  <c r="G26" i="11" a="1"/>
  <c r="G21" i="11" a="1"/>
  <c r="C32" i="2" a="1"/>
  <c r="G16" i="11" a="1"/>
  <c r="G14" i="11" a="1"/>
  <c r="G35" i="11" a="1"/>
  <c r="G6" i="11" a="1"/>
  <c r="G18" i="11" a="1"/>
  <c r="C31" i="2" a="1"/>
  <c r="G11" i="11" a="1"/>
  <c r="G7" i="11" a="1"/>
  <c r="C3" i="2" a="1"/>
  <c r="C7" i="2" a="1"/>
  <c r="G8" i="11" a="1"/>
  <c r="G19" i="11" a="1"/>
  <c r="C36" i="2" a="1"/>
  <c r="C27" i="2" a="1"/>
  <c r="C20" i="2" a="1"/>
  <c r="C24" i="2" a="1"/>
  <c r="C2" i="2" a="1"/>
  <c r="C13" i="2" a="1"/>
  <c r="G28" i="11" a="1"/>
  <c r="C34" i="2" a="1"/>
  <c r="G17" i="11" a="1"/>
  <c r="G33" i="11" a="1"/>
  <c r="C12" i="2" a="1"/>
  <c r="G25" i="11" a="1"/>
  <c r="C9" i="2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29" i="4" a="1"/>
  <c r="F18" i="4" a="1"/>
  <c r="F23" i="4" a="1"/>
  <c r="F15" i="4" a="1"/>
  <c r="F19" i="4" a="1"/>
  <c r="F32" i="4" a="1"/>
  <c r="F35" i="4" a="1"/>
  <c r="F11" i="4" a="1"/>
  <c r="F39" i="4" a="1"/>
  <c r="F38" i="4" a="1"/>
  <c r="F3" i="4" a="1"/>
  <c r="F49" i="4" a="1"/>
  <c r="F33" i="4" a="1"/>
  <c r="F14" i="4" a="1"/>
  <c r="F46" i="4" a="1"/>
  <c r="F43" i="4" a="1"/>
  <c r="F37" i="4" a="1"/>
  <c r="F21" i="4" a="1"/>
  <c r="F31" i="4" a="1"/>
  <c r="F9" i="4" a="1"/>
  <c r="F30" i="4" a="1"/>
  <c r="F36" i="4" a="1"/>
  <c r="F40" i="4" a="1"/>
  <c r="F24" i="4" a="1"/>
  <c r="F2" i="4" a="1"/>
  <c r="F20" i="4" a="1"/>
  <c r="F28" i="4" a="1"/>
  <c r="F7" i="4" a="1"/>
  <c r="F5" i="4" a="1"/>
  <c r="F16" i="4" a="1"/>
  <c r="F47" i="4" a="1"/>
  <c r="F34" i="4" a="1"/>
  <c r="F6" i="4" a="1"/>
  <c r="F50" i="4" a="1"/>
  <c r="F8" i="4" a="1"/>
  <c r="F41" i="4" a="1"/>
  <c r="F25" i="4" a="1"/>
  <c r="F13" i="4" a="1"/>
  <c r="F44" i="4" a="1"/>
  <c r="F17" i="4" a="1"/>
  <c r="F45" i="4" a="1"/>
  <c r="F27" i="4" a="1"/>
  <c r="F12" i="4" a="1"/>
  <c r="F42" i="4" a="1"/>
  <c r="F26" i="4" a="1"/>
  <c r="F10" i="4" a="1"/>
  <c r="F48" i="4" a="1"/>
  <c r="F22" i="4" a="1"/>
  <c r="F15" i="4" l="1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<sst xmlns="http://schemas.openxmlformats.org/spreadsheetml/2006/main" count="2501" uniqueCount="923">
  <si>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</si>
  <si>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</si>
  <si>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</si>
  <si>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</si>
  <si>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</si>
  <si>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</si>
  <si>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</si>
  <si>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</si>
  <si>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</si>
  <si>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</si>
  <si>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</si>
  <si>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</si>
  <si>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</si>
  <si>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</si>
  <si>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</si>
  <si>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</si>
  <si>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</si>
  <si>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</si>
  <si>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</si>
  <si>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</si>
  <si>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</si>
  <si>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</si>
  <si>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</si>
  <si>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</si>
  <si>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</si>
  <si>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</si>
  <si>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</si>
  <si>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</si>
  <si>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</si>
  <si>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</si>
  <si>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</si>
  <si>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</si>
  <si>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</si>
  <si>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</si>
  <si>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</si>
  <si>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</si>
  <si>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</si>
  <si>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</si>
  <si>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</si>
  <si>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</si>
  <si>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</si>
  <si>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</si>
  <si>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</si>
  <si>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</si>
  <si>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</si>
  <si>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</si>
  <si>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</si>
  <si>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</si>
  <si>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</si>
  <si>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</si>
  <si>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</si>
  <si>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</si>
  <si>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</si>
  <si>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</si>
  <si>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</si>
  <si>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</si>
  <si>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</si>
  <si>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</si>
  <si>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</si>
  <si>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</si>
  <si>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</si>
  <si>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</si>
  <si>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</si>
  <si>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</si>
  <si>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</si>
  <si>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</si>
  <si>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</si>
  <si>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</si>
  <si>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</si>
  <si>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</si>
  <si>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</si>
  <si>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</si>
  <si>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</si>
  <si>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</si>
  <si>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</si>
  <si>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</si>
  <si>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</si>
  <si>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</si>
  <si>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</si>
  <si>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</si>
  <si>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</si>
  <si>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</si>
  <si>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</si>
  <si>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</si>
  <si>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</si>
  <si>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</si>
  <si>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</si>
  <si>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</si>
  <si>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</si>
  <si>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</si>
  <si>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</si>
  <si>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</si>
  <si>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</si>
  <si>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</si>
  <si>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</si>
  <si>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</si>
  <si>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</si>
  <si>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</si>
  <si>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</si>
  <si>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</si>
  <si>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</si>
  <si>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</si>
  <si>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</si>
  <si>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</si>
  <si>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</si>
  <si>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</si>
  <si>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</si>
  <si>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</si>
  <si>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</si>
  <si>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</si>
  <si>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</si>
  <si>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</si>
  <si>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</si>
  <si>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</si>
  <si>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</si>
  <si>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</si>
  <si>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</si>
  <si>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</si>
  <si>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</si>
  <si>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</si>
  <si>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</si>
  <si>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</si>
  <si>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</si>
  <si>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</si>
  <si>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</si>
  <si>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</si>
  <si>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</si>
  <si>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</si>
  <si>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</si>
  <si>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</si>
  <si>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</si>
  <si>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</si>
  <si>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</si>
  <si>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</si>
  <si>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</si>
  <si>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</si>
  <si>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</si>
  <si>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</si>
  <si>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</si>
  <si>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</si>
  <si>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</si>
  <si>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</si>
  <si>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</si>
  <si>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</si>
  <si>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</si>
  <si>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</si>
  <si>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</si>
  <si>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</si>
  <si>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</si>
  <si>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</si>
  <si>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</si>
  <si>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</si>
  <si>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</si>
  <si>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</si>
  <si>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</si>
  <si>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</si>
  <si>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</si>
  <si>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</si>
  <si>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</si>
  <si>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</si>
  <si>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</si>
  <si>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</si>
  <si>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</si>
  <si>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</si>
  <si>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</si>
  <si>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</si>
  <si>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</si>
  <si>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</si>
  <si>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</si>
  <si>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</si>
  <si>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</si>
  <si>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</si>
  <si>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</si>
  <si>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</si>
  <si>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</si>
  <si>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</si>
  <si>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</si>
  <si>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</si>
  <si>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</si>
  <si>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</si>
  <si>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</si>
  <si>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</si>
  <si>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</si>
  <si>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</si>
  <si>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</si>
  <si>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</si>
  <si>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</si>
  <si>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</si>
  <si>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</si>
  <si>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</si>
  <si>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</si>
  <si>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</si>
  <si>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</si>
  <si>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</si>
  <si>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</si>
  <si>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</si>
  <si>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</si>
  <si>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</si>
  <si>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</si>
  <si>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</si>
  <si>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</si>
  <si>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</si>
  <si>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</si>
  <si>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</si>
  <si>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</si>
  <si>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</si>
  <si>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</si>
  <si>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</si>
  <si>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</si>
  <si>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</si>
  <si>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</si>
  <si>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</si>
  <si>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</si>
  <si>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</si>
  <si>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</si>
  <si>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</si>
  <si>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</si>
  <si>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</si>
  <si>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</si>
  <si>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</si>
  <si>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</si>
  <si>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</si>
  <si>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</si>
  <si>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</si>
  <si>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</si>
  <si>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</si>
  <si>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</si>
  <si>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</si>
  <si>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</si>
  <si>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</si>
  <si>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</si>
  <si>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</si>
  <si>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</si>
  <si>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</si>
  <si>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</si>
  <si>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</si>
  <si>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</si>
  <si>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</si>
  <si>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</si>
  <si>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</si>
  <si>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</si>
  <si>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</si>
  <si>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</si>
  <si>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</si>
  <si>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</si>
  <si>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</si>
  <si>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</si>
  <si>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</si>
  <si>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</si>
  <si>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</si>
  <si>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</si>
  <si>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</si>
  <si>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</si>
  <si>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</si>
  <si>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</si>
  <si>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</si>
  <si>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</si>
  <si>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</si>
  <si>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</si>
  <si>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</si>
  <si>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</si>
  <si>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</si>
  <si>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</si>
  <si>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</si>
  <si>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</si>
  <si>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</si>
  <si>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</si>
  <si>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</si>
  <si>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</si>
  <si>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</si>
  <si>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</si>
  <si>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</si>
  <si>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</si>
  <si>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</si>
  <si>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</si>
  <si>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</si>
  <si>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</si>
  <si>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</si>
  <si>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</si>
  <si>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</si>
  <si>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</si>
  <si>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</si>
  <si>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</si>
  <si>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</si>
  <si>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</si>
  <si>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</si>
  <si>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</si>
  <si>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</si>
  <si>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</si>
  <si>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</si>
  <si>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</si>
  <si>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</si>
  <si>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</si>
  <si>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</si>
  <si>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</si>
  <si>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</si>
  <si>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</si>
  <si>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</si>
  <si>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</si>
  <si>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</si>
  <si>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</si>
  <si>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</si>
  <si>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</si>
  <si>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</si>
  <si>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</si>
  <si>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</si>
  <si>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</si>
  <si>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</si>
  <si>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</si>
  <si>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</si>
  <si>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</si>
  <si>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</si>
  <si>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</si>
  <si>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</si>
  <si>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</si>
  <si>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</si>
  <si>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</si>
  <si>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</si>
  <si>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</si>
  <si>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</si>
  <si>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</si>
  <si>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</si>
  <si>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</si>
  <si>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</si>
  <si>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</si>
  <si>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</si>
  <si>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</si>
  <si>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</si>
  <si>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</si>
  <si>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</si>
  <si>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</si>
  <si>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</si>
  <si>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</si>
  <si>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</si>
  <si>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</si>
  <si>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</si>
  <si>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</si>
  <si>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</si>
  <si>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</si>
  <si>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</si>
  <si>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</si>
  <si>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</si>
  <si>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</si>
  <si>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</si>
  <si>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</si>
  <si>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</si>
  <si>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</si>
  <si>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</si>
  <si>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</si>
  <si>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</si>
  <si>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</si>
  <si>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</si>
  <si>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</si>
  <si>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</si>
  <si>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</si>
  <si>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</si>
  <si>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</si>
  <si>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</si>
  <si>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</si>
  <si>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</si>
  <si>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</si>
  <si>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</si>
  <si>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</si>
  <si>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</si>
  <si>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</si>
  <si>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</si>
  <si>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</si>
  <si>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</si>
  <si>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</si>
  <si>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</si>
  <si>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</si>
  <si>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</si>
  <si>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</si>
  <si>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</si>
  <si>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</si>
  <si>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</si>
  <si>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</si>
  <si>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</si>
  <si>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</si>
  <si>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</si>
  <si>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</si>
  <si>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</si>
  <si>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</si>
  <si>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</si>
  <si>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</si>
  <si>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</si>
  <si>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</si>
  <si>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</si>
  <si>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</si>
  <si>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</si>
  <si>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</si>
  <si>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</si>
  <si>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</si>
  <si>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</si>
  <si>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</si>
  <si>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</si>
  <si>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</si>
  <si>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</si>
  <si>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</si>
  <si>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</si>
  <si>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</si>
  <si>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</si>
  <si>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</si>
  <si>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</si>
  <si>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</si>
  <si>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</si>
  <si>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</si>
  <si>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</si>
  <si>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</si>
  <si>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</si>
  <si>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</si>
  <si>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</si>
  <si>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</si>
  <si>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</si>
  <si>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</si>
  <si>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</si>
  <si>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</si>
  <si>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</si>
  <si>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</si>
  <si>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</si>
  <si>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</si>
  <si>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</si>
  <si>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</si>
  <si>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</si>
  <si>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</si>
  <si>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</si>
  <si>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</si>
  <si>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</si>
  <si>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</si>
  <si>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</si>
  <si>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</si>
  <si>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</si>
  <si>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</si>
  <si>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</si>
  <si>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</si>
  <si>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</si>
  <si>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</si>
  <si>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</si>
  <si>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</si>
  <si>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</si>
  <si>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</si>
  <si>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</si>
  <si>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</si>
  <si>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</si>
  <si>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</si>
  <si>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</si>
  <si>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</si>
  <si>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</si>
  <si>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</si>
  <si>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</si>
  <si>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</si>
  <si>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</si>
  <si>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</si>
  <si>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</si>
  <si>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</si>
  <si>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</si>
  <si>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</si>
  <si>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</si>
  <si>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</si>
  <si>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</si>
  <si>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</si>
  <si>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</si>
  <si>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</si>
  <si>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</si>
  <si>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</si>
  <si>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</si>
  <si>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</si>
  <si>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</si>
  <si>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</si>
  <si>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</si>
  <si>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</si>
  <si>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</si>
  <si>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</si>
  <si>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</si>
  <si>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</si>
  <si>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</si>
  <si>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</si>
  <si>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</si>
  <si>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</si>
  <si>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</si>
  <si>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</si>
  <si>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</si>
  <si>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</si>
  <si>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</si>
  <si>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</si>
  <si>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</si>
  <si>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</si>
  <si>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</si>
  <si>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</si>
  <si>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</si>
  <si>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</si>
  <si>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</si>
  <si>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</si>
  <si>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</si>
  <si>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</si>
  <si>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</si>
  <si>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</si>
  <si>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</si>
  <si>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</si>
  <si>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</si>
  <si>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</si>
  <si>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</si>
  <si>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</si>
  <si>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</si>
  <si>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</si>
  <si>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</si>
  <si>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</si>
  <si>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</si>
  <si>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</si>
  <si>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</si>
  <si>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</si>
  <si>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</si>
  <si>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</si>
  <si>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</si>
  <si>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</si>
  <si>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</si>
  <si>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</si>
  <si>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</si>
  <si>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</si>
  <si>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</si>
  <si>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</si>
  <si>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</si>
  <si>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</si>
  <si>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</si>
  <si>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</si>
  <si>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</si>
  <si>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</si>
  <si>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</si>
  <si>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</si>
  <si>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</si>
  <si>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</si>
  <si>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</si>
  <si>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</si>
  <si>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</si>
  <si>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</si>
  <si>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</si>
  <si>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</si>
  <si>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</si>
  <si>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</si>
  <si>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</si>
  <si>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</si>
  <si>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</si>
  <si>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</si>
  <si>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</si>
  <si>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</si>
  <si>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</si>
  <si>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</si>
  <si>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</si>
  <si>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</si>
  <si>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</si>
  <si>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</si>
  <si>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</si>
  <si>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</si>
  <si>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</si>
  <si>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</si>
  <si>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</si>
  <si>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</si>
  <si>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</si>
  <si>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</si>
  <si>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</si>
  <si>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</si>
  <si>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</si>
  <si>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</si>
  <si>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</si>
  <si>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</si>
  <si>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</si>
  <si>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</si>
  <si>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</si>
  <si>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</si>
  <si>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</si>
  <si>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</si>
  <si>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</si>
  <si>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</si>
  <si>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</si>
  <si>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</si>
  <si>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</si>
  <si>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</si>
  <si>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</si>
  <si>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</si>
  <si>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</si>
  <si>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</si>
  <si>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</si>
  <si>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</si>
  <si>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</si>
  <si>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</si>
  <si>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</si>
  <si>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</si>
  <si>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</si>
  <si>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</si>
  <si>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</si>
  <si>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</si>
  <si>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</si>
  <si>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</si>
  <si>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</si>
  <si>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</si>
  <si>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</si>
  <si>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</si>
  <si>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</si>
  <si>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</si>
  <si>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</si>
  <si>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</si>
  <si>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</si>
  <si>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</si>
  <si>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</si>
  <si>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</si>
  <si>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</si>
  <si>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</si>
  <si>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</si>
  <si>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</si>
  <si>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</si>
  <si>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</si>
  <si>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</si>
  <si>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</si>
  <si>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</si>
  <si>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</si>
  <si>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</si>
  <si>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</si>
  <si>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</si>
  <si>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</si>
  <si>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</si>
  <si>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</si>
  <si>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</si>
  <si>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</si>
  <si>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</si>
  <si>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</si>
  <si>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</si>
  <si>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</si>
  <si>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</si>
  <si>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</si>
  <si>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</si>
  <si>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</si>
  <si>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</si>
  <si>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</si>
  <si>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</si>
  <si>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</si>
  <si>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</si>
  <si>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</si>
  <si>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</si>
  <si>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</si>
  <si>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</si>
  <si>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</si>
  <si>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</si>
  <si>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</si>
  <si>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</si>
  <si>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</si>
  <si>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</si>
  <si>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</si>
  <si>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</si>
  <si>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</si>
  <si>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</si>
  <si>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</si>
  <si>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</si>
  <si>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</si>
  <si>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</si>
  <si>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</si>
  <si>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</si>
  <si>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</si>
  <si>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</si>
  <si>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</si>
  <si>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</si>
  <si>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</si>
  <si>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</si>
  <si>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</si>
  <si>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</si>
  <si>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</si>
  <si>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</si>
  <si>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</si>
  <si>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</si>
  <si>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</si>
  <si>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</si>
  <si>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</si>
  <si>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</si>
  <si>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</si>
  <si>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</si>
  <si>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</si>
  <si>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</si>
  <si>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</si>
  <si>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</si>
  <si>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</si>
  <si>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</si>
  <si>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</si>
  <si>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</si>
  <si>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</si>
  <si>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</si>
  <si>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</si>
  <si>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</si>
  <si>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</si>
  <si>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</si>
  <si>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</si>
  <si>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</si>
  <si>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</si>
  <si>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</si>
  <si>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</si>
  <si>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</si>
  <si>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</si>
  <si>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</si>
  <si>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</si>
  <si>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</si>
  <si>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</si>
  <si>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</si>
  <si>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</si>
  <si>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</si>
  <si>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</si>
  <si>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</si>
  <si>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</si>
  <si>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</si>
  <si>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</si>
  <si>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</si>
  <si>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</si>
  <si>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</si>
  <si>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</si>
  <si>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</si>
  <si>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</si>
  <si>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</si>
  <si>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</si>
  <si>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</si>
  <si>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</si>
  <si>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</si>
  <si>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</si>
  <si>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</si>
  <si>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</si>
  <si>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</si>
  <si>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</si>
  <si>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</si>
  <si>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</si>
  <si>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</si>
  <si>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</si>
  <si>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</si>
  <si>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</si>
  <si>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</si>
  <si>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</si>
  <si>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</si>
  <si>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</si>
  <si>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</si>
  <si>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</si>
  <si>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</si>
  <si>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</si>
  <si>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</si>
  <si>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</si>
  <si>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</si>
  <si>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</si>
  <si>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</si>
  <si>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</si>
  <si>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</si>
  <si>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</si>
  <si>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</si>
  <si>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</si>
  <si>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</si>
  <si>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</si>
  <si>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</si>
  <si>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</si>
  <si>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</si>
  <si>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</si>
  <si>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</si>
  <si>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</si>
  <si>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</si>
  <si>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</si>
  <si>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</si>
  <si>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</si>
  <si>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</si>
  <si>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</si>
  <si>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</si>
  <si>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</si>
  <si>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</si>
  <si>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</si>
  <si>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</si>
  <si>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</si>
  <si>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</si>
  <si>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</si>
  <si>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</si>
  <si>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</si>
  <si>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</si>
  <si>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</si>
  <si>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</si>
  <si>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</si>
  <si>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</si>
  <si>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</si>
  <si>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</si>
  <si>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</si>
  <si>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</si>
  <si>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</si>
  <si>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</si>
  <si>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</si>
  <si>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</si>
  <si>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</si>
  <si>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</si>
  <si>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</si>
  <si>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</si>
  <si>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</si>
  <si>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</si>
  <si>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</si>
  <si>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</si>
  <si>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</si>
  <si>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</si>
  <si>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</si>
  <si>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</si>
  <si>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</si>
  <si>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</si>
  <si>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</si>
  <si>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</si>
  <si>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</si>
  <si>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</si>
  <si>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</si>
  <si>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</si>
  <si>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</si>
  <si>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</si>
  <si>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</si>
  <si>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</si>
  <si>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</si>
  <si>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</si>
  <si>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</si>
  <si>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</si>
  <si>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</si>
  <si>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</si>
  <si>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</si>
  <si>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</si>
  <si>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</si>
  <si>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</si>
  <si>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</si>
  <si>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</si>
  <si>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</si>
  <si>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</si>
  <si>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</si>
  <si>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</si>
  <si>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</si>
  <si>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</si>
  <si>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</si>
  <si>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</si>
  <si>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</si>
  <si>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</si>
  <si>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</si>
  <si>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</si>
  <si>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</si>
  <si>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</si>
  <si>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</si>
  <si>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</si>
  <si>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</si>
  <si>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</si>
  <si>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</si>
  <si>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</si>
  <si>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</si>
  <si>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</si>
  <si>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</si>
  <si>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</si>
  <si>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</si>
  <si>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</si>
  <si>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</si>
  <si>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</si>
  <si>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</si>
  <si>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</si>
  <si>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</si>
  <si>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</si>
  <si>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</si>
  <si>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</si>
  <si>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</si>
  <si>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</si>
  <si>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</si>
  <si>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</si>
  <si>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</si>
  <si>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</si>
  <si>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</si>
  <si>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</si>
  <si>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</si>
  <si>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</si>
  <si>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</si>
  <si>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</si>
  <si>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</si>
  <si>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</si>
  <si>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</si>
  <si>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</si>
  <si>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</si>
  <si>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</si>
  <si>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</si>
  <si>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</si>
  <si>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</si>
  <si>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</si>
  <si>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</si>
  <si>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</si>
  <si>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</si>
  <si>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</si>
  <si>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</si>
  <si>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</si>
  <si>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</si>
  <si>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</si>
  <si>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Nome do gancho</t>
  </si>
  <si>
    <t>É pré-CRUD?</t>
  </si>
  <si>
    <t>Gancho é ativo?</t>
  </si>
  <si>
    <t>Tabela do gancho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</si>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</sst>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C12" sqref="C1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171</v>
      </c>
      <c r="G1" s="1" t="s">
        <v>2</v>
      </c>
      <c r="H1" s="1" t="s">
        <v>168</v>
      </c>
      <c r="I1" s="1" t="s">
        <v>23</v>
      </c>
      <c r="J1" s="1" t="s">
        <v>617</v>
      </c>
      <c r="K1" s="1" t="s">
        <v>544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209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opLeftCell="A10" workbookViewId="0">
      <selection activeCell="I27" sqref="I27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</cols>
  <sheetData>
    <row r="1" spans="1:4" s="1" customFormat="1">
      <c r="A1" s="1" t="s">
        <v>0</v>
      </c>
      <c r="B1" s="1" t="s">
        <v>639</v>
      </c>
      <c r="C1" s="1" t="s">
        <v>66</v>
      </c>
      <c r="D1" s="1" t="s">
        <v>640</v>
      </c>
    </row>
    <row r="2" spans="1:4">
      <c r="A2">
        <f>ROW(A2)-1</f>
        <v>1</v>
      </c>
      <c r="B2" s="6" t="s">
        <v>388</v>
      </c>
      <c r="C2" t="s">
        <v>722</v>
      </c>
      <c r="D2">
        <v>2</v>
      </c>
    </row>
    <row r="3" spans="1:4">
      <c r="A3">
        <f>ROW(A3)-1</f>
        <v>2</v>
      </c>
      <c r="B3" s="6" t="s">
        <v>641</v>
      </c>
      <c r="C3" t="s">
        <v>654</v>
      </c>
      <c r="D3">
        <v>2</v>
      </c>
    </row>
    <row r="4" spans="1:4">
      <c r="A4">
        <f>ROW(A4)-1</f>
        <v>3</v>
      </c>
      <c r="B4" s="6" t="s">
        <v>471</v>
      </c>
      <c r="C4" t="s">
        <v>655</v>
      </c>
      <c r="D4">
        <v>2</v>
      </c>
    </row>
    <row r="5" spans="1:4">
      <c r="A5">
        <f>ROW(A5)-1</f>
        <v>4</v>
      </c>
      <c r="B5" s="6" t="s">
        <v>642</v>
      </c>
      <c r="C5" t="s">
        <v>656</v>
      </c>
      <c r="D5">
        <v>2</v>
      </c>
    </row>
    <row r="6" spans="1:4">
      <c r="A6">
        <f t="shared" ref="A6:A15" si="0">ROW(A6)-1</f>
        <v>5</v>
      </c>
      <c r="B6" s="6" t="s">
        <v>643</v>
      </c>
      <c r="C6" t="s">
        <v>652</v>
      </c>
      <c r="D6">
        <v>2</v>
      </c>
    </row>
    <row r="7" spans="1:4">
      <c r="A7">
        <f t="shared" si="0"/>
        <v>6</v>
      </c>
      <c r="B7" s="6" t="s">
        <v>389</v>
      </c>
      <c r="C7" t="s">
        <v>653</v>
      </c>
      <c r="D7">
        <v>2</v>
      </c>
    </row>
    <row r="8" spans="1:4">
      <c r="A8">
        <f t="shared" si="0"/>
        <v>7</v>
      </c>
      <c r="B8" s="6" t="s">
        <v>644</v>
      </c>
      <c r="C8" t="s">
        <v>657</v>
      </c>
    </row>
    <row r="9" spans="1:4">
      <c r="A9">
        <f t="shared" si="0"/>
        <v>8</v>
      </c>
      <c r="B9" s="6" t="s">
        <v>645</v>
      </c>
      <c r="C9" t="s">
        <v>658</v>
      </c>
    </row>
    <row r="10" spans="1:4">
      <c r="A10">
        <f t="shared" si="0"/>
        <v>9</v>
      </c>
      <c r="B10" s="6" t="s">
        <v>646</v>
      </c>
      <c r="C10" t="s">
        <v>659</v>
      </c>
      <c r="D10">
        <v>2</v>
      </c>
    </row>
    <row r="11" spans="1:4">
      <c r="A11">
        <f t="shared" si="0"/>
        <v>10</v>
      </c>
      <c r="B11" s="6" t="s">
        <v>647</v>
      </c>
      <c r="C11" t="s">
        <v>660</v>
      </c>
      <c r="D11">
        <v>2</v>
      </c>
    </row>
    <row r="12" spans="1:4">
      <c r="A12">
        <f t="shared" si="0"/>
        <v>11</v>
      </c>
      <c r="B12" s="6" t="s">
        <v>648</v>
      </c>
      <c r="C12" t="s">
        <v>662</v>
      </c>
      <c r="D12">
        <v>3</v>
      </c>
    </row>
    <row r="13" spans="1:4">
      <c r="A13">
        <f t="shared" si="0"/>
        <v>12</v>
      </c>
      <c r="B13" s="6" t="s">
        <v>649</v>
      </c>
      <c r="C13" t="s">
        <v>661</v>
      </c>
      <c r="D13">
        <v>3</v>
      </c>
    </row>
    <row r="14" spans="1:4">
      <c r="A14">
        <f t="shared" si="0"/>
        <v>13</v>
      </c>
      <c r="B14" s="6" t="s">
        <v>650</v>
      </c>
      <c r="C14" t="s">
        <v>663</v>
      </c>
      <c r="D14">
        <v>1</v>
      </c>
    </row>
    <row r="15" spans="1:4">
      <c r="A15">
        <f t="shared" si="0"/>
        <v>14</v>
      </c>
      <c r="B15" s="6" t="s">
        <v>651</v>
      </c>
      <c r="C15" t="s">
        <v>664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2578125" defaultRowHeight="15"/>
  <cols>
    <col min="1" max="1" width="3" bestFit="1" customWidth="1"/>
    <col min="2" max="2" width="10.28515625" bestFit="1" customWidth="1"/>
    <col min="3" max="3" width="14.7109375" bestFit="1" customWidth="1"/>
    <col min="4" max="4" width="12.7109375" bestFit="1" customWidth="1"/>
    <col min="5" max="5" width="18.7109375" style="6" bestFit="1" customWidth="1"/>
    <col min="6" max="6" width="21.85546875" bestFit="1" customWidth="1"/>
  </cols>
  <sheetData>
    <row r="1" spans="1:6" s="1" customFormat="1">
      <c r="A1" s="1" t="s">
        <v>0</v>
      </c>
      <c r="B1" s="1" t="s">
        <v>16</v>
      </c>
      <c r="C1" s="1" t="s">
        <v>147</v>
      </c>
      <c r="D1" s="1" t="s">
        <v>675</v>
      </c>
      <c r="E1" s="1" t="s">
        <v>835</v>
      </c>
      <c r="F1" s="1" t="s">
        <v>721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486</v>
      </c>
      <c r="D1" s="1" t="s">
        <v>493</v>
      </c>
      <c r="E1" s="1" t="s">
        <v>24</v>
      </c>
    </row>
    <row r="2" spans="1:5">
      <c r="A2">
        <f>ROW(A2)-1</f>
        <v>1</v>
      </c>
      <c r="B2" t="s">
        <v>221</v>
      </c>
      <c r="C2" t="s">
        <v>487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222</v>
      </c>
      <c r="C3" t="s">
        <v>488</v>
      </c>
      <c r="D3" t="b">
        <v>0</v>
      </c>
      <c r="E3" t="b">
        <v>0</v>
      </c>
    </row>
    <row r="4" spans="1:5">
      <c r="A4">
        <f t="shared" si="0"/>
        <v>3</v>
      </c>
      <c r="B4" t="s">
        <v>223</v>
      </c>
      <c r="C4" t="s">
        <v>532</v>
      </c>
      <c r="D4" t="b">
        <v>0</v>
      </c>
      <c r="E4" t="b">
        <v>0</v>
      </c>
    </row>
    <row r="5" spans="1:5">
      <c r="A5">
        <f t="shared" si="0"/>
        <v>4</v>
      </c>
      <c r="B5" t="s">
        <v>224</v>
      </c>
      <c r="C5" t="s">
        <v>489</v>
      </c>
      <c r="D5" t="b">
        <v>0</v>
      </c>
      <c r="E5" t="b">
        <v>0</v>
      </c>
    </row>
    <row r="6" spans="1:5">
      <c r="A6">
        <f t="shared" si="0"/>
        <v>5</v>
      </c>
      <c r="B6" t="s">
        <v>225</v>
      </c>
      <c r="C6" s="15" t="s">
        <v>490</v>
      </c>
      <c r="D6" t="b">
        <v>1</v>
      </c>
      <c r="E6" t="b">
        <v>0</v>
      </c>
    </row>
    <row r="7" spans="1:5">
      <c r="A7">
        <f t="shared" si="0"/>
        <v>6</v>
      </c>
      <c r="B7" t="s">
        <v>271</v>
      </c>
      <c r="C7" s="15" t="s">
        <v>533</v>
      </c>
      <c r="D7" t="b">
        <v>1</v>
      </c>
      <c r="E7" t="b">
        <v>0</v>
      </c>
    </row>
    <row r="8" spans="1:5">
      <c r="A8">
        <f t="shared" si="0"/>
        <v>7</v>
      </c>
      <c r="B8" t="s">
        <v>272</v>
      </c>
      <c r="C8" s="15" t="s">
        <v>491</v>
      </c>
      <c r="D8" t="b">
        <v>1</v>
      </c>
      <c r="E8" t="b">
        <v>0</v>
      </c>
    </row>
    <row r="9" spans="1:5">
      <c r="A9">
        <f t="shared" si="0"/>
        <v>8</v>
      </c>
      <c r="B9" t="s">
        <v>273</v>
      </c>
      <c r="C9" s="15" t="s">
        <v>492</v>
      </c>
      <c r="D9" t="b">
        <v>0</v>
      </c>
      <c r="E9" t="b">
        <v>0</v>
      </c>
    </row>
    <row r="10" spans="1:5">
      <c r="A10">
        <f t="shared" si="0"/>
        <v>9</v>
      </c>
      <c r="B10" t="s">
        <v>274</v>
      </c>
      <c r="C10" s="15" t="s">
        <v>534</v>
      </c>
      <c r="D10" t="b">
        <v>0</v>
      </c>
      <c r="E10" t="b">
        <v>0</v>
      </c>
    </row>
    <row r="11" spans="1:5">
      <c r="A11">
        <f t="shared" si="0"/>
        <v>10</v>
      </c>
      <c r="B11" t="s">
        <v>275</v>
      </c>
      <c r="C11" s="10" t="s">
        <v>535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30" sqref="D30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147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199</v>
      </c>
      <c r="F6" s="4" t="s">
        <v>200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201</v>
      </c>
      <c r="F7" s="4" t="s">
        <v>202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381</v>
      </c>
      <c r="E8" s="4" t="s">
        <v>203</v>
      </c>
      <c r="F8" s="4" t="s">
        <v>204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382</v>
      </c>
      <c r="E9" s="4" t="s">
        <v>203</v>
      </c>
      <c r="F9" s="4" t="s">
        <v>204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178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205</v>
      </c>
      <c r="F24" s="4" t="s">
        <v>206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385</v>
      </c>
      <c r="E30" s="4" t="s">
        <v>207</v>
      </c>
      <c r="F30" s="4" t="s">
        <v>208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179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177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216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476</v>
      </c>
      <c r="C1" s="7" t="s">
        <v>256</v>
      </c>
      <c r="D1" s="7" t="s">
        <v>53</v>
      </c>
      <c r="E1" s="7" t="s">
        <v>148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178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179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177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178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226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245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241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228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229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246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246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230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269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232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247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247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248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249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269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228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250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270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236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250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240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246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227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269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243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236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250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235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230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251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228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252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248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236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250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250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226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245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241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228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229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246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246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230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269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232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247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247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248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249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269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228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250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270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236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250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240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246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227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269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243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236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250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235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230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251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228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252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248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236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250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250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226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253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241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228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229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230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230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231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270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238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254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247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253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233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270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228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243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270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236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243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234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230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227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270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276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672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243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235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230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227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255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253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253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236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243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237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276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226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245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227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228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229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230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230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231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269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238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239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233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269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228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277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270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236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277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240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230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227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269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277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236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277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235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230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227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228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239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278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236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277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277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277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226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245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227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228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229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230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230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231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269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238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239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233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269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228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277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270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236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277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240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230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227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269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277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236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277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235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230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227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228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239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278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236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277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277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277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226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245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227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228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229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230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230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231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269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238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281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233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269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228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280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270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236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280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240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230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227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269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280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236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280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235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230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227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228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281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278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236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280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280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280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282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283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241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228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229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284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288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285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269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240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283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233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269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242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243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269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244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243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240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284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227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269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286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286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243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287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288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227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228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283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283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236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243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289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291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290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291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228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229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229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230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231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291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292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293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293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278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291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291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242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289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291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294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289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295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229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291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291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296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297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289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229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230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291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290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278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278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297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289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298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226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278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227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228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229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230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230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231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269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232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279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278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233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269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299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289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270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300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289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234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230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227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269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237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236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289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235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230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227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228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278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278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236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289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237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257</v>
      </c>
      <c r="D1" s="1" t="s">
        <v>476</v>
      </c>
      <c r="E1" s="1" t="s">
        <v>256</v>
      </c>
      <c r="F1" s="1" t="s">
        <v>24</v>
      </c>
    </row>
    <row r="2" spans="1:6">
      <c r="A2">
        <f>ROW(A2)-1</f>
        <v>1</v>
      </c>
      <c r="B2" t="s">
        <v>387</v>
      </c>
      <c r="C2" t="s">
        <v>258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259</v>
      </c>
      <c r="C3" t="s">
        <v>260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261</v>
      </c>
      <c r="C4" t="s">
        <v>262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263</v>
      </c>
      <c r="C5" t="s">
        <v>264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265</v>
      </c>
      <c r="C6" t="s">
        <v>266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0" activePane="bottomLeft" state="frozen"/>
      <selection pane="bottomLeft" activeCell="D54" sqref="D54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435</v>
      </c>
      <c r="C1" s="1" t="s">
        <v>344</v>
      </c>
      <c r="D1" s="1" t="s">
        <v>53</v>
      </c>
      <c r="E1" s="1" t="s">
        <v>148</v>
      </c>
      <c r="F1" s="1" t="s">
        <v>147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531</v>
      </c>
      <c r="N1" s="1" t="s">
        <v>141</v>
      </c>
      <c r="O1" s="1" t="s">
        <v>772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246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180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181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182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183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184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779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778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301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302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303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356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307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309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311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314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315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316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347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348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349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511</v>
      </c>
      <c r="H44">
        <v>10</v>
      </c>
      <c r="N44" t="s">
        <v>679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434</v>
      </c>
      <c r="H45">
        <v>10</v>
      </c>
      <c r="M45" s="10"/>
      <c r="N45" s="10" t="s">
        <v>775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777</v>
      </c>
      <c r="H46">
        <v>5</v>
      </c>
      <c r="M46" s="10"/>
      <c r="N46" s="10" t="s">
        <v>510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529</v>
      </c>
      <c r="H47">
        <v>10</v>
      </c>
      <c r="M47" s="10" t="s">
        <v>466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530</v>
      </c>
      <c r="H48">
        <v>10</v>
      </c>
      <c r="M48" s="10" t="s">
        <v>467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710</v>
      </c>
      <c r="H49">
        <v>10</v>
      </c>
      <c r="N49" t="s">
        <v>711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773</v>
      </c>
      <c r="O50" t="s">
        <v>774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774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235</v>
      </c>
      <c r="O52" t="s">
        <v>774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229</v>
      </c>
      <c r="O53" t="s">
        <v>774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3" t="s">
        <v>1</v>
      </c>
      <c r="E1" s="13" t="s">
        <v>527</v>
      </c>
      <c r="F1" s="25" t="s">
        <v>520</v>
      </c>
      <c r="G1" s="1" t="s">
        <v>665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318</v>
      </c>
      <c r="E2" t="s">
        <v>319</v>
      </c>
      <c r="F2" s="26">
        <v>99999999</v>
      </c>
      <c r="G2" t="s">
        <v>769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301</v>
      </c>
      <c r="E3" t="s">
        <v>304</v>
      </c>
      <c r="F3" s="2" t="s">
        <v>684</v>
      </c>
      <c r="G3" t="s">
        <v>769</v>
      </c>
      <c r="I3" t="s">
        <v>528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302</v>
      </c>
      <c r="E4" t="s">
        <v>305</v>
      </c>
      <c r="F4" s="2" t="s">
        <v>685</v>
      </c>
      <c r="G4" t="s">
        <v>769</v>
      </c>
      <c r="I4" t="s">
        <v>770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356</v>
      </c>
      <c r="E5" t="s">
        <v>357</v>
      </c>
      <c r="F5" s="2" t="s">
        <v>686</v>
      </c>
      <c r="G5" t="s">
        <v>769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451</v>
      </c>
      <c r="E6" t="s">
        <v>308</v>
      </c>
      <c r="F6" s="2" t="s">
        <v>687</v>
      </c>
      <c r="G6" t="s">
        <v>769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309</v>
      </c>
      <c r="E7" t="s">
        <v>310</v>
      </c>
      <c r="F7" s="2">
        <v>99999999999</v>
      </c>
      <c r="G7" t="s">
        <v>769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311</v>
      </c>
      <c r="E8" t="s">
        <v>312</v>
      </c>
      <c r="F8" s="2">
        <v>99999999</v>
      </c>
      <c r="G8" t="s">
        <v>769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313</v>
      </c>
      <c r="E9" t="s">
        <v>361</v>
      </c>
      <c r="F9" s="2" t="s">
        <v>688</v>
      </c>
      <c r="G9" t="s">
        <v>769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314</v>
      </c>
      <c r="E10" t="s">
        <v>362</v>
      </c>
      <c r="F10" s="2" t="s">
        <v>689</v>
      </c>
      <c r="G10" t="s">
        <v>769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315</v>
      </c>
      <c r="E11" t="s">
        <v>353</v>
      </c>
      <c r="F11" s="2" t="s">
        <v>690</v>
      </c>
      <c r="G11" t="s">
        <v>769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316</v>
      </c>
      <c r="E12" t="s">
        <v>317</v>
      </c>
      <c r="F12" s="2" t="s">
        <v>691</v>
      </c>
      <c r="G12" t="s">
        <v>771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347</v>
      </c>
      <c r="E13" t="s">
        <v>350</v>
      </c>
      <c r="F13" s="2" t="s">
        <v>692</v>
      </c>
      <c r="G13" t="s">
        <v>769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438</v>
      </c>
      <c r="E14" t="s">
        <v>351</v>
      </c>
      <c r="F14" s="2" t="s">
        <v>693</v>
      </c>
      <c r="G14" t="s">
        <v>769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439</v>
      </c>
      <c r="E15" t="s">
        <v>352</v>
      </c>
      <c r="F15" s="2" t="s">
        <v>694</v>
      </c>
      <c r="G15" t="s">
        <v>769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440</v>
      </c>
      <c r="E16" t="s">
        <v>359</v>
      </c>
      <c r="F16" s="4" t="s">
        <v>695</v>
      </c>
      <c r="G16" t="s">
        <v>771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441</v>
      </c>
      <c r="E17" t="s">
        <v>360</v>
      </c>
      <c r="F17" s="4" t="s">
        <v>696</v>
      </c>
      <c r="G17" t="s">
        <v>771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348</v>
      </c>
      <c r="E18" t="s">
        <v>354</v>
      </c>
      <c r="F18" s="2" t="s">
        <v>697</v>
      </c>
      <c r="G18" t="s">
        <v>769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442</v>
      </c>
      <c r="E19" t="s">
        <v>355</v>
      </c>
      <c r="F19" s="2" t="s">
        <v>698</v>
      </c>
      <c r="G19" t="s">
        <v>769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349</v>
      </c>
      <c r="E20" t="s">
        <v>310</v>
      </c>
      <c r="F20" s="2">
        <v>99999999999</v>
      </c>
      <c r="G20" t="s">
        <v>769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97</v>
      </c>
      <c r="C1" s="1" t="s">
        <v>154</v>
      </c>
      <c r="D1" s="1" t="s">
        <v>54</v>
      </c>
      <c r="E1" s="1" t="s">
        <v>149</v>
      </c>
      <c r="F1" s="8" t="s">
        <v>452</v>
      </c>
      <c r="G1" s="8" t="s">
        <v>453</v>
      </c>
      <c r="H1" s="9" t="s">
        <v>454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358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327</v>
      </c>
      <c r="H13" s="12" t="s">
        <v>306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328</v>
      </c>
      <c r="H15" s="12" t="s">
        <v>306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476</v>
      </c>
      <c r="E1" s="1" t="s">
        <v>256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169</v>
      </c>
      <c r="G2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85</v>
      </c>
      <c r="C1" s="1" t="s">
        <v>152</v>
      </c>
      <c r="D1" s="1" t="s">
        <v>436</v>
      </c>
      <c r="E1" s="1" t="s">
        <v>320</v>
      </c>
      <c r="F1" s="1" t="s">
        <v>217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218</v>
      </c>
      <c r="E2" t="s">
        <v>211</v>
      </c>
      <c r="F2" t="s">
        <v>459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267</v>
      </c>
      <c r="E3" t="s">
        <v>211</v>
      </c>
      <c r="F3" t="s">
        <v>460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268</v>
      </c>
      <c r="E4" t="s">
        <v>211</v>
      </c>
      <c r="F4" t="s">
        <v>461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85</v>
      </c>
      <c r="C1" s="1" t="s">
        <v>152</v>
      </c>
      <c r="D1" s="1" t="s">
        <v>345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346</v>
      </c>
      <c r="E2" t="s">
        <v>169</v>
      </c>
      <c r="F2" t="s">
        <v>170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68</v>
      </c>
      <c r="C1" s="1" t="s">
        <v>151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166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477</v>
      </c>
      <c r="F2" t="s">
        <v>478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74</v>
      </c>
      <c r="F3" t="s">
        <v>481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480</v>
      </c>
      <c r="F4" t="s">
        <v>479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482</v>
      </c>
      <c r="F5" t="s">
        <v>483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D4" sqref="D4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85</v>
      </c>
      <c r="C1" s="1" t="s">
        <v>152</v>
      </c>
      <c r="D1" s="1" t="s">
        <v>1</v>
      </c>
      <c r="E1" s="1" t="s">
        <v>84</v>
      </c>
      <c r="F1" s="1" t="s">
        <v>66</v>
      </c>
      <c r="G1" s="1" t="s">
        <v>164</v>
      </c>
      <c r="H1" s="1" t="s">
        <v>457</v>
      </c>
      <c r="I1" s="1" t="s">
        <v>458</v>
      </c>
      <c r="J1" s="1" t="s">
        <v>680</v>
      </c>
      <c r="K1" s="1" t="s">
        <v>681</v>
      </c>
      <c r="L1" s="1" t="s">
        <v>682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95</v>
      </c>
      <c r="E2" t="s">
        <v>329</v>
      </c>
      <c r="F2" t="s">
        <v>748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724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676</v>
      </c>
      <c r="E3" t="s">
        <v>677</v>
      </c>
      <c r="F3" t="s">
        <v>678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801</v>
      </c>
      <c r="E4" t="s">
        <v>802</v>
      </c>
      <c r="F4" t="s">
        <v>683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768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369</v>
      </c>
      <c r="E5" t="s">
        <v>372</v>
      </c>
      <c r="F5" t="s">
        <v>376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86</v>
      </c>
      <c r="E6" t="s">
        <v>330</v>
      </c>
      <c r="F6" t="s">
        <v>75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75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797</v>
      </c>
      <c r="E7" t="s">
        <v>798</v>
      </c>
      <c r="F7" t="s">
        <v>377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368</v>
      </c>
      <c r="E8" t="s">
        <v>371</v>
      </c>
      <c r="F8" t="s">
        <v>375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87</v>
      </c>
      <c r="E9" t="s">
        <v>332</v>
      </c>
      <c r="F9" t="s">
        <v>749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725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88</v>
      </c>
      <c r="E10" t="s">
        <v>331</v>
      </c>
      <c r="F10" t="s">
        <v>750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726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799</v>
      </c>
      <c r="E11" t="s">
        <v>800</v>
      </c>
      <c r="F11" t="s">
        <v>723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723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91</v>
      </c>
      <c r="E12" t="s">
        <v>336</v>
      </c>
      <c r="F12" t="s">
        <v>378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456</v>
      </c>
      <c r="E13" t="s">
        <v>584</v>
      </c>
      <c r="F13" t="s">
        <v>751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727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89</v>
      </c>
      <c r="E14" t="s">
        <v>333</v>
      </c>
      <c r="F14" t="s">
        <v>79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79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78</v>
      </c>
      <c r="E15" t="s">
        <v>334</v>
      </c>
      <c r="F15" t="s">
        <v>752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78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92</v>
      </c>
      <c r="E16" t="s">
        <v>337</v>
      </c>
      <c r="F16" t="s">
        <v>77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77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93</v>
      </c>
      <c r="E17" t="s">
        <v>338</v>
      </c>
      <c r="F17" t="s">
        <v>753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728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94</v>
      </c>
      <c r="E18" t="s">
        <v>339</v>
      </c>
      <c r="F18" t="s">
        <v>754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729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139</v>
      </c>
      <c r="E19" t="s">
        <v>373</v>
      </c>
      <c r="F19" t="s">
        <v>755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730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474</v>
      </c>
      <c r="E20" t="s">
        <v>475</v>
      </c>
      <c r="F20" t="s">
        <v>756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731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210</v>
      </c>
      <c r="E21" t="s">
        <v>343</v>
      </c>
      <c r="F21" t="s">
        <v>757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732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472</v>
      </c>
      <c r="E22" t="s">
        <v>473</v>
      </c>
      <c r="F22" t="s">
        <v>758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747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370</v>
      </c>
      <c r="E23" t="s">
        <v>374</v>
      </c>
      <c r="F23" t="s">
        <v>759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733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500</v>
      </c>
      <c r="E24" t="s">
        <v>499</v>
      </c>
      <c r="F24" t="s">
        <v>760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734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90</v>
      </c>
      <c r="E25" t="s">
        <v>335</v>
      </c>
      <c r="F25" t="s">
        <v>76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76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494</v>
      </c>
      <c r="E26" t="s">
        <v>699</v>
      </c>
      <c r="F26" t="s">
        <v>761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735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429</v>
      </c>
      <c r="E27" t="s">
        <v>428</v>
      </c>
      <c r="F27" t="s">
        <v>433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736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431</v>
      </c>
      <c r="E28" t="s">
        <v>432</v>
      </c>
      <c r="F28" t="s">
        <v>762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737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516</v>
      </c>
      <c r="E29" t="s">
        <v>517</v>
      </c>
      <c r="F29" t="s">
        <v>763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738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742</v>
      </c>
      <c r="E30" t="s">
        <v>743</v>
      </c>
      <c r="F30" t="s">
        <v>764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744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518</v>
      </c>
      <c r="E31" t="s">
        <v>519</v>
      </c>
      <c r="F31" t="s">
        <v>765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518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811</v>
      </c>
      <c r="E32" t="s">
        <v>812</v>
      </c>
      <c r="F32" t="s">
        <v>766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706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212</v>
      </c>
      <c r="E33" t="s">
        <v>340</v>
      </c>
      <c r="F33" t="s">
        <v>767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739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188</v>
      </c>
      <c r="E34" t="s">
        <v>341</v>
      </c>
      <c r="F34" t="s">
        <v>496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740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189</v>
      </c>
      <c r="E35" t="s">
        <v>342</v>
      </c>
      <c r="F35" t="s">
        <v>495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741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218"/>
  <sheetViews>
    <sheetView tabSelected="1" zoomScale="95" zoomScaleNormal="95" workbookViewId="0">
      <pane ySplit="1" topLeftCell="A182" activePane="bottomLeft" state="frozen"/>
      <selection pane="bottomLeft" activeCell="D219" sqref="D219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4" width="11.710937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96</v>
      </c>
      <c r="C1" s="17" t="s">
        <v>498</v>
      </c>
      <c r="D1" s="17" t="s">
        <v>97</v>
      </c>
      <c r="E1" s="17" t="s">
        <v>154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622</v>
      </c>
      <c r="K1" s="17" t="s">
        <v>623</v>
      </c>
      <c r="L1" s="17" t="s">
        <v>624</v>
      </c>
      <c r="M1" s="17" t="s">
        <v>625</v>
      </c>
      <c r="N1" s="17" t="s">
        <v>628</v>
      </c>
      <c r="O1" s="17" t="s">
        <v>627</v>
      </c>
      <c r="P1" s="17" t="s">
        <v>626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712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125</v>
      </c>
      <c r="I3" s="20" t="s">
        <v>98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176</v>
      </c>
      <c r="I4" s="20" t="s">
        <v>127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175</v>
      </c>
      <c r="I5" s="20" t="s">
        <v>128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174</v>
      </c>
      <c r="I6" s="20" t="s">
        <v>129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173</v>
      </c>
      <c r="I7" s="20" t="s">
        <v>172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543</v>
      </c>
      <c r="I8" s="20" t="s">
        <v>126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542</v>
      </c>
      <c r="I9" s="20" t="s">
        <v>541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</row>
    <row r="10" spans="1:16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536</v>
      </c>
      <c r="I10" s="20" t="s">
        <v>540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537</v>
      </c>
      <c r="I11" s="20" t="s">
        <v>538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</row>
    <row r="12" spans="1:16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539</v>
      </c>
      <c r="I12" s="20" t="s">
        <v>545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</row>
    <row r="13" spans="1:16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713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</row>
    <row r="14" spans="1:16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714</v>
      </c>
      <c r="I14" s="18" t="s">
        <v>716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</row>
    <row r="15" spans="1:16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715</v>
      </c>
      <c r="I15" s="18" t="s">
        <v>110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</row>
    <row r="16" spans="1:16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717</v>
      </c>
      <c r="I16" s="18" t="s">
        <v>718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</row>
    <row r="17" spans="1:16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719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</row>
    <row r="18" spans="1:16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720</v>
      </c>
      <c r="I18" s="20" t="s">
        <v>99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</row>
    <row r="19" spans="1:16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776</v>
      </c>
      <c r="I19" s="20" t="s">
        <v>776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</row>
    <row r="20" spans="1:16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</row>
    <row r="21" spans="1:16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781</v>
      </c>
      <c r="I21" s="18" t="s">
        <v>98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</row>
    <row r="22" spans="1:16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521</v>
      </c>
      <c r="I22" s="18" t="s">
        <v>522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</row>
    <row r="23" spans="1:16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523</v>
      </c>
      <c r="I23" s="18" t="s">
        <v>524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</row>
    <row r="24" spans="1:16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788</v>
      </c>
      <c r="I24" s="18" t="s">
        <v>113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</row>
    <row r="25" spans="1:16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546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</row>
    <row r="26" spans="1:16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782</v>
      </c>
      <c r="I26" s="20" t="s">
        <v>99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</row>
    <row r="27" spans="1:16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547</v>
      </c>
      <c r="I27" s="20" t="s">
        <v>98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</row>
    <row r="28" spans="1:16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548</v>
      </c>
      <c r="I28" s="20" t="s">
        <v>549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</row>
    <row r="29" spans="1:16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550</v>
      </c>
      <c r="I29" s="20" t="s">
        <v>554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</row>
    <row r="30" spans="1:16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551</v>
      </c>
      <c r="I30" s="20" t="s">
        <v>551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</row>
    <row r="31" spans="1:16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552</v>
      </c>
      <c r="I31" s="20" t="s">
        <v>552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</row>
    <row r="32" spans="1:16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796</v>
      </c>
      <c r="I32" s="20" t="s">
        <v>796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553</v>
      </c>
      <c r="I33" s="20" t="s">
        <v>553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558</v>
      </c>
      <c r="I34" s="20" t="s">
        <v>113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</row>
    <row r="35" spans="1:16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571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</row>
    <row r="36" spans="1:16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789</v>
      </c>
      <c r="I36" s="18" t="s">
        <v>455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</row>
    <row r="37" spans="1:16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546</v>
      </c>
      <c r="I37" s="18" t="s">
        <v>100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</row>
    <row r="38" spans="1:16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572</v>
      </c>
      <c r="I38" s="18" t="s">
        <v>98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</row>
    <row r="39" spans="1:16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783</v>
      </c>
      <c r="I39" s="18" t="s">
        <v>103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</row>
    <row r="40" spans="1:16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784</v>
      </c>
      <c r="I40" s="18" t="s">
        <v>105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</row>
    <row r="41" spans="1:16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580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</row>
    <row r="42" spans="1:16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555</v>
      </c>
      <c r="I42" s="20" t="s">
        <v>98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</row>
    <row r="43" spans="1:16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780</v>
      </c>
      <c r="I43" s="20" t="s">
        <v>557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</row>
    <row r="44" spans="1:16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437</v>
      </c>
      <c r="I44" s="20" t="s">
        <v>455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</row>
    <row r="45" spans="1:16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790</v>
      </c>
      <c r="I45" s="20" t="s">
        <v>113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</row>
    <row r="46" spans="1:16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559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</row>
    <row r="47" spans="1:16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560</v>
      </c>
      <c r="I47" s="18" t="s">
        <v>100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</row>
    <row r="48" spans="1:16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101</v>
      </c>
      <c r="I48" s="18" t="s">
        <v>98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</row>
    <row r="49" spans="1:16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102</v>
      </c>
      <c r="I49" s="18" t="s">
        <v>103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</row>
    <row r="50" spans="1:16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104</v>
      </c>
      <c r="I50" s="18" t="s">
        <v>105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</row>
    <row r="51" spans="1:16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561</v>
      </c>
      <c r="I51" s="18" t="s">
        <v>140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</row>
    <row r="52" spans="1:16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562</v>
      </c>
      <c r="I52" s="18" t="s">
        <v>563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</row>
    <row r="53" spans="1:16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564</v>
      </c>
      <c r="I53" s="18" t="s">
        <v>565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108</v>
      </c>
      <c r="I54" s="18" t="s">
        <v>566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106</v>
      </c>
      <c r="I55" s="18" t="s">
        <v>549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107</v>
      </c>
      <c r="I56" s="18" t="s">
        <v>554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107</v>
      </c>
      <c r="I57" s="18" t="s">
        <v>554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</row>
    <row r="58" spans="1:16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567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</row>
    <row r="59" spans="1:16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785</v>
      </c>
      <c r="I59" s="20" t="s">
        <v>581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</row>
    <row r="60" spans="1:16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568</v>
      </c>
      <c r="I60" s="20" t="s">
        <v>98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</row>
    <row r="61" spans="1:16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109</v>
      </c>
      <c r="I61" s="20" t="s">
        <v>786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</row>
    <row r="62" spans="1:16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569</v>
      </c>
      <c r="I62" s="20" t="s">
        <v>787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</row>
    <row r="63" spans="1:16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113</v>
      </c>
      <c r="I63" s="20" t="s">
        <v>113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</row>
    <row r="64" spans="1:16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573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</row>
    <row r="65" spans="1:16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570</v>
      </c>
      <c r="I65" s="18" t="s">
        <v>119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</row>
    <row r="66" spans="1:16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567</v>
      </c>
      <c r="I66" s="18" t="s">
        <v>109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</row>
    <row r="67" spans="1:16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4">IF(G67="Id",5,F66+5)</f>
        <v>20</v>
      </c>
      <c r="G67" s="18" t="str" cm="1">
        <f t="array" ref="G67">GetColumnName(C67,IF(B67=B66,G66,""))</f>
        <v>CheckDigitModule</v>
      </c>
      <c r="H67" s="18" t="s">
        <v>574</v>
      </c>
      <c r="I67" s="18" t="s">
        <v>578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</row>
    <row r="68" spans="1:16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575</v>
      </c>
      <c r="I68" s="18" t="s">
        <v>577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</row>
    <row r="69" spans="1:16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576</v>
      </c>
      <c r="I69" s="18" t="s">
        <v>582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</row>
    <row r="70" spans="1:16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579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580</v>
      </c>
      <c r="I71" s="20" t="s">
        <v>581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</row>
    <row r="72" spans="1:16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587</v>
      </c>
      <c r="I72" s="20" t="s">
        <v>98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</row>
    <row r="73" spans="1:16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602</v>
      </c>
      <c r="I73" s="20" t="s">
        <v>110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</row>
    <row r="74" spans="1:16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556</v>
      </c>
      <c r="I74" s="20" t="s">
        <v>557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583</v>
      </c>
      <c r="I75" s="18" t="s">
        <v>194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</row>
    <row r="76" spans="1:16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580</v>
      </c>
      <c r="I76" s="18" t="s">
        <v>581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</row>
    <row r="77" spans="1:16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579</v>
      </c>
      <c r="I77" s="18" t="s">
        <v>114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</row>
    <row r="78" spans="1:16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585</v>
      </c>
      <c r="I78" s="18" t="s">
        <v>586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</row>
    <row r="79" spans="1:16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588</v>
      </c>
      <c r="I79" s="18" t="s">
        <v>589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</row>
    <row r="80" spans="1:16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590</v>
      </c>
      <c r="I80" s="18" t="s">
        <v>591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</row>
    <row r="81" spans="1:16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592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</row>
    <row r="82" spans="1:16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593</v>
      </c>
      <c r="I82" s="20" t="s">
        <v>114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</row>
    <row r="83" spans="1:16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594</v>
      </c>
      <c r="I83" s="20" t="s">
        <v>595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</row>
    <row r="84" spans="1:16">
      <c r="A84" s="20">
        <f t="shared" ref="A84:A218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596</v>
      </c>
      <c r="I84" s="20" t="s">
        <v>98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</row>
    <row r="85" spans="1:16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597</v>
      </c>
      <c r="I85" s="20" t="s">
        <v>110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</row>
    <row r="86" spans="1:16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598</v>
      </c>
      <c r="I86" s="20" t="s">
        <v>599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</row>
    <row r="87" spans="1:16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600</v>
      </c>
      <c r="I87" s="20" t="s">
        <v>113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</row>
    <row r="88" spans="1:16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603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</row>
    <row r="89" spans="1:16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592</v>
      </c>
      <c r="I89" s="18" t="s">
        <v>111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609</v>
      </c>
      <c r="I90" s="18" t="s">
        <v>610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</row>
    <row r="91" spans="1:16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604</v>
      </c>
      <c r="I91" s="18" t="s">
        <v>112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</row>
    <row r="92" spans="1:16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605</v>
      </c>
      <c r="I92" s="18" t="s">
        <v>606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</row>
    <row r="93" spans="1:16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607</v>
      </c>
      <c r="I93" s="18" t="s">
        <v>608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</row>
    <row r="94" spans="1:16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611</v>
      </c>
      <c r="I94" s="18" t="s">
        <v>113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</row>
    <row r="95" spans="1:16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601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</row>
    <row r="96" spans="1:16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579</v>
      </c>
      <c r="I96" s="20" t="s">
        <v>114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</row>
    <row r="97" spans="1:16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4"/>
        <v>15</v>
      </c>
      <c r="G97" s="20" t="str" cm="1">
        <f t="array" ref="G97">GetColumnName(C97,IF(B97=B96,G96,""))</f>
        <v>Name</v>
      </c>
      <c r="H97" s="20" t="s">
        <v>115</v>
      </c>
      <c r="I97" s="20" t="s">
        <v>98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</row>
    <row r="98" spans="1:16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4"/>
        <v>20</v>
      </c>
      <c r="G98" s="20" t="str" cm="1">
        <f t="array" ref="G98">GetColumnName(C98,IF(B98=B97,G97,""))</f>
        <v>Alias</v>
      </c>
      <c r="H98" s="20" t="s">
        <v>116</v>
      </c>
      <c r="I98" s="20" t="s">
        <v>84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</row>
    <row r="99" spans="1:16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4"/>
        <v>25</v>
      </c>
      <c r="G99" s="20" t="str" cm="1">
        <f t="array" ref="G99">GetColumnName(C99,IF(B99=B98,G98,""))</f>
        <v>Description</v>
      </c>
      <c r="H99" s="20" t="s">
        <v>117</v>
      </c>
      <c r="I99" s="20" t="s">
        <v>110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</row>
    <row r="100" spans="1:16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810</v>
      </c>
      <c r="I100" s="20" t="s">
        <v>809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</row>
    <row r="101" spans="1:16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7">IF(G101="Id",5,F100+5)</f>
        <v>35</v>
      </c>
      <c r="G101" s="20" t="str" cm="1">
        <f t="array" ref="G101">GetColumnName(C101,IF(B101=B100,G100,""))</f>
        <v>MenuId</v>
      </c>
      <c r="H101" s="20" t="s">
        <v>803</v>
      </c>
      <c r="I101" s="20" t="s">
        <v>807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</row>
    <row r="102" spans="1:16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7"/>
        <v>40</v>
      </c>
      <c r="G102" s="20" t="str" cm="1">
        <f t="array" ref="G102">GetColumnName(C102,IF(B102=B101,G101,""))</f>
        <v>MenuSequence</v>
      </c>
      <c r="H102" s="20" t="s">
        <v>804</v>
      </c>
      <c r="I102" s="20" t="s">
        <v>112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</row>
    <row r="103" spans="1:16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7"/>
        <v>45</v>
      </c>
      <c r="G103" s="20" t="str" cm="1">
        <f t="array" ref="G103">GetColumnName(C103,IF(B103=B102,G102,""))</f>
        <v>MenuCaption</v>
      </c>
      <c r="H103" s="20" t="s">
        <v>805</v>
      </c>
      <c r="I103" s="20" t="s">
        <v>808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</row>
    <row r="104" spans="1:16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7"/>
        <v>50</v>
      </c>
      <c r="G104" s="20" t="str" cm="1">
        <f t="array" ref="G104">GetColumnName(C104,IF(B104=B103,G103,""))</f>
        <v>MenuMessage</v>
      </c>
      <c r="H104" s="20" t="s">
        <v>806</v>
      </c>
      <c r="I104" s="20" t="s">
        <v>608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</row>
    <row r="105" spans="1:16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612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</row>
    <row r="106" spans="1:16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601</v>
      </c>
      <c r="I106" s="18" t="s">
        <v>118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</row>
    <row r="107" spans="1:16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613</v>
      </c>
      <c r="I107" s="18" t="s">
        <v>119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</row>
    <row r="108" spans="1:16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614</v>
      </c>
      <c r="I108" s="18" t="s">
        <v>112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</row>
    <row r="109" spans="1:16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120</v>
      </c>
      <c r="I109" s="18" t="s">
        <v>98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</row>
    <row r="110" spans="1:16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615</v>
      </c>
      <c r="I110" s="18" t="s">
        <v>110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</row>
    <row r="111" spans="1:16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616</v>
      </c>
      <c r="I111" s="18" t="s">
        <v>606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</row>
    <row r="112" spans="1:16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618</v>
      </c>
      <c r="I112" s="18" t="s">
        <v>566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</row>
    <row r="113" spans="1:16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619</v>
      </c>
      <c r="I113" s="18" t="s">
        <v>549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</row>
    <row r="114" spans="1:16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620</v>
      </c>
      <c r="I114" s="18" t="s">
        <v>554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</row>
    <row r="115" spans="1:16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666</v>
      </c>
      <c r="I115" s="18" t="s">
        <v>669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</row>
    <row r="116" spans="1:16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667</v>
      </c>
      <c r="I116" s="18" t="s">
        <v>668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</row>
    <row r="117" spans="1:16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671</v>
      </c>
      <c r="I117" s="18" t="s">
        <v>670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</row>
    <row r="118" spans="1:16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793</v>
      </c>
      <c r="I118" s="18" t="s">
        <v>794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</row>
    <row r="119" spans="1:16">
      <c r="A119" s="20">
        <f t="shared" si="5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4"/>
        <v>5</v>
      </c>
      <c r="G119" s="20" t="str" cm="1">
        <f t="array" ref="G119">GetColumnName(C119,IF(B119=B118,G118,""))</f>
        <v>Id</v>
      </c>
      <c r="H119" s="20" t="s">
        <v>629</v>
      </c>
      <c r="I119" s="20" t="s">
        <v>111</v>
      </c>
      <c r="J119" s="20" t="b">
        <v>1</v>
      </c>
      <c r="K119" s="20" t="b">
        <v>1</v>
      </c>
      <c r="L119" s="20" t="b">
        <v>0</v>
      </c>
      <c r="M119" s="20" t="b">
        <v>0</v>
      </c>
      <c r="N119" s="20"/>
      <c r="O119" s="20"/>
      <c r="P119" s="20" t="b">
        <v>0</v>
      </c>
    </row>
    <row r="120" spans="1:16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4"/>
        <v>10</v>
      </c>
      <c r="G120" s="20" t="str" cm="1">
        <f t="array" ref="G120">GetColumnName(C120,IF(B120=B119,G119,""))</f>
        <v>TableId</v>
      </c>
      <c r="H120" s="20" t="s">
        <v>915</v>
      </c>
      <c r="I120" s="20" t="s">
        <v>118</v>
      </c>
      <c r="J120" s="20" t="s">
        <v>26</v>
      </c>
      <c r="K120" s="20" t="s">
        <v>26</v>
      </c>
      <c r="L120" s="20" t="s">
        <v>26</v>
      </c>
      <c r="M120" s="20" t="s">
        <v>26</v>
      </c>
      <c r="N120" s="20"/>
      <c r="O120" s="20"/>
      <c r="P120" s="20" t="s">
        <v>26</v>
      </c>
    </row>
    <row r="121" spans="1:16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10</v>
      </c>
      <c r="E121" s="20" t="str" cm="1">
        <f t="array" ref="E121">GetValue("Dmn",D121,"Name")</f>
        <v>Nvarchar(25)</v>
      </c>
      <c r="F121" s="20">
        <f t="shared" si="4"/>
        <v>15</v>
      </c>
      <c r="G121" s="20" t="str" cm="1">
        <f t="array" ref="G121">GetColumnName(C121,IF(B121=B120,G120,""))</f>
        <v>Name</v>
      </c>
      <c r="H121" s="20" t="s">
        <v>916</v>
      </c>
      <c r="I121" s="20" t="s">
        <v>98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</row>
    <row r="122" spans="1:16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4"/>
        <v>20</v>
      </c>
      <c r="G122" s="20" t="str" cm="1">
        <f t="array" ref="G122">GetColumnName(C122,IF(B122=B121,G121,""))</f>
        <v>IsUnique</v>
      </c>
      <c r="H122" s="20" t="s">
        <v>917</v>
      </c>
      <c r="I122" s="20" t="s">
        <v>918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</row>
    <row r="123" spans="1:16">
      <c r="A123" s="18">
        <f t="shared" si="5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4"/>
        <v>5</v>
      </c>
      <c r="G123" s="18" t="str" cm="1">
        <f t="array" ref="G123">GetColumnName(C123,IF(B123=B122,G122,""))</f>
        <v>Id</v>
      </c>
      <c r="H123" s="18" t="s">
        <v>629</v>
      </c>
      <c r="I123" s="18" t="s">
        <v>0</v>
      </c>
      <c r="J123" s="18" t="b">
        <v>1</v>
      </c>
      <c r="K123" s="18" t="b">
        <v>1</v>
      </c>
      <c r="L123" s="18" t="b">
        <v>0</v>
      </c>
      <c r="M123" s="18" t="b">
        <v>0</v>
      </c>
      <c r="N123" s="18"/>
      <c r="O123" s="18"/>
      <c r="P123" s="18" t="b">
        <v>0</v>
      </c>
    </row>
    <row r="124" spans="1:16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10</v>
      </c>
      <c r="G124" s="18" t="str" cm="1">
        <f t="array" ref="G124">GetColumnName(C124,IF(B124=B123,G123,""))</f>
        <v>IndexId</v>
      </c>
      <c r="H124" s="18" t="s">
        <v>621</v>
      </c>
      <c r="I124" s="18" t="s">
        <v>630</v>
      </c>
      <c r="J124" s="18" t="s">
        <v>26</v>
      </c>
      <c r="K124" s="18" t="s">
        <v>26</v>
      </c>
      <c r="L124" s="18" t="s">
        <v>26</v>
      </c>
      <c r="M124" s="18" t="s">
        <v>26</v>
      </c>
      <c r="N124" s="18"/>
      <c r="O124" s="18"/>
      <c r="P124" s="18" t="s">
        <v>26</v>
      </c>
    </row>
    <row r="125" spans="1:16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15</v>
      </c>
      <c r="G125" s="18" t="str" cm="1">
        <f t="array" ref="G125">GetColumnName(C125,IF(B125=B124,G124,""))</f>
        <v>ColumnId</v>
      </c>
      <c r="H125" s="18" t="s">
        <v>919</v>
      </c>
      <c r="I125" s="18" t="s">
        <v>632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</row>
    <row r="126" spans="1:16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4</v>
      </c>
      <c r="E126" s="18" t="str" cm="1">
        <f t="array" ref="E126">GetValue("Dmn",D126,"Name")</f>
        <v>SmallInteger</v>
      </c>
      <c r="F126" s="18">
        <f t="shared" si="4"/>
        <v>20</v>
      </c>
      <c r="G126" s="18" t="str" cm="1">
        <f t="array" ref="G126">GetColumnName(C126,IF(B126=B125,G125,""))</f>
        <v>Sequence</v>
      </c>
      <c r="H126" s="18" t="s">
        <v>920</v>
      </c>
      <c r="I126" s="18" t="s">
        <v>112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</row>
    <row r="127" spans="1:16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6</v>
      </c>
      <c r="E127" s="18" t="str" cm="1">
        <f t="array" ref="E127">GetValue("Dmn",D127,"Name")</f>
        <v>Boolean</v>
      </c>
      <c r="F127" s="18">
        <f t="shared" si="4"/>
        <v>25</v>
      </c>
      <c r="G127" s="18" t="str" cm="1">
        <f t="array" ref="G127">GetColumnName(C127,IF(B127=B126,G126,""))</f>
        <v>IsDescending</v>
      </c>
      <c r="H127" s="18" t="s">
        <v>791</v>
      </c>
      <c r="I127" s="18" t="s">
        <v>792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</row>
    <row r="128" spans="1:16">
      <c r="A128" s="20">
        <f t="shared" si="5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4"/>
        <v>5</v>
      </c>
      <c r="G128" s="20" t="str" cm="1">
        <f t="array" ref="G128">GetColumnName(C128,IF(B128=B127,G127,""))</f>
        <v>Id</v>
      </c>
      <c r="H128" s="20" t="s">
        <v>817</v>
      </c>
      <c r="I128" s="20" t="s">
        <v>0</v>
      </c>
      <c r="J128" s="20" t="b">
        <v>1</v>
      </c>
      <c r="K128" s="20" t="b">
        <v>1</v>
      </c>
      <c r="L128" s="20" t="b">
        <v>0</v>
      </c>
      <c r="M128" s="20" t="b">
        <v>0</v>
      </c>
      <c r="N128" s="20"/>
      <c r="O128" s="20"/>
      <c r="P128" s="20" t="b">
        <v>0</v>
      </c>
    </row>
    <row r="129" spans="1:16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10</v>
      </c>
      <c r="G129" s="20" t="str" cm="1">
        <f t="array" ref="G129">GetColumnName(C129,IF(B129=B128,G128,""))</f>
        <v>IndexId</v>
      </c>
      <c r="H129" s="20" t="s">
        <v>621</v>
      </c>
      <c r="I129" s="20" t="s">
        <v>630</v>
      </c>
      <c r="J129" s="20" t="s">
        <v>26</v>
      </c>
      <c r="K129" s="20" t="s">
        <v>26</v>
      </c>
      <c r="L129" s="20" t="s">
        <v>26</v>
      </c>
      <c r="M129" s="20" t="s">
        <v>26</v>
      </c>
      <c r="N129" s="20"/>
      <c r="O129" s="20"/>
      <c r="P129" s="20" t="s">
        <v>26</v>
      </c>
    </row>
    <row r="130" spans="1:16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15</v>
      </c>
      <c r="G130" s="20" t="str" cm="1">
        <f t="array" ref="G130">GetColumnName(C130,IF(B130=B129,G129,""))</f>
        <v>ColumnId</v>
      </c>
      <c r="H130" s="20" t="s">
        <v>795</v>
      </c>
      <c r="I130" s="20" t="s">
        <v>632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</row>
    <row r="131" spans="1:16">
      <c r="A131" s="18">
        <f t="shared" si="5"/>
        <v>130</v>
      </c>
      <c r="B131" s="19">
        <v>20</v>
      </c>
      <c r="C131" s="18" t="str" cm="1">
        <f t="array" ref="C131">GetValue("Tbl",B131,"Alias")</f>
        <v>Uni</v>
      </c>
      <c r="D131" s="18">
        <v>1</v>
      </c>
      <c r="E131" s="18" t="str" cm="1">
        <f t="array" ref="E131">GetValue("Dmn",D131,"Name")</f>
        <v>BigInteger</v>
      </c>
      <c r="F131" s="18">
        <f t="shared" ref="F131" si="8">IF(G131="Id",5,F130+5)</f>
        <v>5</v>
      </c>
      <c r="G131" s="18" t="str" cm="1">
        <f t="array" ref="G131">GetColumnName(C131,IF(B131=B130,G130,""))</f>
        <v>Id</v>
      </c>
      <c r="H131" s="18" t="s">
        <v>818</v>
      </c>
      <c r="I131" s="18" t="s">
        <v>0</v>
      </c>
      <c r="J131" s="18" t="b">
        <v>1</v>
      </c>
      <c r="K131" s="18" t="b">
        <v>1</v>
      </c>
      <c r="L131" s="18" t="b">
        <v>0</v>
      </c>
      <c r="M131" s="18" t="b">
        <v>0</v>
      </c>
      <c r="N131" s="18"/>
      <c r="O131" s="18"/>
      <c r="P131" s="18" t="b">
        <v>0</v>
      </c>
    </row>
    <row r="132" spans="1:16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:F135" si="9">IF(G132="Id",5,F131+5)</f>
        <v>10</v>
      </c>
      <c r="G132" s="18" t="str" cm="1">
        <f t="array" ref="G132">GetColumnName(C132,IF(B132=B131,G131,""))</f>
        <v>LeftColumnId</v>
      </c>
      <c r="H132" s="18" t="s">
        <v>819</v>
      </c>
      <c r="I132" s="18" t="s">
        <v>822</v>
      </c>
      <c r="J132" s="18" t="s">
        <v>26</v>
      </c>
      <c r="K132" s="18" t="s">
        <v>26</v>
      </c>
      <c r="L132" s="18" t="s">
        <v>26</v>
      </c>
      <c r="M132" s="18" t="s">
        <v>26</v>
      </c>
      <c r="N132" s="18"/>
      <c r="O132" s="18"/>
      <c r="P132" s="18" t="s">
        <v>26</v>
      </c>
    </row>
    <row r="133" spans="1:16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si="9"/>
        <v>15</v>
      </c>
      <c r="G133" s="18" t="str" cm="1">
        <f t="array" ref="G133">GetColumnName(C133,IF(B133=B132,G132,""))</f>
        <v>RightColumnId</v>
      </c>
      <c r="H133" s="18" t="s">
        <v>820</v>
      </c>
      <c r="I133" s="18" t="s">
        <v>823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</row>
    <row r="134" spans="1:16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6</v>
      </c>
      <c r="E134" s="18" t="str" cm="1">
        <f t="array" ref="E134">GetValue("Dmn",D134,"Name")</f>
        <v>Boolean</v>
      </c>
      <c r="F134" s="18">
        <f t="shared" si="9"/>
        <v>20</v>
      </c>
      <c r="G134" s="18" t="str" cm="1">
        <f t="array" ref="G134">GetColumnName(C134,IF(B134=B133,G133,""))</f>
        <v>IsBirectional</v>
      </c>
      <c r="H134" s="18" t="s">
        <v>921</v>
      </c>
      <c r="I134" s="18" t="s">
        <v>824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</row>
    <row r="135" spans="1:16">
      <c r="A135" s="20">
        <f t="shared" si="5"/>
        <v>134</v>
      </c>
      <c r="B135" s="21">
        <v>21</v>
      </c>
      <c r="C135" s="20" t="str" cm="1">
        <f t="array" ref="C135">GetValue("Tbl",B135,"Alias")</f>
        <v>Exp</v>
      </c>
      <c r="D135" s="20">
        <v>1</v>
      </c>
      <c r="E135" s="20" t="str" cm="1">
        <f t="array" ref="E135">GetValue("Dmn",D135,"Name")</f>
        <v>BigInteger</v>
      </c>
      <c r="F135" s="20">
        <f t="shared" si="9"/>
        <v>5</v>
      </c>
      <c r="G135" s="20" t="str" cm="1">
        <f t="array" ref="G135">GetColumnName(C135,IF(B135=B134,G134,""))</f>
        <v>Id</v>
      </c>
      <c r="H135" s="20" t="s">
        <v>825</v>
      </c>
      <c r="I135" s="20" t="s">
        <v>0</v>
      </c>
      <c r="J135" s="20" t="b">
        <v>1</v>
      </c>
      <c r="K135" s="20" t="b">
        <v>1</v>
      </c>
      <c r="L135" s="20" t="b">
        <v>0</v>
      </c>
      <c r="M135" s="20" t="b">
        <v>0</v>
      </c>
      <c r="N135" s="20"/>
      <c r="O135" s="20"/>
      <c r="P135" s="20" t="b">
        <v>0</v>
      </c>
    </row>
    <row r="136" spans="1:16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ref="F136:F138" si="10">IF(G136="Id",5,F135+5)</f>
        <v>10</v>
      </c>
      <c r="G136" s="20" t="str" cm="1">
        <f t="array" ref="G136">GetColumnName(C136,IF(B136=B135,G135,""))</f>
        <v>TableId</v>
      </c>
      <c r="H136" s="20" t="s">
        <v>601</v>
      </c>
      <c r="I136" s="20" t="s">
        <v>118</v>
      </c>
      <c r="J136" s="20" t="s">
        <v>26</v>
      </c>
      <c r="K136" s="20" t="s">
        <v>26</v>
      </c>
      <c r="L136" s="20" t="s">
        <v>26</v>
      </c>
      <c r="M136" s="20" t="s">
        <v>26</v>
      </c>
      <c r="N136" s="20"/>
      <c r="O136" s="20"/>
      <c r="P136" s="20" t="s">
        <v>26</v>
      </c>
    </row>
    <row r="137" spans="1:16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10</v>
      </c>
      <c r="E137" s="20" t="str" cm="1">
        <f t="array" ref="E137">GetValue("Dmn",D137,"Name")</f>
        <v>Nvarchar(25)</v>
      </c>
      <c r="F137" s="20">
        <f t="shared" si="10"/>
        <v>15</v>
      </c>
      <c r="G137" s="20" t="str" cm="1">
        <f t="array" ref="G137">GetColumnName(C137,IF(B137=B136,G136,""))</f>
        <v>Name</v>
      </c>
      <c r="H137" s="20" t="s">
        <v>826</v>
      </c>
      <c r="I137" s="20" t="s">
        <v>98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</row>
    <row r="138" spans="1:16">
      <c r="A138" s="18">
        <f t="shared" si="5"/>
        <v>137</v>
      </c>
      <c r="B138" s="19">
        <v>22</v>
      </c>
      <c r="C138" s="18" t="str" cm="1">
        <f t="array" ref="C138">GetValue("Tbl",B138,"Alias")</f>
        <v>Cnd</v>
      </c>
      <c r="D138" s="18">
        <v>1</v>
      </c>
      <c r="E138" s="18" t="str" cm="1">
        <f t="array" ref="E138">GetValue("Dmn",D138,"Name")</f>
        <v>BigInteger</v>
      </c>
      <c r="F138" s="18">
        <f t="shared" si="10"/>
        <v>5</v>
      </c>
      <c r="G138" s="18" t="str" cm="1">
        <f t="array" ref="G138">GetColumnName(C138,IF(B138=B137,G137,""))</f>
        <v>Id</v>
      </c>
      <c r="H138" s="18" t="s">
        <v>827</v>
      </c>
      <c r="I138" s="18" t="s">
        <v>0</v>
      </c>
      <c r="J138" s="18" t="s">
        <v>26</v>
      </c>
      <c r="K138" s="18" t="s">
        <v>26</v>
      </c>
      <c r="L138" s="18" t="s">
        <v>26</v>
      </c>
      <c r="M138" s="18" t="s">
        <v>26</v>
      </c>
      <c r="N138" s="18"/>
      <c r="O138" s="18"/>
      <c r="P138" s="18" t="s">
        <v>26</v>
      </c>
    </row>
    <row r="139" spans="1:16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ref="F139:F144" si="11">IF(G139="Id",5,F138+5)</f>
        <v>10</v>
      </c>
      <c r="G139" s="18" t="str" cm="1">
        <f t="array" ref="G139">GetColumnName(C139,IF(B139=B138,G138,""))</f>
        <v>ExpressionId</v>
      </c>
      <c r="H139" s="18" t="s">
        <v>825</v>
      </c>
      <c r="I139" s="18" t="s">
        <v>833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b">
        <v>0</v>
      </c>
    </row>
    <row r="140" spans="1:16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4</v>
      </c>
      <c r="E140" s="18" t="str" cm="1">
        <f t="array" ref="E140">GetValue("Dmn",D140,"Name")</f>
        <v>SmallInteger</v>
      </c>
      <c r="F140" s="18">
        <f t="shared" si="11"/>
        <v>15</v>
      </c>
      <c r="G140" s="18" t="str" cm="1">
        <f t="array" ref="G140">GetColumnName(C140,IF(B140=B139,G139,""))</f>
        <v>Sequence</v>
      </c>
      <c r="H140" s="18" t="s">
        <v>828</v>
      </c>
      <c r="I140" s="18" t="s">
        <v>112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s">
        <v>26</v>
      </c>
    </row>
    <row r="141" spans="1:16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 t="shared" si="11"/>
        <v>20</v>
      </c>
      <c r="G141" s="18" t="str" cm="1">
        <f t="array" ref="G141">GetColumnName(C141,IF(B141=B140,G140,""))</f>
        <v>LeftColumnId</v>
      </c>
      <c r="H141" s="18" t="s">
        <v>819</v>
      </c>
      <c r="I141" s="18" t="s">
        <v>822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</row>
    <row r="142" spans="1:16">
      <c r="A142" s="18">
        <f t="shared" si="5"/>
        <v>141</v>
      </c>
      <c r="B142" s="19">
        <v>22</v>
      </c>
      <c r="C142" s="18" t="str" cm="1">
        <f t="array" ref="C142">GetValue("Tbl",B142,"Alias")</f>
        <v>Cnd</v>
      </c>
      <c r="D142" s="18">
        <v>14</v>
      </c>
      <c r="E142" s="18" t="str" cm="1">
        <f t="array" ref="E142">GetValue("Dmn",D142,"Name")</f>
        <v>Nchar(1)</v>
      </c>
      <c r="F142" s="18">
        <f t="shared" si="11"/>
        <v>25</v>
      </c>
      <c r="G142" s="18" t="str" cm="1">
        <f t="array" ref="G142">GetColumnName(C142,IF(B142=B141,G141,""))</f>
        <v>Connector</v>
      </c>
      <c r="H142" s="18" t="s">
        <v>829</v>
      </c>
      <c r="I142" s="18" t="s">
        <v>834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</row>
    <row r="143" spans="1:16">
      <c r="A143" s="18">
        <f t="shared" si="5"/>
        <v>142</v>
      </c>
      <c r="B143" s="19">
        <v>22</v>
      </c>
      <c r="C143" s="18" t="str" cm="1">
        <f t="array" ref="C143">GetValue("Tbl",B143,"Alias")</f>
        <v>Cnd</v>
      </c>
      <c r="D143" s="18">
        <v>8</v>
      </c>
      <c r="E143" s="18" t="str" cm="1">
        <f t="array" ref="E143">GetValue("Dmn",D143,"Name")</f>
        <v>Nvarchar(15)</v>
      </c>
      <c r="F143" s="18">
        <f t="shared" si="11"/>
        <v>30</v>
      </c>
      <c r="G143" s="18" t="str" cm="1">
        <f t="array" ref="G143">GetColumnName(C143,IF(B143=B142,G142,""))</f>
        <v>LeftParenthesis</v>
      </c>
      <c r="H143" s="18" t="s">
        <v>830</v>
      </c>
      <c r="I143" s="18" t="s">
        <v>830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</row>
    <row r="144" spans="1:16">
      <c r="A144" s="18">
        <f t="shared" si="5"/>
        <v>143</v>
      </c>
      <c r="B144" s="19">
        <v>22</v>
      </c>
      <c r="C144" s="18" t="str" cm="1">
        <f t="array" ref="C144">GetValue("Tbl",B144,"Alias")</f>
        <v>Cnd</v>
      </c>
      <c r="D144" s="18">
        <v>1</v>
      </c>
      <c r="E144" s="18" t="str" cm="1">
        <f t="array" ref="E144">GetValue("Dmn",D144,"Name")</f>
        <v>BigInteger</v>
      </c>
      <c r="F144" s="18">
        <f t="shared" si="11"/>
        <v>35</v>
      </c>
      <c r="G144" s="18" t="str" cm="1">
        <f t="array" ref="G144">GetColumnName(C144,IF(B144=B143,G143,""))</f>
        <v>ComparatorId</v>
      </c>
      <c r="H144" s="18" t="s">
        <v>922</v>
      </c>
      <c r="I144" s="18" t="s">
        <v>776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</row>
    <row r="145" spans="1:16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 t="shared" ref="F145:F148" si="12">IF(G145="Id",5,F144+5)</f>
        <v>40</v>
      </c>
      <c r="G145" s="18" t="str" cm="1">
        <f t="array" ref="G145">GetColumnName(C145,IF(B145=B144,G144,""))</f>
        <v>RightColumnId</v>
      </c>
      <c r="H145" s="18" t="s">
        <v>820</v>
      </c>
      <c r="I145" s="18" t="s">
        <v>823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</row>
    <row r="146" spans="1:16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42</v>
      </c>
      <c r="E146" s="18" t="str" cm="1">
        <f t="array" ref="E146">GetValue("Dmn",D146,"Name")</f>
        <v>Variant</v>
      </c>
      <c r="F146" s="18">
        <f t="shared" si="12"/>
        <v>45</v>
      </c>
      <c r="G146" s="18" t="str" cm="1">
        <f t="array" ref="G146">GetColumnName(C146,IF(B146=B145,G145,""))</f>
        <v>RightValue</v>
      </c>
      <c r="H146" s="18" t="s">
        <v>831</v>
      </c>
      <c r="I146" s="18" t="s">
        <v>831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</row>
    <row r="147" spans="1:16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8</v>
      </c>
      <c r="E147" s="18" t="str" cm="1">
        <f t="array" ref="E147">GetValue("Dmn",D147,"Name")</f>
        <v>Nvarchar(15)</v>
      </c>
      <c r="F147" s="18">
        <f t="shared" si="12"/>
        <v>50</v>
      </c>
      <c r="G147" s="18" t="str" cm="1">
        <f t="array" ref="G147">GetColumnName(C147,IF(B147=B146,G146,""))</f>
        <v>RightParenthesis</v>
      </c>
      <c r="H147" s="18" t="s">
        <v>832</v>
      </c>
      <c r="I147" s="18" t="s">
        <v>832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</row>
    <row r="148" spans="1:16">
      <c r="A148" s="20">
        <f t="shared" si="5"/>
        <v>147</v>
      </c>
      <c r="B148" s="21">
        <v>23</v>
      </c>
      <c r="C148" s="20" t="str" cm="1">
        <f t="array" ref="C148">GetValue("Tbl",B148,"Alias")</f>
        <v>Ref</v>
      </c>
      <c r="D148" s="20">
        <v>1</v>
      </c>
      <c r="E148" s="20" t="str" cm="1">
        <f t="array" ref="E148">GetValue("Dmn",D148,"Name")</f>
        <v>BigInteger</v>
      </c>
      <c r="F148" s="20">
        <f t="shared" si="12"/>
        <v>5</v>
      </c>
      <c r="G148" s="20" t="str" cm="1">
        <f t="array" ref="G148">GetColumnName(C148,IF(B148=B147,G147,""))</f>
        <v>Id</v>
      </c>
      <c r="H148" s="20" t="s">
        <v>836</v>
      </c>
      <c r="I148" s="20" t="s">
        <v>0</v>
      </c>
      <c r="J148" s="20" t="b">
        <v>1</v>
      </c>
      <c r="K148" s="20" t="b">
        <v>1</v>
      </c>
      <c r="L148" s="20" t="b">
        <v>0</v>
      </c>
      <c r="M148" s="20" t="b">
        <v>0</v>
      </c>
      <c r="N148" s="20"/>
      <c r="O148" s="20"/>
      <c r="P148" s="20" t="b">
        <v>0</v>
      </c>
    </row>
    <row r="149" spans="1:16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ref="F149:F153" si="13">IF(G149="Id",5,F148+5)</f>
        <v>10</v>
      </c>
      <c r="G149" s="20" t="str" cm="1">
        <f t="array" ref="G149">GetColumnName(C149,IF(B149=B148,G148,""))</f>
        <v>ColumnId</v>
      </c>
      <c r="H149" s="20" t="s">
        <v>795</v>
      </c>
      <c r="I149" s="20" t="s">
        <v>632</v>
      </c>
      <c r="J149" s="20" t="s">
        <v>26</v>
      </c>
      <c r="K149" s="20" t="s">
        <v>26</v>
      </c>
      <c r="L149" s="20" t="s">
        <v>26</v>
      </c>
      <c r="M149" s="20" t="s">
        <v>26</v>
      </c>
      <c r="N149" s="20"/>
      <c r="O149" s="20"/>
      <c r="P149" s="20" t="s">
        <v>26</v>
      </c>
    </row>
    <row r="150" spans="1:16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3"/>
        <v>15</v>
      </c>
      <c r="G150" s="20" t="str" cm="1">
        <f t="array" ref="G150">GetColumnName(C150,IF(B150=B149,G149,""))</f>
        <v>TableId</v>
      </c>
      <c r="H150" s="20" t="s">
        <v>601</v>
      </c>
      <c r="I150" s="20" t="s">
        <v>118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</row>
    <row r="151" spans="1:16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3"/>
        <v>20</v>
      </c>
      <c r="G151" s="20" t="str" cm="1">
        <f t="array" ref="G151">GetColumnName(C151,IF(B151=B150,G150,""))</f>
        <v>ExpressionId</v>
      </c>
      <c r="H151" s="20" t="s">
        <v>825</v>
      </c>
      <c r="I151" s="20" t="s">
        <v>833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</row>
    <row r="152" spans="1:16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6</v>
      </c>
      <c r="E152" s="20" t="str" cm="1">
        <f t="array" ref="E152">GetValue("Dmn",D152,"Name")</f>
        <v>Boolean</v>
      </c>
      <c r="F152" s="20">
        <f t="shared" si="13"/>
        <v>25</v>
      </c>
      <c r="G152" s="20" t="str" cm="1">
        <f t="array" ref="G152">GetColumnName(C152,IF(B152=B151,G151,""))</f>
        <v>IsBidirectional</v>
      </c>
      <c r="H152" s="20" t="s">
        <v>821</v>
      </c>
      <c r="I152" s="20" t="s">
        <v>824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</row>
    <row r="153" spans="1:16">
      <c r="A153" s="18">
        <f t="shared" si="5"/>
        <v>152</v>
      </c>
      <c r="B153" s="19">
        <v>24</v>
      </c>
      <c r="C153" s="18" t="str" cm="1">
        <f t="array" ref="C153">GetValue("Tbl",B153,"Alias")</f>
        <v>Usr</v>
      </c>
      <c r="D153" s="18">
        <v>1</v>
      </c>
      <c r="E153" s="18" t="str" cm="1">
        <f t="array" ref="E153">GetValue("Dmn",D153,"Name")</f>
        <v>BigInteger</v>
      </c>
      <c r="F153" s="18">
        <f t="shared" si="13"/>
        <v>5</v>
      </c>
      <c r="G153" s="18" t="str" cm="1">
        <f t="array" ref="G153">GetColumnName(C153,IF(B153=B152,G152,""))</f>
        <v>Id</v>
      </c>
      <c r="H153" s="18" t="s">
        <v>837</v>
      </c>
      <c r="I153" s="18" t="s">
        <v>0</v>
      </c>
      <c r="J153" s="18" t="b">
        <v>1</v>
      </c>
      <c r="K153" s="18" t="b">
        <v>1</v>
      </c>
      <c r="L153" s="18" t="b">
        <v>0</v>
      </c>
      <c r="M153" s="18" t="b">
        <v>0</v>
      </c>
      <c r="N153" s="18"/>
      <c r="O153" s="18"/>
      <c r="P153" s="18" t="b">
        <v>0</v>
      </c>
    </row>
    <row r="154" spans="1:16">
      <c r="A154" s="18">
        <f t="shared" si="5"/>
        <v>153</v>
      </c>
      <c r="B154" s="19">
        <v>24</v>
      </c>
      <c r="C154" s="18" t="str" cm="1">
        <f t="array" ref="C154">GetValue("Tbl",B154,"Alias")</f>
        <v>Usr</v>
      </c>
      <c r="D154" s="18">
        <v>1</v>
      </c>
      <c r="E154" s="18" t="str" cm="1">
        <f t="array" ref="E154">GetValue("Dmn",D154,"Name")</f>
        <v>BigInteger</v>
      </c>
      <c r="F154" s="18">
        <f t="shared" ref="F154:F159" si="14">IF(G154="Id",5,F153+5)</f>
        <v>10</v>
      </c>
      <c r="G154" s="18" t="str" cm="1">
        <f t="array" ref="G154">GetColumnName(C154,IF(B154=B153,G153,""))</f>
        <v>ClientId</v>
      </c>
      <c r="H154" s="18" t="s">
        <v>580</v>
      </c>
      <c r="I154" s="18" t="s">
        <v>581</v>
      </c>
      <c r="J154" s="18" t="s">
        <v>26</v>
      </c>
      <c r="K154" s="18" t="s">
        <v>26</v>
      </c>
      <c r="L154" s="18" t="s">
        <v>26</v>
      </c>
      <c r="M154" s="18" t="s">
        <v>26</v>
      </c>
      <c r="N154" s="18"/>
      <c r="O154" s="18"/>
      <c r="P154" s="18" t="s">
        <v>26</v>
      </c>
    </row>
    <row r="155" spans="1:16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10</v>
      </c>
      <c r="E155" s="18" t="str" cm="1">
        <f t="array" ref="E155">GetValue("Dmn",D155,"Name")</f>
        <v>Nvarchar(25)</v>
      </c>
      <c r="F155" s="18">
        <f t="shared" si="14"/>
        <v>15</v>
      </c>
      <c r="G155" s="18" t="str" cm="1">
        <f t="array" ref="G155">GetColumnName(C155,IF(B155=B154,G154,""))</f>
        <v>Name</v>
      </c>
      <c r="H155" s="18" t="s">
        <v>98</v>
      </c>
      <c r="I155" s="18" t="s">
        <v>98</v>
      </c>
      <c r="J155" s="18" t="s">
        <v>26</v>
      </c>
      <c r="K155" s="18" t="s">
        <v>26</v>
      </c>
      <c r="L155" s="18" t="s">
        <v>26</v>
      </c>
      <c r="M155" s="18" t="s">
        <v>26</v>
      </c>
      <c r="N155" s="18"/>
      <c r="O155" s="18"/>
      <c r="P155" s="18" t="s">
        <v>26</v>
      </c>
    </row>
    <row r="156" spans="1:16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19</v>
      </c>
      <c r="E156" s="18" t="str" cm="1">
        <f t="array" ref="E156">GetValue("Dmn",D156,"Name")</f>
        <v>Varchar(256)</v>
      </c>
      <c r="F156" s="18">
        <f t="shared" si="14"/>
        <v>20</v>
      </c>
      <c r="G156" s="18" t="str" cm="1">
        <f t="array" ref="G156">GetColumnName(C156,IF(B156=B155,G155,""))</f>
        <v>Password</v>
      </c>
      <c r="H156" s="18" t="s">
        <v>838</v>
      </c>
      <c r="I156" s="18" t="s">
        <v>838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</row>
    <row r="157" spans="1:16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5</v>
      </c>
      <c r="E157" s="18" t="str" cm="1">
        <f t="array" ref="E157">GetValue("Dmn",D157,"Name")</f>
        <v>TinyInteger</v>
      </c>
      <c r="F157" s="18">
        <f t="shared" si="14"/>
        <v>25</v>
      </c>
      <c r="G157" s="18" t="str" cm="1">
        <f t="array" ref="G157">GetColumnName(C157,IF(B157=B156,G156,""))</f>
        <v>RetryLogins</v>
      </c>
      <c r="H157" s="18" t="s">
        <v>839</v>
      </c>
      <c r="I157" s="18" t="s">
        <v>841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</row>
    <row r="158" spans="1:16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6</v>
      </c>
      <c r="E158" s="18" t="str" cm="1">
        <f t="array" ref="E158">GetValue("Dmn",D158,"Name")</f>
        <v>Boolean</v>
      </c>
      <c r="F158" s="18">
        <f t="shared" si="14"/>
        <v>30</v>
      </c>
      <c r="G158" s="18" t="str" cm="1">
        <f t="array" ref="G158">GetColumnName(C158,IF(B158=B157,G157,""))</f>
        <v>IsActive</v>
      </c>
      <c r="H158" s="18" t="s">
        <v>840</v>
      </c>
      <c r="I158" s="18" t="s">
        <v>113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</row>
    <row r="159" spans="1:16">
      <c r="A159" s="20">
        <f t="shared" si="5"/>
        <v>158</v>
      </c>
      <c r="B159" s="21">
        <v>25</v>
      </c>
      <c r="C159" s="20" t="str" cm="1">
        <f t="array" ref="C159">GetValue("Tbl",B159,"Alias")</f>
        <v>Prm</v>
      </c>
      <c r="D159" s="20">
        <v>1</v>
      </c>
      <c r="E159" s="20" t="str" cm="1">
        <f t="array" ref="E159">GetValue("Dmn",D159,"Name")</f>
        <v>BigInteger</v>
      </c>
      <c r="F159" s="20">
        <f t="shared" si="14"/>
        <v>5</v>
      </c>
      <c r="G159" s="20" t="str" cm="1">
        <f t="array" ref="G159">GetColumnName(C159,IF(B159=B158,G158,""))</f>
        <v>Id</v>
      </c>
      <c r="H159" s="20" t="s">
        <v>842</v>
      </c>
      <c r="I159" s="20" t="s">
        <v>0</v>
      </c>
      <c r="J159" s="20" t="b">
        <v>1</v>
      </c>
      <c r="K159" s="20" t="b">
        <v>1</v>
      </c>
      <c r="L159" s="20" t="b">
        <v>0</v>
      </c>
      <c r="M159" s="20" t="b">
        <v>0</v>
      </c>
      <c r="N159" s="20"/>
      <c r="O159" s="20"/>
      <c r="P159" s="20" t="b">
        <v>0</v>
      </c>
    </row>
    <row r="160" spans="1:16">
      <c r="A160" s="20">
        <f t="shared" si="5"/>
        <v>159</v>
      </c>
      <c r="B160" s="21">
        <v>25</v>
      </c>
      <c r="C160" s="20" t="str" cm="1">
        <f t="array" ref="C160">GetValue("Tbl",B160,"Alias")</f>
        <v>Prm</v>
      </c>
      <c r="D160" s="20">
        <v>1</v>
      </c>
      <c r="E160" s="20" t="str" cm="1">
        <f t="array" ref="E160">GetValue("Dmn",D160,"Name")</f>
        <v>BigInteger</v>
      </c>
      <c r="F160" s="20">
        <f t="shared" ref="F160:F167" si="15">IF(G160="Id",5,F159+5)</f>
        <v>10</v>
      </c>
      <c r="G160" s="20" t="str" cm="1">
        <f t="array" ref="G160">GetColumnName(C160,IF(B160=B159,G159,""))</f>
        <v>SystemId</v>
      </c>
      <c r="H160" s="20" t="s">
        <v>592</v>
      </c>
      <c r="I160" s="20" t="s">
        <v>111</v>
      </c>
      <c r="J160" s="20" t="s">
        <v>26</v>
      </c>
      <c r="K160" s="20" t="s">
        <v>26</v>
      </c>
      <c r="L160" s="20" t="s">
        <v>26</v>
      </c>
      <c r="M160" s="20" t="s">
        <v>26</v>
      </c>
      <c r="N160" s="20"/>
      <c r="O160" s="20"/>
      <c r="P160" s="20" t="s">
        <v>26</v>
      </c>
    </row>
    <row r="161" spans="1:16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5"/>
        <v>15</v>
      </c>
      <c r="G161" s="20" t="str" cm="1">
        <f t="array" ref="G161">GetColumnName(C161,IF(B161=B160,G160,""))</f>
        <v>UserId</v>
      </c>
      <c r="H161" s="20" t="s">
        <v>843</v>
      </c>
      <c r="I161" s="20" t="s">
        <v>848</v>
      </c>
      <c r="J161" s="20" t="s">
        <v>26</v>
      </c>
      <c r="K161" s="20" t="s">
        <v>26</v>
      </c>
      <c r="L161" s="20" t="s">
        <v>26</v>
      </c>
      <c r="M161" s="20" t="s">
        <v>26</v>
      </c>
      <c r="N161" s="20"/>
      <c r="O161" s="20"/>
      <c r="P161" s="20" t="s">
        <v>26</v>
      </c>
    </row>
    <row r="162" spans="1:16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5"/>
        <v>20</v>
      </c>
      <c r="G162" s="20" t="str" cm="1">
        <f t="array" ref="G162">GetColumnName(C162,IF(B162=B161,G161,""))</f>
        <v>TableId</v>
      </c>
      <c r="H162" s="20" t="s">
        <v>601</v>
      </c>
      <c r="I162" s="20" t="s">
        <v>118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</row>
    <row r="163" spans="1:16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6</v>
      </c>
      <c r="E163" s="20" t="str" cm="1">
        <f t="array" ref="E163">GetValue("Dmn",D163,"Name")</f>
        <v>Boolean</v>
      </c>
      <c r="F163" s="20">
        <f t="shared" si="15"/>
        <v>25</v>
      </c>
      <c r="G163" s="20" t="str" cm="1">
        <f t="array" ref="G163">GetColumnName(C163,IF(B163=B162,G162,""))</f>
        <v>CanCreate</v>
      </c>
      <c r="H163" s="20" t="s">
        <v>844</v>
      </c>
      <c r="I163" s="20" t="s">
        <v>849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</row>
    <row r="164" spans="1:16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6</v>
      </c>
      <c r="E164" s="20" t="str" cm="1">
        <f t="array" ref="E164">GetValue("Dmn",D164,"Name")</f>
        <v>Boolean</v>
      </c>
      <c r="F164" s="20">
        <f t="shared" si="15"/>
        <v>30</v>
      </c>
      <c r="G164" s="20" t="str" cm="1">
        <f t="array" ref="G164">GetColumnName(C164,IF(B164=B163,G163,""))</f>
        <v>CanRead</v>
      </c>
      <c r="H164" s="20" t="s">
        <v>845</v>
      </c>
      <c r="I164" s="20" t="s">
        <v>850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</row>
    <row r="165" spans="1:16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5"/>
        <v>35</v>
      </c>
      <c r="G165" s="20" t="str" cm="1">
        <f t="array" ref="G165">GetColumnName(C165,IF(B165=B164,G164,""))</f>
        <v>CanUpdate</v>
      </c>
      <c r="H165" s="20" t="s">
        <v>846</v>
      </c>
      <c r="I165" s="20" t="s">
        <v>851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</row>
    <row r="166" spans="1:16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5"/>
        <v>40</v>
      </c>
      <c r="G166" s="20" t="str" cm="1">
        <f t="array" ref="G166">GetColumnName(C166,IF(B166=B165,G165,""))</f>
        <v>CanDelete</v>
      </c>
      <c r="H166" s="20" t="s">
        <v>847</v>
      </c>
      <c r="I166" s="20" t="s">
        <v>852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</row>
    <row r="167" spans="1:16">
      <c r="A167" s="18">
        <f t="shared" si="5"/>
        <v>166</v>
      </c>
      <c r="B167" s="19">
        <v>26</v>
      </c>
      <c r="C167" s="18" t="str" cm="1">
        <f t="array" ref="C167">GetValue("Tbl",B167,"Alias")</f>
        <v>Prp</v>
      </c>
      <c r="D167" s="18">
        <v>1</v>
      </c>
      <c r="E167" s="18" t="str" cm="1">
        <f t="array" ref="E167">GetValue("Dmn",D167,"Name")</f>
        <v>BigInteger</v>
      </c>
      <c r="F167" s="18">
        <f t="shared" si="15"/>
        <v>5</v>
      </c>
      <c r="G167" s="18" t="str" cm="1">
        <f t="array" ref="G167">GetColumnName(C167,IF(B167=B166,G166,""))</f>
        <v>Id</v>
      </c>
      <c r="H167" s="18" t="s">
        <v>855</v>
      </c>
      <c r="I167" s="18" t="s">
        <v>0</v>
      </c>
      <c r="J167" s="18" t="b">
        <v>1</v>
      </c>
      <c r="K167" s="18" t="b">
        <v>1</v>
      </c>
      <c r="L167" s="18" t="b">
        <v>0</v>
      </c>
      <c r="M167" s="18" t="b">
        <v>0</v>
      </c>
      <c r="N167" s="18"/>
      <c r="O167" s="18"/>
      <c r="P167" s="18" t="b">
        <v>0</v>
      </c>
    </row>
    <row r="168" spans="1:16">
      <c r="A168" s="18">
        <f t="shared" si="5"/>
        <v>167</v>
      </c>
      <c r="B168" s="19">
        <v>26</v>
      </c>
      <c r="C168" s="18" t="str" cm="1">
        <f t="array" ref="C168">GetValue("Tbl",B168,"Alias")</f>
        <v>Prp</v>
      </c>
      <c r="D168" s="18">
        <v>10</v>
      </c>
      <c r="E168" s="18" t="str" cm="1">
        <f t="array" ref="E168">GetValue("Dmn",D168,"Name")</f>
        <v>Nvarchar(25)</v>
      </c>
      <c r="F168" s="18">
        <f t="shared" ref="F168:F172" si="16">IF(G168="Id",5,F167+5)</f>
        <v>10</v>
      </c>
      <c r="G168" s="18" t="str" cm="1">
        <f t="array" ref="G168">GetColumnName(C168,IF(B168=B167,G167,""))</f>
        <v>Name</v>
      </c>
      <c r="H168" s="18" t="s">
        <v>856</v>
      </c>
      <c r="I168" s="18" t="s">
        <v>98</v>
      </c>
      <c r="J168" s="18" t="s">
        <v>26</v>
      </c>
      <c r="K168" s="18" t="s">
        <v>26</v>
      </c>
      <c r="L168" s="18" t="s">
        <v>26</v>
      </c>
      <c r="M168" s="18" t="s">
        <v>26</v>
      </c>
      <c r="N168" s="18"/>
      <c r="O168" s="18"/>
      <c r="P168" s="18" t="s">
        <v>26</v>
      </c>
    </row>
    <row r="169" spans="1:16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5</v>
      </c>
      <c r="E169" s="18" t="str" cm="1">
        <f t="array" ref="E169">GetValue("Dmn",D169,"Name")</f>
        <v>TinyInteger</v>
      </c>
      <c r="F169" s="18">
        <f t="shared" si="16"/>
        <v>15</v>
      </c>
      <c r="G169" s="18" t="str" cm="1">
        <f t="array" ref="G169">GetColumnName(C169,IF(B169=B168,G168,""))</f>
        <v>CategoryId</v>
      </c>
      <c r="H169" s="18" t="s">
        <v>857</v>
      </c>
      <c r="I169" s="18" t="s">
        <v>99</v>
      </c>
      <c r="J169" s="18" t="s">
        <v>26</v>
      </c>
      <c r="K169" s="18" t="s">
        <v>26</v>
      </c>
      <c r="L169" s="18" t="s">
        <v>26</v>
      </c>
      <c r="M169" s="18" t="s">
        <v>26</v>
      </c>
      <c r="N169" s="18"/>
      <c r="O169" s="18"/>
      <c r="P169" s="18" t="s">
        <v>26</v>
      </c>
    </row>
    <row r="170" spans="1:16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11</v>
      </c>
      <c r="E170" s="18" t="str" cm="1">
        <f t="array" ref="E170">GetValue("Dmn",D170,"Name")</f>
        <v>Nvarchar(50)</v>
      </c>
      <c r="F170" s="18">
        <f t="shared" si="16"/>
        <v>20</v>
      </c>
      <c r="G170" s="18" t="str" cm="1">
        <f t="array" ref="G170">GetColumnName(C170,IF(B170=B169,G169,""))</f>
        <v>Description</v>
      </c>
      <c r="H170" s="18" t="s">
        <v>853</v>
      </c>
      <c r="I170" s="18" t="s">
        <v>110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</row>
    <row r="171" spans="1:16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6</v>
      </c>
      <c r="E171" s="18" t="str" cm="1">
        <f t="array" ref="E171">GetValue("Dmn",D171,"Name")</f>
        <v>Boolean</v>
      </c>
      <c r="F171" s="18">
        <f t="shared" si="16"/>
        <v>25</v>
      </c>
      <c r="G171" s="18" t="str" cm="1">
        <f t="array" ref="G171">GetColumnName(C171,IF(B171=B170,G170,""))</f>
        <v>IsActive</v>
      </c>
      <c r="H171" s="18" t="s">
        <v>854</v>
      </c>
      <c r="I171" s="18" t="s">
        <v>858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</row>
    <row r="172" spans="1:16">
      <c r="A172" s="20">
        <f t="shared" si="5"/>
        <v>171</v>
      </c>
      <c r="B172" s="21">
        <v>27</v>
      </c>
      <c r="C172" s="20" t="str" cm="1">
        <f t="array" ref="C172">GetValue("Tbl",B172,"Alias")</f>
        <v>Bhv</v>
      </c>
      <c r="D172" s="20">
        <v>1</v>
      </c>
      <c r="E172" s="20" t="str" cm="1">
        <f t="array" ref="E172">GetValue("Dmn",D172,"Name")</f>
        <v>BigInteger</v>
      </c>
      <c r="F172" s="20">
        <f t="shared" si="16"/>
        <v>5</v>
      </c>
      <c r="G172" s="20" t="str" cm="1">
        <f t="array" ref="G172">GetColumnName(C172,IF(B172=B171,G171,""))</f>
        <v>Id</v>
      </c>
      <c r="H172" s="20" t="s">
        <v>882</v>
      </c>
      <c r="I172" s="20" t="s">
        <v>0</v>
      </c>
      <c r="J172" s="20" t="b">
        <v>1</v>
      </c>
      <c r="K172" s="20" t="b">
        <v>1</v>
      </c>
      <c r="L172" s="20" t="b">
        <v>0</v>
      </c>
      <c r="M172" s="20" t="b">
        <v>0</v>
      </c>
      <c r="N172" s="20"/>
      <c r="O172" s="20"/>
      <c r="P172" s="20" t="b">
        <v>0</v>
      </c>
    </row>
    <row r="173" spans="1:16">
      <c r="A173" s="20">
        <f t="shared" si="5"/>
        <v>172</v>
      </c>
      <c r="B173" s="21">
        <v>27</v>
      </c>
      <c r="C173" s="20" t="str" cm="1">
        <f t="array" ref="C173">GetValue("Tbl",B173,"Alias")</f>
        <v>Bhv</v>
      </c>
      <c r="D173" s="20">
        <v>1</v>
      </c>
      <c r="E173" s="20" t="str" cm="1">
        <f t="array" ref="E173">GetValue("Dmn",D173,"Name")</f>
        <v>BigInteger</v>
      </c>
      <c r="F173" s="20">
        <f t="shared" ref="F173:F176" si="17">IF(G173="Id",5,F172+5)</f>
        <v>10</v>
      </c>
      <c r="G173" s="20" t="str" cm="1">
        <f t="array" ref="G173">GetColumnName(C173,IF(B173=B172,G172,""))</f>
        <v>ExpressionId</v>
      </c>
      <c r="H173" s="20" t="s">
        <v>825</v>
      </c>
      <c r="I173" s="20" t="s">
        <v>833</v>
      </c>
      <c r="J173" s="20" t="s">
        <v>26</v>
      </c>
      <c r="K173" s="20" t="s">
        <v>26</v>
      </c>
      <c r="L173" s="20" t="s">
        <v>26</v>
      </c>
      <c r="M173" s="20" t="s">
        <v>26</v>
      </c>
      <c r="N173" s="20"/>
      <c r="O173" s="20"/>
      <c r="P173" s="20" t="s">
        <v>26</v>
      </c>
    </row>
    <row r="174" spans="1:16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7"/>
        <v>15</v>
      </c>
      <c r="G174" s="20" t="str" cm="1">
        <f t="array" ref="G174">GetColumnName(C174,IF(B174=B173,G173,""))</f>
        <v>PropertyId</v>
      </c>
      <c r="H174" s="20" t="s">
        <v>855</v>
      </c>
      <c r="I174" s="20" t="s">
        <v>859</v>
      </c>
      <c r="J174" s="20" t="s">
        <v>26</v>
      </c>
      <c r="K174" s="20" t="s">
        <v>26</v>
      </c>
      <c r="L174" s="20" t="s">
        <v>26</v>
      </c>
      <c r="M174" s="20" t="s">
        <v>26</v>
      </c>
      <c r="N174" s="20"/>
      <c r="O174" s="20"/>
      <c r="P174" s="20" t="s">
        <v>26</v>
      </c>
    </row>
    <row r="175" spans="1:16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42</v>
      </c>
      <c r="E175" s="20" t="str" cm="1">
        <f t="array" ref="E175">GetValue("Dmn",D175,"Name")</f>
        <v>Variant</v>
      </c>
      <c r="F175" s="20">
        <f t="shared" si="17"/>
        <v>20</v>
      </c>
      <c r="G175" s="20" t="str" cm="1">
        <f t="array" ref="G175">GetColumnName(C175,IF(B175=B174,G174,""))</f>
        <v>Value</v>
      </c>
      <c r="H175" s="20" t="s">
        <v>861</v>
      </c>
      <c r="I175" s="20" t="s">
        <v>860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</row>
    <row r="176" spans="1:16">
      <c r="A176" s="18">
        <f t="shared" si="5"/>
        <v>175</v>
      </c>
      <c r="B176" s="19">
        <v>28</v>
      </c>
      <c r="C176" s="18" t="str" cm="1">
        <f t="array" ref="C176">GetValue("Tbl",B176,"Alias")</f>
        <v>Sch</v>
      </c>
      <c r="D176" s="18">
        <v>1</v>
      </c>
      <c r="E176" s="18" t="str" cm="1">
        <f t="array" ref="E176">GetValue("Dmn",D176,"Name")</f>
        <v>BigInteger</v>
      </c>
      <c r="F176" s="18">
        <f t="shared" si="17"/>
        <v>5</v>
      </c>
      <c r="G176" s="18" t="str" cm="1">
        <f t="array" ref="G176">GetColumnName(C176,IF(B176=B175,G175,""))</f>
        <v>Id</v>
      </c>
      <c r="H176" s="18" t="s">
        <v>862</v>
      </c>
      <c r="I176" s="18" t="s">
        <v>0</v>
      </c>
      <c r="J176" s="18" t="b">
        <v>1</v>
      </c>
      <c r="K176" s="18" t="b">
        <v>1</v>
      </c>
      <c r="L176" s="18" t="b">
        <v>0</v>
      </c>
      <c r="M176" s="18" t="b">
        <v>0</v>
      </c>
      <c r="N176" s="18"/>
      <c r="O176" s="18"/>
      <c r="P176" s="18" t="b">
        <v>0</v>
      </c>
    </row>
    <row r="177" spans="1:16">
      <c r="A177" s="18">
        <f t="shared" si="5"/>
        <v>176</v>
      </c>
      <c r="B177" s="19">
        <v>28</v>
      </c>
      <c r="C177" s="18" t="str" cm="1">
        <f t="array" ref="C177">GetValue("Tbl",B177,"Alias")</f>
        <v>Sch</v>
      </c>
      <c r="D177" s="18">
        <v>1</v>
      </c>
      <c r="E177" s="18" t="str" cm="1">
        <f t="array" ref="E177">GetValue("Dmn",D177,"Name")</f>
        <v>BigInteger</v>
      </c>
      <c r="F177" s="18">
        <f t="shared" ref="F177:F188" si="18">IF(G177="Id",5,F176+5)</f>
        <v>10</v>
      </c>
      <c r="G177" s="18" t="str" cm="1">
        <f t="array" ref="G177">GetColumnName(C177,IF(B177=B176,G176,""))</f>
        <v>ClientId</v>
      </c>
      <c r="H177" s="18" t="s">
        <v>863</v>
      </c>
      <c r="I177" s="18" t="s">
        <v>581</v>
      </c>
      <c r="J177" s="18" t="s">
        <v>26</v>
      </c>
      <c r="K177" s="18" t="s">
        <v>26</v>
      </c>
      <c r="L177" s="18" t="s">
        <v>26</v>
      </c>
      <c r="M177" s="18" t="s">
        <v>26</v>
      </c>
      <c r="N177" s="18"/>
      <c r="O177" s="18"/>
      <c r="P177" s="18" t="s">
        <v>26</v>
      </c>
    </row>
    <row r="178" spans="1:16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10</v>
      </c>
      <c r="E178" s="18" t="str" cm="1">
        <f t="array" ref="E178">GetValue("Dmn",D178,"Name")</f>
        <v>Nvarchar(25)</v>
      </c>
      <c r="F178" s="18">
        <f t="shared" si="18"/>
        <v>15</v>
      </c>
      <c r="G178" s="18" t="str" cm="1">
        <f t="array" ref="G178">GetColumnName(C178,IF(B178=B177,G177,""))</f>
        <v>Name</v>
      </c>
      <c r="H178" s="18" t="s">
        <v>864</v>
      </c>
      <c r="I178" s="18" t="s">
        <v>98</v>
      </c>
      <c r="J178" s="18" t="s">
        <v>26</v>
      </c>
      <c r="K178" s="18" t="s">
        <v>26</v>
      </c>
      <c r="L178" s="18" t="s">
        <v>26</v>
      </c>
      <c r="M178" s="18" t="s">
        <v>26</v>
      </c>
      <c r="N178" s="18"/>
      <c r="O178" s="18"/>
      <c r="P178" s="18" t="s">
        <v>26</v>
      </c>
    </row>
    <row r="179" spans="1:16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5</v>
      </c>
      <c r="E179" s="18" t="str" cm="1">
        <f t="array" ref="E179">GetValue("Dmn",D179,"Name")</f>
        <v>TinyInteger</v>
      </c>
      <c r="F179" s="18">
        <f t="shared" si="18"/>
        <v>20</v>
      </c>
      <c r="G179" s="18" t="str" cm="1">
        <f t="array" ref="G179">GetColumnName(C179,IF(B179=B178,G178,""))</f>
        <v>Interval</v>
      </c>
      <c r="H179" s="18" t="s">
        <v>865</v>
      </c>
      <c r="I179" s="18" t="s">
        <v>874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</row>
    <row r="180" spans="1:16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8</v>
      </c>
      <c r="E180" s="18" t="str" cm="1">
        <f t="array" ref="E180">GetValue("Dmn",D180,"Name")</f>
        <v>Nvarchar(15)</v>
      </c>
      <c r="F180" s="18">
        <f t="shared" si="18"/>
        <v>25</v>
      </c>
      <c r="G180" s="18" t="str" cm="1">
        <f t="array" ref="G180">GetColumnName(C180,IF(B180=B179,G179,""))</f>
        <v>Periodicity</v>
      </c>
      <c r="H180" s="18" t="s">
        <v>866</v>
      </c>
      <c r="I180" s="18" t="s">
        <v>875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</row>
    <row r="181" spans="1:16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51</v>
      </c>
      <c r="E181" s="18" t="str" cm="1">
        <f t="array" ref="E181">GetValue("Dmn",D181,"Name")</f>
        <v>TIME</v>
      </c>
      <c r="F181" s="18">
        <f t="shared" si="18"/>
        <v>30</v>
      </c>
      <c r="G181" s="18" t="str" cm="1">
        <f t="array" ref="G181">GetColumnName(C181,IF(B181=B180,G180,""))</f>
        <v>TimeOfDay</v>
      </c>
      <c r="H181" s="18" t="s">
        <v>867</v>
      </c>
      <c r="I181" s="18" t="s">
        <v>876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</row>
    <row r="182" spans="1:16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5</v>
      </c>
      <c r="E182" s="18" t="str" cm="1">
        <f t="array" ref="E182">GetValue("Dmn",D182,"Name")</f>
        <v>TinyInteger</v>
      </c>
      <c r="F182" s="18">
        <f t="shared" si="18"/>
        <v>35</v>
      </c>
      <c r="G182" s="18" t="str" cm="1">
        <f t="array" ref="G182">GetColumnName(C182,IF(B182=B181,G181,""))</f>
        <v>DayOfMonth</v>
      </c>
      <c r="H182" s="18" t="s">
        <v>868</v>
      </c>
      <c r="I182" s="18" t="s">
        <v>877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</row>
    <row r="183" spans="1:16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52</v>
      </c>
      <c r="E183" s="18" t="str" cm="1">
        <f t="array" ref="E183">GetValue("Dmn",D183,"Name")</f>
        <v>DATE</v>
      </c>
      <c r="F183" s="18">
        <f t="shared" si="18"/>
        <v>40</v>
      </c>
      <c r="G183" s="18" t="str" cm="1">
        <f t="array" ref="G183">GetColumnName(C183,IF(B183=B182,G182,""))</f>
        <v>NextRunDate</v>
      </c>
      <c r="H183" s="18" t="s">
        <v>869</v>
      </c>
      <c r="I183" s="18" t="s">
        <v>878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</row>
    <row r="184" spans="1:16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6</v>
      </c>
      <c r="E184" s="18" t="str" cm="1">
        <f t="array" ref="E184">GetValue("Dmn",D184,"Name")</f>
        <v>Boolean</v>
      </c>
      <c r="F184" s="18">
        <f t="shared" si="18"/>
        <v>45</v>
      </c>
      <c r="G184" s="18" t="str" cm="1">
        <f t="array" ref="G184">GetColumnName(C184,IF(B184=B183,G183,""))</f>
        <v>IsFirstOrLastDay</v>
      </c>
      <c r="H184" s="18" t="s">
        <v>873</v>
      </c>
      <c r="I184" s="18" t="s">
        <v>879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</row>
    <row r="185" spans="1:16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6</v>
      </c>
      <c r="E185" s="18" t="str" cm="1">
        <f t="array" ref="E185">GetValue("Dmn",D185,"Name")</f>
        <v>Boolean</v>
      </c>
      <c r="F185" s="18">
        <f t="shared" si="18"/>
        <v>50</v>
      </c>
      <c r="G185" s="18" t="str" cm="1">
        <f t="array" ref="G185">GetColumnName(C185,IF(B185=B184,G184,""))</f>
        <v>IsBusinessDays</v>
      </c>
      <c r="H185" s="18" t="s">
        <v>870</v>
      </c>
      <c r="I185" s="18" t="s">
        <v>880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</row>
    <row r="186" spans="1:16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18"/>
        <v>55</v>
      </c>
      <c r="G186" s="18" t="str" cm="1">
        <f t="array" ref="G186">GetColumnName(C186,IF(B186=B185,G185,""))</f>
        <v>IsRunOnce</v>
      </c>
      <c r="H186" s="18" t="s">
        <v>872</v>
      </c>
      <c r="I186" s="18" t="s">
        <v>881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</row>
    <row r="187" spans="1:16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18"/>
        <v>60</v>
      </c>
      <c r="G187" s="18" t="str" cm="1">
        <f t="array" ref="G187">GetColumnName(C187,IF(B187=B186,G186,""))</f>
        <v>IsActive</v>
      </c>
      <c r="H187" s="18" t="s">
        <v>871</v>
      </c>
      <c r="I187" s="18" t="s">
        <v>113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</row>
    <row r="188" spans="1:16">
      <c r="A188" s="20">
        <f t="shared" si="5"/>
        <v>187</v>
      </c>
      <c r="B188" s="21">
        <v>29</v>
      </c>
      <c r="C188" s="20" t="str" cm="1">
        <f t="array" ref="C188">GetValue("Tbl",B188,"Alias")</f>
        <v>Hok</v>
      </c>
      <c r="D188" s="20">
        <v>1</v>
      </c>
      <c r="E188" s="20" t="str" cm="1">
        <f t="array" ref="E188">GetValue("Dmn",D188,"Name")</f>
        <v>BigInteger</v>
      </c>
      <c r="F188" s="20">
        <f t="shared" si="18"/>
        <v>5</v>
      </c>
      <c r="G188" s="20" t="str" cm="1">
        <f t="array" ref="G188">GetColumnName(C188,IF(B188=B187,G187,""))</f>
        <v>Id</v>
      </c>
      <c r="H188" s="20" t="s">
        <v>883</v>
      </c>
      <c r="I188" s="20" t="s">
        <v>0</v>
      </c>
      <c r="J188" s="20" t="b">
        <v>1</v>
      </c>
      <c r="K188" s="20" t="b">
        <v>1</v>
      </c>
      <c r="L188" s="20" t="b">
        <v>0</v>
      </c>
      <c r="M188" s="20" t="b">
        <v>0</v>
      </c>
      <c r="N188" s="20"/>
      <c r="O188" s="20"/>
      <c r="P188" s="20" t="b">
        <v>0</v>
      </c>
    </row>
    <row r="189" spans="1:16">
      <c r="A189" s="20">
        <f t="shared" si="5"/>
        <v>188</v>
      </c>
      <c r="B189" s="21">
        <v>29</v>
      </c>
      <c r="C189" s="20" t="str" cm="1">
        <f t="array" ref="C189">GetValue("Tbl",B189,"Alias")</f>
        <v>Hok</v>
      </c>
      <c r="D189" s="20">
        <v>1</v>
      </c>
      <c r="E189" s="20" t="str" cm="1">
        <f t="array" ref="E189">GetValue("Dmn",D189,"Name")</f>
        <v>BigInteger</v>
      </c>
      <c r="F189" s="20">
        <f t="shared" ref="F189:F193" si="19">IF(G189="Id",5,F188+5)</f>
        <v>10</v>
      </c>
      <c r="G189" s="20" t="str" cm="1">
        <f t="array" ref="G189">GetColumnName(C189,IF(B189=B188,G188,""))</f>
        <v>TableId</v>
      </c>
      <c r="H189" s="20" t="s">
        <v>887</v>
      </c>
      <c r="I189" s="20" t="s">
        <v>118</v>
      </c>
      <c r="J189" s="20" t="s">
        <v>26</v>
      </c>
      <c r="K189" s="20" t="s">
        <v>26</v>
      </c>
      <c r="L189" s="20" t="s">
        <v>26</v>
      </c>
      <c r="M189" s="20" t="s">
        <v>26</v>
      </c>
      <c r="N189" s="20"/>
      <c r="O189" s="20"/>
      <c r="P189" s="20" t="s">
        <v>26</v>
      </c>
    </row>
    <row r="190" spans="1:16">
      <c r="A190" s="20">
        <f t="shared" si="5"/>
        <v>189</v>
      </c>
      <c r="B190" s="21">
        <v>29</v>
      </c>
      <c r="C190" s="20" t="str" cm="1">
        <f t="array" ref="C190">GetValue("Tbl",B190,"Alias")</f>
        <v>Hok</v>
      </c>
      <c r="D190" s="20">
        <v>10</v>
      </c>
      <c r="E190" s="20" t="str" cm="1">
        <f t="array" ref="E190">GetValue("Dmn",D190,"Name")</f>
        <v>Nvarchar(25)</v>
      </c>
      <c r="F190" s="20">
        <f t="shared" si="19"/>
        <v>15</v>
      </c>
      <c r="G190" s="20" t="str" cm="1">
        <f t="array" ref="G190">GetColumnName(C190,IF(B190=B189,G189,""))</f>
        <v>Name</v>
      </c>
      <c r="H190" s="20" t="s">
        <v>884</v>
      </c>
      <c r="I190" s="20" t="s">
        <v>98</v>
      </c>
      <c r="J190" s="20" t="s">
        <v>26</v>
      </c>
      <c r="K190" s="20" t="s">
        <v>26</v>
      </c>
      <c r="L190" s="20" t="s">
        <v>26</v>
      </c>
      <c r="M190" s="20" t="s">
        <v>26</v>
      </c>
      <c r="N190" s="20"/>
      <c r="O190" s="20"/>
      <c r="P190" s="20" t="s">
        <v>26</v>
      </c>
    </row>
    <row r="191" spans="1:16">
      <c r="A191" s="20">
        <f t="shared" si="5"/>
        <v>190</v>
      </c>
      <c r="B191" s="21">
        <v>29</v>
      </c>
      <c r="C191" s="20" t="str" cm="1">
        <f t="array" ref="C191">GetValue("Tbl",B191,"Alias")</f>
        <v>Hok</v>
      </c>
      <c r="D191" s="20">
        <v>6</v>
      </c>
      <c r="E191" s="20" t="str" cm="1">
        <f t="array" ref="E191">GetValue("Dmn",D191,"Name")</f>
        <v>Boolean</v>
      </c>
      <c r="F191" s="20">
        <f t="shared" si="19"/>
        <v>20</v>
      </c>
      <c r="G191" s="20" t="str" cm="1">
        <f t="array" ref="G191">GetColumnName(C191,IF(B191=B190,G190,""))</f>
        <v>IsBefore</v>
      </c>
      <c r="H191" s="20" t="s">
        <v>885</v>
      </c>
      <c r="I191" s="20" t="s">
        <v>888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</row>
    <row r="192" spans="1:16">
      <c r="A192" s="20">
        <f t="shared" si="5"/>
        <v>191</v>
      </c>
      <c r="B192" s="21">
        <v>29</v>
      </c>
      <c r="C192" s="20" t="str" cm="1">
        <f t="array" ref="C192">GetValue("Tbl",B192,"Alias")</f>
        <v>Hok</v>
      </c>
      <c r="D192" s="20">
        <v>6</v>
      </c>
      <c r="E192" s="20" t="str" cm="1">
        <f t="array" ref="E192">GetValue("Dmn",D192,"Name")</f>
        <v>Boolean</v>
      </c>
      <c r="F192" s="20">
        <f t="shared" si="19"/>
        <v>25</v>
      </c>
      <c r="G192" s="20" t="str" cm="1">
        <f t="array" ref="G192">GetColumnName(C192,IF(B192=B191,G191,""))</f>
        <v>IsActive</v>
      </c>
      <c r="H192" s="20" t="s">
        <v>886</v>
      </c>
      <c r="I192" s="20" t="s">
        <v>113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</row>
    <row r="193" spans="1:16">
      <c r="A193" s="18">
        <f t="shared" si="5"/>
        <v>192</v>
      </c>
      <c r="B193" s="19">
        <v>30</v>
      </c>
      <c r="C193" s="18" t="str" cm="1">
        <f t="array" ref="C193">GetValue("Tbl",B193,"Alias")</f>
        <v>Scr</v>
      </c>
      <c r="D193" s="18">
        <v>1</v>
      </c>
      <c r="E193" s="18" t="str" cm="1">
        <f t="array" ref="E193">GetValue("Dmn",D193,"Name")</f>
        <v>BigInteger</v>
      </c>
      <c r="F193" s="18">
        <f t="shared" si="19"/>
        <v>5</v>
      </c>
      <c r="G193" s="18" t="str" cm="1">
        <f t="array" ref="G193">GetColumnName(C193,IF(B193=B192,G192,""))</f>
        <v>Id</v>
      </c>
      <c r="H193" s="18" t="s">
        <v>889</v>
      </c>
      <c r="I193" s="18" t="s">
        <v>0</v>
      </c>
      <c r="J193" s="18" t="b">
        <v>1</v>
      </c>
      <c r="K193" s="18" t="b">
        <v>1</v>
      </c>
      <c r="L193" s="18" t="b">
        <v>0</v>
      </c>
      <c r="M193" s="18" t="b">
        <v>0</v>
      </c>
      <c r="N193" s="18"/>
      <c r="O193" s="18"/>
      <c r="P193" s="18" t="b">
        <v>0</v>
      </c>
    </row>
    <row r="194" spans="1:16">
      <c r="A194" s="18">
        <f t="shared" si="5"/>
        <v>193</v>
      </c>
      <c r="B194" s="19">
        <v>30</v>
      </c>
      <c r="C194" s="18" t="str" cm="1">
        <f t="array" ref="C194">GetValue("Tbl",B194,"Alias")</f>
        <v>Scr</v>
      </c>
      <c r="D194" s="18">
        <v>1</v>
      </c>
      <c r="E194" s="18" t="str" cm="1">
        <f t="array" ref="E194">GetValue("Dmn",D194,"Name")</f>
        <v>BigInteger</v>
      </c>
      <c r="F194" s="18">
        <f t="shared" ref="F194:F198" si="20">IF(G194="Id",5,F193+5)</f>
        <v>10</v>
      </c>
      <c r="G194" s="18" t="str" cm="1">
        <f t="array" ref="G194">GetColumnName(C194,IF(B194=B193,G193,""))</f>
        <v>HookId</v>
      </c>
      <c r="H194" s="18" t="s">
        <v>883</v>
      </c>
      <c r="I194" s="18" t="s">
        <v>890</v>
      </c>
      <c r="J194" s="18" t="s">
        <v>26</v>
      </c>
      <c r="K194" s="18" t="s">
        <v>26</v>
      </c>
      <c r="L194" s="18" t="s">
        <v>26</v>
      </c>
      <c r="M194" s="18" t="s">
        <v>26</v>
      </c>
      <c r="N194" s="18"/>
      <c r="O194" s="18"/>
      <c r="P194" s="18" t="s">
        <v>26</v>
      </c>
    </row>
    <row r="195" spans="1:16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0"/>
        <v>15</v>
      </c>
      <c r="G195" s="18" t="str" cm="1">
        <f t="array" ref="G195">GetColumnName(C195,IF(B195=B194,G194,""))</f>
        <v>DatabaseId</v>
      </c>
      <c r="H195" s="18" t="s">
        <v>579</v>
      </c>
      <c r="I195" s="18" t="s">
        <v>114</v>
      </c>
      <c r="J195" s="18" t="s">
        <v>26</v>
      </c>
      <c r="K195" s="18" t="s">
        <v>26</v>
      </c>
      <c r="L195" s="18" t="s">
        <v>26</v>
      </c>
      <c r="M195" s="18" t="s">
        <v>26</v>
      </c>
      <c r="N195" s="18"/>
      <c r="O195" s="18"/>
      <c r="P195" s="18" t="s">
        <v>26</v>
      </c>
    </row>
    <row r="196" spans="1:16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4</v>
      </c>
      <c r="E196" s="18" t="str" cm="1">
        <f t="array" ref="E196">GetValue("Dmn",D196,"Name")</f>
        <v>SmallInteger</v>
      </c>
      <c r="F196" s="18">
        <f t="shared" si="20"/>
        <v>20</v>
      </c>
      <c r="G196" s="18" t="str" cm="1">
        <f t="array" ref="G196">GetColumnName(C196,IF(B196=B195,G195,""))</f>
        <v>Sequence</v>
      </c>
      <c r="H196" s="18" t="s">
        <v>893</v>
      </c>
      <c r="I196" s="18" t="s">
        <v>112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</row>
    <row r="197" spans="1:16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13</v>
      </c>
      <c r="E197" s="18" t="str" cm="1">
        <f t="array" ref="E197">GetValue("Dmn",D197,"Name")</f>
        <v>Nvarchar(max)</v>
      </c>
      <c r="F197" s="18">
        <f t="shared" si="20"/>
        <v>25</v>
      </c>
      <c r="G197" s="18" t="str" cm="1">
        <f t="array" ref="G197">GetColumnName(C197,IF(B197=B196,G196,""))</f>
        <v>Script</v>
      </c>
      <c r="H197" s="18" t="s">
        <v>508</v>
      </c>
      <c r="I197" s="18" t="s">
        <v>508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</row>
    <row r="198" spans="1:16">
      <c r="A198" s="20">
        <f t="shared" si="5"/>
        <v>197</v>
      </c>
      <c r="B198" s="21">
        <v>31</v>
      </c>
      <c r="C198" s="20" t="str" cm="1">
        <f t="array" ref="C198">GetValue("Tbl",B198,"Alias")</f>
        <v>Url</v>
      </c>
      <c r="D198" s="20">
        <v>1</v>
      </c>
      <c r="E198" s="20" t="str" cm="1">
        <f t="array" ref="E198">GetValue("Dmn",D198,"Name")</f>
        <v>BigInteger</v>
      </c>
      <c r="F198" s="20">
        <f t="shared" si="20"/>
        <v>5</v>
      </c>
      <c r="G198" s="20" t="str" cm="1">
        <f t="array" ref="G198">GetColumnName(C198,IF(B198=B197,G197,""))</f>
        <v>Id</v>
      </c>
      <c r="H198" s="20" t="s">
        <v>891</v>
      </c>
      <c r="I198" s="20" t="s">
        <v>0</v>
      </c>
      <c r="J198" s="20" t="b">
        <v>1</v>
      </c>
      <c r="K198" s="20" t="b">
        <v>1</v>
      </c>
      <c r="L198" s="20" t="b">
        <v>0</v>
      </c>
      <c r="M198" s="20" t="b">
        <v>0</v>
      </c>
      <c r="N198" s="20"/>
      <c r="O198" s="20"/>
      <c r="P198" s="20" t="b">
        <v>0</v>
      </c>
    </row>
    <row r="199" spans="1:16">
      <c r="A199" s="20">
        <f t="shared" si="5"/>
        <v>198</v>
      </c>
      <c r="B199" s="21">
        <v>31</v>
      </c>
      <c r="C199" s="20" t="str" cm="1">
        <f t="array" ref="C199">GetValue("Tbl",B199,"Alias")</f>
        <v>Url</v>
      </c>
      <c r="D199" s="20">
        <v>1</v>
      </c>
      <c r="E199" s="20" t="str" cm="1">
        <f t="array" ref="E199">GetValue("Dmn",D199,"Name")</f>
        <v>BigInteger</v>
      </c>
      <c r="F199" s="20">
        <f t="shared" ref="F199:F203" si="21">IF(G199="Id",5,F198+5)</f>
        <v>10</v>
      </c>
      <c r="G199" s="20" t="str" cm="1">
        <f t="array" ref="G199">GetColumnName(C199,IF(B199=B198,G198,""))</f>
        <v>HookId</v>
      </c>
      <c r="H199" s="20" t="s">
        <v>883</v>
      </c>
      <c r="I199" s="20" t="s">
        <v>890</v>
      </c>
      <c r="J199" s="20" t="s">
        <v>26</v>
      </c>
      <c r="K199" s="20" t="s">
        <v>26</v>
      </c>
      <c r="L199" s="20" t="s">
        <v>26</v>
      </c>
      <c r="M199" s="20" t="s">
        <v>26</v>
      </c>
      <c r="N199" s="20"/>
      <c r="O199" s="20"/>
      <c r="P199" s="20" t="s">
        <v>26</v>
      </c>
    </row>
    <row r="200" spans="1:16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4</v>
      </c>
      <c r="E200" s="20" t="str" cm="1">
        <f t="array" ref="E200">GetValue("Dmn",D200,"Name")</f>
        <v>SmallInteger</v>
      </c>
      <c r="F200" s="20">
        <f t="shared" si="21"/>
        <v>15</v>
      </c>
      <c r="G200" s="20" t="str" cm="1">
        <f t="array" ref="G200">GetColumnName(C200,IF(B200=B199,G199,""))</f>
        <v>Sequence</v>
      </c>
      <c r="H200" s="20" t="s">
        <v>894</v>
      </c>
      <c r="I200" s="20" t="s">
        <v>112</v>
      </c>
      <c r="J200" s="20" t="s">
        <v>26</v>
      </c>
      <c r="K200" s="20" t="s">
        <v>26</v>
      </c>
      <c r="L200" s="20" t="s">
        <v>26</v>
      </c>
      <c r="M200" s="20" t="s">
        <v>26</v>
      </c>
      <c r="N200" s="20"/>
      <c r="O200" s="20"/>
      <c r="P200" s="20" t="s">
        <v>26</v>
      </c>
    </row>
    <row r="201" spans="1:16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8</v>
      </c>
      <c r="E201" s="20" t="str" cm="1">
        <f t="array" ref="E201">GetValue("Dmn",D201,"Name")</f>
        <v>Nvarchar(15)</v>
      </c>
      <c r="F201" s="20">
        <f t="shared" si="21"/>
        <v>20</v>
      </c>
      <c r="G201" s="20" t="str" cm="1">
        <f t="array" ref="G201">GetColumnName(C201,IF(B201=B200,G200,""))</f>
        <v>Method</v>
      </c>
      <c r="H201" s="20" t="s">
        <v>895</v>
      </c>
      <c r="I201" s="20" t="s">
        <v>896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</row>
    <row r="202" spans="1:16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13</v>
      </c>
      <c r="E202" s="20" t="str" cm="1">
        <f t="array" ref="E202">GetValue("Dmn",D202,"Name")</f>
        <v>Nvarchar(max)</v>
      </c>
      <c r="F202" s="20">
        <f t="shared" si="21"/>
        <v>25</v>
      </c>
      <c r="G202" s="20" t="str" cm="1">
        <f t="array" ref="G202">GetColumnName(C202,IF(B202=B201,G201,""))</f>
        <v>URL</v>
      </c>
      <c r="H202" s="20" t="s">
        <v>891</v>
      </c>
      <c r="I202" s="20" t="s">
        <v>892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</row>
    <row r="203" spans="1:16">
      <c r="A203" s="18">
        <f t="shared" si="5"/>
        <v>202</v>
      </c>
      <c r="B203" s="19">
        <v>32</v>
      </c>
      <c r="C203" s="18" t="str" cm="1">
        <f t="array" ref="C203">GetValue("Tbl",B203,"Alias")</f>
        <v>Ses</v>
      </c>
      <c r="D203" s="18">
        <v>1</v>
      </c>
      <c r="E203" s="18" t="str" cm="1">
        <f t="array" ref="E203">GetValue("Dmn",D203,"Name")</f>
        <v>BigInteger</v>
      </c>
      <c r="F203" s="18">
        <f t="shared" si="21"/>
        <v>5</v>
      </c>
      <c r="G203" s="18" t="str" cm="1">
        <f t="array" ref="G203">GetColumnName(C203,IF(B203=B202,G202,""))</f>
        <v>Id</v>
      </c>
      <c r="H203" s="18" t="s">
        <v>897</v>
      </c>
      <c r="I203" s="18" t="s">
        <v>0</v>
      </c>
      <c r="J203" s="18" t="b">
        <v>1</v>
      </c>
      <c r="K203" s="18" t="b">
        <v>1</v>
      </c>
      <c r="L203" s="18" t="b">
        <v>0</v>
      </c>
      <c r="M203" s="18" t="b">
        <v>0</v>
      </c>
      <c r="N203" s="18"/>
      <c r="O203" s="18"/>
      <c r="P203" s="18" t="b">
        <v>0</v>
      </c>
    </row>
    <row r="204" spans="1:16">
      <c r="A204" s="18">
        <f t="shared" si="5"/>
        <v>203</v>
      </c>
      <c r="B204" s="19">
        <v>32</v>
      </c>
      <c r="C204" s="18" t="str" cm="1">
        <f t="array" ref="C204">GetValue("Tbl",B204,"Alias")</f>
        <v>Ses</v>
      </c>
      <c r="D204" s="18">
        <v>1</v>
      </c>
      <c r="E204" s="18" t="str" cm="1">
        <f t="array" ref="E204">GetValue("Dmn",D204,"Name")</f>
        <v>BigInteger</v>
      </c>
      <c r="F204" s="18">
        <f t="shared" ref="F204:F209" si="22">IF(G204="Id",5,F203+5)</f>
        <v>10</v>
      </c>
      <c r="G204" s="18" t="str" cm="1">
        <f t="array" ref="G204">GetColumnName(C204,IF(B204=B203,G203,""))</f>
        <v>ClientId</v>
      </c>
      <c r="H204" s="18" t="s">
        <v>580</v>
      </c>
      <c r="I204" s="18" t="s">
        <v>581</v>
      </c>
      <c r="J204" s="18" t="s">
        <v>26</v>
      </c>
      <c r="K204" s="18" t="s">
        <v>26</v>
      </c>
      <c r="L204" s="18" t="s">
        <v>26</v>
      </c>
      <c r="M204" s="18" t="s">
        <v>26</v>
      </c>
      <c r="N204" s="18"/>
      <c r="O204" s="18"/>
      <c r="P204" s="18" t="s">
        <v>26</v>
      </c>
    </row>
    <row r="205" spans="1:16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2"/>
        <v>15</v>
      </c>
      <c r="G205" s="18" t="str" cm="1">
        <f t="array" ref="G205">GetColumnName(C205,IF(B205=B204,G204,""))</f>
        <v>SystemId</v>
      </c>
      <c r="H205" s="18" t="s">
        <v>898</v>
      </c>
      <c r="I205" s="18" t="s">
        <v>111</v>
      </c>
      <c r="J205" s="18" t="s">
        <v>26</v>
      </c>
      <c r="K205" s="18" t="s">
        <v>26</v>
      </c>
      <c r="L205" s="18" t="s">
        <v>26</v>
      </c>
      <c r="M205" s="18" t="s">
        <v>26</v>
      </c>
      <c r="N205" s="18"/>
      <c r="O205" s="18"/>
      <c r="P205" s="18" t="s">
        <v>26</v>
      </c>
    </row>
    <row r="206" spans="1:16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2"/>
        <v>20</v>
      </c>
      <c r="G206" s="18" t="str" cm="1">
        <f t="array" ref="G206">GetColumnName(C206,IF(B206=B205,G205,""))</f>
        <v>UserId</v>
      </c>
      <c r="H206" s="18" t="s">
        <v>837</v>
      </c>
      <c r="I206" s="18" t="s">
        <v>848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</row>
    <row r="207" spans="1:16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19</v>
      </c>
      <c r="E207" s="18" t="str" cm="1">
        <f t="array" ref="E207">GetValue("Dmn",D207,"Name")</f>
        <v>Varchar(256)</v>
      </c>
      <c r="F207" s="18">
        <f t="shared" si="22"/>
        <v>25</v>
      </c>
      <c r="G207" s="18" t="str" cm="1">
        <f t="array" ref="G207">GetColumnName(C207,IF(B207=B206,G206,""))</f>
        <v>PublicKey</v>
      </c>
      <c r="H207" s="18" t="s">
        <v>899</v>
      </c>
      <c r="I207" s="18" t="s">
        <v>899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</row>
    <row r="208" spans="1:16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6</v>
      </c>
      <c r="E208" s="18" t="str" cm="1">
        <f t="array" ref="E208">GetValue("Dmn",D208,"Name")</f>
        <v>Boolean</v>
      </c>
      <c r="F208" s="18">
        <f t="shared" si="22"/>
        <v>30</v>
      </c>
      <c r="G208" s="18" t="str" cm="1">
        <f t="array" ref="G208">GetColumnName(C208,IF(B208=B207,G207,""))</f>
        <v>IsLogged</v>
      </c>
      <c r="H208" s="18" t="s">
        <v>900</v>
      </c>
      <c r="I208" s="18" t="s">
        <v>901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</row>
    <row r="209" spans="1:16">
      <c r="A209" s="20">
        <f t="shared" si="5"/>
        <v>208</v>
      </c>
      <c r="B209" s="21">
        <v>33</v>
      </c>
      <c r="C209" s="20" t="str" cm="1">
        <f t="array" ref="C209">GetValue("Tbl",B209,"Alias")</f>
        <v>Trs</v>
      </c>
      <c r="D209" s="20">
        <v>1</v>
      </c>
      <c r="E209" s="20" t="str" cm="1">
        <f t="array" ref="E209">GetValue("Dmn",D209,"Name")</f>
        <v>BigInteger</v>
      </c>
      <c r="F209" s="20">
        <f t="shared" si="22"/>
        <v>5</v>
      </c>
      <c r="G209" s="20" t="str" cm="1">
        <f t="array" ref="G209">GetColumnName(C209,IF(B209=B208,G208,""))</f>
        <v>Id</v>
      </c>
      <c r="H209" s="20" t="s">
        <v>902</v>
      </c>
      <c r="I209" s="20" t="s">
        <v>0</v>
      </c>
      <c r="J209" s="20" t="b">
        <v>1</v>
      </c>
      <c r="K209" s="20" t="b">
        <v>1</v>
      </c>
      <c r="L209" s="20" t="b">
        <v>0</v>
      </c>
      <c r="M209" s="20" t="b">
        <v>0</v>
      </c>
      <c r="N209" s="20"/>
      <c r="O209" s="20"/>
      <c r="P209" s="20" t="b">
        <v>0</v>
      </c>
    </row>
    <row r="210" spans="1:16">
      <c r="A210" s="20">
        <f t="shared" si="5"/>
        <v>209</v>
      </c>
      <c r="B210" s="21">
        <v>33</v>
      </c>
      <c r="C210" s="20" t="str" cm="1">
        <f t="array" ref="C210">GetValue("Tbl",B210,"Alias")</f>
        <v>Trs</v>
      </c>
      <c r="D210" s="20">
        <v>1</v>
      </c>
      <c r="E210" s="20" t="str" cm="1">
        <f t="array" ref="E210">GetValue("Dmn",D210,"Name")</f>
        <v>BigInteger</v>
      </c>
      <c r="F210" s="20">
        <f t="shared" ref="F210:F212" si="23">IF(G210="Id",5,F209+5)</f>
        <v>10</v>
      </c>
      <c r="G210" s="20" t="str" cm="1">
        <f t="array" ref="G210">GetColumnName(C210,IF(B210=B209,G209,""))</f>
        <v>SessionId</v>
      </c>
      <c r="H210" s="20" t="s">
        <v>897</v>
      </c>
      <c r="I210" s="20" t="s">
        <v>904</v>
      </c>
      <c r="J210" s="20" t="s">
        <v>26</v>
      </c>
      <c r="K210" s="20" t="s">
        <v>26</v>
      </c>
      <c r="L210" s="20" t="s">
        <v>26</v>
      </c>
      <c r="M210" s="20" t="s">
        <v>26</v>
      </c>
      <c r="N210" s="20"/>
      <c r="O210" s="20"/>
      <c r="P210" s="20" t="s">
        <v>26</v>
      </c>
    </row>
    <row r="211" spans="1:16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6</v>
      </c>
      <c r="E211" s="20" t="str" cm="1">
        <f t="array" ref="E211">GetValue("Dmn",D211,"Name")</f>
        <v>Boolean</v>
      </c>
      <c r="F211" s="20">
        <f t="shared" si="23"/>
        <v>15</v>
      </c>
      <c r="G211" s="20" t="str" cm="1">
        <f t="array" ref="G211">GetColumnName(C211,IF(B211=B210,G210,""))</f>
        <v>IsConfirmed</v>
      </c>
      <c r="H211" s="20" t="s">
        <v>903</v>
      </c>
      <c r="I211" s="20" t="s">
        <v>905</v>
      </c>
      <c r="J211" s="20" t="s">
        <v>26</v>
      </c>
      <c r="K211" s="20" t="s">
        <v>26</v>
      </c>
      <c r="L211" s="20" t="s">
        <v>26</v>
      </c>
      <c r="M211" s="20" t="s">
        <v>26</v>
      </c>
      <c r="N211" s="20"/>
      <c r="O211" s="20"/>
      <c r="P211" s="20" t="s">
        <v>26</v>
      </c>
    </row>
    <row r="212" spans="1:16">
      <c r="A212" s="18">
        <f t="shared" si="5"/>
        <v>211</v>
      </c>
      <c r="B212" s="19">
        <v>34</v>
      </c>
      <c r="C212" s="18" t="str" cm="1">
        <f t="array" ref="C212">GetValue("Tbl",B212,"Alias")</f>
        <v>Ope</v>
      </c>
      <c r="D212" s="18">
        <v>1</v>
      </c>
      <c r="E212" s="18" t="str" cm="1">
        <f t="array" ref="E212">GetValue("Dmn",D212,"Name")</f>
        <v>BigInteger</v>
      </c>
      <c r="F212" s="18">
        <f t="shared" si="23"/>
        <v>5</v>
      </c>
      <c r="G212" s="18" t="str" cm="1">
        <f t="array" ref="G212">GetColumnName(C212,IF(B212=B211,G211,""))</f>
        <v>Id</v>
      </c>
      <c r="H212" s="18" t="s">
        <v>906</v>
      </c>
      <c r="I212" s="18" t="s">
        <v>0</v>
      </c>
      <c r="J212" s="18" t="b">
        <v>1</v>
      </c>
      <c r="K212" s="18" t="b">
        <v>1</v>
      </c>
      <c r="L212" s="18" t="b">
        <v>0</v>
      </c>
      <c r="M212" s="18" t="b">
        <v>0</v>
      </c>
      <c r="N212" s="18"/>
      <c r="O212" s="18"/>
      <c r="P212" s="18" t="b">
        <v>0</v>
      </c>
    </row>
    <row r="213" spans="1:16">
      <c r="A213" s="18">
        <f t="shared" si="5"/>
        <v>212</v>
      </c>
      <c r="B213" s="19">
        <v>34</v>
      </c>
      <c r="C213" s="18" t="str" cm="1">
        <f t="array" ref="C213">GetValue("Tbl",B213,"Alias")</f>
        <v>Ope</v>
      </c>
      <c r="D213" s="18">
        <v>1</v>
      </c>
      <c r="E213" s="18" t="str" cm="1">
        <f t="array" ref="E213">GetValue("Dmn",D213,"Name")</f>
        <v>BigInteger</v>
      </c>
      <c r="F213" s="18">
        <f t="shared" ref="F213:F218" si="24">IF(G213="Id",5,F212+5)</f>
        <v>10</v>
      </c>
      <c r="G213" s="18" t="str" cm="1">
        <f t="array" ref="G213">GetColumnName(C213,IF(B213=B212,G212,""))</f>
        <v>TransactionId</v>
      </c>
      <c r="H213" s="18" t="s">
        <v>902</v>
      </c>
      <c r="I213" s="18" t="s">
        <v>911</v>
      </c>
      <c r="J213" s="18" t="s">
        <v>26</v>
      </c>
      <c r="K213" s="18" t="s">
        <v>26</v>
      </c>
      <c r="L213" s="18" t="s">
        <v>26</v>
      </c>
      <c r="M213" s="18" t="s">
        <v>26</v>
      </c>
      <c r="N213" s="18"/>
      <c r="O213" s="18"/>
      <c r="P213" s="18" t="s">
        <v>26</v>
      </c>
    </row>
    <row r="214" spans="1:16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10</v>
      </c>
      <c r="E214" s="18" t="str" cm="1">
        <f t="array" ref="E214">GetValue("Dmn",D214,"Name")</f>
        <v>Nvarchar(25)</v>
      </c>
      <c r="F214" s="18">
        <f t="shared" si="24"/>
        <v>15</v>
      </c>
      <c r="G214" s="18" t="str" cm="1">
        <f t="array" ref="G214">GetColumnName(C214,IF(B214=B213,G213,""))</f>
        <v>TableName</v>
      </c>
      <c r="H214" s="18" t="s">
        <v>115</v>
      </c>
      <c r="I214" s="18" t="s">
        <v>118</v>
      </c>
      <c r="J214" s="18" t="s">
        <v>26</v>
      </c>
      <c r="K214" s="18" t="s">
        <v>26</v>
      </c>
      <c r="L214" s="18" t="s">
        <v>26</v>
      </c>
      <c r="M214" s="18" t="s">
        <v>26</v>
      </c>
      <c r="N214" s="18"/>
      <c r="O214" s="18"/>
      <c r="P214" s="18" t="s">
        <v>26</v>
      </c>
    </row>
    <row r="215" spans="1:16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8</v>
      </c>
      <c r="E215" s="18" t="str" cm="1">
        <f t="array" ref="E215">GetValue("Dmn",D215,"Name")</f>
        <v>Nvarchar(15)</v>
      </c>
      <c r="F215" s="18">
        <f t="shared" si="24"/>
        <v>20</v>
      </c>
      <c r="G215" s="18" t="str" cm="1">
        <f t="array" ref="G215">GetColumnName(C215,IF(B215=B214,G214,""))</f>
        <v>Action</v>
      </c>
      <c r="H215" s="18" t="s">
        <v>907</v>
      </c>
      <c r="I215" s="18" t="s">
        <v>912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</row>
    <row r="216" spans="1:16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13</v>
      </c>
      <c r="E216" s="18" t="str" cm="1">
        <f t="array" ref="E216">GetValue("Dmn",D216,"Name")</f>
        <v>Nvarchar(max)</v>
      </c>
      <c r="F216" s="18">
        <f t="shared" si="24"/>
        <v>25</v>
      </c>
      <c r="G216" s="18" t="str" cm="1">
        <f t="array" ref="G216">GetColumnName(C216,IF(B216=B215,G215,""))</f>
        <v>LastRecord</v>
      </c>
      <c r="H216" s="18" t="s">
        <v>908</v>
      </c>
      <c r="I216" s="18" t="s">
        <v>913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</row>
    <row r="217" spans="1:16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13</v>
      </c>
      <c r="E217" s="18" t="str" cm="1">
        <f t="array" ref="E217">GetValue("Dmn",D217,"Name")</f>
        <v>Nvarchar(max)</v>
      </c>
      <c r="F217" s="18">
        <f t="shared" si="24"/>
        <v>30</v>
      </c>
      <c r="G217" s="18" t="str" cm="1">
        <f t="array" ref="G217">GetColumnName(C217,IF(B217=B216,G216,""))</f>
        <v>ActualRecord</v>
      </c>
      <c r="H217" s="18" t="s">
        <v>909</v>
      </c>
      <c r="I217" s="18" t="s">
        <v>914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</row>
    <row r="218" spans="1:16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6</v>
      </c>
      <c r="E218" s="18" t="str" cm="1">
        <f t="array" ref="E218">GetValue("Dmn",D218,"Name")</f>
        <v>Boolean</v>
      </c>
      <c r="F218" s="18">
        <f t="shared" si="24"/>
        <v>35</v>
      </c>
      <c r="G218" s="18" t="str" cm="1">
        <f t="array" ref="G218">GetColumnName(C218,IF(B218=B217,G217,""))</f>
        <v>IsConfirmed</v>
      </c>
      <c r="H218" s="18" t="s">
        <v>910</v>
      </c>
      <c r="I218" s="18" t="s">
        <v>905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121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138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130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132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131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133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157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167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134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163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186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135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136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158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185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143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137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159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187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160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161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195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162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165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219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220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197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214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215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215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215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215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215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215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215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215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215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215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215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215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215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  <c r="F1" s="1" t="s">
        <v>69</v>
      </c>
      <c r="G1" s="1" t="s">
        <v>124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5"/>
  <cols>
    <col min="1" max="1" width="2.7109375" bestFit="1" customWidth="1"/>
    <col min="2" max="2" width="13.140625" bestFit="1" customWidth="1"/>
    <col min="3" max="3" width="14.7109375" bestFit="1" customWidth="1"/>
    <col min="4" max="4" width="17.85546875" bestFit="1" customWidth="1"/>
    <col min="5" max="5" width="14.28515625" bestFit="1" customWidth="1"/>
    <col min="6" max="6" width="15.85546875" bestFit="1" customWidth="1"/>
    <col min="7" max="7" width="19" bestFit="1" customWidth="1"/>
    <col min="8" max="8" width="12.42578125" bestFit="1" customWidth="1"/>
  </cols>
  <sheetData>
    <row r="1" spans="1:8" s="1" customFormat="1">
      <c r="A1" s="1" t="s">
        <v>0</v>
      </c>
      <c r="B1" s="1" t="s">
        <v>634</v>
      </c>
      <c r="C1" s="1" t="s">
        <v>814</v>
      </c>
      <c r="D1" s="1" t="s">
        <v>815</v>
      </c>
      <c r="E1" s="1" t="s">
        <v>635</v>
      </c>
      <c r="F1" s="1" t="s">
        <v>813</v>
      </c>
      <c r="G1" s="1" t="s">
        <v>816</v>
      </c>
      <c r="H1" s="1" t="s">
        <v>631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96</v>
      </c>
      <c r="C1" s="1" t="s">
        <v>153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zoomScaleNormal="100" workbookViewId="0">
      <pane ySplit="1" topLeftCell="A2" activePane="bottomLeft" state="frozen"/>
      <selection pane="bottomLeft" activeCell="K13" sqref="K13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13.28515625" style="6" bestFit="1" customWidth="1"/>
    <col min="9" max="9" width="19.28515625" style="6" bestFit="1" customWidth="1"/>
    <col min="10" max="10" width="14.28515625" bestFit="1" customWidth="1"/>
    <col min="11" max="11" width="24" bestFit="1" customWidth="1"/>
    <col min="12" max="12" width="10.7109375" bestFit="1" customWidth="1"/>
    <col min="13" max="13" width="16.140625" style="6" bestFit="1" customWidth="1"/>
  </cols>
  <sheetData>
    <row r="1" spans="1:13" s="6" customFormat="1">
      <c r="A1" s="1" t="s">
        <v>0</v>
      </c>
      <c r="B1" s="1" t="s">
        <v>484</v>
      </c>
      <c r="C1" s="1" t="s">
        <v>69</v>
      </c>
      <c r="D1" s="1" t="s">
        <v>634</v>
      </c>
      <c r="E1" s="1" t="s">
        <v>468</v>
      </c>
      <c r="F1" s="1" t="s">
        <v>525</v>
      </c>
      <c r="G1" s="1" t="s">
        <v>637</v>
      </c>
      <c r="H1" s="1" t="s">
        <v>675</v>
      </c>
      <c r="I1" s="1" t="s">
        <v>835</v>
      </c>
      <c r="J1" s="16" t="s">
        <v>635</v>
      </c>
      <c r="K1" s="1" t="s">
        <v>636</v>
      </c>
      <c r="L1" s="1" t="s">
        <v>638</v>
      </c>
      <c r="M1" s="1" t="s">
        <v>526</v>
      </c>
    </row>
    <row r="2" spans="1:13">
      <c r="A2">
        <f>ROW(A2)-1</f>
        <v>1</v>
      </c>
      <c r="B2">
        <v>1</v>
      </c>
      <c r="C2">
        <v>5</v>
      </c>
      <c r="D2">
        <v>1</v>
      </c>
      <c r="F2" s="6" t="s">
        <v>466</v>
      </c>
      <c r="G2" t="str" cm="1">
        <f t="array" ref="G2">GetValue("Col",D2,"#TableAlias")&amp;"-"&amp;GetValue("Col",D2,"Name")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GetValue("Col",H2,"#TableAlias")&amp;"-"&amp;GetValue("Col",H2,"Name")</f>
        <v>Cat-AskInWords</v>
      </c>
    </row>
    <row r="3" spans="1:13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469</v>
      </c>
      <c r="G3" t="str" cm="1">
        <f t="array" ref="G3">GetValue("Col",D3,"#TableAlias")&amp;"-"&amp;GetValue("Col",D3,"Name")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GetValue("Col",H3,"#TableAlias")&amp;"-"&amp;GetValue("Col",H3,"Name")</f>
        <v>Cat-Id</v>
      </c>
      <c r="L3">
        <v>20</v>
      </c>
      <c r="M3" s="6" t="s">
        <v>467</v>
      </c>
    </row>
    <row r="4" spans="1:13">
      <c r="A4">
        <f t="shared" si="0"/>
        <v>3</v>
      </c>
      <c r="B4">
        <v>1</v>
      </c>
      <c r="C4">
        <v>15</v>
      </c>
      <c r="D4">
        <v>1</v>
      </c>
      <c r="E4" s="6" t="s">
        <v>470</v>
      </c>
      <c r="F4" s="6" t="s">
        <v>466</v>
      </c>
      <c r="G4" t="str" cm="1">
        <f t="array" ref="G4">GetValue("Col",D4,"#TableAlias")&amp;"-"&amp;GetValue("Col",D4,"Name")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GetValue("Col",H4,"#TableAlias")&amp;"-"&amp;GetValue("Col",H4,"Name")</f>
        <v>Cat-AskDefault</v>
      </c>
      <c r="L4">
        <v>100</v>
      </c>
      <c r="M4" s="6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E8" sqref="E8"/>
    </sheetView>
  </sheetViews>
  <sheetFormatPr defaultRowHeight="15"/>
  <cols>
    <col min="1" max="1" width="2.7109375" bestFit="1" customWidth="1"/>
    <col min="2" max="2" width="9.28515625" bestFit="1" customWidth="1"/>
    <col min="3" max="3" width="13.7109375" bestFit="1" customWidth="1"/>
    <col min="4" max="4" width="7.28515625" bestFit="1" customWidth="1"/>
    <col min="5" max="5" width="10.42578125" bestFit="1" customWidth="1"/>
    <col min="6" max="6" width="11.5703125" bestFit="1" customWidth="1"/>
    <col min="7" max="7" width="16" bestFit="1" customWidth="1"/>
    <col min="8" max="8" width="12.7109375" bestFit="1" customWidth="1"/>
  </cols>
  <sheetData>
    <row r="1" spans="1:14" s="1" customFormat="1">
      <c r="A1" s="1" t="s">
        <v>0</v>
      </c>
      <c r="B1" s="1" t="s">
        <v>123</v>
      </c>
      <c r="C1" s="1" t="s">
        <v>156</v>
      </c>
      <c r="D1" s="1" t="s">
        <v>96</v>
      </c>
      <c r="E1" s="1" t="s">
        <v>498</v>
      </c>
      <c r="F1" s="1" t="s">
        <v>484</v>
      </c>
      <c r="G1" s="1" t="s">
        <v>497</v>
      </c>
      <c r="H1" s="1" t="s">
        <v>196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80</v>
      </c>
      <c r="F1" s="1" t="s">
        <v>81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142</v>
      </c>
      <c r="E2" t="s">
        <v>142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145</v>
      </c>
      <c r="E3" t="s">
        <v>82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68</v>
      </c>
      <c r="C1" s="1" t="s">
        <v>151</v>
      </c>
      <c r="D1" s="1" t="s">
        <v>83</v>
      </c>
      <c r="E1" s="1" t="s">
        <v>150</v>
      </c>
      <c r="F1" s="1" t="s">
        <v>96</v>
      </c>
      <c r="G1" s="1" t="s">
        <v>153</v>
      </c>
      <c r="H1" s="1" t="s">
        <v>462</v>
      </c>
      <c r="I1" s="1" t="s">
        <v>463</v>
      </c>
      <c r="J1" s="1" t="s">
        <v>464</v>
      </c>
      <c r="K1" s="1" t="s">
        <v>465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147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390</v>
      </c>
      <c r="C2" s="10"/>
      <c r="D2" s="10" t="str" cm="1">
        <f t="array" ref="D2">GetValue("Cat",C2,"Name")</f>
        <v/>
      </c>
      <c r="E2" s="10" t="s">
        <v>419</v>
      </c>
      <c r="F2" t="b">
        <v>1</v>
      </c>
    </row>
    <row r="3" spans="1:6">
      <c r="A3" s="10">
        <f t="shared" ref="A3:A20" si="0">ROW(A3)-1</f>
        <v>2</v>
      </c>
      <c r="B3" s="10" t="s">
        <v>391</v>
      </c>
      <c r="C3" s="10"/>
      <c r="D3" s="10" t="str" cm="1">
        <f t="array" ref="D3">GetValue("Cat",C3,"Name")</f>
        <v/>
      </c>
      <c r="E3" s="10" t="s">
        <v>420</v>
      </c>
      <c r="F3" t="b">
        <v>1</v>
      </c>
    </row>
    <row r="4" spans="1:6">
      <c r="A4" s="10">
        <f t="shared" si="0"/>
        <v>3</v>
      </c>
      <c r="B4" s="10" t="s">
        <v>392</v>
      </c>
      <c r="C4" s="10"/>
      <c r="D4" s="10" t="str" cm="1">
        <f t="array" ref="D4">GetValue("Cat",C4,"Name")</f>
        <v/>
      </c>
      <c r="E4" s="10" t="s">
        <v>421</v>
      </c>
      <c r="F4" t="b">
        <v>1</v>
      </c>
    </row>
    <row r="5" spans="1:6">
      <c r="A5" s="10">
        <f t="shared" si="0"/>
        <v>4</v>
      </c>
      <c r="B5" s="10" t="s">
        <v>393</v>
      </c>
      <c r="C5" s="10"/>
      <c r="D5" s="10" t="str" cm="1">
        <f t="array" ref="D5">GetValue("Cat",C5,"Name")</f>
        <v/>
      </c>
      <c r="E5" s="10" t="s">
        <v>422</v>
      </c>
      <c r="F5" t="b">
        <v>1</v>
      </c>
    </row>
    <row r="6" spans="1:6">
      <c r="A6" s="10">
        <f t="shared" si="0"/>
        <v>5</v>
      </c>
      <c r="B6" s="10" t="s">
        <v>394</v>
      </c>
      <c r="C6" s="10"/>
      <c r="D6" s="10" t="str" cm="1">
        <f t="array" ref="D6">GetValue("Cat",C6,"Name")</f>
        <v/>
      </c>
      <c r="E6" s="10" t="s">
        <v>423</v>
      </c>
      <c r="F6" t="b">
        <v>1</v>
      </c>
    </row>
    <row r="7" spans="1:6">
      <c r="A7" s="10">
        <f t="shared" si="0"/>
        <v>6</v>
      </c>
      <c r="B7" s="10" t="s">
        <v>395</v>
      </c>
      <c r="C7" s="10"/>
      <c r="D7" s="10" t="str" cm="1">
        <f t="array" ref="D7">GetValue("Cat",C7,"Name")</f>
        <v/>
      </c>
      <c r="E7" s="10" t="s">
        <v>424</v>
      </c>
      <c r="F7" t="b">
        <v>1</v>
      </c>
    </row>
    <row r="8" spans="1:6">
      <c r="A8" s="10">
        <f t="shared" si="0"/>
        <v>7</v>
      </c>
      <c r="B8" s="10" t="s">
        <v>396</v>
      </c>
      <c r="C8" s="10">
        <v>10</v>
      </c>
      <c r="D8" s="10" t="str" cm="1">
        <f t="array" ref="D8">GetValue("Cat",C8,"Name")</f>
        <v>undefined</v>
      </c>
      <c r="E8" s="10" t="s">
        <v>425</v>
      </c>
      <c r="F8" t="b">
        <v>1</v>
      </c>
    </row>
    <row r="9" spans="1:6">
      <c r="A9" s="10">
        <f t="shared" si="0"/>
        <v>8</v>
      </c>
      <c r="B9" s="10" t="s">
        <v>397</v>
      </c>
      <c r="C9" s="10">
        <v>1</v>
      </c>
      <c r="D9" s="10" t="str" cm="1">
        <f t="array" ref="D9">GetValue("Cat",C9,"Name")</f>
        <v>string</v>
      </c>
      <c r="E9" s="10" t="s">
        <v>398</v>
      </c>
      <c r="F9" t="b">
        <v>1</v>
      </c>
    </row>
    <row r="10" spans="1:6">
      <c r="A10" s="10">
        <f t="shared" si="0"/>
        <v>9</v>
      </c>
      <c r="B10" s="10" t="s">
        <v>399</v>
      </c>
      <c r="C10" s="10">
        <v>1</v>
      </c>
      <c r="D10" s="10" t="str" cm="1">
        <f t="array" ref="D10">GetValue("Cat",C10,"Name")</f>
        <v>string</v>
      </c>
      <c r="E10" s="10" t="s">
        <v>400</v>
      </c>
      <c r="F10" t="b">
        <v>1</v>
      </c>
    </row>
    <row r="11" spans="1:6">
      <c r="A11" s="10">
        <f t="shared" si="0"/>
        <v>10</v>
      </c>
      <c r="B11" s="10" t="s">
        <v>401</v>
      </c>
      <c r="C11" s="10">
        <v>1</v>
      </c>
      <c r="D11" s="10" t="str" cm="1">
        <f t="array" ref="D11">GetValue("Cat",C11,"Name")</f>
        <v>string</v>
      </c>
      <c r="E11" s="10" t="s">
        <v>402</v>
      </c>
      <c r="F11" t="b">
        <v>1</v>
      </c>
    </row>
    <row r="12" spans="1:6">
      <c r="A12" s="10">
        <f t="shared" si="0"/>
        <v>11</v>
      </c>
      <c r="B12" s="10" t="s">
        <v>403</v>
      </c>
      <c r="C12" s="10">
        <v>1</v>
      </c>
      <c r="D12" s="10" t="str" cm="1">
        <f t="array" ref="D12">GetValue("Cat",C12,"Name")</f>
        <v>string</v>
      </c>
      <c r="E12" s="10" t="s">
        <v>404</v>
      </c>
      <c r="F12" t="b">
        <v>1</v>
      </c>
    </row>
    <row r="13" spans="1:6">
      <c r="A13" s="10">
        <f t="shared" si="0"/>
        <v>12</v>
      </c>
      <c r="B13" s="10" t="s">
        <v>405</v>
      </c>
      <c r="C13" s="10">
        <v>10</v>
      </c>
      <c r="D13" s="10" t="str" cm="1">
        <f t="array" ref="D13">GetValue("Cat",C13,"Name")</f>
        <v>undefined</v>
      </c>
      <c r="E13" s="10" t="s">
        <v>426</v>
      </c>
      <c r="F13" t="b">
        <v>1</v>
      </c>
    </row>
    <row r="14" spans="1:6">
      <c r="A14" s="10">
        <f t="shared" si="0"/>
        <v>13</v>
      </c>
      <c r="B14" s="10" t="s">
        <v>406</v>
      </c>
      <c r="C14" s="10">
        <v>10</v>
      </c>
      <c r="D14" s="10" t="str" cm="1">
        <f t="array" ref="D14">GetValue("Cat",C14,"Name")</f>
        <v>undefined</v>
      </c>
      <c r="E14" s="10" t="s">
        <v>427</v>
      </c>
      <c r="F14" t="b">
        <v>1</v>
      </c>
    </row>
    <row r="15" spans="1:6">
      <c r="A15" s="10">
        <f t="shared" si="0"/>
        <v>14</v>
      </c>
      <c r="B15" s="10" t="s">
        <v>407</v>
      </c>
      <c r="C15" s="10">
        <v>2</v>
      </c>
      <c r="D15" s="10" t="str" cm="1">
        <f t="array" ref="D15">GetValue("Cat",C15,"Name")</f>
        <v>number</v>
      </c>
      <c r="E15" s="10" t="s">
        <v>408</v>
      </c>
      <c r="F15" t="b">
        <v>1</v>
      </c>
    </row>
    <row r="16" spans="1:6">
      <c r="A16" s="10">
        <f t="shared" si="0"/>
        <v>15</v>
      </c>
      <c r="B16" s="10" t="s">
        <v>409</v>
      </c>
      <c r="C16" s="10">
        <v>2</v>
      </c>
      <c r="D16" s="10" t="str" cm="1">
        <f t="array" ref="D16">GetValue("Cat",C16,"Name")</f>
        <v>number</v>
      </c>
      <c r="E16" s="10" t="s">
        <v>410</v>
      </c>
      <c r="F16" t="b">
        <v>1</v>
      </c>
    </row>
    <row r="17" spans="1:6">
      <c r="A17" s="10">
        <f t="shared" si="0"/>
        <v>16</v>
      </c>
      <c r="B17" s="10" t="s">
        <v>411</v>
      </c>
      <c r="C17" s="10">
        <v>2</v>
      </c>
      <c r="D17" s="10" t="str" cm="1">
        <f t="array" ref="D17">GetValue("Cat",C17,"Name")</f>
        <v>number</v>
      </c>
      <c r="E17" s="10" t="s">
        <v>412</v>
      </c>
      <c r="F17" t="b">
        <v>1</v>
      </c>
    </row>
    <row r="18" spans="1:6">
      <c r="A18" s="10">
        <f t="shared" si="0"/>
        <v>17</v>
      </c>
      <c r="B18" s="10" t="s">
        <v>413</v>
      </c>
      <c r="C18" s="10">
        <v>1</v>
      </c>
      <c r="D18" s="10" t="str" cm="1">
        <f t="array" ref="D18">GetValue("Cat",C18,"Name")</f>
        <v>string</v>
      </c>
      <c r="E18" s="10" t="s">
        <v>414</v>
      </c>
      <c r="F18" t="b">
        <v>1</v>
      </c>
    </row>
    <row r="19" spans="1:6">
      <c r="A19" s="10">
        <f t="shared" si="0"/>
        <v>18</v>
      </c>
      <c r="B19" s="10" t="s">
        <v>415</v>
      </c>
      <c r="C19" s="10">
        <v>1</v>
      </c>
      <c r="D19" s="10" t="str" cm="1">
        <f t="array" ref="D19">GetValue("Cat",C19,"Name")</f>
        <v>string</v>
      </c>
      <c r="E19" s="10" t="s">
        <v>416</v>
      </c>
      <c r="F19" t="b">
        <v>1</v>
      </c>
    </row>
    <row r="20" spans="1:6">
      <c r="A20" s="10">
        <f t="shared" si="0"/>
        <v>19</v>
      </c>
      <c r="B20" s="10" t="s">
        <v>417</v>
      </c>
      <c r="C20" s="10">
        <v>1</v>
      </c>
      <c r="D20" s="10" t="str" cm="1">
        <f t="array" ref="D20">GetValue("Cat",C20,"Name")</f>
        <v>string</v>
      </c>
      <c r="E20" s="10" t="s">
        <v>418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C3" sqref="C3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484</v>
      </c>
      <c r="C1" s="1" t="s">
        <v>497</v>
      </c>
      <c r="D1" s="1" t="s">
        <v>485</v>
      </c>
      <c r="E1" s="1" t="s">
        <v>430</v>
      </c>
      <c r="F1" s="1" t="s">
        <v>321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390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501</v>
      </c>
      <c r="F1" s="1" t="s">
        <v>434</v>
      </c>
      <c r="G1" s="1" t="s">
        <v>502</v>
      </c>
      <c r="H1" s="1" t="s">
        <v>503</v>
      </c>
      <c r="I1" s="1" t="s">
        <v>504</v>
      </c>
      <c r="J1" s="1" t="s">
        <v>505</v>
      </c>
      <c r="K1" s="1" t="s">
        <v>506</v>
      </c>
      <c r="L1" s="1" t="s">
        <v>507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700</v>
      </c>
      <c r="E2">
        <v>1</v>
      </c>
      <c r="F2" t="s">
        <v>701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509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702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745</v>
      </c>
      <c r="C1" s="1" t="s">
        <v>746</v>
      </c>
      <c r="D1" s="1" t="s">
        <v>85</v>
      </c>
      <c r="E1" s="1" t="s">
        <v>152</v>
      </c>
      <c r="F1" s="1" t="s">
        <v>69</v>
      </c>
      <c r="G1" s="1" t="s">
        <v>508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703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4.7109375" bestFit="1" customWidth="1"/>
  </cols>
  <sheetData>
    <row r="1" spans="1:6">
      <c r="A1" s="1" t="s">
        <v>0</v>
      </c>
      <c r="B1" s="1" t="s">
        <v>745</v>
      </c>
      <c r="C1" s="1" t="s">
        <v>746</v>
      </c>
      <c r="D1" s="1" t="s">
        <v>69</v>
      </c>
      <c r="E1" s="1" t="s">
        <v>708</v>
      </c>
      <c r="F1" s="1" t="s">
        <v>892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709</v>
      </c>
      <c r="F2" s="28" t="s">
        <v>707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" t="s">
        <v>68</v>
      </c>
      <c r="E1" s="1" t="s">
        <v>151</v>
      </c>
      <c r="F1" s="1" t="s">
        <v>83</v>
      </c>
      <c r="G1" s="1" t="s">
        <v>150</v>
      </c>
      <c r="H1" s="1" t="s">
        <v>144</v>
      </c>
      <c r="I1" s="1" t="s">
        <v>146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213</v>
      </c>
      <c r="C1" s="1" t="s">
        <v>190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191</v>
      </c>
      <c r="C1" s="1" t="s">
        <v>192</v>
      </c>
      <c r="D1" s="1" t="s">
        <v>72</v>
      </c>
      <c r="E1" s="1" t="s">
        <v>198</v>
      </c>
      <c r="F1" s="1" t="s">
        <v>193</v>
      </c>
      <c r="G1" s="1" t="s">
        <v>190</v>
      </c>
    </row>
    <row r="2" spans="1:7">
      <c r="A2" s="10">
        <f>ROW(A2)-1</f>
        <v>1</v>
      </c>
      <c r="B2">
        <v>1</v>
      </c>
      <c r="C2" t="s">
        <v>92</v>
      </c>
      <c r="D2" t="s">
        <v>704</v>
      </c>
      <c r="E2" t="s">
        <v>705</v>
      </c>
      <c r="F2" t="s">
        <v>705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2025-12-22T12:55:08Z</dcterms:modified>
</cp:coreProperties>
</file>