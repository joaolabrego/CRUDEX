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26532037-2D36-41D1-8811-C039D70FF0DD}" xr6:coauthVersionLast="47" xr6:coauthVersionMax="47" xr10:uidLastSave="{00000000-0000-0000-0000-000000000000}"/>
  <bookViews>
    <workbookView xWindow="-120" yWindow="-120" windowWidth="29040" windowHeight="16440" tabRatio="969" activeTab="15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Col!$D$1:$D$117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2" i="12" l="1"/>
  <c r="A15" i="4"/>
  <c r="A11" i="12"/>
  <c r="E62" i="12" a="1"/>
  <c r="C62" i="12" a="1"/>
  <c r="C15" i="4" a="1"/>
  <c r="F15" i="4" a="1"/>
  <c r="E15" i="4" a="1"/>
  <c r="E11" i="12" a="1"/>
  <c r="C11" i="12" a="1"/>
  <c r="C62" i="12" l="1"/>
  <c r="E62" i="12"/>
  <c r="E15" i="4"/>
  <c r="F15" i="4"/>
  <c r="C15" i="4"/>
  <c r="C11" i="12"/>
  <c r="E11" i="12"/>
  <c r="A12" i="12"/>
  <c r="C12" i="12" a="1"/>
  <c r="E12" i="12" a="1"/>
  <c r="E12" i="12" l="1"/>
  <c r="C12" i="12"/>
  <c r="A22" i="4"/>
  <c r="A44" i="12"/>
  <c r="A40" i="12"/>
  <c r="A43" i="12"/>
  <c r="A42" i="12"/>
  <c r="A41" i="12"/>
  <c r="A56" i="12"/>
  <c r="A21" i="12"/>
  <c r="A45" i="4"/>
  <c r="A50" i="4"/>
  <c r="C50" i="4" a="1"/>
  <c r="E50" i="4" a="1"/>
  <c r="C22" i="4" a="1"/>
  <c r="C45" i="4" a="1"/>
  <c r="E45" i="4" a="1"/>
  <c r="E22" i="4" a="1"/>
  <c r="C44" i="12" a="1"/>
  <c r="C43" i="12" a="1"/>
  <c r="E21" i="12" a="1"/>
  <c r="E44" i="12" a="1"/>
  <c r="E41" i="12" a="1"/>
  <c r="C21" i="12" a="1"/>
  <c r="C42" i="12" a="1"/>
  <c r="C40" i="12" a="1"/>
  <c r="C41" i="12" a="1"/>
  <c r="E43" i="12" a="1"/>
  <c r="E56" i="12" a="1"/>
  <c r="E42" i="12" a="1"/>
  <c r="C56" i="12" a="1"/>
  <c r="E40" i="12" a="1"/>
  <c r="C22" i="4" l="1"/>
  <c r="E22" i="4"/>
  <c r="E44" i="12"/>
  <c r="C44" i="12"/>
  <c r="C40" i="12"/>
  <c r="E40" i="12"/>
  <c r="C41" i="12"/>
  <c r="C42" i="12"/>
  <c r="E41" i="12"/>
  <c r="C43" i="12"/>
  <c r="E42" i="12"/>
  <c r="E43" i="12"/>
  <c r="C56" i="12"/>
  <c r="E56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6" i="28" a="1"/>
  <c r="F30" i="53" a="1"/>
  <c r="F3" i="53" a="1"/>
  <c r="F53" i="53" a="1"/>
  <c r="F68" i="53" a="1"/>
  <c r="F37" i="53" a="1"/>
  <c r="F66" i="53" a="1"/>
  <c r="F48" i="53" a="1"/>
  <c r="F62" i="53" a="1"/>
  <c r="F2" i="53" a="1"/>
  <c r="F5" i="53" a="1"/>
  <c r="F34" i="53" a="1"/>
  <c r="F45" i="53" a="1"/>
  <c r="F56" i="53" a="1"/>
  <c r="F13" i="53" a="1"/>
  <c r="F18" i="53" a="1"/>
  <c r="E4" i="28" a="1"/>
  <c r="F31" i="53" a="1"/>
  <c r="F69" i="53" a="1"/>
  <c r="E2" i="28" a="1"/>
  <c r="E5" i="28" a="1"/>
  <c r="C2" i="50" a="1"/>
  <c r="F41" i="53" a="1"/>
  <c r="F21" i="53" a="1"/>
  <c r="F20" i="53" a="1"/>
  <c r="F64" i="53" a="1"/>
  <c r="F46" i="53" a="1"/>
  <c r="F28" i="53" a="1"/>
  <c r="F10" i="53" a="1"/>
  <c r="F57" i="53" a="1"/>
  <c r="F36" i="53" a="1"/>
  <c r="F15" i="53" a="1"/>
  <c r="F38" i="53" a="1"/>
  <c r="C2" i="54" a="1"/>
  <c r="F6" i="53" a="1"/>
  <c r="F11" i="53" a="1"/>
  <c r="F61" i="53" a="1"/>
  <c r="F43" i="53" a="1"/>
  <c r="F25" i="53" a="1"/>
  <c r="F7" i="53" a="1"/>
  <c r="F54" i="53" a="1"/>
  <c r="F33" i="53" a="1"/>
  <c r="F12" i="53" a="1"/>
  <c r="F26" i="53" a="1"/>
  <c r="E3" i="28" a="1"/>
  <c r="F42" i="53" a="1"/>
  <c r="F17" i="53" a="1"/>
  <c r="F65" i="53" a="1"/>
  <c r="F29" i="53" a="1"/>
  <c r="F58" i="53" a="1"/>
  <c r="F40" i="53" a="1"/>
  <c r="F22" i="53" a="1"/>
  <c r="F4" i="53" a="1"/>
  <c r="F51" i="53" a="1"/>
  <c r="F9" i="53" a="1"/>
  <c r="F14" i="53" a="1"/>
  <c r="F8" i="53" a="1"/>
  <c r="F19" i="53" a="1"/>
  <c r="F27" i="53" a="1"/>
  <c r="F59" i="53" a="1"/>
  <c r="F44" i="53" a="1"/>
  <c r="F52" i="53" a="1"/>
  <c r="F63" i="53" a="1"/>
  <c r="F35" i="53" a="1"/>
  <c r="F32" i="53" a="1"/>
  <c r="F55" i="53" a="1"/>
  <c r="F23" i="53" a="1"/>
  <c r="F16" i="53" a="1"/>
  <c r="F24" i="53" a="1"/>
  <c r="F50" i="53" a="1"/>
  <c r="F67" i="53" a="1"/>
  <c r="F49" i="53" a="1"/>
  <c r="F60" i="53" a="1"/>
  <c r="F39" i="53" a="1"/>
  <c r="F47" i="53" a="1"/>
  <c r="E17" i="12" a="1"/>
  <c r="G40" i="12" a="1"/>
  <c r="C17" i="12" a="1"/>
  <c r="E18" i="12" a="1"/>
  <c r="C18" i="12" a="1"/>
  <c r="E3" i="28" l="1"/>
  <c r="E5" i="28"/>
  <c r="E2" i="28"/>
  <c r="E4" i="28"/>
  <c r="E6" i="28"/>
  <c r="G40" i="12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13" i="40" a="1"/>
  <c r="E6" i="53" a="1"/>
  <c r="C30" i="40" a="1"/>
  <c r="E10" i="53" a="1"/>
  <c r="I2" i="11" a="1"/>
  <c r="C68" i="53" a="1"/>
  <c r="C26" i="11" a="1"/>
  <c r="C56" i="53" a="1"/>
  <c r="I18" i="11" a="1"/>
  <c r="C35" i="53" a="1"/>
  <c r="E2" i="15" a="1"/>
  <c r="C45" i="53" a="1"/>
  <c r="E31" i="53" a="1"/>
  <c r="C35" i="40" a="1"/>
  <c r="C66" i="53" a="1"/>
  <c r="E68" i="53" a="1"/>
  <c r="G2" i="46" a="1"/>
  <c r="C26" i="40" a="1"/>
  <c r="E64" i="53" a="1"/>
  <c r="I32" i="11" a="1"/>
  <c r="E59" i="53" a="1"/>
  <c r="C4" i="11" a="1"/>
  <c r="E38" i="53" a="1"/>
  <c r="I12" i="11" a="1"/>
  <c r="E44" i="53" a="1"/>
  <c r="C17" i="11" a="1"/>
  <c r="E7" i="53" a="1"/>
  <c r="C2" i="15" a="1"/>
  <c r="E39" i="53" a="1"/>
  <c r="C8" i="53" a="1"/>
  <c r="C25" i="40" a="1"/>
  <c r="E60" i="53" a="1"/>
  <c r="C9" i="40" a="1"/>
  <c r="C42" i="53" a="1"/>
  <c r="C52" i="40" a="1"/>
  <c r="E42" i="53" a="1"/>
  <c r="C31" i="53" a="1"/>
  <c r="C21" i="53" a="1"/>
  <c r="E19" i="53" a="1"/>
  <c r="C69" i="53" a="1"/>
  <c r="C28" i="40" a="1"/>
  <c r="C20" i="11" a="1"/>
  <c r="I14" i="11" a="1"/>
  <c r="C37" i="53" a="1"/>
  <c r="E14" i="53" a="1"/>
  <c r="E22" i="53" a="1"/>
  <c r="E17" i="53" a="1"/>
  <c r="C17" i="40" a="1"/>
  <c r="C30" i="11" a="1"/>
  <c r="C23" i="11" a="1"/>
  <c r="E30" i="53" a="1"/>
  <c r="C53" i="53" a="1"/>
  <c r="C44" i="40" a="1"/>
  <c r="I21" i="11" a="1"/>
  <c r="C24" i="11" a="1"/>
  <c r="E63" i="53" a="1"/>
  <c r="E55" i="53" a="1"/>
  <c r="I19" i="11" a="1"/>
  <c r="E23" i="53" a="1"/>
  <c r="E36" i="53" a="1"/>
  <c r="C12" i="40" a="1"/>
  <c r="C22" i="11" a="1"/>
  <c r="E32" i="53" a="1"/>
  <c r="I31" i="11" a="1"/>
  <c r="C32" i="40" a="1"/>
  <c r="I4" i="11" a="1"/>
  <c r="C22" i="53" a="1"/>
  <c r="E51" i="53" a="1"/>
  <c r="C8" i="11" a="1"/>
  <c r="E2" i="9" a="1"/>
  <c r="C13" i="11" a="1"/>
  <c r="C3" i="40" a="1"/>
  <c r="E57" i="53" a="1"/>
  <c r="C20" i="40" a="1"/>
  <c r="C55" i="53" a="1"/>
  <c r="C10" i="40" a="1"/>
  <c r="C10" i="53" a="1"/>
  <c r="I29" i="11" a="1"/>
  <c r="E16" i="53" a="1"/>
  <c r="C28" i="11" a="1"/>
  <c r="C39" i="53" a="1"/>
  <c r="I20" i="11" a="1"/>
  <c r="C11" i="53" a="1"/>
  <c r="C2" i="49" a="1"/>
  <c r="C36" i="53" a="1"/>
  <c r="C7" i="53" a="1"/>
  <c r="C15" i="40" a="1"/>
  <c r="C49" i="53" a="1"/>
  <c r="C48" i="40" a="1"/>
  <c r="C67" i="53" a="1"/>
  <c r="I11" i="11" a="1"/>
  <c r="C13" i="53" a="1"/>
  <c r="C15" i="53" a="1"/>
  <c r="C52" i="53" a="1"/>
  <c r="C58" i="53" a="1"/>
  <c r="C18" i="40" a="1"/>
  <c r="I34" i="11" a="1"/>
  <c r="C25" i="11" a="1"/>
  <c r="C4" i="53" a="1"/>
  <c r="C25" i="53" a="1"/>
  <c r="C64" i="53" a="1"/>
  <c r="E5" i="53" a="1"/>
  <c r="C7" i="40" a="1"/>
  <c r="C2" i="11" a="1"/>
  <c r="I15" i="11" a="1"/>
  <c r="C28" i="53" a="1"/>
  <c r="C47" i="53" a="1"/>
  <c r="C22" i="40" a="1"/>
  <c r="I35" i="11" a="1"/>
  <c r="C21" i="11" a="1"/>
  <c r="E2" i="50" a="1"/>
  <c r="C41" i="40" a="1"/>
  <c r="C40" i="53" a="1"/>
  <c r="C5" i="11" a="1"/>
  <c r="C27" i="53" a="1"/>
  <c r="C9" i="11" a="1"/>
  <c r="C34" i="53" a="1"/>
  <c r="C3" i="53" a="1"/>
  <c r="I8" i="11" a="1"/>
  <c r="C62" i="53" a="1"/>
  <c r="E2" i="46" a="1"/>
  <c r="C16" i="40" a="1"/>
  <c r="E43" i="53" a="1"/>
  <c r="C6" i="40" a="1"/>
  <c r="C32" i="53" a="1"/>
  <c r="C49" i="40" a="1"/>
  <c r="C20" i="53" a="1"/>
  <c r="I22" i="11" a="1"/>
  <c r="E20" i="53" a="1"/>
  <c r="C2" i="47" a="1"/>
  <c r="E11" i="53" a="1"/>
  <c r="E2" i="53" a="1"/>
  <c r="C5" i="40" a="1"/>
  <c r="C21" i="40" a="1"/>
  <c r="C34" i="11" a="1"/>
  <c r="I24" i="11" a="1"/>
  <c r="C48" i="53" a="1"/>
  <c r="C61" i="53" a="1"/>
  <c r="E40" i="53" a="1"/>
  <c r="C41" i="53" a="1"/>
  <c r="C8" i="40" a="1"/>
  <c r="I27" i="11" a="1"/>
  <c r="C19" i="11" a="1"/>
  <c r="E18" i="53" a="1"/>
  <c r="E66" i="53" a="1"/>
  <c r="E61" i="53" a="1"/>
  <c r="C12" i="53" a="1"/>
  <c r="C46" i="40" a="1"/>
  <c r="I16" i="11" a="1"/>
  <c r="C63" i="53" a="1"/>
  <c r="C34" i="40" a="1"/>
  <c r="I9" i="11" a="1"/>
  <c r="C31" i="40" a="1"/>
  <c r="E4" i="53" a="1"/>
  <c r="C40" i="40" a="1"/>
  <c r="C59" i="53" a="1"/>
  <c r="C6" i="11" a="1"/>
  <c r="E15" i="53" a="1"/>
  <c r="C18" i="11" a="1"/>
  <c r="C2" i="40" a="1"/>
  <c r="E53" i="53" a="1"/>
  <c r="E69" i="53" a="1"/>
  <c r="C60" i="53" a="1"/>
  <c r="C55" i="40" a="1"/>
  <c r="C26" i="53" a="1"/>
  <c r="C39" i="40" a="1"/>
  <c r="E58" i="53" a="1"/>
  <c r="C27" i="11" a="1"/>
  <c r="E37" i="53" a="1"/>
  <c r="I17" i="11" a="1"/>
  <c r="E21" i="53" a="1"/>
  <c r="I6" i="11" a="1"/>
  <c r="C17" i="53" a="1"/>
  <c r="I10" i="11" a="1"/>
  <c r="C6" i="53" a="1"/>
  <c r="C43" i="40" a="1"/>
  <c r="C11" i="40" a="1"/>
  <c r="C29" i="11" a="1"/>
  <c r="C11" i="11" a="1"/>
  <c r="E56" i="53" a="1"/>
  <c r="E49" i="53" a="1"/>
  <c r="C33" i="53" a="1"/>
  <c r="E33" i="53" a="1"/>
  <c r="C47" i="40" a="1"/>
  <c r="C32" i="11" a="1"/>
  <c r="C10" i="11" a="1"/>
  <c r="C57" i="53" a="1"/>
  <c r="E47" i="53" a="1"/>
  <c r="C50" i="53" a="1"/>
  <c r="C23" i="53" a="1"/>
  <c r="C42" i="40" a="1"/>
  <c r="C7" i="11" a="1"/>
  <c r="C14" i="53" a="1"/>
  <c r="C19" i="53" a="1"/>
  <c r="C24" i="40" a="1"/>
  <c r="C51" i="40" a="1"/>
  <c r="C35" i="11" a="1"/>
  <c r="C4" i="40" a="1"/>
  <c r="C16" i="53" a="1"/>
  <c r="I26" i="11" a="1"/>
  <c r="E41" i="53" a="1"/>
  <c r="C36" i="40" a="1"/>
  <c r="C9" i="53" a="1"/>
  <c r="C16" i="11" a="1"/>
  <c r="E67" i="53" a="1"/>
  <c r="I25" i="11" a="1"/>
  <c r="E50" i="53" a="1"/>
  <c r="C31" i="11" a="1"/>
  <c r="E29" i="53" a="1"/>
  <c r="G2" i="15" a="1"/>
  <c r="E52" i="53" a="1"/>
  <c r="E48" i="53" a="1"/>
  <c r="C45" i="40" a="1"/>
  <c r="C24" i="53" a="1"/>
  <c r="C29" i="40" a="1"/>
  <c r="E25" i="53" a="1"/>
  <c r="I23" i="11" a="1"/>
  <c r="C43" i="53" a="1"/>
  <c r="I13" i="11" a="1"/>
  <c r="E27" i="53" a="1"/>
  <c r="I7" i="11" a="1"/>
  <c r="C44" i="53" a="1"/>
  <c r="E62" i="53" a="1"/>
  <c r="C33" i="40" a="1"/>
  <c r="C50" i="40" a="1"/>
  <c r="I33" i="11" a="1"/>
  <c r="C33" i="11" a="1"/>
  <c r="C54" i="53" a="1"/>
  <c r="E28" i="53" a="1"/>
  <c r="E26" i="53" a="1"/>
  <c r="C30" i="53" a="1"/>
  <c r="C37" i="40" a="1"/>
  <c r="C3" i="11" a="1"/>
  <c r="I3" i="11" a="1"/>
  <c r="C18" i="53" a="1"/>
  <c r="C38" i="53" a="1"/>
  <c r="C29" i="53" a="1"/>
  <c r="C54" i="40" a="1"/>
  <c r="C15" i="11" a="1"/>
  <c r="C2" i="53" a="1"/>
  <c r="C51" i="53" a="1"/>
  <c r="E54" i="53" a="1"/>
  <c r="C14" i="40" a="1"/>
  <c r="I28" i="11" a="1"/>
  <c r="C53" i="40" a="1"/>
  <c r="E35" i="53" a="1"/>
  <c r="C19" i="40" a="1"/>
  <c r="E34" i="53" a="1"/>
  <c r="C14" i="11" a="1"/>
  <c r="E13" i="53" a="1"/>
  <c r="C12" i="11" a="1"/>
  <c r="C65" i="53" a="1"/>
  <c r="E12" i="53" a="1"/>
  <c r="C46" i="53" a="1"/>
  <c r="C23" i="40" a="1"/>
  <c r="C38" i="40" a="1"/>
  <c r="I5" i="11" a="1"/>
  <c r="I30" i="11" a="1"/>
  <c r="E46" i="53" a="1"/>
  <c r="E8" i="53" a="1"/>
  <c r="E9" i="53" a="1"/>
  <c r="E3" i="53" a="1"/>
  <c r="C27" i="40" a="1"/>
  <c r="E24" i="53" a="1"/>
  <c r="E65" i="53" a="1"/>
  <c r="E45" i="53" a="1"/>
  <c r="C5" i="53" a="1"/>
  <c r="E49" i="4" a="1"/>
  <c r="C49" i="4" a="1"/>
  <c r="C117" i="12" a="1"/>
  <c r="C91" i="12" a="1"/>
  <c r="E14" i="12" a="1"/>
  <c r="C69" i="12" a="1"/>
  <c r="C51" i="12" a="1"/>
  <c r="C88" i="12" a="1"/>
  <c r="C34" i="12" a="1"/>
  <c r="C85" i="12" a="1"/>
  <c r="C135" i="12" a="1"/>
  <c r="C67" i="12" a="1"/>
  <c r="C102" i="12" a="1"/>
  <c r="C36" i="12" a="1"/>
  <c r="C121" i="12" a="1"/>
  <c r="C127" i="12" a="1"/>
  <c r="C14" i="12" a="1"/>
  <c r="C106" i="12" a="1"/>
  <c r="C45" i="12" a="1"/>
  <c r="C109" i="12" a="1"/>
  <c r="C107" i="12" a="1"/>
  <c r="C61" i="12" a="1"/>
  <c r="C133" i="12" a="1"/>
  <c r="C75" i="12" a="1"/>
  <c r="C126" i="12" a="1"/>
  <c r="C57" i="12" a="1"/>
  <c r="C90" i="12" a="1"/>
  <c r="C58" i="12" a="1"/>
  <c r="C24" i="12" a="1"/>
  <c r="C19" i="12" a="1"/>
  <c r="G41" i="12" a="1"/>
  <c r="C105" i="12" a="1"/>
  <c r="C73" i="12" a="1"/>
  <c r="C8" i="12" a="1"/>
  <c r="E13" i="12" a="1"/>
  <c r="C99" i="12" a="1"/>
  <c r="C97" i="12" a="1"/>
  <c r="C122" i="12" a="1"/>
  <c r="C96" i="12" a="1"/>
  <c r="C120" i="12" a="1"/>
  <c r="C123" i="12" a="1"/>
  <c r="C71" i="12" a="1"/>
  <c r="C131" i="12" a="1"/>
  <c r="C129" i="12" a="1"/>
  <c r="C59" i="12" a="1"/>
  <c r="C20" i="12" a="1"/>
  <c r="C23" i="12" a="1"/>
  <c r="C98" i="12" a="1"/>
  <c r="C74" i="12" a="1"/>
  <c r="C2" i="12" a="1"/>
  <c r="C115" i="12" a="1"/>
  <c r="C55" i="12" a="1"/>
  <c r="C30" i="12" a="1"/>
  <c r="C32" i="12" a="1"/>
  <c r="C54" i="12" a="1"/>
  <c r="C72" i="12" a="1"/>
  <c r="C134" i="12" a="1"/>
  <c r="C116" i="12" a="1"/>
  <c r="C111" i="12" a="1"/>
  <c r="C60" i="12" a="1"/>
  <c r="C68" i="12" a="1"/>
  <c r="C9" i="12" a="1"/>
  <c r="C53" i="12" a="1"/>
  <c r="C114" i="12" a="1"/>
  <c r="C35" i="12" a="1"/>
  <c r="C113" i="12" a="1"/>
  <c r="C124" i="12" a="1"/>
  <c r="C16" i="12" a="1"/>
  <c r="C83" i="12" a="1"/>
  <c r="C128" i="12" a="1"/>
  <c r="C38" i="12" a="1"/>
  <c r="C112" i="12" a="1"/>
  <c r="C79" i="12" a="1"/>
  <c r="C95" i="12" a="1"/>
  <c r="C31" i="12" a="1"/>
  <c r="C64" i="12" a="1"/>
  <c r="C81" i="12" a="1"/>
  <c r="C22" i="12" a="1"/>
  <c r="G17" i="12" a="1"/>
  <c r="C101" i="12" a="1"/>
  <c r="C4" i="12" a="1"/>
  <c r="C137" i="12" a="1"/>
  <c r="C39" i="12" a="1"/>
  <c r="C76" i="12" a="1"/>
  <c r="C93" i="12" a="1"/>
  <c r="C27" i="12" a="1"/>
  <c r="C29" i="12" a="1"/>
  <c r="C63" i="12" a="1"/>
  <c r="C82" i="12" a="1"/>
  <c r="C80" i="12" a="1"/>
  <c r="C50" i="12" a="1"/>
  <c r="C78" i="12" a="1"/>
  <c r="E16" i="12" a="1"/>
  <c r="C15" i="12" a="1"/>
  <c r="C33" i="12" a="1"/>
  <c r="C25" i="12" a="1"/>
  <c r="E15" i="12" a="1"/>
  <c r="C70" i="12" a="1"/>
  <c r="C47" i="12" a="1"/>
  <c r="C3" i="12" a="1"/>
  <c r="C104" i="12" a="1"/>
  <c r="C125" i="12" a="1"/>
  <c r="C37" i="12" a="1"/>
  <c r="C49" i="12" a="1"/>
  <c r="C136" i="12" a="1"/>
  <c r="C52" i="12" a="1"/>
  <c r="C132" i="12" a="1"/>
  <c r="C46" i="12" a="1"/>
  <c r="C7" i="12" a="1"/>
  <c r="C86" i="12" a="1"/>
  <c r="C87" i="12" a="1"/>
  <c r="C48" i="12" a="1"/>
  <c r="C6" i="12" a="1"/>
  <c r="C26" i="12" a="1"/>
  <c r="C84" i="12" a="1"/>
  <c r="C130" i="12" a="1"/>
  <c r="C108" i="12" a="1"/>
  <c r="C100" i="12" a="1"/>
  <c r="C13" i="12" a="1"/>
  <c r="C28" i="12" a="1"/>
  <c r="C10" i="12" a="1"/>
  <c r="C94" i="12" a="1"/>
  <c r="C118" i="12" a="1"/>
  <c r="C103" i="12" a="1"/>
  <c r="C77" i="12" a="1"/>
  <c r="C110" i="12" a="1"/>
  <c r="C89" i="12" a="1"/>
  <c r="C65" i="12" a="1"/>
  <c r="C92" i="12" a="1"/>
  <c r="C5" i="12" a="1"/>
  <c r="C119" i="12" a="1"/>
  <c r="C66" i="12" a="1"/>
  <c r="G41" i="12" l="1"/>
  <c r="K40" i="12"/>
  <c r="J40" i="12"/>
  <c r="P40" i="12"/>
  <c r="M40" i="12"/>
  <c r="F40" i="12"/>
  <c r="L40" i="12"/>
  <c r="G17" i="12"/>
  <c r="E15" i="12"/>
  <c r="C15" i="12"/>
  <c r="C16" i="12"/>
  <c r="E16" i="12"/>
  <c r="C14" i="12"/>
  <c r="E14" i="12"/>
  <c r="C13" i="12"/>
  <c r="E13" i="12"/>
  <c r="C88" i="12"/>
  <c r="C54" i="12"/>
  <c r="C59" i="12"/>
  <c r="C65" i="12"/>
  <c r="C27" i="12"/>
  <c r="C70" i="12"/>
  <c r="C108" i="12"/>
  <c r="C36" i="12"/>
  <c r="C83" i="12"/>
  <c r="C5" i="12"/>
  <c r="C31" i="12"/>
  <c r="C74" i="12"/>
  <c r="C75" i="12"/>
  <c r="C84" i="12"/>
  <c r="C119" i="12"/>
  <c r="C9" i="12"/>
  <c r="C26" i="12"/>
  <c r="C66" i="12"/>
  <c r="C22" i="12"/>
  <c r="C23" i="12"/>
  <c r="C128" i="12"/>
  <c r="C133" i="12"/>
  <c r="C92" i="12"/>
  <c r="C102" i="12"/>
  <c r="C107" i="12"/>
  <c r="C112" i="12"/>
  <c r="C79" i="12"/>
  <c r="C114" i="12"/>
  <c r="C118" i="12"/>
  <c r="C48" i="12"/>
  <c r="C95" i="12"/>
  <c r="C123" i="12"/>
  <c r="C87" i="12"/>
  <c r="C4" i="12"/>
  <c r="C53" i="12"/>
  <c r="C129" i="12"/>
  <c r="C6" i="12"/>
  <c r="C28" i="12"/>
  <c r="C24" i="12"/>
  <c r="C45" i="12"/>
  <c r="C55" i="12"/>
  <c r="C67" i="12"/>
  <c r="C76" i="12"/>
  <c r="C85" i="12"/>
  <c r="C89" i="12"/>
  <c r="C109" i="12"/>
  <c r="C120" i="12"/>
  <c r="C130" i="12"/>
  <c r="C7" i="12"/>
  <c r="C29" i="12"/>
  <c r="C34" i="12"/>
  <c r="C46" i="12"/>
  <c r="C57" i="12"/>
  <c r="C68" i="12"/>
  <c r="C77" i="12"/>
  <c r="C86" i="12"/>
  <c r="C90" i="12"/>
  <c r="C100" i="12"/>
  <c r="C110" i="12"/>
  <c r="C121" i="12"/>
  <c r="C131" i="12"/>
  <c r="C8" i="12"/>
  <c r="C30" i="12"/>
  <c r="C35" i="12"/>
  <c r="C47" i="12"/>
  <c r="C58" i="12"/>
  <c r="C69" i="12"/>
  <c r="C78" i="12"/>
  <c r="C94" i="12"/>
  <c r="C91" i="12"/>
  <c r="C101" i="12"/>
  <c r="C111" i="12"/>
  <c r="C122" i="12"/>
  <c r="C132" i="12"/>
  <c r="C116" i="12"/>
  <c r="C135" i="12"/>
  <c r="C136" i="12"/>
  <c r="C10" i="12"/>
  <c r="C32" i="12"/>
  <c r="C37" i="12"/>
  <c r="C49" i="12"/>
  <c r="C60" i="12"/>
  <c r="C71" i="12"/>
  <c r="C96" i="12"/>
  <c r="C93" i="12"/>
  <c r="C103" i="12"/>
  <c r="C113" i="12"/>
  <c r="C115" i="12"/>
  <c r="C124" i="12"/>
  <c r="C134" i="12"/>
  <c r="C33" i="12"/>
  <c r="C50" i="12"/>
  <c r="C61" i="12"/>
  <c r="C72" i="12"/>
  <c r="C80" i="12"/>
  <c r="C97" i="12"/>
  <c r="C104" i="12"/>
  <c r="C125" i="12"/>
  <c r="C19" i="12"/>
  <c r="C38" i="12"/>
  <c r="C51" i="12"/>
  <c r="C63" i="12"/>
  <c r="C73" i="12"/>
  <c r="C81" i="12"/>
  <c r="C98" i="12"/>
  <c r="C105" i="12"/>
  <c r="C117" i="12"/>
  <c r="C126" i="12"/>
  <c r="C3" i="12"/>
  <c r="C25" i="12"/>
  <c r="C20" i="12"/>
  <c r="C39" i="12"/>
  <c r="C52" i="12"/>
  <c r="C64" i="12"/>
  <c r="C82" i="12"/>
  <c r="C99" i="12"/>
  <c r="C106" i="12"/>
  <c r="C127" i="12"/>
  <c r="C137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3" i="12"/>
  <c r="A112" i="12"/>
  <c r="A111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163" i="27" a="1"/>
  <c r="C192" i="27" a="1"/>
  <c r="E26" i="27" a="1"/>
  <c r="C25" i="27" a="1"/>
  <c r="C166" i="27" a="1"/>
  <c r="G3" i="40" a="1"/>
  <c r="E49" i="27" a="1"/>
  <c r="C204" i="27" a="1"/>
  <c r="E170" i="27" a="1"/>
  <c r="C143" i="27" a="1"/>
  <c r="C304" i="27" a="1"/>
  <c r="C5" i="3" a="1"/>
  <c r="C133" i="27" a="1"/>
  <c r="C228" i="27" a="1"/>
  <c r="E2" i="40" a="1"/>
  <c r="E25" i="40" a="1"/>
  <c r="G18" i="40" a="1"/>
  <c r="C86" i="27" a="1"/>
  <c r="E94" i="27" a="1"/>
  <c r="C11" i="3" a="1"/>
  <c r="E183" i="27" a="1"/>
  <c r="E275" i="27" a="1"/>
  <c r="D11" i="37" a="1"/>
  <c r="C376" i="27" a="1"/>
  <c r="E54" i="27" a="1"/>
  <c r="E214" i="27" a="1"/>
  <c r="C43" i="27" a="1"/>
  <c r="E24" i="27" a="1"/>
  <c r="E173" i="27" a="1"/>
  <c r="E178" i="27" a="1"/>
  <c r="C296" i="27" a="1"/>
  <c r="E22" i="27" a="1"/>
  <c r="C235" i="27" a="1"/>
  <c r="E256" i="27" a="1"/>
  <c r="G21" i="40" a="1"/>
  <c r="C179" i="27" a="1"/>
  <c r="E146" i="27" a="1"/>
  <c r="E22" i="40" a="1"/>
  <c r="C118" i="27" a="1"/>
  <c r="E7" i="27" a="1"/>
  <c r="C99" i="27" a="1"/>
  <c r="E116" i="27" a="1"/>
  <c r="E337" i="27" a="1"/>
  <c r="C178" i="27" a="1"/>
  <c r="C298" i="27" a="1"/>
  <c r="E269" i="27" a="1"/>
  <c r="C352" i="27" a="1"/>
  <c r="C185" i="27" a="1"/>
  <c r="C79" i="27" a="1"/>
  <c r="C224" i="27" a="1"/>
  <c r="C289" i="27" a="1"/>
  <c r="E101" i="27" a="1"/>
  <c r="C89" i="27" a="1"/>
  <c r="E166" i="27" a="1"/>
  <c r="C16" i="3" a="1"/>
  <c r="E266" i="27" a="1"/>
  <c r="E12" i="31" a="1"/>
  <c r="E174" i="27" a="1"/>
  <c r="C197" i="27" a="1"/>
  <c r="E147" i="27" a="1"/>
  <c r="C122" i="27" a="1"/>
  <c r="C73" i="27" a="1"/>
  <c r="C17" i="27" a="1"/>
  <c r="C155" i="27" a="1"/>
  <c r="E67" i="27" a="1"/>
  <c r="E320" i="27" a="1"/>
  <c r="E233" i="27" a="1"/>
  <c r="C309" i="27" a="1"/>
  <c r="E43" i="40" a="1"/>
  <c r="E175" i="27" a="1"/>
  <c r="E372" i="27" a="1"/>
  <c r="C208" i="27" a="1"/>
  <c r="E23" i="40" a="1"/>
  <c r="C135" i="27" a="1"/>
  <c r="C282" i="27" a="1"/>
  <c r="C210" i="27" a="1"/>
  <c r="C246" i="27" a="1"/>
  <c r="C239" i="27" a="1"/>
  <c r="E9" i="27" a="1"/>
  <c r="E162" i="27" a="1"/>
  <c r="C300" i="27" a="1"/>
  <c r="C131" i="27" a="1"/>
  <c r="C9" i="27" a="1"/>
  <c r="E141" i="27" a="1"/>
  <c r="C313" i="27" a="1"/>
  <c r="C233" i="27" a="1"/>
  <c r="E226" i="27" a="1"/>
  <c r="C14" i="31" a="1"/>
  <c r="E65" i="27" a="1"/>
  <c r="E36" i="27" a="1"/>
  <c r="E64" i="27" a="1"/>
  <c r="C182" i="27" a="1"/>
  <c r="E207" i="27" a="1"/>
  <c r="C103" i="27" a="1"/>
  <c r="E232" i="27" a="1"/>
  <c r="C271" i="27" a="1"/>
  <c r="C223" i="27" a="1"/>
  <c r="E31" i="40" a="1"/>
  <c r="C35" i="27" a="1"/>
  <c r="E11" i="31" a="1"/>
  <c r="E27" i="27" a="1"/>
  <c r="C129" i="27" a="1"/>
  <c r="E379" i="27" a="1"/>
  <c r="G48" i="40" a="1"/>
  <c r="C28" i="27" a="1"/>
  <c r="E259" i="27" a="1"/>
  <c r="E60" i="27" a="1"/>
  <c r="E310" i="27" a="1"/>
  <c r="G37" i="40" a="1"/>
  <c r="E73" i="27" a="1"/>
  <c r="E329" i="27" a="1"/>
  <c r="E277" i="27" a="1"/>
  <c r="E51" i="27" a="1"/>
  <c r="E27" i="40" a="1"/>
  <c r="E21" i="27" a="1"/>
  <c r="E55" i="27" a="1"/>
  <c r="C59" i="27" a="1"/>
  <c r="E353" i="27" a="1"/>
  <c r="E95" i="27" a="1"/>
  <c r="E331" i="27" a="1"/>
  <c r="C243" i="27" a="1"/>
  <c r="E42" i="27" a="1"/>
  <c r="G6" i="40" a="1"/>
  <c r="C324" i="27" a="1"/>
  <c r="E261" i="27" a="1"/>
  <c r="C11" i="31" a="1"/>
  <c r="E312" i="27" a="1"/>
  <c r="E13" i="31" a="1"/>
  <c r="G53" i="40" a="1"/>
  <c r="E371" i="27" a="1"/>
  <c r="E366" i="27" a="1"/>
  <c r="E347" i="27" a="1"/>
  <c r="E78" i="27" a="1"/>
  <c r="C237" i="27" a="1"/>
  <c r="C311" i="27" a="1"/>
  <c r="C9" i="31" a="1"/>
  <c r="C323" i="27" a="1"/>
  <c r="G42" i="40" a="1"/>
  <c r="C184" i="27" a="1"/>
  <c r="C191" i="27" a="1"/>
  <c r="E188" i="27" a="1"/>
  <c r="G10" i="40" a="1"/>
  <c r="E104" i="27" a="1"/>
  <c r="E249" i="27" a="1"/>
  <c r="E122" i="27" a="1"/>
  <c r="E121" i="27" a="1"/>
  <c r="C40" i="27" a="1"/>
  <c r="E37" i="27" a="1"/>
  <c r="C198" i="27" a="1"/>
  <c r="E155" i="27" a="1"/>
  <c r="C120" i="27" a="1"/>
  <c r="C2" i="38" a="1"/>
  <c r="C188" i="27" a="1"/>
  <c r="E49" i="40" a="1"/>
  <c r="E212" i="27" a="1"/>
  <c r="E351" i="27" a="1"/>
  <c r="E160" i="27" a="1"/>
  <c r="E228" i="27" a="1"/>
  <c r="C144" i="27" a="1"/>
  <c r="C303" i="27" a="1"/>
  <c r="C351" i="27" a="1"/>
  <c r="C156" i="27" a="1"/>
  <c r="E68" i="27" a="1"/>
  <c r="E21" i="40" a="1"/>
  <c r="E165" i="27" a="1"/>
  <c r="E186" i="27" a="1"/>
  <c r="C110" i="27" a="1"/>
  <c r="C121" i="27" a="1"/>
  <c r="E145" i="27" a="1"/>
  <c r="E70" i="27" a="1"/>
  <c r="C261" i="27" a="1"/>
  <c r="E61" i="27" a="1"/>
  <c r="C346" i="27" a="1"/>
  <c r="C380" i="27" a="1"/>
  <c r="C257" i="27" a="1"/>
  <c r="E16" i="31" a="1"/>
  <c r="C6" i="3" a="1"/>
  <c r="E117" i="27" a="1"/>
  <c r="E7" i="40" a="1"/>
  <c r="C49" i="27" a="1"/>
  <c r="C116" i="27" a="1"/>
  <c r="E159" i="27" a="1"/>
  <c r="E47" i="27" a="1"/>
  <c r="E35" i="27" a="1"/>
  <c r="C231" i="27" a="1"/>
  <c r="E105" i="27" a="1"/>
  <c r="E262" i="27" a="1"/>
  <c r="E339" i="27" a="1"/>
  <c r="E154" i="27" a="1"/>
  <c r="E319" i="27" a="1"/>
  <c r="D8" i="37" a="1"/>
  <c r="C183" i="27" a="1"/>
  <c r="C281" i="27" a="1"/>
  <c r="G43" i="40" a="1"/>
  <c r="C5" i="31" a="1"/>
  <c r="C157" i="27" a="1"/>
  <c r="C146" i="27" a="1"/>
  <c r="E284" i="27" a="1"/>
  <c r="C190" i="27" a="1"/>
  <c r="E4" i="27" a="1"/>
  <c r="C69" i="27" a="1"/>
  <c r="E12" i="27" a="1"/>
  <c r="E89" i="27" a="1"/>
  <c r="G34" i="40" a="1"/>
  <c r="E93" i="27" a="1"/>
  <c r="G12" i="40" a="1"/>
  <c r="C4" i="31" a="1"/>
  <c r="E23" i="27" a="1"/>
  <c r="E144" i="27" a="1"/>
  <c r="G49" i="40" a="1"/>
  <c r="E220" i="27" a="1"/>
  <c r="C3" i="3" a="1"/>
  <c r="C375" i="27" a="1"/>
  <c r="E20" i="40" a="1"/>
  <c r="C249" i="27" a="1"/>
  <c r="C158" i="27" a="1"/>
  <c r="E134" i="27" a="1"/>
  <c r="E149" i="27" a="1"/>
  <c r="C359" i="27" a="1"/>
  <c r="C280" i="27" a="1"/>
  <c r="E38" i="40" a="1"/>
  <c r="C44" i="27" a="1"/>
  <c r="C195" i="27" a="1"/>
  <c r="E99" i="27" a="1"/>
  <c r="C83" i="27" a="1"/>
  <c r="E189" i="27" a="1"/>
  <c r="G52" i="40" a="1"/>
  <c r="C221" i="27" a="1"/>
  <c r="E378" i="27" a="1"/>
  <c r="C230" i="27" a="1"/>
  <c r="D10" i="37" a="1"/>
  <c r="C81" i="27" a="1"/>
  <c r="E328" i="27" a="1"/>
  <c r="E71" i="27" a="1"/>
  <c r="C202" i="27" a="1"/>
  <c r="C374" i="27" a="1"/>
  <c r="E368" i="27" a="1"/>
  <c r="C245" i="27" a="1"/>
  <c r="C2" i="9" a="1"/>
  <c r="C173" i="27" a="1"/>
  <c r="E148" i="27" a="1"/>
  <c r="E330" i="27" a="1"/>
  <c r="E109" i="27" a="1"/>
  <c r="E184" i="27" a="1"/>
  <c r="E97" i="27" a="1"/>
  <c r="C66" i="27" a="1"/>
  <c r="C14" i="27" a="1"/>
  <c r="E17" i="40" a="1"/>
  <c r="C252" i="27" a="1"/>
  <c r="E74" i="27" a="1"/>
  <c r="C42" i="27" a="1"/>
  <c r="G30" i="40" a="1"/>
  <c r="E270" i="27" a="1"/>
  <c r="C379" i="27" a="1"/>
  <c r="E201" i="27" a="1"/>
  <c r="E88" i="27" a="1"/>
  <c r="C314" i="27" a="1"/>
  <c r="C149" i="27" a="1"/>
  <c r="E365" i="27" a="1"/>
  <c r="E369" i="27" a="1"/>
  <c r="C88" i="27" a="1"/>
  <c r="E215" i="27" a="1"/>
  <c r="C334" i="27" a="1"/>
  <c r="C253" i="27" a="1"/>
  <c r="C114" i="27" a="1"/>
  <c r="C48" i="27" a="1"/>
  <c r="C225" i="27" a="1"/>
  <c r="C316" i="27" a="1"/>
  <c r="C97" i="27" a="1"/>
  <c r="E352" i="27" a="1"/>
  <c r="E51" i="40" a="1"/>
  <c r="E377" i="27" a="1"/>
  <c r="E14" i="31" a="1"/>
  <c r="C18" i="31" a="1"/>
  <c r="C273" i="27" a="1"/>
  <c r="C168" i="27" a="1"/>
  <c r="C259" i="27" a="1"/>
  <c r="E90" i="27" a="1"/>
  <c r="E230" i="27" a="1"/>
  <c r="C41" i="27" a="1"/>
  <c r="E237" i="27" a="1"/>
  <c r="C305" i="27" a="1"/>
  <c r="C226" i="27" a="1"/>
  <c r="E14" i="40" a="1"/>
  <c r="C104" i="27" a="1"/>
  <c r="E43" i="27" a="1"/>
  <c r="E381" i="27" a="1"/>
  <c r="C137" i="27" a="1"/>
  <c r="C255" i="27" a="1"/>
  <c r="E17" i="27" a="1"/>
  <c r="E5" i="27" a="1"/>
  <c r="E202" i="27" a="1"/>
  <c r="E209" i="27" a="1"/>
  <c r="E180" i="27" a="1"/>
  <c r="G26" i="40" a="1"/>
  <c r="C308" i="27" a="1"/>
  <c r="C37" i="27" a="1"/>
  <c r="D16" i="37" a="1"/>
  <c r="C219" i="27" a="1"/>
  <c r="G14" i="40" a="1"/>
  <c r="E362" i="27" a="1"/>
  <c r="C175" i="27" a="1"/>
  <c r="C319" i="27" a="1"/>
  <c r="C297" i="27" a="1"/>
  <c r="C138" i="27" a="1"/>
  <c r="E199" i="27" a="1"/>
  <c r="E102" i="27" a="1"/>
  <c r="C341" i="27" a="1"/>
  <c r="C147" i="27" a="1"/>
  <c r="C302" i="27" a="1"/>
  <c r="E50" i="27" a="1"/>
  <c r="E18" i="31" a="1"/>
  <c r="C51" i="27" a="1"/>
  <c r="C318" i="27" a="1"/>
  <c r="E206" i="27" a="1"/>
  <c r="G11" i="40" a="1"/>
  <c r="C348" i="27" a="1"/>
  <c r="E119" i="27" a="1"/>
  <c r="E69" i="27" a="1"/>
  <c r="E8" i="40" a="1"/>
  <c r="E297" i="27" a="1"/>
  <c r="E156" i="27" a="1"/>
  <c r="E110" i="27" a="1"/>
  <c r="E349" i="27" a="1"/>
  <c r="E18" i="40" a="1"/>
  <c r="C85" i="27" a="1"/>
  <c r="E198" i="27" a="1"/>
  <c r="E211" i="27" a="1"/>
  <c r="C57" i="27" a="1"/>
  <c r="J4" i="34" a="1"/>
  <c r="C283" i="27" a="1"/>
  <c r="E296" i="27" a="1"/>
  <c r="C355" i="27" a="1"/>
  <c r="E41" i="27" a="1"/>
  <c r="G55" i="40" a="1"/>
  <c r="E32" i="27" a="1"/>
  <c r="C251" i="27" a="1"/>
  <c r="C117" i="27" a="1"/>
  <c r="G29" i="40" a="1"/>
  <c r="C340" i="27" a="1"/>
  <c r="E285" i="27" a="1"/>
  <c r="E38" i="27" a="1"/>
  <c r="C159" i="27" a="1"/>
  <c r="D15" i="37" a="1"/>
  <c r="E251" i="27" a="1"/>
  <c r="C65" i="27" a="1"/>
  <c r="G40" i="40" a="1"/>
  <c r="C145" i="27" a="1"/>
  <c r="E131" i="27" a="1"/>
  <c r="D20" i="37" a="1"/>
  <c r="G35" i="40" a="1"/>
  <c r="E4" i="40" a="1"/>
  <c r="E309" i="27" a="1"/>
  <c r="C77" i="27" a="1"/>
  <c r="E137" i="27" a="1"/>
  <c r="G41" i="40" a="1"/>
  <c r="E217" i="27" a="1"/>
  <c r="C169" i="27" a="1"/>
  <c r="C265" i="27" a="1"/>
  <c r="G24" i="40" a="1"/>
  <c r="G39" i="40" a="1"/>
  <c r="C328" i="27" a="1"/>
  <c r="C201" i="27" a="1"/>
  <c r="C369" i="27" a="1"/>
  <c r="E341" i="27" a="1"/>
  <c r="C268" i="27" a="1"/>
  <c r="C263" i="27" a="1"/>
  <c r="E118" i="27" a="1"/>
  <c r="C10" i="27" a="1"/>
  <c r="E295" i="27" a="1"/>
  <c r="E326" i="27" a="1"/>
  <c r="C38" i="27" a="1"/>
  <c r="E242" i="27" a="1"/>
  <c r="C242" i="27" a="1"/>
  <c r="C27" i="27" a="1"/>
  <c r="C154" i="27" a="1"/>
  <c r="C91" i="27" a="1"/>
  <c r="C90" i="27" a="1"/>
  <c r="C288" i="27" a="1"/>
  <c r="C20" i="27" a="1"/>
  <c r="E346" i="27" a="1"/>
  <c r="E327" i="27" a="1"/>
  <c r="E34" i="27" a="1"/>
  <c r="C291" i="27" a="1"/>
  <c r="C3" i="31" a="1"/>
  <c r="C52" i="27" a="1"/>
  <c r="C336" i="27" a="1"/>
  <c r="E298" i="27" a="1"/>
  <c r="E342" i="27" a="1"/>
  <c r="C119" i="27" a="1"/>
  <c r="E164" i="27" a="1"/>
  <c r="C162" i="27" a="1"/>
  <c r="C115" i="27" a="1"/>
  <c r="C107" i="27" a="1"/>
  <c r="E268" i="27" a="1"/>
  <c r="E250" i="27" a="1"/>
  <c r="E227" i="27" a="1"/>
  <c r="C209" i="27" a="1"/>
  <c r="C31" i="27" a="1"/>
  <c r="C16" i="31" a="1"/>
  <c r="C331" i="27" a="1"/>
  <c r="C203" i="27" a="1"/>
  <c r="C71" i="27" a="1"/>
  <c r="C3" i="27" a="1"/>
  <c r="C364" i="27" a="1"/>
  <c r="C140" i="27" a="1"/>
  <c r="C320" i="27" a="1"/>
  <c r="C7" i="3" a="1"/>
  <c r="E315" i="27" a="1"/>
  <c r="C151" i="27" a="1"/>
  <c r="C172" i="27" a="1"/>
  <c r="E15" i="40" a="1"/>
  <c r="E54" i="40" a="1"/>
  <c r="E185" i="27" a="1"/>
  <c r="E293" i="27" a="1"/>
  <c r="E25" i="27" a="1"/>
  <c r="E267" i="27" a="1"/>
  <c r="E11" i="40" a="1"/>
  <c r="C294" i="27" a="1"/>
  <c r="C102" i="27" a="1"/>
  <c r="E231" i="27" a="1"/>
  <c r="C20" i="31" a="1"/>
  <c r="C189" i="27" a="1"/>
  <c r="G36" i="40" a="1"/>
  <c r="E311" i="27" a="1"/>
  <c r="E133" i="27" a="1"/>
  <c r="C186" i="27" a="1"/>
  <c r="C62" i="27" a="1"/>
  <c r="E83" i="27" a="1"/>
  <c r="E204" i="27" a="1"/>
  <c r="E301" i="27" a="1"/>
  <c r="E6" i="31" a="1"/>
  <c r="C327" i="27" a="1"/>
  <c r="C215" i="27" a="1"/>
  <c r="C370" i="27" a="1"/>
  <c r="C61" i="27" a="1"/>
  <c r="C22" i="27" a="1"/>
  <c r="C60" i="27" a="1"/>
  <c r="C220" i="27" a="1"/>
  <c r="E120" i="27" a="1"/>
  <c r="C7" i="31" a="1"/>
  <c r="G17" i="40" a="1"/>
  <c r="E241" i="27" a="1"/>
  <c r="E354" i="27" a="1"/>
  <c r="C45" i="27" a="1"/>
  <c r="C174" i="27" a="1"/>
  <c r="E271" i="27" a="1"/>
  <c r="E359" i="27" a="1"/>
  <c r="E235" i="27" a="1"/>
  <c r="C64" i="27" a="1"/>
  <c r="E29" i="27" a="1"/>
  <c r="E303" i="27" a="1"/>
  <c r="C177" i="27" a="1"/>
  <c r="C211" i="27" a="1"/>
  <c r="E243" i="27" a="1"/>
  <c r="C218" i="27" a="1"/>
  <c r="C381" i="27" a="1"/>
  <c r="E39" i="40" a="1"/>
  <c r="C15" i="27" a="1"/>
  <c r="G22" i="40" a="1"/>
  <c r="E253" i="27" a="1"/>
  <c r="C21" i="27" a="1"/>
  <c r="E17" i="31" a="1"/>
  <c r="E42" i="40" a="1"/>
  <c r="C315" i="27" a="1"/>
  <c r="C134" i="27" a="1"/>
  <c r="C67" i="27" a="1"/>
  <c r="C14" i="3" a="1"/>
  <c r="D13" i="37" a="1"/>
  <c r="C12" i="31" a="1"/>
  <c r="D17" i="37" a="1"/>
  <c r="E169" i="27" a="1"/>
  <c r="G38" i="40" a="1"/>
  <c r="E286" i="27" a="1"/>
  <c r="E222" i="27" a="1"/>
  <c r="C335" i="27" a="1"/>
  <c r="C266" i="27" a="1"/>
  <c r="C78" i="27" a="1"/>
  <c r="C9" i="3" a="1"/>
  <c r="E30" i="27" a="1"/>
  <c r="C30" i="27" a="1"/>
  <c r="E272" i="27" a="1"/>
  <c r="E48" i="27" a="1"/>
  <c r="E46" i="40" a="1"/>
  <c r="C6" i="31" a="1"/>
  <c r="C17" i="31" a="1"/>
  <c r="C216" i="27" a="1"/>
  <c r="E123" i="27" a="1"/>
  <c r="E48" i="40" a="1"/>
  <c r="E3" i="27" a="1"/>
  <c r="G32" i="40" a="1"/>
  <c r="E323" i="27" a="1"/>
  <c r="C18" i="3" a="1"/>
  <c r="E153" i="27" a="1"/>
  <c r="D19" i="37" a="1"/>
  <c r="E299" i="27" a="1"/>
  <c r="E59" i="27" a="1"/>
  <c r="E332" i="27" a="1"/>
  <c r="E282" i="27" a="1"/>
  <c r="E45" i="40" a="1"/>
  <c r="C342" i="27" a="1"/>
  <c r="E150" i="27" a="1"/>
  <c r="E72" i="27" a="1"/>
  <c r="C229" i="27" a="1"/>
  <c r="C19" i="3" a="1"/>
  <c r="E86" i="27" a="1"/>
  <c r="E265" i="27" a="1"/>
  <c r="D6" i="37" a="1"/>
  <c r="C200" i="27" a="1"/>
  <c r="E19" i="31" a="1"/>
  <c r="C333" i="27" a="1"/>
  <c r="E187" i="27" a="1"/>
  <c r="C11" i="27" a="1"/>
  <c r="C310" i="27" a="1"/>
  <c r="E33" i="27" a="1"/>
  <c r="C92" i="27" a="1"/>
  <c r="G7" i="40" a="1"/>
  <c r="E334" i="27" a="1"/>
  <c r="E53" i="27" a="1"/>
  <c r="E106" i="27" a="1"/>
  <c r="C196" i="27" a="1"/>
  <c r="E294" i="27" a="1"/>
  <c r="E333" i="27" a="1"/>
  <c r="E151" i="27" a="1"/>
  <c r="C82" i="27" a="1"/>
  <c r="C98" i="27" a="1"/>
  <c r="D2" i="37" a="1"/>
  <c r="E374" i="27" a="1"/>
  <c r="C4" i="3" a="1"/>
  <c r="E264" i="27" a="1"/>
  <c r="E258" i="27" a="1"/>
  <c r="E263" i="27" a="1"/>
  <c r="E62" i="27" a="1"/>
  <c r="C6" i="27" a="1"/>
  <c r="C87" i="27" a="1"/>
  <c r="E290" i="27" a="1"/>
  <c r="E98" i="27" a="1"/>
  <c r="C132" i="27" a="1"/>
  <c r="C254" i="27" a="1"/>
  <c r="E158" i="27" a="1"/>
  <c r="E213" i="27" a="1"/>
  <c r="E171" i="27" a="1"/>
  <c r="C278" i="27" a="1"/>
  <c r="E20" i="31" a="1"/>
  <c r="C26" i="27" a="1"/>
  <c r="C2" i="3" a="1"/>
  <c r="E13" i="40" a="1"/>
  <c r="E3" i="40" a="1"/>
  <c r="E113" i="27" a="1"/>
  <c r="C312" i="27" a="1"/>
  <c r="E191" i="27" a="1"/>
  <c r="E126" i="27" a="1"/>
  <c r="G31" i="40" a="1"/>
  <c r="E246" i="27" a="1"/>
  <c r="E53" i="40" a="1"/>
  <c r="E321" i="27" a="1"/>
  <c r="E245" i="27" a="1"/>
  <c r="C180" i="27" a="1"/>
  <c r="C50" i="27" a="1"/>
  <c r="C362" i="27" a="1"/>
  <c r="E196" i="27" a="1"/>
  <c r="C63" i="27" a="1"/>
  <c r="C127" i="27" a="1"/>
  <c r="E10" i="40" a="1"/>
  <c r="E76" i="27" a="1"/>
  <c r="C350" i="27" a="1"/>
  <c r="C93" i="27" a="1"/>
  <c r="E205" i="27" a="1"/>
  <c r="E276" i="27" a="1"/>
  <c r="E190" i="27" a="1"/>
  <c r="E85" i="27" a="1"/>
  <c r="C358" i="27" a="1"/>
  <c r="E82" i="27" a="1"/>
  <c r="C222" i="27" a="1"/>
  <c r="E15" i="27" a="1"/>
  <c r="E41" i="40" a="1"/>
  <c r="E2" i="27" a="1"/>
  <c r="C325" i="27" a="1"/>
  <c r="E44" i="40" a="1"/>
  <c r="E257" i="27" a="1"/>
  <c r="C2" i="5" a="1"/>
  <c r="E52" i="27" a="1"/>
  <c r="E177" i="27" a="1"/>
  <c r="G51" i="40" a="1"/>
  <c r="E13" i="27" a="1"/>
  <c r="C206" i="27" a="1"/>
  <c r="C363" i="27" a="1"/>
  <c r="C8" i="3" a="1"/>
  <c r="E367" i="27" a="1"/>
  <c r="E238" i="27" a="1"/>
  <c r="E244" i="27" a="1"/>
  <c r="C13" i="3" a="1"/>
  <c r="E39" i="27" a="1"/>
  <c r="E143" i="27" a="1"/>
  <c r="E111" i="27" a="1"/>
  <c r="E36" i="40" a="1"/>
  <c r="C238" i="27" a="1"/>
  <c r="E37" i="40" a="1"/>
  <c r="C55" i="27" a="1"/>
  <c r="E28" i="27" a="1"/>
  <c r="D18" i="37" a="1"/>
  <c r="C126" i="27" a="1"/>
  <c r="E12" i="40" a="1"/>
  <c r="C373" i="27" a="1"/>
  <c r="C181" i="27" a="1"/>
  <c r="E203" i="27" a="1"/>
  <c r="C2" i="31" a="1"/>
  <c r="C330" i="27" a="1"/>
  <c r="C167" i="27" a="1"/>
  <c r="C16" i="27" a="1"/>
  <c r="E305" i="27" a="1"/>
  <c r="E16" i="40" a="1"/>
  <c r="G15" i="40" a="1"/>
  <c r="C372" i="27" a="1"/>
  <c r="C286" i="27" a="1"/>
  <c r="E2" i="38" a="1"/>
  <c r="C234" i="27" a="1"/>
  <c r="G2" i="40" a="1"/>
  <c r="E324" i="27" a="1"/>
  <c r="E45" i="27" a="1"/>
  <c r="C258" i="27" a="1"/>
  <c r="E167" i="27" a="1"/>
  <c r="C284" i="27" a="1"/>
  <c r="D3" i="37" a="1"/>
  <c r="C7" i="27" a="1"/>
  <c r="E5" i="40" a="1"/>
  <c r="C68" i="27" a="1"/>
  <c r="E168" i="27" a="1"/>
  <c r="E234" i="27" a="1"/>
  <c r="C141" i="27" a="1"/>
  <c r="E358" i="27" a="1"/>
  <c r="E375" i="27" a="1"/>
  <c r="C75" i="27" a="1"/>
  <c r="E194" i="27" a="1"/>
  <c r="C74" i="27" a="1"/>
  <c r="C94" i="27" a="1"/>
  <c r="E182" i="27" a="1"/>
  <c r="C236" i="27" a="1"/>
  <c r="E140" i="27" a="1"/>
  <c r="E335" i="27" a="1"/>
  <c r="C23" i="27" a="1"/>
  <c r="E63" i="27" a="1"/>
  <c r="E40" i="40" a="1"/>
  <c r="C356" i="27" a="1"/>
  <c r="C2" i="27" a="1"/>
  <c r="E157" i="27" a="1"/>
  <c r="E161" i="27" a="1"/>
  <c r="E254" i="27" a="1"/>
  <c r="E360" i="27" a="1"/>
  <c r="C256" i="27" a="1"/>
  <c r="E181" i="27" a="1"/>
  <c r="E273" i="27" a="1"/>
  <c r="C128" i="27" a="1"/>
  <c r="C8" i="31" a="1"/>
  <c r="C4" i="27" a="1"/>
  <c r="E58" i="27" a="1"/>
  <c r="E152" i="27" a="1"/>
  <c r="E66" i="27" a="1"/>
  <c r="C36" i="27" a="1"/>
  <c r="G27" i="40" a="1"/>
  <c r="E26" i="40" a="1"/>
  <c r="E28" i="40" a="1"/>
  <c r="C19" i="27" a="1"/>
  <c r="G19" i="40" a="1"/>
  <c r="E6" i="27" a="1"/>
  <c r="C262" i="27" a="1"/>
  <c r="E248" i="27" a="1"/>
  <c r="C46" i="27" a="1"/>
  <c r="C232" i="27" a="1"/>
  <c r="C365" i="27" a="1"/>
  <c r="E29" i="40" a="1"/>
  <c r="E75" i="27" a="1"/>
  <c r="C212" i="27" a="1"/>
  <c r="E223" i="27" a="1"/>
  <c r="C361" i="27" a="1"/>
  <c r="E19" i="27" a="1"/>
  <c r="E9" i="40" a="1"/>
  <c r="E2" i="31" a="1"/>
  <c r="C34" i="27" a="1"/>
  <c r="C170" i="27" a="1"/>
  <c r="E139" i="27" a="1"/>
  <c r="G45" i="40" a="1"/>
  <c r="E91" i="27" a="1"/>
  <c r="E44" i="27" a="1"/>
  <c r="C160" i="27" a="1"/>
  <c r="C13" i="31" a="1"/>
  <c r="G23" i="40" a="1"/>
  <c r="E84" i="27" a="1"/>
  <c r="C32" i="27" a="1"/>
  <c r="E33" i="40" a="1"/>
  <c r="G4" i="40" a="1"/>
  <c r="G13" i="40" a="1"/>
  <c r="C12" i="27" a="1"/>
  <c r="E307" i="27" a="1"/>
  <c r="C72" i="27" a="1"/>
  <c r="C275" i="27" a="1"/>
  <c r="C165" i="27" a="1"/>
  <c r="C326" i="27" a="1"/>
  <c r="E35" i="40" a="1"/>
  <c r="C70" i="27" a="1"/>
  <c r="E57" i="27" a="1"/>
  <c r="C10" i="31" a="1"/>
  <c r="E218" i="27" a="1"/>
  <c r="C8" i="27" a="1"/>
  <c r="E30" i="40" a="1"/>
  <c r="C274" i="27" a="1"/>
  <c r="C112" i="27" a="1"/>
  <c r="G25" i="40" a="1"/>
  <c r="E229" i="27" a="1"/>
  <c r="C193" i="27" a="1"/>
  <c r="C290" i="27" a="1"/>
  <c r="C76" i="27" a="1"/>
  <c r="C247" i="27" a="1"/>
  <c r="E370" i="27" a="1"/>
  <c r="E364" i="27" a="1"/>
  <c r="C12" i="3" a="1"/>
  <c r="C244" i="27" a="1"/>
  <c r="E56" i="27" a="1"/>
  <c r="E172" i="27" a="1"/>
  <c r="C18" i="27" a="1"/>
  <c r="G46" i="40" a="1"/>
  <c r="D12" i="37" a="1"/>
  <c r="E115" i="27" a="1"/>
  <c r="C199" i="27" a="1"/>
  <c r="C269" i="27" a="1"/>
  <c r="E357" i="27" a="1"/>
  <c r="C106" i="27" a="1"/>
  <c r="E87" i="27" a="1"/>
  <c r="E16" i="27" a="1"/>
  <c r="C47" i="27" a="1"/>
  <c r="E7" i="31" a="1"/>
  <c r="D14" i="37" a="1"/>
  <c r="C260" i="27" a="1"/>
  <c r="E255" i="27" a="1"/>
  <c r="C84" i="27" a="1"/>
  <c r="E31" i="27" a="1"/>
  <c r="D7" i="37" a="1"/>
  <c r="E107" i="27" a="1"/>
  <c r="C150" i="27" a="1"/>
  <c r="C96" i="27" a="1"/>
  <c r="C164" i="27" a="1"/>
  <c r="E96" i="27" a="1"/>
  <c r="E236" i="27" a="1"/>
  <c r="J3" i="34" a="1"/>
  <c r="G28" i="40" a="1"/>
  <c r="C125" i="27" a="1"/>
  <c r="E79" i="27" a="1"/>
  <c r="C136" i="27" a="1"/>
  <c r="C187" i="27" a="1"/>
  <c r="E208" i="27" a="1"/>
  <c r="C293" i="27" a="1"/>
  <c r="C317" i="27" a="1"/>
  <c r="C20" i="3" a="1"/>
  <c r="C217" i="27" a="1"/>
  <c r="G9" i="40" a="1"/>
  <c r="E260" i="27" a="1"/>
  <c r="E8" i="31" a="1"/>
  <c r="E108" i="27" a="1"/>
  <c r="E6" i="40" a="1"/>
  <c r="E221" i="27" a="1"/>
  <c r="E306" i="27" a="1"/>
  <c r="C171" i="27" a="1"/>
  <c r="C207" i="27" a="1"/>
  <c r="C267" i="27" a="1"/>
  <c r="E240" i="27" a="1"/>
  <c r="C148" i="27" a="1"/>
  <c r="E176" i="27" a="1"/>
  <c r="C306" i="27" a="1"/>
  <c r="E340" i="27" a="1"/>
  <c r="C13" i="27" a="1"/>
  <c r="E81" i="27" a="1"/>
  <c r="C378" i="27" a="1"/>
  <c r="E280" i="27" a="1"/>
  <c r="E80" i="27" a="1"/>
  <c r="E224" i="27" a="1"/>
  <c r="E325" i="27" a="1"/>
  <c r="C264" i="27" a="1"/>
  <c r="E4" i="31" a="1"/>
  <c r="G54" i="40" a="1"/>
  <c r="E135" i="27" a="1"/>
  <c r="C105" i="27" a="1"/>
  <c r="E317" i="27" a="1"/>
  <c r="C33" i="27" a="1"/>
  <c r="C58" i="27" a="1"/>
  <c r="E192" i="27" a="1"/>
  <c r="E197" i="27" a="1"/>
  <c r="G5" i="40" a="1"/>
  <c r="E283" i="27" a="1"/>
  <c r="D9" i="37" a="1"/>
  <c r="E376" i="27" a="1"/>
  <c r="C227" i="27" a="1"/>
  <c r="G8" i="40" a="1"/>
  <c r="C345" i="27" a="1"/>
  <c r="C39" i="27" a="1"/>
  <c r="E343" i="27" a="1"/>
  <c r="E5" i="31" a="1"/>
  <c r="E55" i="40" a="1"/>
  <c r="C100" i="27" a="1"/>
  <c r="E100" i="27" a="1"/>
  <c r="C80" i="27" a="1"/>
  <c r="E92" i="27" a="1"/>
  <c r="E281" i="27" a="1"/>
  <c r="C15" i="31" a="1"/>
  <c r="C344" i="27" a="1"/>
  <c r="C108" i="27" a="1"/>
  <c r="C371" i="27" a="1"/>
  <c r="C250" i="27" a="1"/>
  <c r="C101" i="27" a="1"/>
  <c r="E292" i="27" a="1"/>
  <c r="E52" i="40" a="1"/>
  <c r="C353" i="27" a="1"/>
  <c r="C357" i="27" a="1"/>
  <c r="C285" i="27" a="1"/>
  <c r="C377" i="27" a="1"/>
  <c r="E322" i="27" a="1"/>
  <c r="E219" i="27" a="1"/>
  <c r="E136" i="27" a="1"/>
  <c r="C299" i="27" a="1"/>
  <c r="C270" i="27" a="1"/>
  <c r="E32" i="40" a="1"/>
  <c r="C142" i="27" a="1"/>
  <c r="C295" i="27" a="1"/>
  <c r="C241" i="27" a="1"/>
  <c r="E316" i="27" a="1"/>
  <c r="E14" i="27" a="1"/>
  <c r="E8" i="27" a="1"/>
  <c r="E348" i="27" a="1"/>
  <c r="E130" i="27" a="1"/>
  <c r="E344" i="27" a="1"/>
  <c r="E15" i="31" a="1"/>
  <c r="C276" i="27" a="1"/>
  <c r="G16" i="40" a="1"/>
  <c r="C15" i="3" a="1"/>
  <c r="E247" i="27" a="1"/>
  <c r="E314" i="27" a="1"/>
  <c r="C343" i="27" a="1"/>
  <c r="C123" i="27" a="1"/>
  <c r="E291" i="27" a="1"/>
  <c r="G44" i="40" a="1"/>
  <c r="E216" i="27" a="1"/>
  <c r="C29" i="27" a="1"/>
  <c r="E132" i="27" a="1"/>
  <c r="C368" i="27" a="1"/>
  <c r="E289" i="27" a="1"/>
  <c r="E142" i="27" a="1"/>
  <c r="E239" i="27" a="1"/>
  <c r="C176" i="27" a="1"/>
  <c r="E103" i="27" a="1"/>
  <c r="C332" i="27" a="1"/>
  <c r="C161" i="27" a="1"/>
  <c r="E193" i="27" a="1"/>
  <c r="E24" i="40" a="1"/>
  <c r="E195" i="27" a="1"/>
  <c r="C24" i="27" a="1"/>
  <c r="E112" i="27" a="1"/>
  <c r="E350" i="27" a="1"/>
  <c r="E46" i="27" a="1"/>
  <c r="E127" i="27" a="1"/>
  <c r="C194" i="27" a="1"/>
  <c r="C214" i="27" a="1"/>
  <c r="C213" i="27" a="1"/>
  <c r="E336" i="27" a="1"/>
  <c r="C113" i="27" a="1"/>
  <c r="C307" i="27" a="1"/>
  <c r="E19" i="40" a="1"/>
  <c r="E356" i="27" a="1"/>
  <c r="E163" i="27" a="1"/>
  <c r="C17" i="3" a="1"/>
  <c r="C130" i="27" a="1"/>
  <c r="G20" i="40" a="1"/>
  <c r="E279" i="27" a="1"/>
  <c r="C56" i="27" a="1"/>
  <c r="E47" i="40" a="1"/>
  <c r="E129" i="27" a="1"/>
  <c r="C366" i="27" a="1"/>
  <c r="C329" i="27" a="1"/>
  <c r="G33" i="40" a="1"/>
  <c r="E11" i="27" a="1"/>
  <c r="E304" i="27" a="1"/>
  <c r="E40" i="27" a="1"/>
  <c r="C338" i="27" a="1"/>
  <c r="E138" i="27" a="1"/>
  <c r="E288" i="27" a="1"/>
  <c r="C139" i="27" a="1"/>
  <c r="E210" i="27" a="1"/>
  <c r="E313" i="27" a="1"/>
  <c r="C287" i="27" a="1"/>
  <c r="E363" i="27" a="1"/>
  <c r="E20" i="27" a="1"/>
  <c r="G50" i="40" a="1"/>
  <c r="G47" i="40" a="1"/>
  <c r="E345" i="27" a="1"/>
  <c r="C301" i="27" a="1"/>
  <c r="C95" i="27" a="1"/>
  <c r="C111" i="27" a="1"/>
  <c r="E10" i="27" a="1"/>
  <c r="E18" i="27" a="1"/>
  <c r="E338" i="27" a="1"/>
  <c r="C349" i="27" a="1"/>
  <c r="E124" i="27" a="1"/>
  <c r="C322" i="27" a="1"/>
  <c r="C153" i="27" a="1"/>
  <c r="C53" i="27" a="1"/>
  <c r="E128" i="27" a="1"/>
  <c r="C292" i="27" a="1"/>
  <c r="E361" i="27" a="1"/>
  <c r="C279" i="27" a="1"/>
  <c r="E9" i="31" a="1"/>
  <c r="D4" i="37" a="1"/>
  <c r="E77" i="27" a="1"/>
  <c r="C240" i="27" a="1"/>
  <c r="C248" i="27" a="1"/>
  <c r="C124" i="27" a="1"/>
  <c r="E125" i="27" a="1"/>
  <c r="E34" i="40" a="1"/>
  <c r="C5" i="27" a="1"/>
  <c r="E373" i="27" a="1"/>
  <c r="E274" i="27" a="1"/>
  <c r="C272" i="27" a="1"/>
  <c r="C109" i="27" a="1"/>
  <c r="D5" i="37" a="1"/>
  <c r="E252" i="27" a="1"/>
  <c r="E3" i="31" a="1"/>
  <c r="C337" i="27" a="1"/>
  <c r="E50" i="40" a="1"/>
  <c r="E308" i="27" a="1"/>
  <c r="E300" i="27" a="1"/>
  <c r="C10" i="3" a="1"/>
  <c r="E179" i="27" a="1"/>
  <c r="C354" i="27" a="1"/>
  <c r="E10" i="31" a="1"/>
  <c r="C19" i="31" a="1"/>
  <c r="E302" i="27" a="1"/>
  <c r="E318" i="27" a="1"/>
  <c r="E225" i="27" a="1"/>
  <c r="C347" i="27" a="1"/>
  <c r="C205" i="27" a="1"/>
  <c r="C321" i="27" a="1"/>
  <c r="C54" i="27" a="1"/>
  <c r="C277" i="27" a="1"/>
  <c r="C152" i="27" a="1"/>
  <c r="E200" i="27" a="1"/>
  <c r="E278" i="27" a="1"/>
  <c r="E114" i="27" a="1"/>
  <c r="E287" i="27" a="1"/>
  <c r="C360" i="27" a="1"/>
  <c r="C339" i="27" a="1"/>
  <c r="E380" i="27" a="1"/>
  <c r="C367" i="27" a="1"/>
  <c r="E355" i="27" a="1"/>
  <c r="G114" i="12" a="1"/>
  <c r="G100" i="12" a="1"/>
  <c r="G87" i="12" a="1"/>
  <c r="G80" i="12" a="1"/>
  <c r="G94" i="12" a="1"/>
  <c r="G74" i="12" a="1"/>
  <c r="G69" i="12" a="1"/>
  <c r="G45" i="12" a="1"/>
  <c r="G63" i="12" a="1"/>
  <c r="G57" i="12" a="1"/>
  <c r="C42" i="4" a="1"/>
  <c r="C37" i="4" a="1"/>
  <c r="E33" i="4" a="1"/>
  <c r="C4" i="4" a="1"/>
  <c r="C44" i="4" a="1"/>
  <c r="C9" i="4" a="1"/>
  <c r="E3" i="4" a="1"/>
  <c r="E16" i="4" a="1"/>
  <c r="E18" i="4" a="1"/>
  <c r="C40" i="4" a="1"/>
  <c r="E23" i="4" a="1"/>
  <c r="C25" i="4" a="1"/>
  <c r="E40" i="4" a="1"/>
  <c r="E11" i="4" a="1"/>
  <c r="E21" i="4" a="1"/>
  <c r="E13" i="4" a="1"/>
  <c r="C29" i="4" a="1"/>
  <c r="C39" i="4" a="1"/>
  <c r="C46" i="4" a="1"/>
  <c r="C32" i="4" a="1"/>
  <c r="C35" i="4" a="1"/>
  <c r="E46" i="4" a="1"/>
  <c r="C16" i="4" a="1"/>
  <c r="C10" i="4" a="1"/>
  <c r="E29" i="4" a="1"/>
  <c r="E32" i="4" a="1"/>
  <c r="E35" i="4" a="1"/>
  <c r="E6" i="4" a="1"/>
  <c r="C27" i="4" a="1"/>
  <c r="E31" i="4" a="1"/>
  <c r="E4" i="4" a="1"/>
  <c r="C33" i="4" a="1"/>
  <c r="C23" i="4" a="1"/>
  <c r="C3" i="4" a="1"/>
  <c r="C48" i="4" a="1"/>
  <c r="E25" i="4" a="1"/>
  <c r="E43" i="4" a="1"/>
  <c r="C8" i="4" a="1"/>
  <c r="C47" i="4" a="1"/>
  <c r="E5" i="4" a="1"/>
  <c r="E41" i="4" a="1"/>
  <c r="E14" i="4" a="1"/>
  <c r="E7" i="4" a="1"/>
  <c r="E37" i="4" a="1"/>
  <c r="E34" i="4" a="1"/>
  <c r="C6" i="4" a="1"/>
  <c r="C13" i="4" a="1"/>
  <c r="E20" i="4" a="1"/>
  <c r="C38" i="4" a="1"/>
  <c r="E48" i="4" a="1"/>
  <c r="E44" i="4" a="1"/>
  <c r="E47" i="4" a="1"/>
  <c r="C17" i="4" a="1"/>
  <c r="C12" i="4" a="1"/>
  <c r="C36" i="4" a="1"/>
  <c r="E8" i="4" a="1"/>
  <c r="E10" i="4" a="1"/>
  <c r="C18" i="4" a="1"/>
  <c r="C2" i="4" a="1"/>
  <c r="C11" i="4" a="1"/>
  <c r="E38" i="4" a="1"/>
  <c r="C21" i="4" a="1"/>
  <c r="C34" i="4" a="1"/>
  <c r="E9" i="4" a="1"/>
  <c r="C7" i="4" a="1"/>
  <c r="E28" i="4" a="1"/>
  <c r="E24" i="4" a="1"/>
  <c r="C20" i="4" a="1"/>
  <c r="E30" i="4" a="1"/>
  <c r="C19" i="4" a="1"/>
  <c r="E26" i="4" a="1"/>
  <c r="C5" i="4" a="1"/>
  <c r="E42" i="4" a="1"/>
  <c r="C43" i="4" a="1"/>
  <c r="C28" i="4" a="1"/>
  <c r="C14" i="4" a="1"/>
  <c r="E39" i="4" a="1"/>
  <c r="E36" i="4" a="1"/>
  <c r="C26" i="4" a="1"/>
  <c r="E17" i="4" a="1"/>
  <c r="C41" i="4" a="1"/>
  <c r="C31" i="4" a="1"/>
  <c r="E27" i="4" a="1"/>
  <c r="E2" i="4" a="1"/>
  <c r="C24" i="4" a="1"/>
  <c r="C30" i="4" a="1"/>
  <c r="E12" i="4" a="1"/>
  <c r="E19" i="4" a="1"/>
  <c r="E95" i="12" a="1"/>
  <c r="E137" i="12" a="1"/>
  <c r="E116" i="12" a="1"/>
  <c r="E69" i="12" a="1"/>
  <c r="E39" i="12" a="1"/>
  <c r="E90" i="12" a="1"/>
  <c r="E71" i="12" a="1"/>
  <c r="E24" i="12" a="1"/>
  <c r="E45" i="12" a="1"/>
  <c r="E65" i="12" a="1"/>
  <c r="E25" i="12" a="1"/>
  <c r="E34" i="12" a="1"/>
  <c r="E47" i="12" a="1"/>
  <c r="E122" i="12" a="1"/>
  <c r="E26" i="12" a="1"/>
  <c r="E74" i="12" a="1"/>
  <c r="G20" i="12" a="1"/>
  <c r="E35" i="12" a="1"/>
  <c r="E5" i="12" a="1"/>
  <c r="E112" i="12" a="1"/>
  <c r="G18" i="12" a="1"/>
  <c r="E98" i="12" a="1"/>
  <c r="E127" i="12" a="1"/>
  <c r="E73" i="12" a="1"/>
  <c r="E118" i="12" a="1"/>
  <c r="E3" i="12" a="1"/>
  <c r="E105" i="12" a="1"/>
  <c r="E120" i="12" a="1"/>
  <c r="E136" i="12" a="1"/>
  <c r="E124" i="12" a="1"/>
  <c r="E85" i="12" a="1"/>
  <c r="E28" i="12" a="1"/>
  <c r="E60" i="12" a="1"/>
  <c r="E94" i="12" a="1"/>
  <c r="E103" i="12" a="1"/>
  <c r="E22" i="12" a="1"/>
  <c r="E121" i="12" a="1"/>
  <c r="E8" i="12" a="1"/>
  <c r="E46" i="12" a="1"/>
  <c r="E82" i="12" a="1"/>
  <c r="E129" i="12" a="1"/>
  <c r="E107" i="12" a="1"/>
  <c r="E19" i="12" a="1"/>
  <c r="G42" i="12" a="1"/>
  <c r="E115" i="12" a="1"/>
  <c r="E79" i="12" a="1"/>
  <c r="E51" i="12" a="1"/>
  <c r="E37" i="12" a="1"/>
  <c r="E67" i="12" a="1"/>
  <c r="E93" i="12" a="1"/>
  <c r="E113" i="12" a="1"/>
  <c r="E77" i="12" a="1"/>
  <c r="E29" i="12" a="1"/>
  <c r="E81" i="12" a="1"/>
  <c r="E86" i="12" a="1"/>
  <c r="E76" i="12" a="1"/>
  <c r="E134" i="12" a="1"/>
  <c r="E55" i="12" a="1"/>
  <c r="E7" i="12" a="1"/>
  <c r="E89" i="12" a="1"/>
  <c r="E70" i="12" a="1"/>
  <c r="E108" i="12" a="1"/>
  <c r="E133" i="12" a="1"/>
  <c r="E109" i="12" a="1"/>
  <c r="E10" i="12" a="1"/>
  <c r="E33" i="12" a="1"/>
  <c r="G2" i="12" a="1"/>
  <c r="E87" i="12" a="1"/>
  <c r="E83" i="12" a="1"/>
  <c r="E30" i="12" a="1"/>
  <c r="E49" i="12" a="1"/>
  <c r="E50" i="12" a="1"/>
  <c r="E57" i="12" a="1"/>
  <c r="E99" i="12" a="1"/>
  <c r="E114" i="12" a="1"/>
  <c r="E31" i="12" a="1"/>
  <c r="E36" i="12" a="1"/>
  <c r="E84" i="12" a="1"/>
  <c r="E23" i="12" a="1"/>
  <c r="E68" i="12" a="1"/>
  <c r="E59" i="12" a="1"/>
  <c r="E53" i="12" a="1"/>
  <c r="E123" i="12" a="1"/>
  <c r="E88" i="12" a="1"/>
  <c r="E6" i="12" a="1"/>
  <c r="E100" i="12" a="1"/>
  <c r="G34" i="12" a="1"/>
  <c r="E4" i="12" a="1"/>
  <c r="G13" i="12" a="1"/>
  <c r="E125" i="12" a="1"/>
  <c r="E111" i="12" a="1"/>
  <c r="E119" i="12" a="1"/>
  <c r="E54" i="12" a="1"/>
  <c r="E92" i="12" a="1"/>
  <c r="E75" i="12" a="1"/>
  <c r="E80" i="12" a="1"/>
  <c r="E61" i="12" a="1"/>
  <c r="E64" i="12" a="1"/>
  <c r="E52" i="12" a="1"/>
  <c r="E102" i="12" a="1"/>
  <c r="E97" i="12" a="1"/>
  <c r="E101" i="12" a="1"/>
  <c r="E48" i="12" a="1"/>
  <c r="E58" i="12" a="1"/>
  <c r="E32" i="12" a="1"/>
  <c r="E117" i="12" a="1"/>
  <c r="G25" i="12" a="1"/>
  <c r="E131" i="12" a="1"/>
  <c r="E104" i="12" a="1"/>
  <c r="E135" i="12" a="1"/>
  <c r="E110" i="12" a="1"/>
  <c r="E91" i="12" a="1"/>
  <c r="E63" i="12" a="1"/>
  <c r="E66" i="12" a="1"/>
  <c r="E78" i="12" a="1"/>
  <c r="E96" i="12" a="1"/>
  <c r="E106" i="12" a="1"/>
  <c r="E9" i="12" a="1"/>
  <c r="E132" i="12" a="1"/>
  <c r="E2" i="12" a="1"/>
  <c r="E27" i="12" a="1"/>
  <c r="E128" i="12" a="1"/>
  <c r="E130" i="12" a="1"/>
  <c r="E38" i="12" a="1"/>
  <c r="E72" i="12" a="1"/>
  <c r="E126" i="12" a="1"/>
  <c r="E20" i="12" a="1"/>
  <c r="G100" i="12" l="1"/>
  <c r="G114" i="12"/>
  <c r="G87" i="12"/>
  <c r="G94" i="12"/>
  <c r="G80" i="12"/>
  <c r="G74" i="12"/>
  <c r="G45" i="12"/>
  <c r="G69" i="12"/>
  <c r="G63" i="12"/>
  <c r="F63" i="12" s="1"/>
  <c r="G57" i="12"/>
  <c r="F57" i="12" s="1"/>
  <c r="G2" i="12"/>
  <c r="G42" i="12"/>
  <c r="G34" i="12"/>
  <c r="G25" i="12"/>
  <c r="G20" i="12"/>
  <c r="G13" i="12"/>
  <c r="G18" i="12"/>
  <c r="F18" i="12" s="1"/>
  <c r="F19" i="12" s="1"/>
  <c r="M17" i="12"/>
  <c r="J17" i="12"/>
  <c r="P17" i="12"/>
  <c r="L17" i="12"/>
  <c r="K17" i="12"/>
  <c r="E113" i="12"/>
  <c r="E112" i="12"/>
  <c r="E111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4" i="4"/>
  <c r="E33" i="4"/>
  <c r="E43" i="4"/>
  <c r="E47" i="4"/>
  <c r="E4" i="4"/>
  <c r="E14" i="4"/>
  <c r="E25" i="4"/>
  <c r="E34" i="4"/>
  <c r="E48" i="4"/>
  <c r="E5" i="4"/>
  <c r="E26" i="4"/>
  <c r="E35" i="4"/>
  <c r="E6" i="4"/>
  <c r="E16" i="4"/>
  <c r="E27" i="4"/>
  <c r="E36" i="4"/>
  <c r="E7" i="4"/>
  <c r="E17" i="4"/>
  <c r="E28" i="4"/>
  <c r="E37" i="4"/>
  <c r="E8" i="4"/>
  <c r="E18" i="4"/>
  <c r="E29" i="4"/>
  <c r="E38" i="4"/>
  <c r="E44" i="4"/>
  <c r="E9" i="4"/>
  <c r="E19" i="4"/>
  <c r="E30" i="4"/>
  <c r="E39" i="4"/>
  <c r="E10" i="4"/>
  <c r="E20" i="4"/>
  <c r="E40" i="4"/>
  <c r="E11" i="4"/>
  <c r="E21" i="4"/>
  <c r="E31" i="4"/>
  <c r="E41" i="4"/>
  <c r="E12" i="4"/>
  <c r="E23" i="4"/>
  <c r="E32" i="4"/>
  <c r="E42" i="4"/>
  <c r="E46" i="4"/>
  <c r="E2" i="4"/>
  <c r="C3" i="4"/>
  <c r="C13" i="4"/>
  <c r="C24" i="4"/>
  <c r="C33" i="4"/>
  <c r="C43" i="4"/>
  <c r="C47" i="4"/>
  <c r="C4" i="4"/>
  <c r="C14" i="4"/>
  <c r="C25" i="4"/>
  <c r="C34" i="4"/>
  <c r="C48" i="4"/>
  <c r="C5" i="4"/>
  <c r="C26" i="4"/>
  <c r="C35" i="4"/>
  <c r="C6" i="4"/>
  <c r="C16" i="4"/>
  <c r="C27" i="4"/>
  <c r="C36" i="4"/>
  <c r="C7" i="4"/>
  <c r="C17" i="4"/>
  <c r="C28" i="4"/>
  <c r="C37" i="4"/>
  <c r="C8" i="4"/>
  <c r="C18" i="4"/>
  <c r="C29" i="4"/>
  <c r="C38" i="4"/>
  <c r="C44" i="4"/>
  <c r="C9" i="4"/>
  <c r="C19" i="4"/>
  <c r="C30" i="4"/>
  <c r="C39" i="4"/>
  <c r="C10" i="4"/>
  <c r="C20" i="4"/>
  <c r="C40" i="4"/>
  <c r="C11" i="4"/>
  <c r="C21" i="4"/>
  <c r="C31" i="4"/>
  <c r="C41" i="4"/>
  <c r="C12" i="4"/>
  <c r="C23" i="4"/>
  <c r="C32" i="4"/>
  <c r="C42" i="4"/>
  <c r="C46" i="4"/>
  <c r="C2" i="4"/>
  <c r="J4" i="34"/>
  <c r="J3" i="34"/>
  <c r="E4" i="12"/>
  <c r="E102" i="12"/>
  <c r="E67" i="12"/>
  <c r="E103" i="12"/>
  <c r="E27" i="12"/>
  <c r="E68" i="12"/>
  <c r="E104" i="12"/>
  <c r="E28" i="12"/>
  <c r="E78" i="12"/>
  <c r="E32" i="12"/>
  <c r="E115" i="12"/>
  <c r="E118" i="12"/>
  <c r="E33" i="12"/>
  <c r="E119" i="12"/>
  <c r="E47" i="12"/>
  <c r="E80" i="12"/>
  <c r="E120" i="12"/>
  <c r="E48" i="12"/>
  <c r="E98" i="12"/>
  <c r="E131" i="12"/>
  <c r="E3" i="12"/>
  <c r="E89" i="12"/>
  <c r="E49" i="12"/>
  <c r="E132" i="12"/>
  <c r="E90" i="12"/>
  <c r="E50" i="12"/>
  <c r="E133" i="12"/>
  <c r="E63" i="12"/>
  <c r="E79" i="12"/>
  <c r="E61" i="12"/>
  <c r="E91" i="12"/>
  <c r="E69" i="12"/>
  <c r="E105" i="12"/>
  <c r="E121" i="12"/>
  <c r="E5" i="12"/>
  <c r="E34" i="12"/>
  <c r="E81" i="12"/>
  <c r="E92" i="12"/>
  <c r="E109" i="12"/>
  <c r="E51" i="12"/>
  <c r="E70" i="12"/>
  <c r="E85" i="12"/>
  <c r="E122" i="12"/>
  <c r="E6" i="12"/>
  <c r="E35" i="12"/>
  <c r="E55" i="12"/>
  <c r="E93" i="12"/>
  <c r="E110" i="12"/>
  <c r="E10" i="12"/>
  <c r="E71" i="12"/>
  <c r="E86" i="12"/>
  <c r="E123" i="12"/>
  <c r="E36" i="12"/>
  <c r="E57" i="12"/>
  <c r="E72" i="12"/>
  <c r="E94" i="12"/>
  <c r="E124" i="12"/>
  <c r="E37" i="12"/>
  <c r="E58" i="12"/>
  <c r="E128" i="12"/>
  <c r="E73" i="12"/>
  <c r="E95" i="12"/>
  <c r="E38" i="12"/>
  <c r="E59" i="12"/>
  <c r="E76" i="12"/>
  <c r="E129" i="12"/>
  <c r="E20" i="12"/>
  <c r="E25" i="12"/>
  <c r="E45" i="12"/>
  <c r="E96" i="12"/>
  <c r="E100" i="12"/>
  <c r="E2" i="12"/>
  <c r="E60" i="12"/>
  <c r="E77" i="12"/>
  <c r="E114" i="12"/>
  <c r="E130" i="12"/>
  <c r="E26" i="12"/>
  <c r="E46" i="12"/>
  <c r="E97" i="12"/>
  <c r="E101" i="12"/>
  <c r="E134" i="12"/>
  <c r="E22" i="12"/>
  <c r="E7" i="12"/>
  <c r="E29" i="12"/>
  <c r="E39" i="12"/>
  <c r="E52" i="12"/>
  <c r="E64" i="12"/>
  <c r="E82" i="12"/>
  <c r="E99" i="12"/>
  <c r="E106" i="12"/>
  <c r="E116" i="12"/>
  <c r="E125" i="12"/>
  <c r="E135" i="12"/>
  <c r="E23" i="12"/>
  <c r="E8" i="12"/>
  <c r="E30" i="12"/>
  <c r="E53" i="12"/>
  <c r="E65" i="12"/>
  <c r="E74" i="12"/>
  <c r="E83" i="12"/>
  <c r="E87" i="12"/>
  <c r="E107" i="12"/>
  <c r="E117" i="12"/>
  <c r="E126" i="12"/>
  <c r="E136" i="12"/>
  <c r="E24" i="12"/>
  <c r="E9" i="12"/>
  <c r="E31" i="12"/>
  <c r="E54" i="12"/>
  <c r="E66" i="12"/>
  <c r="E75" i="12"/>
  <c r="E84" i="12"/>
  <c r="E88" i="12"/>
  <c r="E108" i="12"/>
  <c r="E127" i="12"/>
  <c r="E137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G3" i="34" a="1"/>
  <c r="C2" i="46" a="1"/>
  <c r="G4" i="34" a="1"/>
  <c r="G2" i="34" a="1"/>
  <c r="G101" i="12" a="1"/>
  <c r="G115" i="12" a="1"/>
  <c r="G88" i="12" a="1"/>
  <c r="G95" i="12" a="1"/>
  <c r="G81" i="12" a="1"/>
  <c r="G75" i="12" a="1"/>
  <c r="G46" i="12" a="1"/>
  <c r="G70" i="12" a="1"/>
  <c r="G58" i="12" a="1"/>
  <c r="G14" i="12" a="1"/>
  <c r="G3" i="12" a="1"/>
  <c r="G35" i="12" a="1"/>
  <c r="G21" i="12" a="1"/>
  <c r="G43" i="12" a="1"/>
  <c r="G26" i="12" a="1"/>
  <c r="G115" i="12" l="1"/>
  <c r="P115" i="12" s="1"/>
  <c r="G101" i="12"/>
  <c r="L101" i="12" s="1"/>
  <c r="G88" i="12"/>
  <c r="G81" i="12"/>
  <c r="J81" i="12" s="1"/>
  <c r="G95" i="12"/>
  <c r="L95" i="12" s="1"/>
  <c r="G75" i="12"/>
  <c r="M75" i="12" s="1"/>
  <c r="F74" i="12"/>
  <c r="G70" i="12"/>
  <c r="K70" i="12" s="1"/>
  <c r="G46" i="12"/>
  <c r="M46" i="12" s="1"/>
  <c r="G58" i="12"/>
  <c r="F58" i="12" s="1"/>
  <c r="G43" i="12"/>
  <c r="M18" i="12"/>
  <c r="J18" i="12"/>
  <c r="G21" i="12"/>
  <c r="G35" i="12"/>
  <c r="M35" i="12" s="1"/>
  <c r="P18" i="12"/>
  <c r="K18" i="12"/>
  <c r="L18" i="12"/>
  <c r="G26" i="12"/>
  <c r="P26" i="12" s="1"/>
  <c r="G14" i="12"/>
  <c r="P14" i="12" s="1"/>
  <c r="P13" i="12"/>
  <c r="M13" i="12"/>
  <c r="L13" i="12"/>
  <c r="K13" i="12"/>
  <c r="J13" i="12"/>
  <c r="G3" i="12"/>
  <c r="C2" i="46"/>
  <c r="G4" i="34"/>
  <c r="G3" i="34"/>
  <c r="G2" i="34"/>
  <c r="P137" i="12"/>
  <c r="M137" i="12"/>
  <c r="L137" i="12"/>
  <c r="K137" i="12"/>
  <c r="J137" i="12"/>
  <c r="A137" i="12"/>
  <c r="P136" i="12"/>
  <c r="M136" i="12"/>
  <c r="L136" i="12"/>
  <c r="K136" i="12"/>
  <c r="J136" i="12"/>
  <c r="A136" i="12"/>
  <c r="A121" i="12"/>
  <c r="F121" i="12"/>
  <c r="F122" i="12" s="1"/>
  <c r="F123" i="12" s="1"/>
  <c r="F124" i="12" s="1"/>
  <c r="F125" i="12" s="1"/>
  <c r="F126" i="12" s="1"/>
  <c r="F127" i="12" s="1"/>
  <c r="J121" i="12"/>
  <c r="K121" i="12"/>
  <c r="L121" i="12"/>
  <c r="M121" i="12"/>
  <c r="P121" i="12"/>
  <c r="A122" i="12"/>
  <c r="J122" i="12"/>
  <c r="K122" i="12"/>
  <c r="L122" i="12"/>
  <c r="M122" i="12"/>
  <c r="P122" i="12"/>
  <c r="A123" i="12"/>
  <c r="J123" i="12"/>
  <c r="K123" i="12"/>
  <c r="L123" i="12"/>
  <c r="M123" i="12"/>
  <c r="P123" i="12"/>
  <c r="A124" i="12"/>
  <c r="J124" i="12"/>
  <c r="K124" i="12"/>
  <c r="L124" i="12"/>
  <c r="M124" i="12"/>
  <c r="P124" i="12"/>
  <c r="A125" i="12"/>
  <c r="J125" i="12"/>
  <c r="K125" i="12"/>
  <c r="L125" i="12"/>
  <c r="M125" i="12"/>
  <c r="P125" i="12"/>
  <c r="A126" i="12"/>
  <c r="J126" i="12"/>
  <c r="K126" i="12"/>
  <c r="L126" i="12"/>
  <c r="M126" i="12"/>
  <c r="P126" i="12"/>
  <c r="A127" i="12"/>
  <c r="J127" i="12"/>
  <c r="K127" i="12"/>
  <c r="L127" i="12"/>
  <c r="M127" i="12"/>
  <c r="P127" i="12"/>
  <c r="A128" i="12"/>
  <c r="F128" i="12"/>
  <c r="F129" i="12" s="1"/>
  <c r="F130" i="12" s="1"/>
  <c r="F131" i="12" s="1"/>
  <c r="F132" i="12" s="1"/>
  <c r="F133" i="12" s="1"/>
  <c r="F134" i="12" s="1"/>
  <c r="F135" i="12" s="1"/>
  <c r="F136" i="12" s="1"/>
  <c r="F137" i="12" s="1"/>
  <c r="J128" i="12"/>
  <c r="K128" i="12"/>
  <c r="L128" i="12"/>
  <c r="M128" i="12"/>
  <c r="P128" i="12"/>
  <c r="A129" i="12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M115" i="12"/>
  <c r="L115" i="12"/>
  <c r="K115" i="12"/>
  <c r="J115" i="12"/>
  <c r="P114" i="12"/>
  <c r="M114" i="12"/>
  <c r="L114" i="12"/>
  <c r="K114" i="12"/>
  <c r="J114" i="12"/>
  <c r="P101" i="12"/>
  <c r="M101" i="12"/>
  <c r="J101" i="12"/>
  <c r="P100" i="12"/>
  <c r="M100" i="12"/>
  <c r="L100" i="12"/>
  <c r="K100" i="12"/>
  <c r="J100" i="12"/>
  <c r="P88" i="12"/>
  <c r="K88" i="12"/>
  <c r="J88" i="12"/>
  <c r="P87" i="12"/>
  <c r="M87" i="12"/>
  <c r="L87" i="12"/>
  <c r="K87" i="12"/>
  <c r="J87" i="12"/>
  <c r="P94" i="12"/>
  <c r="M94" i="12"/>
  <c r="L94" i="12"/>
  <c r="K94" i="12"/>
  <c r="J94" i="12"/>
  <c r="M81" i="12"/>
  <c r="L81" i="12"/>
  <c r="K81" i="12"/>
  <c r="P80" i="12"/>
  <c r="M80" i="12"/>
  <c r="L80" i="12"/>
  <c r="K80" i="12"/>
  <c r="J80" i="12"/>
  <c r="P75" i="12"/>
  <c r="P74" i="12"/>
  <c r="M74" i="12"/>
  <c r="L74" i="12"/>
  <c r="K74" i="12"/>
  <c r="J74" i="12"/>
  <c r="P69" i="12"/>
  <c r="M69" i="12"/>
  <c r="L69" i="12"/>
  <c r="K69" i="12"/>
  <c r="J69" i="12"/>
  <c r="J58" i="12"/>
  <c r="P57" i="12"/>
  <c r="M57" i="12"/>
  <c r="L57" i="12"/>
  <c r="K57" i="12"/>
  <c r="J57" i="12"/>
  <c r="K46" i="12"/>
  <c r="J46" i="12"/>
  <c r="P45" i="12"/>
  <c r="M45" i="12"/>
  <c r="L45" i="12"/>
  <c r="K45" i="12"/>
  <c r="J45" i="12"/>
  <c r="P34" i="12"/>
  <c r="M34" i="12"/>
  <c r="L34" i="12"/>
  <c r="K34" i="12"/>
  <c r="J34" i="12"/>
  <c r="P25" i="12"/>
  <c r="M25" i="12"/>
  <c r="L25" i="12"/>
  <c r="K25" i="12"/>
  <c r="J25" i="12"/>
  <c r="P2" i="12"/>
  <c r="M2" i="12"/>
  <c r="L2" i="12"/>
  <c r="K2" i="12"/>
  <c r="J2" i="12"/>
  <c r="G2" i="22" a="1"/>
  <c r="J2" i="34" a="1"/>
  <c r="D2" i="22" a="1"/>
  <c r="C2" i="22" a="1"/>
  <c r="F2" i="22" a="1"/>
  <c r="G116" i="12" a="1"/>
  <c r="G102" i="12" a="1"/>
  <c r="G89" i="12" a="1"/>
  <c r="G82" i="12" a="1"/>
  <c r="G96" i="12" a="1"/>
  <c r="G76" i="12" a="1"/>
  <c r="G71" i="12" a="1"/>
  <c r="G47" i="12" a="1"/>
  <c r="G59" i="12" a="1"/>
  <c r="G22" i="12" a="1"/>
  <c r="G15" i="12" a="1"/>
  <c r="G44" i="12" a="1"/>
  <c r="G4" i="12" a="1"/>
  <c r="G36" i="12" a="1"/>
  <c r="G102" i="12" l="1"/>
  <c r="G116" i="12"/>
  <c r="P46" i="12"/>
  <c r="J70" i="12"/>
  <c r="K101" i="12"/>
  <c r="L70" i="12"/>
  <c r="K75" i="12"/>
  <c r="K102" i="12"/>
  <c r="M102" i="12"/>
  <c r="P102" i="12"/>
  <c r="M70" i="12"/>
  <c r="P70" i="12"/>
  <c r="J75" i="12"/>
  <c r="P81" i="12"/>
  <c r="J102" i="12"/>
  <c r="J95" i="12"/>
  <c r="K95" i="12"/>
  <c r="M95" i="12"/>
  <c r="P95" i="12"/>
  <c r="G89" i="12"/>
  <c r="L88" i="12"/>
  <c r="M88" i="12"/>
  <c r="G96" i="12"/>
  <c r="G82" i="12"/>
  <c r="L75" i="12"/>
  <c r="G76" i="12"/>
  <c r="L58" i="12"/>
  <c r="M58" i="12"/>
  <c r="P58" i="12"/>
  <c r="L46" i="12"/>
  <c r="K58" i="12"/>
  <c r="G47" i="12"/>
  <c r="M47" i="12" s="1"/>
  <c r="G71" i="12"/>
  <c r="G59" i="12"/>
  <c r="F59" i="12" s="1"/>
  <c r="K35" i="12"/>
  <c r="G4" i="12"/>
  <c r="L3" i="12"/>
  <c r="K47" i="12"/>
  <c r="G44" i="12"/>
  <c r="L35" i="12"/>
  <c r="P35" i="12"/>
  <c r="J35" i="12"/>
  <c r="G36" i="12"/>
  <c r="G22" i="12"/>
  <c r="F21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G15" i="12"/>
  <c r="J3" i="12"/>
  <c r="K3" i="12"/>
  <c r="F14" i="12"/>
  <c r="J26" i="12"/>
  <c r="K26" i="12"/>
  <c r="L26" i="12"/>
  <c r="J2" i="34"/>
  <c r="F25" i="12"/>
  <c r="F26" i="12" s="1"/>
  <c r="G2" i="22"/>
  <c r="F2" i="22"/>
  <c r="D2" i="22"/>
  <c r="C2" i="22"/>
  <c r="A93" i="12"/>
  <c r="G103" i="12" a="1"/>
  <c r="G117" i="12" a="1"/>
  <c r="G90" i="12" a="1"/>
  <c r="G97" i="12" a="1"/>
  <c r="G83" i="12" a="1"/>
  <c r="G77" i="12" a="1"/>
  <c r="G48" i="12" a="1"/>
  <c r="G72" i="12" a="1"/>
  <c r="G60" i="12" a="1"/>
  <c r="G37" i="12" a="1"/>
  <c r="G23" i="12" a="1"/>
  <c r="G5" i="12" a="1"/>
  <c r="G16" i="12" a="1"/>
  <c r="G117" i="12" l="1"/>
  <c r="G103" i="12"/>
  <c r="K116" i="12"/>
  <c r="J116" i="12"/>
  <c r="P116" i="12"/>
  <c r="M116" i="12"/>
  <c r="L116" i="12"/>
  <c r="L102" i="12"/>
  <c r="M103" i="12"/>
  <c r="J103" i="12"/>
  <c r="G90" i="12"/>
  <c r="P89" i="12"/>
  <c r="M89" i="12"/>
  <c r="L89" i="12"/>
  <c r="K89" i="12"/>
  <c r="J89" i="12"/>
  <c r="G83" i="12"/>
  <c r="G97" i="12"/>
  <c r="J82" i="12"/>
  <c r="M82" i="12"/>
  <c r="L82" i="12"/>
  <c r="K82" i="12"/>
  <c r="P82" i="12"/>
  <c r="K96" i="12"/>
  <c r="P96" i="12"/>
  <c r="M96" i="12"/>
  <c r="L96" i="12"/>
  <c r="J96" i="12"/>
  <c r="G77" i="12"/>
  <c r="L76" i="12"/>
  <c r="J76" i="12"/>
  <c r="P76" i="12"/>
  <c r="K76" i="12"/>
  <c r="M76" i="12"/>
  <c r="G72" i="12"/>
  <c r="G48" i="12"/>
  <c r="J48" i="12" s="1"/>
  <c r="P71" i="12"/>
  <c r="M71" i="12"/>
  <c r="L71" i="12"/>
  <c r="K71" i="12"/>
  <c r="J71" i="12"/>
  <c r="P47" i="12"/>
  <c r="L47" i="12"/>
  <c r="J47" i="12"/>
  <c r="G60" i="12"/>
  <c r="F60" i="12" s="1"/>
  <c r="L59" i="12"/>
  <c r="K59" i="12"/>
  <c r="J59" i="12"/>
  <c r="P59" i="12"/>
  <c r="M59" i="12"/>
  <c r="G5" i="12"/>
  <c r="M44" i="12"/>
  <c r="L44" i="12"/>
  <c r="J44" i="12"/>
  <c r="K44" i="12"/>
  <c r="P44" i="12"/>
  <c r="G23" i="12"/>
  <c r="G37" i="12"/>
  <c r="K36" i="12"/>
  <c r="J36" i="12"/>
  <c r="P36" i="12"/>
  <c r="M36" i="12"/>
  <c r="L36" i="12"/>
  <c r="P28" i="12"/>
  <c r="G16" i="12"/>
  <c r="F15" i="12"/>
  <c r="L15" i="12"/>
  <c r="P15" i="12"/>
  <c r="J15" i="12"/>
  <c r="K15" i="12"/>
  <c r="M15" i="12"/>
  <c r="F27" i="12"/>
  <c r="P4" i="12"/>
  <c r="L4" i="12"/>
  <c r="K4" i="12"/>
  <c r="M4" i="12"/>
  <c r="J4" i="12"/>
  <c r="P27" i="12"/>
  <c r="M27" i="12"/>
  <c r="L27" i="12"/>
  <c r="K27" i="12"/>
  <c r="J27" i="12"/>
  <c r="A88" i="12"/>
  <c r="G104" i="12" a="1"/>
  <c r="G91" i="12" a="1"/>
  <c r="G84" i="12" a="1"/>
  <c r="G98" i="12" a="1"/>
  <c r="G78" i="12" a="1"/>
  <c r="G73" i="12" a="1"/>
  <c r="G49" i="12" a="1"/>
  <c r="G61" i="12" a="1"/>
  <c r="G24" i="12" a="1"/>
  <c r="G6" i="12" a="1"/>
  <c r="G38" i="12" a="1"/>
  <c r="G104" i="12" l="1"/>
  <c r="K103" i="12"/>
  <c r="M117" i="12"/>
  <c r="L117" i="12"/>
  <c r="K117" i="12"/>
  <c r="J117" i="12"/>
  <c r="P117" i="12"/>
  <c r="P103" i="12"/>
  <c r="L103" i="12"/>
  <c r="L104" i="12"/>
  <c r="K104" i="12"/>
  <c r="J104" i="12"/>
  <c r="G91" i="12"/>
  <c r="P90" i="12"/>
  <c r="M90" i="12"/>
  <c r="L90" i="12"/>
  <c r="K90" i="12"/>
  <c r="J90" i="12"/>
  <c r="G98" i="12"/>
  <c r="G84" i="12"/>
  <c r="L97" i="12"/>
  <c r="K97" i="12"/>
  <c r="P97" i="12"/>
  <c r="J97" i="12"/>
  <c r="M97" i="12"/>
  <c r="P83" i="12"/>
  <c r="M83" i="12"/>
  <c r="L83" i="12"/>
  <c r="K83" i="12"/>
  <c r="J83" i="12"/>
  <c r="G78" i="12"/>
  <c r="P77" i="12"/>
  <c r="M77" i="12"/>
  <c r="K77" i="12"/>
  <c r="J77" i="12"/>
  <c r="L77" i="12"/>
  <c r="K48" i="12"/>
  <c r="G49" i="12"/>
  <c r="M49" i="12" s="1"/>
  <c r="G73" i="12"/>
  <c r="P48" i="12"/>
  <c r="P72" i="12"/>
  <c r="M72" i="12"/>
  <c r="L72" i="12"/>
  <c r="K72" i="12"/>
  <c r="J72" i="12"/>
  <c r="L48" i="12"/>
  <c r="M48" i="12"/>
  <c r="G61" i="12"/>
  <c r="F61" i="12" s="1"/>
  <c r="M60" i="12"/>
  <c r="L60" i="12"/>
  <c r="K60" i="12"/>
  <c r="J60" i="12"/>
  <c r="P60" i="12"/>
  <c r="G6" i="12"/>
  <c r="P49" i="12"/>
  <c r="G38" i="12"/>
  <c r="G24" i="12"/>
  <c r="M37" i="12"/>
  <c r="L37" i="12"/>
  <c r="K37" i="12"/>
  <c r="J37" i="12"/>
  <c r="P37" i="12"/>
  <c r="K28" i="12"/>
  <c r="F28" i="12"/>
  <c r="J28" i="12"/>
  <c r="L28" i="12"/>
  <c r="M28" i="12"/>
  <c r="F16" i="12"/>
  <c r="J29" i="12"/>
  <c r="K16" i="12"/>
  <c r="P16" i="12"/>
  <c r="L16" i="12"/>
  <c r="M16" i="12"/>
  <c r="J16" i="12"/>
  <c r="J5" i="12"/>
  <c r="P5" i="12"/>
  <c r="M5" i="12"/>
  <c r="L5" i="12"/>
  <c r="K5" i="12"/>
  <c r="P29" i="12"/>
  <c r="M29" i="12"/>
  <c r="L29" i="12"/>
  <c r="K29" i="12"/>
  <c r="A72" i="12"/>
  <c r="A71" i="12"/>
  <c r="A86" i="12"/>
  <c r="A60" i="12"/>
  <c r="G105" i="12" a="1"/>
  <c r="G92" i="12" a="1"/>
  <c r="G99" i="12" a="1"/>
  <c r="G85" i="12" a="1"/>
  <c r="G79" i="12" a="1"/>
  <c r="G50" i="12" a="1"/>
  <c r="G62" i="12" a="1"/>
  <c r="G39" i="12" a="1"/>
  <c r="G7" i="12" a="1"/>
  <c r="G105" i="12" l="1"/>
  <c r="M104" i="12"/>
  <c r="P104" i="12"/>
  <c r="J49" i="12"/>
  <c r="M105" i="12"/>
  <c r="L105" i="12"/>
  <c r="J105" i="12"/>
  <c r="K105" i="12"/>
  <c r="G92" i="12"/>
  <c r="J91" i="12"/>
  <c r="P91" i="12"/>
  <c r="M91" i="12"/>
  <c r="L91" i="12"/>
  <c r="K91" i="12"/>
  <c r="G85" i="12"/>
  <c r="G99" i="12"/>
  <c r="L84" i="12"/>
  <c r="K84" i="12"/>
  <c r="P84" i="12"/>
  <c r="J84" i="12"/>
  <c r="M84" i="12"/>
  <c r="M98" i="12"/>
  <c r="L98" i="12"/>
  <c r="J98" i="12"/>
  <c r="P98" i="12"/>
  <c r="K98" i="12"/>
  <c r="G79" i="12"/>
  <c r="J78" i="12"/>
  <c r="M78" i="12"/>
  <c r="L78" i="12"/>
  <c r="K78" i="12"/>
  <c r="P78" i="12"/>
  <c r="G50" i="12"/>
  <c r="M50" i="12" s="1"/>
  <c r="J73" i="12"/>
  <c r="P73" i="12"/>
  <c r="M73" i="12"/>
  <c r="L73" i="12"/>
  <c r="K73" i="12"/>
  <c r="K49" i="12"/>
  <c r="L49" i="12"/>
  <c r="G62" i="12"/>
  <c r="F62" i="12" s="1"/>
  <c r="M61" i="12"/>
  <c r="L61" i="12"/>
  <c r="K61" i="12"/>
  <c r="J61" i="12"/>
  <c r="P61" i="12"/>
  <c r="G7" i="12"/>
  <c r="G39" i="12"/>
  <c r="P38" i="12"/>
  <c r="M38" i="12"/>
  <c r="L38" i="12"/>
  <c r="K38" i="12"/>
  <c r="J38" i="12"/>
  <c r="P30" i="12"/>
  <c r="P6" i="12"/>
  <c r="M6" i="12"/>
  <c r="L6" i="12"/>
  <c r="K6" i="12"/>
  <c r="J6" i="12"/>
  <c r="F29" i="12"/>
  <c r="A53" i="12"/>
  <c r="A55" i="12"/>
  <c r="A54" i="12"/>
  <c r="A52" i="12"/>
  <c r="A51" i="12"/>
  <c r="A47" i="12"/>
  <c r="G106" i="12" a="1"/>
  <c r="G93" i="12" a="1"/>
  <c r="G86" i="12" a="1"/>
  <c r="G51" i="12" a="1"/>
  <c r="G64" i="12" a="1"/>
  <c r="G8" i="12" a="1"/>
  <c r="G106" i="12" l="1"/>
  <c r="P105" i="12"/>
  <c r="L106" i="12"/>
  <c r="J106" i="12"/>
  <c r="K106" i="12"/>
  <c r="P106" i="12"/>
  <c r="M106" i="12"/>
  <c r="J50" i="12"/>
  <c r="G93" i="12"/>
  <c r="K92" i="12"/>
  <c r="J92" i="12"/>
  <c r="P92" i="12"/>
  <c r="M92" i="12"/>
  <c r="L92" i="12"/>
  <c r="G86" i="12"/>
  <c r="K85" i="12"/>
  <c r="P85" i="12"/>
  <c r="M85" i="12"/>
  <c r="L85" i="12"/>
  <c r="J85" i="12"/>
  <c r="P99" i="12"/>
  <c r="L99" i="12"/>
  <c r="K99" i="12"/>
  <c r="J99" i="12"/>
  <c r="M99" i="12"/>
  <c r="P79" i="12"/>
  <c r="M79" i="12"/>
  <c r="K79" i="12"/>
  <c r="J79" i="12"/>
  <c r="L79" i="12"/>
  <c r="P50" i="12"/>
  <c r="L50" i="12"/>
  <c r="G51" i="12"/>
  <c r="M51" i="12" s="1"/>
  <c r="K50" i="12"/>
  <c r="G64" i="12"/>
  <c r="P63" i="12"/>
  <c r="M63" i="12"/>
  <c r="L63" i="12"/>
  <c r="K63" i="12"/>
  <c r="J63" i="12"/>
  <c r="L62" i="12"/>
  <c r="J62" i="12"/>
  <c r="P62" i="12"/>
  <c r="K62" i="12"/>
  <c r="M62" i="12"/>
  <c r="G8" i="12"/>
  <c r="J39" i="12"/>
  <c r="P39" i="12"/>
  <c r="M39" i="12"/>
  <c r="L39" i="12"/>
  <c r="K39" i="12"/>
  <c r="J30" i="12"/>
  <c r="K30" i="12"/>
  <c r="L30" i="12"/>
  <c r="M30" i="12"/>
  <c r="F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9" i="13" a="1"/>
  <c r="C32" i="13" a="1"/>
  <c r="C37" i="13" a="1"/>
  <c r="C41" i="13" a="1"/>
  <c r="C34" i="13" a="1"/>
  <c r="C31" i="13" a="1"/>
  <c r="C40" i="13" a="1"/>
  <c r="C30" i="13" a="1"/>
  <c r="C35" i="13" a="1"/>
  <c r="C38" i="13" a="1"/>
  <c r="G107" i="12" a="1"/>
  <c r="G52" i="12" a="1"/>
  <c r="G65" i="12" a="1"/>
  <c r="G9" i="12" a="1"/>
  <c r="G107" i="12" l="1"/>
  <c r="L107" i="12"/>
  <c r="K107" i="12"/>
  <c r="P107" i="12"/>
  <c r="L93" i="12"/>
  <c r="K93" i="12"/>
  <c r="J93" i="12"/>
  <c r="P93" i="12"/>
  <c r="M93" i="12"/>
  <c r="P86" i="12"/>
  <c r="K86" i="12"/>
  <c r="J86" i="12"/>
  <c r="M86" i="12"/>
  <c r="L86" i="12"/>
  <c r="P51" i="12"/>
  <c r="J51" i="12"/>
  <c r="G52" i="12"/>
  <c r="L52" i="12" s="1"/>
  <c r="K51" i="12"/>
  <c r="L51" i="12"/>
  <c r="G65" i="12"/>
  <c r="K64" i="12"/>
  <c r="P64" i="12"/>
  <c r="M64" i="12"/>
  <c r="L64" i="12"/>
  <c r="J64" i="12"/>
  <c r="G9" i="12"/>
  <c r="P41" i="12"/>
  <c r="M41" i="12"/>
  <c r="L41" i="12"/>
  <c r="K41" i="12"/>
  <c r="J41" i="12"/>
  <c r="P31" i="12"/>
  <c r="K31" i="12"/>
  <c r="L31" i="12"/>
  <c r="M31" i="12"/>
  <c r="J31" i="12"/>
  <c r="J8" i="12"/>
  <c r="P8" i="12"/>
  <c r="M8" i="12"/>
  <c r="L8" i="12"/>
  <c r="K8" i="12"/>
  <c r="F31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8" i="12" a="1"/>
  <c r="G53" i="12" a="1"/>
  <c r="G66" i="12" a="1"/>
  <c r="G10" i="12" a="1"/>
  <c r="G108" i="12" l="1"/>
  <c r="M107" i="12"/>
  <c r="J107" i="12"/>
  <c r="L108" i="12"/>
  <c r="P108" i="12"/>
  <c r="M108" i="12"/>
  <c r="J52" i="12"/>
  <c r="K52" i="12"/>
  <c r="G53" i="12"/>
  <c r="M53" i="12" s="1"/>
  <c r="M52" i="12"/>
  <c r="P52" i="12"/>
  <c r="G66" i="12"/>
  <c r="K65" i="12"/>
  <c r="J65" i="12"/>
  <c r="P65" i="12"/>
  <c r="L65" i="12"/>
  <c r="M65" i="12"/>
  <c r="G10" i="12"/>
  <c r="P42" i="12"/>
  <c r="M42" i="12"/>
  <c r="L42" i="12"/>
  <c r="K42" i="12"/>
  <c r="J42" i="12"/>
  <c r="P33" i="12"/>
  <c r="F32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3" i="6" a="1"/>
  <c r="C5" i="6" a="1"/>
  <c r="H3" i="6" a="1"/>
  <c r="H4" i="6" a="1"/>
  <c r="H5" i="6" a="1"/>
  <c r="G109" i="12" a="1"/>
  <c r="G54" i="12" a="1"/>
  <c r="G67" i="12" a="1"/>
  <c r="G11" i="12" a="1"/>
  <c r="G109" i="12" l="1"/>
  <c r="P109" i="12" s="1"/>
  <c r="J108" i="12"/>
  <c r="K108" i="12"/>
  <c r="K109" i="12"/>
  <c r="J109" i="12"/>
  <c r="L109" i="12"/>
  <c r="K53" i="12"/>
  <c r="L53" i="12"/>
  <c r="G54" i="12"/>
  <c r="K54" i="12" s="1"/>
  <c r="P53" i="12"/>
  <c r="J53" i="12"/>
  <c r="G67" i="12"/>
  <c r="K66" i="12"/>
  <c r="J66" i="12"/>
  <c r="M66" i="12"/>
  <c r="P66" i="12"/>
  <c r="L66" i="12"/>
  <c r="G11" i="12"/>
  <c r="P43" i="12"/>
  <c r="M43" i="12"/>
  <c r="L43" i="12"/>
  <c r="K43" i="12"/>
  <c r="J43" i="12"/>
  <c r="J33" i="12"/>
  <c r="K33" i="12"/>
  <c r="L33" i="12"/>
  <c r="M33" i="12"/>
  <c r="J10" i="12"/>
  <c r="P10" i="12"/>
  <c r="M10" i="12"/>
  <c r="L10" i="12"/>
  <c r="K10" i="12"/>
  <c r="F33" i="12"/>
  <c r="F34" i="12" s="1"/>
  <c r="F35" i="12" s="1"/>
  <c r="F36" i="12" s="1"/>
  <c r="F37" i="12" s="1"/>
  <c r="F38" i="12" s="1"/>
  <c r="F39" i="12" s="1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E6" i="42" a="1"/>
  <c r="E17" i="42" a="1"/>
  <c r="E25" i="14" a="1"/>
  <c r="C10" i="42" a="1"/>
  <c r="E24" i="14" a="1"/>
  <c r="E2" i="42" a="1"/>
  <c r="C27" i="42" a="1"/>
  <c r="E20" i="42" a="1"/>
  <c r="E23" i="14" a="1"/>
  <c r="E14" i="14" a="1"/>
  <c r="C15" i="42" a="1"/>
  <c r="E5" i="14" a="1"/>
  <c r="C2" i="6" a="1"/>
  <c r="C9" i="42" a="1"/>
  <c r="E26" i="14" a="1"/>
  <c r="E5" i="42" a="1"/>
  <c r="H4" i="6"/>
  <c r="C25" i="42" a="1"/>
  <c r="C3" i="42" a="1"/>
  <c r="C19" i="42" a="1"/>
  <c r="E20" i="14" a="1"/>
  <c r="C6" i="42" a="1"/>
  <c r="H3" i="6"/>
  <c r="C11" i="42" a="1"/>
  <c r="C22" i="42" a="1"/>
  <c r="E8" i="14" a="1"/>
  <c r="C4" i="42" a="1"/>
  <c r="E22" i="14" a="1"/>
  <c r="E25" i="42" a="1"/>
  <c r="C12" i="42" a="1"/>
  <c r="C2" i="42" a="1"/>
  <c r="E15" i="14" a="1"/>
  <c r="C3" i="6"/>
  <c r="C13" i="42" a="1"/>
  <c r="E7" i="14" a="1"/>
  <c r="C5" i="6"/>
  <c r="C14" i="42" a="1"/>
  <c r="E19" i="14" a="1"/>
  <c r="E10" i="14" a="1"/>
  <c r="E12" i="14" a="1"/>
  <c r="H2" i="6" a="1"/>
  <c r="C28" i="42" a="1"/>
  <c r="E23" i="42" a="1"/>
  <c r="C2" i="41" a="1"/>
  <c r="E15" i="42" a="1"/>
  <c r="E10" i="42" a="1"/>
  <c r="H5" i="6"/>
  <c r="E27" i="42" a="1"/>
  <c r="C5" i="42" a="1"/>
  <c r="C8" i="42" a="1"/>
  <c r="E13" i="14" a="1"/>
  <c r="C16" i="42" a="1"/>
  <c r="E3" i="14" a="1"/>
  <c r="E28" i="42" a="1"/>
  <c r="E9" i="14" a="1"/>
  <c r="E16" i="14" a="1"/>
  <c r="C23" i="42" a="1"/>
  <c r="E6" i="14" a="1"/>
  <c r="C21" i="42" a="1"/>
  <c r="E2" i="14" a="1"/>
  <c r="E24" i="42" a="1"/>
  <c r="E4" i="14" a="1"/>
  <c r="E26" i="42" a="1"/>
  <c r="E13" i="42" a="1"/>
  <c r="C7" i="42" a="1"/>
  <c r="E12" i="42" a="1"/>
  <c r="E3" i="42" a="1"/>
  <c r="E18" i="42" a="1"/>
  <c r="E17" i="14" a="1"/>
  <c r="C29" i="42" a="1"/>
  <c r="C26" i="42" a="1"/>
  <c r="C18" i="42" a="1"/>
  <c r="E19" i="42" a="1"/>
  <c r="E27" i="14" a="1"/>
  <c r="E9" i="42" a="1"/>
  <c r="E21" i="14" a="1"/>
  <c r="C20" i="42" a="1"/>
  <c r="E28" i="14" a="1"/>
  <c r="E7" i="42" a="1"/>
  <c r="E29" i="42" a="1"/>
  <c r="E8" i="42" a="1"/>
  <c r="E4" i="42" a="1"/>
  <c r="E22" i="42" a="1"/>
  <c r="E21" i="42" a="1"/>
  <c r="C24" i="42" a="1"/>
  <c r="E14" i="42" a="1"/>
  <c r="E29" i="14" a="1"/>
  <c r="E18" i="14" a="1"/>
  <c r="E16" i="42" a="1"/>
  <c r="C17" i="42" a="1"/>
  <c r="G110" i="12" a="1"/>
  <c r="G55" i="12" a="1"/>
  <c r="G68" i="12" a="1"/>
  <c r="G12" i="12" a="1"/>
  <c r="G110" i="12" l="1"/>
  <c r="M109" i="12"/>
  <c r="P110" i="12"/>
  <c r="L110" i="12"/>
  <c r="K110" i="12"/>
  <c r="M54" i="12"/>
  <c r="P54" i="12"/>
  <c r="L54" i="12"/>
  <c r="G55" i="12"/>
  <c r="K55" i="12" s="1"/>
  <c r="J54" i="12"/>
  <c r="G68" i="12"/>
  <c r="J67" i="12"/>
  <c r="P67" i="12"/>
  <c r="M67" i="12"/>
  <c r="L67" i="12"/>
  <c r="K67" i="12"/>
  <c r="G12" i="12"/>
  <c r="P11" i="12"/>
  <c r="L11" i="12"/>
  <c r="M11" i="12"/>
  <c r="J11" i="12"/>
  <c r="K11" i="12"/>
  <c r="F45" i="12"/>
  <c r="F46" i="12" s="1"/>
  <c r="F47" i="12" s="1"/>
  <c r="F48" i="12" s="1"/>
  <c r="F49" i="12" s="1"/>
  <c r="F50" i="12" s="1"/>
  <c r="F51" i="12" s="1"/>
  <c r="F52" i="12" s="1"/>
  <c r="F53" i="12" s="1"/>
  <c r="F54" i="12" s="1"/>
  <c r="F41" i="12"/>
  <c r="F42" i="12" s="1"/>
  <c r="F43" i="12" s="1"/>
  <c r="F44" i="12" s="1"/>
  <c r="J19" i="12"/>
  <c r="K19" i="12"/>
  <c r="P19" i="12"/>
  <c r="M19" i="12"/>
  <c r="L19" i="12"/>
  <c r="F20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E11" i="42" a="1"/>
  <c r="E11" i="14" a="1"/>
  <c r="G111" i="12" a="1"/>
  <c r="G56" i="12" a="1"/>
  <c r="G111" i="12" l="1"/>
  <c r="M110" i="12"/>
  <c r="J110" i="12"/>
  <c r="J111" i="12"/>
  <c r="P111" i="12"/>
  <c r="M111" i="12"/>
  <c r="M55" i="12"/>
  <c r="P55" i="12"/>
  <c r="J55" i="12"/>
  <c r="F55" i="12"/>
  <c r="G56" i="12"/>
  <c r="P56" i="12" s="1"/>
  <c r="L55" i="12"/>
  <c r="F64" i="12"/>
  <c r="F65" i="12" s="1"/>
  <c r="F66" i="12" s="1"/>
  <c r="F67" i="12" s="1"/>
  <c r="F68" i="12" s="1"/>
  <c r="F69" i="12" s="1"/>
  <c r="F70" i="12" s="1"/>
  <c r="F71" i="12" s="1"/>
  <c r="F72" i="12" s="1"/>
  <c r="F73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94" i="12" s="1"/>
  <c r="F95" i="12" s="1"/>
  <c r="F96" i="12" s="1"/>
  <c r="F97" i="12" s="1"/>
  <c r="F98" i="12" s="1"/>
  <c r="F99" i="12" s="1"/>
  <c r="F87" i="12" s="1"/>
  <c r="F88" i="12" s="1"/>
  <c r="F89" i="12" s="1"/>
  <c r="F90" i="12" s="1"/>
  <c r="F91" i="12" s="1"/>
  <c r="F92" i="12" s="1"/>
  <c r="F93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L68" i="12"/>
  <c r="P68" i="12"/>
  <c r="K68" i="12"/>
  <c r="J68" i="12"/>
  <c r="M68" i="12"/>
  <c r="K12" i="12"/>
  <c r="J12" i="12"/>
  <c r="L12" i="12"/>
  <c r="M12" i="12"/>
  <c r="P12" i="12"/>
  <c r="E11" i="14"/>
  <c r="E11" i="42"/>
  <c r="F22" i="12"/>
  <c r="P20" i="12"/>
  <c r="M20" i="12"/>
  <c r="L20" i="12"/>
  <c r="K20" i="12"/>
  <c r="J20" i="12"/>
  <c r="A25" i="11"/>
  <c r="C20" i="13" a="1"/>
  <c r="C19" i="13" a="1"/>
  <c r="C28" i="13" a="1"/>
  <c r="C29" i="13" a="1"/>
  <c r="C21" i="14" a="1"/>
  <c r="C14" i="14" a="1"/>
  <c r="C25" i="14" a="1"/>
  <c r="C23" i="14" a="1"/>
  <c r="C2" i="33" a="1"/>
  <c r="C7" i="13" a="1"/>
  <c r="C3" i="33" a="1"/>
  <c r="C22" i="14" a="1"/>
  <c r="C2" i="14" a="1"/>
  <c r="C26" i="14" a="1"/>
  <c r="C19" i="14" a="1"/>
  <c r="C22" i="13" a="1"/>
  <c r="C6" i="14" a="1"/>
  <c r="C5" i="13" a="1"/>
  <c r="C24" i="14" a="1"/>
  <c r="C3" i="7" a="1"/>
  <c r="C4" i="14" a="1"/>
  <c r="C15" i="13" a="1"/>
  <c r="C16" i="14" a="1"/>
  <c r="C16" i="13" a="1"/>
  <c r="C9" i="13" a="1"/>
  <c r="C28" i="14" a="1"/>
  <c r="C12" i="13" a="1"/>
  <c r="C29" i="14" a="1"/>
  <c r="C4" i="13" a="1"/>
  <c r="C9" i="14" a="1"/>
  <c r="C12" i="14" a="1"/>
  <c r="C11" i="14" a="1"/>
  <c r="C17" i="13" a="1"/>
  <c r="C18" i="14" a="1"/>
  <c r="C11" i="13" a="1"/>
  <c r="C3" i="14" a="1"/>
  <c r="C4" i="33" a="1"/>
  <c r="C15" i="14" a="1"/>
  <c r="C26" i="13" a="1"/>
  <c r="C2" i="7" a="1"/>
  <c r="C3" i="13" a="1"/>
  <c r="C20" i="14" a="1"/>
  <c r="C8" i="14" a="1"/>
  <c r="C17" i="14" a="1"/>
  <c r="C8" i="13" a="1"/>
  <c r="C5" i="14" a="1"/>
  <c r="C14" i="13" a="1"/>
  <c r="C13" i="14" a="1"/>
  <c r="C2" i="13" a="1"/>
  <c r="C23" i="13" a="1"/>
  <c r="C18" i="13" a="1"/>
  <c r="C13" i="13" a="1"/>
  <c r="C10" i="13" a="1"/>
  <c r="C10" i="14" a="1"/>
  <c r="C7" i="14" a="1"/>
  <c r="C27" i="14" a="1"/>
  <c r="C6" i="13" a="1"/>
  <c r="C27" i="13" a="1"/>
  <c r="C24" i="13" a="1"/>
  <c r="C21" i="13" a="1"/>
  <c r="C25" i="13" a="1"/>
  <c r="G112" i="12" a="1"/>
  <c r="G112" i="12" l="1"/>
  <c r="K111" i="12"/>
  <c r="K56" i="12"/>
  <c r="L111" i="12"/>
  <c r="J112" i="12"/>
  <c r="P112" i="12"/>
  <c r="M112" i="12"/>
  <c r="L112" i="12"/>
  <c r="F111" i="12"/>
  <c r="J56" i="12"/>
  <c r="M56" i="12"/>
  <c r="F56" i="12"/>
  <c r="L56" i="12"/>
  <c r="F23" i="12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3" i="12" a="1"/>
  <c r="G113" i="12" l="1"/>
  <c r="P113" i="12" s="1"/>
  <c r="K112" i="12"/>
  <c r="F112" i="12"/>
  <c r="F113" i="12" s="1"/>
  <c r="J113" i="12"/>
  <c r="L113" i="12"/>
  <c r="K113" i="12"/>
  <c r="F24" i="12"/>
  <c r="F2" i="12" s="1"/>
  <c r="F3" i="12" s="1"/>
  <c r="F4" i="12" s="1"/>
  <c r="F5" i="12" s="1"/>
  <c r="F6" i="12" s="1"/>
  <c r="F7" i="12" s="1"/>
  <c r="F8" i="12" s="1"/>
  <c r="F9" i="12" s="1"/>
  <c r="F10" i="12" s="1"/>
  <c r="F11" i="12" s="1"/>
  <c r="F12" i="12" s="1"/>
  <c r="P23" i="12"/>
  <c r="M23" i="12"/>
  <c r="L23" i="12"/>
  <c r="K23" i="12"/>
  <c r="J23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M113" i="12" l="1"/>
  <c r="K24" i="12"/>
  <c r="P24" i="12"/>
  <c r="M24" i="12"/>
  <c r="L24" i="12"/>
  <c r="J24" i="12"/>
  <c r="A28" i="11"/>
  <c r="A27" i="11"/>
  <c r="F114" i="12" l="1"/>
  <c r="F115" i="12" s="1"/>
  <c r="F116" i="12" s="1"/>
  <c r="F117" i="12" s="1"/>
  <c r="F118" i="12" s="1"/>
  <c r="F119" i="12" s="1"/>
  <c r="F120" i="12" s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4" i="12"/>
  <c r="A75" i="12"/>
  <c r="A68" i="12" l="1"/>
  <c r="A25" i="13"/>
  <c r="A120" i="12" l="1"/>
  <c r="A91" i="12"/>
  <c r="A119" i="12" l="1"/>
  <c r="A118" i="12"/>
  <c r="A26" i="11"/>
  <c r="A15" i="11"/>
  <c r="A105" i="12" l="1"/>
  <c r="A6" i="12"/>
  <c r="A8" i="13" l="1"/>
  <c r="A84" i="12"/>
  <c r="A39" i="12" l="1"/>
  <c r="A3" i="7" l="1"/>
  <c r="A116" i="12"/>
  <c r="A19" i="13"/>
  <c r="A15" i="13"/>
  <c r="A11" i="13"/>
  <c r="A96" i="12"/>
  <c r="A79" i="12"/>
  <c r="A66" i="12"/>
  <c r="A18" i="13"/>
  <c r="A95" i="12"/>
  <c r="A94" i="12"/>
  <c r="A12" i="11"/>
  <c r="A2" i="7"/>
  <c r="A85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17" i="12"/>
  <c r="A115" i="12"/>
  <c r="A114" i="12"/>
  <c r="A7" i="12"/>
  <c r="A5" i="12"/>
  <c r="A4" i="12"/>
  <c r="A8" i="12"/>
  <c r="A3" i="12"/>
  <c r="A2" i="12"/>
  <c r="A24" i="12"/>
  <c r="A20" i="12"/>
  <c r="A19" i="12"/>
  <c r="A110" i="12"/>
  <c r="A109" i="12"/>
  <c r="A108" i="12"/>
  <c r="A107" i="12"/>
  <c r="A106" i="12"/>
  <c r="A104" i="12"/>
  <c r="A103" i="12"/>
  <c r="A102" i="12"/>
  <c r="A101" i="12"/>
  <c r="A100" i="12"/>
  <c r="A89" i="12"/>
  <c r="A92" i="12"/>
  <c r="A90" i="12"/>
  <c r="A87" i="12"/>
  <c r="A99" i="12"/>
  <c r="A98" i="12"/>
  <c r="A97" i="12"/>
  <c r="A83" i="12"/>
  <c r="A82" i="12"/>
  <c r="A81" i="12"/>
  <c r="A80" i="12"/>
  <c r="A78" i="12"/>
  <c r="A77" i="12"/>
  <c r="A76" i="12"/>
  <c r="A70" i="12"/>
  <c r="A73" i="12"/>
  <c r="A69" i="12"/>
  <c r="A67" i="12"/>
  <c r="A65" i="12"/>
  <c r="A64" i="12"/>
  <c r="A63" i="12"/>
  <c r="A61" i="12"/>
  <c r="A59" i="12"/>
  <c r="A58" i="12"/>
  <c r="A57" i="12"/>
  <c r="A50" i="12"/>
  <c r="A49" i="12"/>
  <c r="A48" i="12"/>
  <c r="A46" i="12"/>
  <c r="A45" i="12"/>
  <c r="A38" i="12"/>
  <c r="A37" i="12"/>
  <c r="A36" i="12"/>
  <c r="A35" i="12"/>
  <c r="A34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9" i="11" a="1"/>
  <c r="C31" i="2" a="1"/>
  <c r="C11" i="2" a="1"/>
  <c r="C13" i="2" a="1"/>
  <c r="C28" i="2" a="1"/>
  <c r="C10" i="2" a="1"/>
  <c r="G11" i="11" a="1"/>
  <c r="G32" i="11" a="1"/>
  <c r="G10" i="11" a="1"/>
  <c r="C8" i="2" a="1"/>
  <c r="G30" i="11" a="1"/>
  <c r="C25" i="2" a="1"/>
  <c r="C12" i="2" a="1"/>
  <c r="G25" i="11" a="1"/>
  <c r="C33" i="2" a="1"/>
  <c r="G23" i="11" a="1"/>
  <c r="C24" i="2" a="1"/>
  <c r="G18" i="11" a="1"/>
  <c r="C39" i="2" a="1"/>
  <c r="G12" i="11" a="1"/>
  <c r="C21" i="2" a="1"/>
  <c r="C30" i="2" a="1"/>
  <c r="G5" i="11" a="1"/>
  <c r="C29" i="2" a="1"/>
  <c r="G24" i="11" a="1"/>
  <c r="G26" i="11" a="1"/>
  <c r="C18" i="2" a="1"/>
  <c r="G34" i="11" a="1"/>
  <c r="C4" i="2" a="1"/>
  <c r="C3" i="2" a="1"/>
  <c r="G2" i="11" a="1"/>
  <c r="G33" i="11" a="1"/>
  <c r="G19" i="11" a="1"/>
  <c r="G14" i="11" a="1"/>
  <c r="C19" i="2" a="1"/>
  <c r="G13" i="11" a="1"/>
  <c r="G6" i="11" a="1"/>
  <c r="C2" i="2" a="1"/>
  <c r="C5" i="2" a="1"/>
  <c r="C16" i="2" a="1"/>
  <c r="C23" i="2" a="1"/>
  <c r="C38" i="2" a="1"/>
  <c r="G22" i="11" a="1"/>
  <c r="G4" i="11" a="1"/>
  <c r="C37" i="2" a="1"/>
  <c r="G15" i="11" a="1"/>
  <c r="C35" i="2" a="1"/>
  <c r="G27" i="11" a="1"/>
  <c r="G7" i="11" a="1"/>
  <c r="G3" i="11" a="1"/>
  <c r="C7" i="2" a="1"/>
  <c r="C14" i="2" a="1"/>
  <c r="C36" i="2" a="1"/>
  <c r="C27" i="2" a="1"/>
  <c r="G35" i="11" a="1"/>
  <c r="C20" i="2" a="1"/>
  <c r="C9" i="2" a="1"/>
  <c r="C15" i="2" a="1"/>
  <c r="C6" i="2" a="1"/>
  <c r="C22" i="2" a="1"/>
  <c r="C26" i="2" a="1"/>
  <c r="G9" i="11" a="1"/>
  <c r="C17" i="2" a="1"/>
  <c r="G20" i="11" a="1"/>
  <c r="G31" i="11" a="1"/>
  <c r="G21" i="11" a="1"/>
  <c r="C32" i="2" a="1"/>
  <c r="G16" i="11" a="1"/>
  <c r="G28" i="11" a="1"/>
  <c r="C34" i="2" a="1"/>
  <c r="G17" i="11" a="1"/>
  <c r="G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50" i="4" a="1"/>
  <c r="F2" i="4" a="1"/>
  <c r="F41" i="4" a="1"/>
  <c r="F28" i="4" a="1"/>
  <c r="F5" i="4" a="1"/>
  <c r="F45" i="4" a="1"/>
  <c r="F42" i="4" a="1"/>
  <c r="F47" i="4" a="1"/>
  <c r="F34" i="4" a="1"/>
  <c r="F4" i="4" a="1"/>
  <c r="F18" i="4" a="1"/>
  <c r="F19" i="4" a="1"/>
  <c r="F35" i="4" a="1"/>
  <c r="F39" i="4" a="1"/>
  <c r="F3" i="4" a="1"/>
  <c r="F33" i="4" a="1"/>
  <c r="F46" i="4" a="1"/>
  <c r="F37" i="4" a="1"/>
  <c r="F31" i="4" a="1"/>
  <c r="F30" i="4" a="1"/>
  <c r="F40" i="4" a="1"/>
  <c r="F8" i="4" a="1"/>
  <c r="F25" i="4" a="1"/>
  <c r="F44" i="4" a="1"/>
  <c r="F17" i="4" a="1"/>
  <c r="F27" i="4" a="1"/>
  <c r="F26" i="4" a="1"/>
  <c r="F48" i="4" a="1"/>
  <c r="F6" i="4" a="1"/>
  <c r="F29" i="4" a="1"/>
  <c r="F23" i="4" a="1"/>
  <c r="F32" i="4" a="1"/>
  <c r="F11" i="4" a="1"/>
  <c r="F38" i="4" a="1"/>
  <c r="F49" i="4" a="1"/>
  <c r="F14" i="4" a="1"/>
  <c r="F43" i="4" a="1"/>
  <c r="F21" i="4" a="1"/>
  <c r="F9" i="4" a="1"/>
  <c r="F36" i="4" a="1"/>
  <c r="F24" i="4" a="1"/>
  <c r="F20" i="4" a="1"/>
  <c r="F13" i="4" a="1"/>
  <c r="F7" i="4" a="1"/>
  <c r="F16" i="4" a="1"/>
  <c r="F12" i="4" a="1"/>
  <c r="F10" i="4" a="1"/>
  <c r="F22" i="4" a="1"/>
  <c r="F36" i="4" l="1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<sst xmlns="http://schemas.openxmlformats.org/spreadsheetml/2006/main" count="1498" uniqueCount="845">
  <si>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</si>
  <si>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</si>
  <si>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</si>
  <si>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</si>
  <si>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</si>
  <si>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</si>
  <si>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</si>
  <si>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</si>
  <si>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</si>
  <si>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</si>
  <si>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</si>
  <si>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</si>
  <si>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</si>
  <si>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</si>
  <si>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</si>
  <si>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</si>
  <si>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</si>
  <si>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</si>
  <si>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</si>
  <si>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</si>
  <si>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</si>
  <si>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</si>
  <si>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</si>
  <si>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</si>
  <si>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</si>
  <si>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</si>
  <si>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</si>
  <si>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</si>
  <si>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</si>
  <si>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</si>
  <si>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</si>
  <si>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</si>
  <si>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</si>
  <si>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</si>
  <si>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</si>
  <si>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</si>
  <si>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</si>
  <si>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</si>
  <si>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</si>
  <si>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</si>
  <si>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</si>
  <si>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</si>
  <si>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</si>
  <si>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</si>
  <si>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</si>
  <si>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</si>
  <si>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</si>
  <si>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</si>
  <si>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</si>
  <si>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</si>
  <si>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</si>
  <si>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</si>
  <si>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</si>
  <si>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</si>
  <si>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</si>
  <si>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</si>
  <si>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</si>
  <si>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</si>
  <si>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</si>
  <si>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</si>
  <si>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</si>
  <si>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</si>
  <si>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</si>
  <si>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</si>
  <si>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</si>
  <si>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</si>
  <si>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</si>
  <si>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</si>
  <si>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</si>
  <si>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</si>
  <si>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</si>
  <si>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</si>
  <si>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</si>
  <si>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</si>
  <si>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</si>
  <si>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</si>
  <si>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</si>
  <si>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</si>
  <si>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</si>
  <si>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</si>
  <si>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</si>
  <si>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</si>
  <si>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</si>
  <si>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</si>
  <si>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</si>
  <si>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</si>
  <si>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</si>
  <si>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</si>
  <si>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</si>
  <si>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</si>
  <si>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</si>
  <si>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</si>
  <si>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</si>
  <si>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</si>
  <si>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</si>
  <si>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</si>
  <si>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</si>
  <si>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</si>
  <si>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</si>
  <si>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</si>
  <si>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</si>
  <si>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</si>
  <si>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</si>
  <si>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</si>
  <si>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</si>
  <si>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</si>
  <si>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</si>
  <si>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</si>
  <si>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</si>
  <si>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</si>
  <si>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</si>
  <si>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</si>
  <si>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</si>
  <si>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</si>
  <si>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</si>
  <si>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</si>
  <si>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</si>
  <si>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</si>
  <si>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</si>
  <si>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</si>
  <si>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</si>
  <si>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</si>
  <si>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</si>
  <si>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</si>
  <si>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</si>
  <si>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</si>
  <si>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</si>
  <si>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</si>
  <si>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</si>
  <si>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</si>
  <si>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</si>
  <si>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</si>
  <si>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</si>
  <si>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</si>
  <si>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</si>
  <si>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</si>
  <si>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</si>
  <si>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</si>
  <si>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</si>
  <si>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</si>
  <si>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</si>
  <si>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</si>
  <si>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</si>
  <si>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</si>
  <si>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</si>
  <si>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</si>
  <si>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</si>
  <si>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</si>
  <si>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</si>
  <si>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</si>
  <si>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</si>
  <si>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</si>
  <si>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</si>
  <si>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</si>
  <si>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</si>
  <si>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</si>
  <si>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</si>
  <si>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</si>
  <si>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</si>
  <si>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</si>
  <si>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</si>
  <si>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</si>
  <si>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</si>
  <si>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</si>
  <si>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</si>
  <si>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</si>
  <si>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</si>
  <si>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</si>
  <si>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</si>
  <si>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</si>
  <si>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</si>
  <si>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</si>
  <si>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</si>
  <si>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</si>
  <si>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</si>
  <si>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</si>
  <si>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</si>
  <si>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</si>
  <si>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</si>
  <si>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</si>
  <si>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</si>
  <si>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</si>
  <si>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</si>
  <si>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</si>
  <si>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</si>
  <si>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</si>
  <si>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</si>
  <si>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</si>
  <si>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</si>
  <si>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</si>
  <si>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</si>
  <si>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</si>
  <si>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</si>
  <si>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</si>
  <si>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</si>
  <si>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</si>
  <si>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</si>
  <si>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</si>
  <si>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</si>
  <si>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</si>
  <si>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</si>
  <si>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</si>
  <si>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</si>
  <si>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</si>
  <si>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</si>
  <si>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</si>
  <si>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</si>
  <si>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</si>
  <si>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</si>
  <si>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</si>
  <si>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</si>
  <si>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</si>
  <si>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</si>
  <si>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</si>
  <si>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</si>
  <si>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</si>
  <si>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</si>
  <si>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</si>
  <si>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</si>
  <si>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</si>
  <si>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</si>
  <si>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</si>
  <si>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</si>
  <si>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</si>
  <si>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</si>
  <si>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</si>
  <si>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</si>
  <si>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</si>
  <si>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</si>
  <si>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</si>
  <si>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</si>
  <si>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</si>
  <si>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</si>
  <si>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</si>
  <si>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</si>
  <si>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</si>
  <si>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</si>
  <si>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</si>
  <si>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</si>
  <si>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</si>
  <si>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</si>
  <si>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</si>
  <si>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</si>
  <si>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</si>
  <si>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</si>
  <si>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</si>
  <si>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</si>
  <si>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</si>
  <si>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</si>
  <si>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</si>
  <si>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</si>
  <si>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</si>
  <si>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</si>
  <si>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</si>
  <si>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</si>
  <si>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</si>
  <si>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</si>
  <si>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</si>
  <si>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</si>
  <si>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</si>
  <si>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</si>
  <si>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</si>
  <si>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</si>
  <si>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</si>
  <si>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</si>
  <si>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</si>
  <si>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</si>
  <si>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</si>
  <si>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</si>
  <si>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</si>
  <si>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</si>
  <si>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</si>
  <si>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</si>
  <si>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</si>
  <si>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</si>
  <si>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</si>
  <si>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</si>
  <si>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</si>
  <si>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</si>
  <si>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</si>
  <si>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</si>
  <si>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</si>
  <si>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</si>
  <si>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</si>
  <si>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</si>
  <si>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</si>
  <si>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</si>
  <si>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</si>
  <si>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</si>
  <si>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</si>
  <si>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</si>
  <si>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</si>
  <si>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</si>
  <si>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</si>
  <si>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</si>
  <si>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</si>
  <si>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</si>
  <si>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</si>
  <si>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</si>
  <si>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</si>
  <si>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</si>
  <si>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</si>
  <si>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</si>
  <si>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</si>
  <si>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</si>
  <si>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</si>
  <si>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</si>
  <si>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</si>
  <si>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</si>
  <si>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</si>
  <si>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</si>
  <si>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</si>
  <si>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</si>
  <si>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</si>
  <si>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</si>
  <si>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</si>
  <si>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</si>
  <si>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</si>
  <si>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</si>
  <si>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</si>
  <si>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</si>
  <si>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</si>
  <si>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</si>
  <si>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</si>
  <si>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</si>
  <si>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</si>
  <si>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</si>
  <si>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</si>
  <si>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</si>
  <si>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</si>
  <si>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</si>
  <si>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</si>
  <si>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</si>
  <si>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</si>
  <si>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</si>
  <si>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</si>
  <si>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</si>
  <si>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</si>
  <si>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</si>
  <si>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</si>
  <si>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</si>
  <si>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</si>
  <si>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</si>
  <si>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</si>
  <si>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</si>
  <si>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</si>
  <si>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</si>
  <si>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</si>
  <si>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</si>
  <si>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</si>
  <si>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</si>
  <si>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</si>
  <si>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</si>
  <si>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</si>
  <si>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</si>
  <si>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</si>
  <si>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</si>
  <si>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</si>
  <si>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</si>
  <si>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</si>
  <si>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</si>
  <si>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</si>
  <si>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</si>
  <si>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</si>
  <si>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</si>
  <si>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</si>
  <si>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</si>
  <si>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</si>
  <si>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</si>
  <si>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</si>
  <si>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</si>
  <si>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</si>
  <si>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</si>
  <si>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</si>
  <si>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</si>
  <si>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</si>
  <si>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</si>
  <si>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</si>
  <si>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</si>
  <si>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</si>
  <si>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</si>
  <si>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</si>
  <si>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</si>
  <si>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</si>
  <si>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</si>
  <si>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</si>
  <si>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</si>
  <si>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</si>
  <si>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</si>
  <si>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</si>
  <si>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</si>
  <si>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</si>
  <si>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</si>
  <si>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</si>
  <si>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</si>
  <si>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</si>
  <si>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</si>
  <si>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</si>
  <si>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</si>
  <si>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</si>
  <si>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</si>
  <si>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</si>
  <si>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</si>
  <si>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</si>
  <si>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</si>
  <si>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</si>
  <si>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</si>
  <si>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</si>
  <si>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</si>
  <si>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</si>
  <si>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</si>
  <si>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</si>
  <si>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</si>
  <si>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</si>
  <si>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</si>
  <si>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</si>
  <si>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</si>
  <si>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</si>
  <si>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</si>
  <si>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</si>
  <si>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</si>
  <si>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</si>
  <si>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</si>
  <si>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</si>
  <si>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</si>
  <si>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</si>
  <si>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</si>
  <si>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</si>
  <si>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</si>
  <si>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</si>
  <si>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</si>
  <si>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</si>
  <si>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</si>
  <si>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</si>
  <si>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</si>
  <si>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</si>
  <si>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</si>
  <si>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</si>
  <si>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</si>
  <si>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</si>
  <si>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</si>
  <si>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</si>
  <si>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</si>
  <si>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</si>
  <si>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</si>
  <si>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</si>
  <si>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</si>
  <si>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</si>
  <si>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</si>
  <si>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</si>
  <si>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</si>
  <si>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</si>
  <si>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</si>
  <si>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</si>
  <si>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</si>
  <si>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</si>
  <si>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</si>
  <si>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</si>
  <si>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</si>
  <si>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</si>
  <si>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</si>
  <si>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</si>
  <si>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</si>
  <si>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</si>
  <si>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</si>
  <si>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</si>
  <si>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</si>
  <si>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</si>
  <si>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</si>
  <si>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</si>
  <si>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</si>
  <si>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</si>
  <si>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</si>
  <si>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</si>
  <si>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</si>
  <si>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</si>
  <si>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</si>
  <si>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</si>
  <si>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</si>
  <si>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</si>
  <si>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</si>
  <si>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</si>
  <si>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</si>
  <si>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</si>
  <si>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</si>
  <si>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</si>
  <si>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</si>
  <si>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</si>
  <si>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</si>
  <si>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</si>
  <si>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</si>
  <si>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</si>
  <si>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</si>
  <si>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</si>
  <si>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</si>
  <si>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</si>
  <si>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</si>
  <si>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</si>
  <si>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</si>
  <si>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</si>
  <si>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</si>
  <si>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</si>
  <si>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</si>
  <si>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</si>
  <si>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</si>
  <si>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</si>
  <si>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</si>
  <si>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</si>
  <si>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</si>
  <si>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</si>
  <si>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</si>
  <si>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</si>
  <si>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</si>
  <si>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</si>
  <si>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</si>
  <si>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</si>
  <si>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</si>
  <si>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</si>
  <si>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</si>
  <si>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</si>
  <si>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</si>
  <si>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</si>
  <si>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</si>
  <si>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</si>
  <si>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</si>
  <si>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</si>
  <si>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</si>
  <si>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</si>
  <si>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</si>
  <si>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</si>
  <si>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</si>
  <si>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</si>
  <si>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</si>
  <si>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</si>
  <si>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</si>
  <si>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</si>
  <si>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</si>
  <si>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</si>
  <si>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</si>
  <si>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</si>
  <si>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</si>
  <si>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</si>
  <si>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</si>
  <si>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</si>
  <si>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</si>
  <si>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</si>
  <si>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</si>
  <si>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</si>
  <si>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</si>
  <si>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</si>
  <si>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</si>
  <si>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</si>
  <si>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</si>
  <si>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</si>
  <si>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</si>
  <si>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</si>
  <si>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</si>
  <si>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</si>
  <si>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</si>
  <si>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</si>
  <si>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</si>
  <si>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</si>
  <si>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</si>
  <si>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</si>
  <si>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</si>
  <si>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</si>
  <si>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</si>
  <si>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</si>
  <si>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</si>
  <si>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</si>
  <si>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</si>
  <si>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</si>
  <si>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</si>
  <si>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</si>
  <si>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</si>
  <si>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</si>
  <si>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</si>
  <si>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</si>
  <si>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</si>
  <si>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</si>
  <si>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</si>
  <si>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</si>
  <si>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</si>
  <si>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</si>
  <si>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</si>
  <si>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</si>
  <si>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</si>
  <si>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</si>
  <si>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</si>
  <si>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</si>
  <si>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</si>
  <si>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</si>
  <si>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</si>
  <si>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</si>
  <si>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</si>
  <si>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</si>
  <si>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</si>
  <si>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</si>
  <si>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</si>
  <si>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</si>
  <si>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</si>
  <si>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</si>
  <si>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</si>
  <si>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</si>
  <si>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</si>
  <si>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</si>
  <si>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</si>
  <si>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</si>
  <si>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</si>
  <si>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</si>
  <si>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</si>
  <si>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</si>
  <si>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</si>
  <si>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</si>
  <si>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</si>
  <si>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</si>
  <si>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</si>
  <si>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</si>
  <si>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</si>
  <si>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</si>
  <si>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</si>
  <si>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</si>
  <si>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</si>
  <si>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</si>
  <si>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</si>
  <si>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</si>
  <si>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</si>
  <si>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</si>
  <si>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</si>
  <si>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</si>
  <si>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</si>
  <si>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</si>
  <si>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</si>
  <si>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</si>
  <si>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</si>
  <si>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</si>
  <si>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</si>
  <si>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</si>
  <si>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</si>
  <si>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</si>
  <si>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</si>
  <si>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</si>
  <si>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</si>
  <si>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</si>
  <si>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</si>
  <si>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</si>
  <si>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</si>
  <si>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</si>
  <si>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</si>
  <si>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</si>
  <si>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</si>
  <si>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</si>
  <si>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</si>
  <si>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</si>
  <si>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</si>
  <si>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</si>
  <si>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</si>
  <si>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</si>
  <si>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</si>
  <si>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</si>
  <si>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</si>
  <si>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</si>
  <si>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</si>
  <si>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</si>
  <si>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</si>
  <si>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</si>
  <si>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</si>
  <si>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</si>
  <si>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</si>
  <si>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</si>
  <si>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</si>
  <si>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</si>
  <si>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</si>
  <si>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</si>
  <si>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</si>
  <si>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</si>
  <si>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</si>
  <si>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</si>
  <si>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</si>
  <si>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</si>
  <si>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</si>
  <si>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</si>
  <si>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</si>
  <si>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</si>
  <si>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</si>
  <si>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</si>
  <si>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</si>
  <si>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</si>
  <si>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</si>
  <si>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</si>
  <si>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</si>
  <si>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</si>
  <si>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</si>
  <si>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</si>
  <si>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</si>
  <si>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</si>
  <si>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</si>
  <si>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</si>
  <si>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</si>
  <si>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</si>
  <si>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</si>
  <si>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</si>
  <si>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</si>
  <si>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</si>
  <si>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</si>
  <si>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</si>
  <si>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</si>
  <si>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</si>
  <si>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</si>
  <si>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</si>
  <si>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</si>
  <si>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</si>
  <si>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</si>
  <si>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</si>
  <si>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</si>
  <si>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</si>
  <si>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</si>
  <si>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</si>
  <si>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</si>
  <si>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</si>
  <si>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</si>
  <si>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</si>
  <si>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</si>
  <si>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</si>
  <si>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</si>
  <si>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</si>
  <si>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</si>
  <si>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</si>
  <si>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</si>
  <si>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</si>
  <si>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</si>
  <si>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</si>
  <si>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</si>
  <si>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</si>
  <si>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</si>
  <si>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</si>
  <si>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</si>
  <si>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</si>
  <si>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</si>
  <si>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</si>
  <si>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</si>
  <si>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</si>
  <si>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</si>
  <si>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</si>
  <si>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</si>
  <si>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</si>
  <si>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</si>
  <si>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</si>
  <si>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</si>
  <si>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</si>
  <si>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</si>
  <si>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</si>
  <si>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</si>
  <si>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</si>
  <si>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</si>
  <si>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</si>
  <si>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</si>
  <si>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</si>
  <si>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</si>
  <si>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</si>
  <si>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</si>
  <si>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</si>
  <si>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</si>
  <si>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</si>
  <si>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</si>
  <si>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</si>
  <si>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</si>
  <si>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</si>
  <si>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</si>
  <si>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</si>
  <si>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</si>
  <si>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</si>
  <si>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</si>
  <si>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</si>
  <si>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</si>
  <si>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</si>
  <si>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</si>
  <si>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</si>
  <si>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</si>
  <si>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</si>
  <si>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</si>
  <si>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</si>
  <si>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</si>
  <si>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</si>
  <si>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</si>
  <si>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</si>
  <si>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</si>
  <si>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</si>
  <si>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</si>
  <si>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</si>
  <si>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</si>
  <si>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</si>
  <si>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</si>
  <si>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</si>
  <si>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</si>
  <si>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</si>
  <si>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</si>
  <si>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</si>
  <si>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</si>
  <si>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</si>
  <si>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</si>
  <si>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</si>
  <si>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</si>
  <si>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</si>
  <si>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Domínios x 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</si>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</sst>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H2" sqref="H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634</v>
      </c>
      <c r="K1" s="1" t="s">
        <v>561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220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684</v>
      </c>
      <c r="C1" s="1" t="s">
        <v>67</v>
      </c>
      <c r="D1" s="1" t="s">
        <v>685</v>
      </c>
    </row>
    <row r="2" spans="1:4">
      <c r="A2">
        <f>ROW(A2)-1</f>
        <v>1</v>
      </c>
      <c r="B2" s="6" t="s">
        <v>404</v>
      </c>
      <c r="C2" t="s">
        <v>775</v>
      </c>
      <c r="D2">
        <v>2</v>
      </c>
    </row>
    <row r="3" spans="1:4">
      <c r="A3">
        <f>ROW(A3)-1</f>
        <v>2</v>
      </c>
      <c r="B3" s="6" t="s">
        <v>686</v>
      </c>
      <c r="C3" t="s">
        <v>699</v>
      </c>
      <c r="D3">
        <v>2</v>
      </c>
    </row>
    <row r="4" spans="1:4">
      <c r="A4">
        <f>ROW(A4)-1</f>
        <v>3</v>
      </c>
      <c r="B4" s="6" t="s">
        <v>487</v>
      </c>
      <c r="C4" t="s">
        <v>700</v>
      </c>
      <c r="D4">
        <v>2</v>
      </c>
    </row>
    <row r="5" spans="1:4">
      <c r="A5">
        <f>ROW(A5)-1</f>
        <v>4</v>
      </c>
      <c r="B5" s="6" t="s">
        <v>687</v>
      </c>
      <c r="C5" t="s">
        <v>701</v>
      </c>
      <c r="D5">
        <v>2</v>
      </c>
    </row>
    <row r="6" spans="1:4">
      <c r="A6">
        <f t="shared" ref="A6:A15" si="0">ROW(A6)-1</f>
        <v>5</v>
      </c>
      <c r="B6" s="6" t="s">
        <v>688</v>
      </c>
      <c r="C6" t="s">
        <v>697</v>
      </c>
      <c r="D6">
        <v>2</v>
      </c>
    </row>
    <row r="7" spans="1:4">
      <c r="A7">
        <f t="shared" si="0"/>
        <v>6</v>
      </c>
      <c r="B7" s="6" t="s">
        <v>405</v>
      </c>
      <c r="C7" t="s">
        <v>698</v>
      </c>
      <c r="D7">
        <v>2</v>
      </c>
    </row>
    <row r="8" spans="1:4">
      <c r="A8">
        <f t="shared" si="0"/>
        <v>7</v>
      </c>
      <c r="B8" s="6" t="s">
        <v>689</v>
      </c>
      <c r="C8" t="s">
        <v>702</v>
      </c>
    </row>
    <row r="9" spans="1:4">
      <c r="A9">
        <f t="shared" si="0"/>
        <v>8</v>
      </c>
      <c r="B9" s="6" t="s">
        <v>690</v>
      </c>
      <c r="C9" t="s">
        <v>703</v>
      </c>
    </row>
    <row r="10" spans="1:4">
      <c r="A10">
        <f t="shared" si="0"/>
        <v>9</v>
      </c>
      <c r="B10" s="6" t="s">
        <v>691</v>
      </c>
      <c r="C10" t="s">
        <v>704</v>
      </c>
      <c r="D10">
        <v>2</v>
      </c>
    </row>
    <row r="11" spans="1:4">
      <c r="A11">
        <f t="shared" si="0"/>
        <v>10</v>
      </c>
      <c r="B11" s="6" t="s">
        <v>692</v>
      </c>
      <c r="C11" t="s">
        <v>705</v>
      </c>
      <c r="D11">
        <v>2</v>
      </c>
    </row>
    <row r="12" spans="1:4">
      <c r="A12">
        <f t="shared" si="0"/>
        <v>11</v>
      </c>
      <c r="B12" s="6" t="s">
        <v>693</v>
      </c>
      <c r="C12" t="s">
        <v>707</v>
      </c>
      <c r="D12">
        <v>3</v>
      </c>
    </row>
    <row r="13" spans="1:4">
      <c r="A13">
        <f t="shared" si="0"/>
        <v>12</v>
      </c>
      <c r="B13" s="6" t="s">
        <v>694</v>
      </c>
      <c r="C13" t="s">
        <v>706</v>
      </c>
      <c r="D13">
        <v>3</v>
      </c>
    </row>
    <row r="14" spans="1:4">
      <c r="A14">
        <f t="shared" si="0"/>
        <v>13</v>
      </c>
      <c r="B14" s="6" t="s">
        <v>695</v>
      </c>
      <c r="C14" t="s">
        <v>708</v>
      </c>
      <c r="D14">
        <v>1</v>
      </c>
    </row>
    <row r="15" spans="1:4">
      <c r="A15">
        <f t="shared" si="0"/>
        <v>14</v>
      </c>
      <c r="B15" s="6" t="s">
        <v>696</v>
      </c>
      <c r="C15" t="s">
        <v>709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44" activePane="bottomLeft" state="frozen"/>
      <selection pane="bottomLeft" sqref="A1:XFD1048576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style="6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723</v>
      </c>
      <c r="E1" s="1" t="s">
        <v>722</v>
      </c>
      <c r="F1" s="1" t="s">
        <v>774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502</v>
      </c>
      <c r="D1" s="1" t="s">
        <v>509</v>
      </c>
      <c r="E1" s="1" t="s">
        <v>24</v>
      </c>
    </row>
    <row r="2" spans="1:5">
      <c r="A2">
        <f>ROW(A2)-1</f>
        <v>1</v>
      </c>
      <c r="B2" t="s">
        <v>232</v>
      </c>
      <c r="C2" t="s">
        <v>503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233</v>
      </c>
      <c r="C3" t="s">
        <v>504</v>
      </c>
      <c r="D3" t="b">
        <v>0</v>
      </c>
      <c r="E3" t="b">
        <v>0</v>
      </c>
    </row>
    <row r="4" spans="1:5">
      <c r="A4">
        <f t="shared" si="0"/>
        <v>3</v>
      </c>
      <c r="B4" t="s">
        <v>234</v>
      </c>
      <c r="C4" t="s">
        <v>549</v>
      </c>
      <c r="D4" t="b">
        <v>0</v>
      </c>
      <c r="E4" t="b">
        <v>0</v>
      </c>
    </row>
    <row r="5" spans="1:5">
      <c r="A5">
        <f t="shared" si="0"/>
        <v>4</v>
      </c>
      <c r="B5" t="s">
        <v>235</v>
      </c>
      <c r="C5" t="s">
        <v>505</v>
      </c>
      <c r="D5" t="b">
        <v>0</v>
      </c>
      <c r="E5" t="b">
        <v>0</v>
      </c>
    </row>
    <row r="6" spans="1:5">
      <c r="A6">
        <f t="shared" si="0"/>
        <v>5</v>
      </c>
      <c r="B6" t="s">
        <v>236</v>
      </c>
      <c r="C6" s="15" t="s">
        <v>506</v>
      </c>
      <c r="D6" t="b">
        <v>1</v>
      </c>
      <c r="E6" t="b">
        <v>0</v>
      </c>
    </row>
    <row r="7" spans="1:5">
      <c r="A7">
        <f t="shared" si="0"/>
        <v>6</v>
      </c>
      <c r="B7" t="s">
        <v>282</v>
      </c>
      <c r="C7" s="15" t="s">
        <v>550</v>
      </c>
      <c r="D7" t="b">
        <v>1</v>
      </c>
      <c r="E7" t="b">
        <v>0</v>
      </c>
    </row>
    <row r="8" spans="1:5">
      <c r="A8">
        <f t="shared" si="0"/>
        <v>7</v>
      </c>
      <c r="B8" t="s">
        <v>283</v>
      </c>
      <c r="C8" s="15" t="s">
        <v>507</v>
      </c>
      <c r="D8" t="b">
        <v>1</v>
      </c>
      <c r="E8" t="b">
        <v>0</v>
      </c>
    </row>
    <row r="9" spans="1:5">
      <c r="A9">
        <f t="shared" si="0"/>
        <v>8</v>
      </c>
      <c r="B9" t="s">
        <v>284</v>
      </c>
      <c r="C9" s="15" t="s">
        <v>508</v>
      </c>
      <c r="D9" t="b">
        <v>0</v>
      </c>
      <c r="E9" t="b">
        <v>0</v>
      </c>
    </row>
    <row r="10" spans="1:5">
      <c r="A10">
        <f t="shared" si="0"/>
        <v>9</v>
      </c>
      <c r="B10" t="s">
        <v>285</v>
      </c>
      <c r="C10" s="15" t="s">
        <v>551</v>
      </c>
      <c r="D10" t="b">
        <v>0</v>
      </c>
      <c r="E10" t="b">
        <v>0</v>
      </c>
    </row>
    <row r="11" spans="1:5">
      <c r="A11">
        <f t="shared" si="0"/>
        <v>10</v>
      </c>
      <c r="B11" t="s">
        <v>286</v>
      </c>
      <c r="C11" s="10" t="s">
        <v>552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529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531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395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210</v>
      </c>
      <c r="F6" s="4" t="s">
        <v>211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212</v>
      </c>
      <c r="F7" s="4" t="s">
        <v>213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396</v>
      </c>
      <c r="E8" s="4" t="s">
        <v>214</v>
      </c>
      <c r="F8" s="4" t="s">
        <v>215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397</v>
      </c>
      <c r="E9" s="4" t="s">
        <v>214</v>
      </c>
      <c r="F9" s="4" t="s">
        <v>215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398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399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394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375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374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378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216</v>
      </c>
      <c r="F24" s="4" t="s">
        <v>217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532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400</v>
      </c>
      <c r="E30" s="4" t="s">
        <v>218</v>
      </c>
      <c r="F30" s="4" t="s">
        <v>219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530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377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376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227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492</v>
      </c>
      <c r="C1" s="7" t="s">
        <v>267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237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256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252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239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240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257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257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241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280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243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258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258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259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260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280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239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261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281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247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261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251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257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238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280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254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247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261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246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241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262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239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263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259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247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261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261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237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256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252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239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240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257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257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241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280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243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258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258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259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260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280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239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261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281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247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261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251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257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238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280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254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247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261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246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241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262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239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263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259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247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261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261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237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264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252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239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240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241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241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242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281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249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265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258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264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244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281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239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254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281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247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254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245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241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238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281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287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719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254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246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241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238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266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264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264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247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254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248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287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237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256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238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239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240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241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241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242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280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249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250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244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280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239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288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281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247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288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251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241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238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280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288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247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288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246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241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238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239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250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289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247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288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288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288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237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256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238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239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240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241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241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242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280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249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250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244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280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239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288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281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247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288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251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241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238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280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288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247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288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246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241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238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239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250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289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247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288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288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288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237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256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238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239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240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241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241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242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280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249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292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244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280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239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291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281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247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291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251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241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238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280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291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247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291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246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241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238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239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292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289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247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291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291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291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293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294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252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239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240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295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299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296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280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251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294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244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280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253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254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280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255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254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251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295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238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280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297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297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254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298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299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238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239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294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294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247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254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300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302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301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302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239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240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240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241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242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302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303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304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304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289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302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302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253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300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302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305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300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306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240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302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302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307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308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300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240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241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302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301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289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289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308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300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309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237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289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238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239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240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241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241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242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280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243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290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289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244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280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310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300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281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311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300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245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241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238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280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248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247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300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246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241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238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239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289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289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247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300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248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268</v>
      </c>
      <c r="D1" s="1" t="s">
        <v>492</v>
      </c>
      <c r="E1" s="1" t="s">
        <v>267</v>
      </c>
      <c r="F1" s="1" t="s">
        <v>24</v>
      </c>
    </row>
    <row r="2" spans="1:6">
      <c r="A2">
        <f>ROW(A2)-1</f>
        <v>1</v>
      </c>
      <c r="B2" t="s">
        <v>402</v>
      </c>
      <c r="C2" t="s">
        <v>269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270</v>
      </c>
      <c r="C3" t="s">
        <v>271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272</v>
      </c>
      <c r="C4" t="s">
        <v>273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274</v>
      </c>
      <c r="C5" t="s">
        <v>275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276</v>
      </c>
      <c r="C6" t="s">
        <v>277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17" activePane="bottomLeft" state="frozen"/>
      <selection pane="bottomLeft" activeCell="G43" sqref="G43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451</v>
      </c>
      <c r="C1" s="1" t="s">
        <v>355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548</v>
      </c>
      <c r="N1" s="1" t="s">
        <v>142</v>
      </c>
      <c r="O1" s="1" t="s">
        <v>826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465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833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459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460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461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462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463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466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832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464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312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313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314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367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318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320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322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325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326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327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358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359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360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454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455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456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457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458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401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528</v>
      </c>
      <c r="H44">
        <v>10</v>
      </c>
      <c r="N44" t="s">
        <v>729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450</v>
      </c>
      <c r="H45">
        <v>10</v>
      </c>
      <c r="M45" s="10"/>
      <c r="N45" s="10" t="s">
        <v>829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831</v>
      </c>
      <c r="H46">
        <v>5</v>
      </c>
      <c r="M46" s="10"/>
      <c r="N46" s="10" t="s">
        <v>527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546</v>
      </c>
      <c r="H47">
        <v>10</v>
      </c>
      <c r="M47" s="10" t="s">
        <v>482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547</v>
      </c>
      <c r="H48">
        <v>10</v>
      </c>
      <c r="M48" s="10" t="s">
        <v>483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763</v>
      </c>
      <c r="H49">
        <v>10</v>
      </c>
      <c r="N49" t="s">
        <v>764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827</v>
      </c>
      <c r="O50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D21" sqref="D21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451</v>
      </c>
      <c r="C1" s="1" t="s">
        <v>355</v>
      </c>
      <c r="D1" s="13" t="s">
        <v>1</v>
      </c>
      <c r="E1" s="13" t="s">
        <v>544</v>
      </c>
      <c r="F1" s="25" t="s">
        <v>537</v>
      </c>
      <c r="G1" s="1" t="s">
        <v>710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329</v>
      </c>
      <c r="E2" t="s">
        <v>330</v>
      </c>
      <c r="F2" s="26">
        <v>99999999</v>
      </c>
      <c r="G2" t="s">
        <v>823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312</v>
      </c>
      <c r="E3" t="s">
        <v>315</v>
      </c>
      <c r="F3" s="2" t="s">
        <v>735</v>
      </c>
      <c r="G3" t="s">
        <v>823</v>
      </c>
      <c r="I3" t="s">
        <v>545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313</v>
      </c>
      <c r="E4" t="s">
        <v>316</v>
      </c>
      <c r="F4" s="2" t="s">
        <v>736</v>
      </c>
      <c r="G4" t="s">
        <v>823</v>
      </c>
      <c r="I4" t="s">
        <v>824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367</v>
      </c>
      <c r="E5" t="s">
        <v>368</v>
      </c>
      <c r="F5" s="2" t="s">
        <v>737</v>
      </c>
      <c r="G5" t="s">
        <v>823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467</v>
      </c>
      <c r="E6" t="s">
        <v>319</v>
      </c>
      <c r="F6" s="2" t="s">
        <v>738</v>
      </c>
      <c r="G6" t="s">
        <v>823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320</v>
      </c>
      <c r="E7" t="s">
        <v>321</v>
      </c>
      <c r="F7" s="2">
        <v>99999999999</v>
      </c>
      <c r="G7" t="s">
        <v>823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322</v>
      </c>
      <c r="E8" t="s">
        <v>323</v>
      </c>
      <c r="F8" s="2">
        <v>99999999</v>
      </c>
      <c r="G8" t="s">
        <v>823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324</v>
      </c>
      <c r="E9" t="s">
        <v>372</v>
      </c>
      <c r="F9" s="2" t="s">
        <v>739</v>
      </c>
      <c r="G9" t="s">
        <v>823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325</v>
      </c>
      <c r="E10" t="s">
        <v>373</v>
      </c>
      <c r="F10" s="2" t="s">
        <v>740</v>
      </c>
      <c r="G10" t="s">
        <v>823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326</v>
      </c>
      <c r="E11" t="s">
        <v>364</v>
      </c>
      <c r="F11" s="2" t="s">
        <v>741</v>
      </c>
      <c r="G11" t="s">
        <v>823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327</v>
      </c>
      <c r="E12" t="s">
        <v>328</v>
      </c>
      <c r="F12" s="2" t="s">
        <v>742</v>
      </c>
      <c r="G12" t="s">
        <v>825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358</v>
      </c>
      <c r="E13" t="s">
        <v>361</v>
      </c>
      <c r="F13" s="2" t="s">
        <v>743</v>
      </c>
      <c r="G13" t="s">
        <v>823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454</v>
      </c>
      <c r="E14" t="s">
        <v>362</v>
      </c>
      <c r="F14" s="2" t="s">
        <v>744</v>
      </c>
      <c r="G14" t="s">
        <v>823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455</v>
      </c>
      <c r="E15" t="s">
        <v>363</v>
      </c>
      <c r="F15" s="2" t="s">
        <v>745</v>
      </c>
      <c r="G15" t="s">
        <v>823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456</v>
      </c>
      <c r="E16" t="s">
        <v>370</v>
      </c>
      <c r="F16" s="4" t="s">
        <v>746</v>
      </c>
      <c r="G16" t="s">
        <v>825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457</v>
      </c>
      <c r="E17" t="s">
        <v>371</v>
      </c>
      <c r="F17" s="4" t="s">
        <v>747</v>
      </c>
      <c r="G17" t="s">
        <v>825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359</v>
      </c>
      <c r="E18" t="s">
        <v>365</v>
      </c>
      <c r="F18" s="2" t="s">
        <v>748</v>
      </c>
      <c r="G18" t="s">
        <v>823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458</v>
      </c>
      <c r="E19" t="s">
        <v>366</v>
      </c>
      <c r="F19" s="2" t="s">
        <v>749</v>
      </c>
      <c r="G19" t="s">
        <v>823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360</v>
      </c>
      <c r="E20" t="s">
        <v>321</v>
      </c>
      <c r="F20" s="2">
        <v>99999999999</v>
      </c>
      <c r="G20" t="s">
        <v>823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468</v>
      </c>
      <c r="G1" s="8" t="s">
        <v>469</v>
      </c>
      <c r="H1" s="9" t="s">
        <v>470</v>
      </c>
    </row>
    <row r="2" spans="1:8">
      <c r="A2">
        <f>ROW(A2)-1</f>
        <v>1</v>
      </c>
      <c r="B2">
        <v>21</v>
      </c>
      <c r="C2" t="str" cm="1">
        <f t="array" ref="C2">GetValue("Dmn",B2,"Name")</f>
        <v>Nchar(1)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720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721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335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336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369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337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338</v>
      </c>
      <c r="H13" s="12" t="s">
        <v>317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337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339</v>
      </c>
      <c r="H15" s="12" t="s">
        <v>317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451</v>
      </c>
      <c r="C1" s="1" t="s">
        <v>355</v>
      </c>
      <c r="D1" s="1" t="s">
        <v>492</v>
      </c>
      <c r="E1" s="1" t="s">
        <v>267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452</v>
      </c>
      <c r="E1" s="1" t="s">
        <v>331</v>
      </c>
      <c r="F1" s="1" t="s">
        <v>228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229</v>
      </c>
      <c r="E2" t="s">
        <v>222</v>
      </c>
      <c r="F2" t="s">
        <v>475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278</v>
      </c>
      <c r="E3" t="s">
        <v>222</v>
      </c>
      <c r="F3" t="s">
        <v>476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279</v>
      </c>
      <c r="E4" t="s">
        <v>222</v>
      </c>
      <c r="F4" t="s">
        <v>477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356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357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G5" sqref="G5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493</v>
      </c>
      <c r="F2" t="s">
        <v>494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497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496</v>
      </c>
      <c r="F4" t="s">
        <v>495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498</v>
      </c>
      <c r="F5" t="s">
        <v>499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K5" sqref="K5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22.140625" bestFit="1" customWidth="1"/>
    <col min="5" max="5" width="8.7109375" bestFit="1" customWidth="1"/>
    <col min="6" max="6" width="36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36.7109375" bestFit="1" customWidth="1"/>
    <col min="12" max="12" width="48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473</v>
      </c>
      <c r="I1" s="1" t="s">
        <v>474</v>
      </c>
      <c r="J1" s="1" t="s">
        <v>730</v>
      </c>
      <c r="K1" s="1" t="s">
        <v>731</v>
      </c>
      <c r="L1" s="1" t="s">
        <v>732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340</v>
      </c>
      <c r="F2" t="s">
        <v>801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777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724</v>
      </c>
      <c r="E3" t="s">
        <v>725</v>
      </c>
      <c r="F3" t="s">
        <v>728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728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726</v>
      </c>
      <c r="E4" t="s">
        <v>727</v>
      </c>
      <c r="F4" t="s">
        <v>734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822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380</v>
      </c>
      <c r="E5" t="s">
        <v>385</v>
      </c>
      <c r="F5" t="s">
        <v>391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391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341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381</v>
      </c>
      <c r="E7" t="s">
        <v>386</v>
      </c>
      <c r="F7" t="s">
        <v>392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392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379</v>
      </c>
      <c r="E8" t="s">
        <v>384</v>
      </c>
      <c r="F8" t="s">
        <v>390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390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343</v>
      </c>
      <c r="F9" t="s">
        <v>802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778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342</v>
      </c>
      <c r="F10" t="s">
        <v>803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779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382</v>
      </c>
      <c r="E11" t="s">
        <v>387</v>
      </c>
      <c r="F11" t="s">
        <v>804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776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347</v>
      </c>
      <c r="F12" t="s">
        <v>393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393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472</v>
      </c>
      <c r="E13" t="s">
        <v>601</v>
      </c>
      <c r="F13" t="s">
        <v>805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780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344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345</v>
      </c>
      <c r="F15" t="s">
        <v>806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348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349</v>
      </c>
      <c r="F17" t="s">
        <v>807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781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350</v>
      </c>
      <c r="F18" t="s">
        <v>808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782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388</v>
      </c>
      <c r="F19" t="s">
        <v>809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783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490</v>
      </c>
      <c r="E20" t="s">
        <v>491</v>
      </c>
      <c r="F20" t="s">
        <v>810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784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221</v>
      </c>
      <c r="E21" t="s">
        <v>354</v>
      </c>
      <c r="F21" t="s">
        <v>811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785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488</v>
      </c>
      <c r="E22" t="s">
        <v>489</v>
      </c>
      <c r="F22" t="s">
        <v>812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800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383</v>
      </c>
      <c r="E23" t="s">
        <v>389</v>
      </c>
      <c r="F23" t="s">
        <v>813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786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516</v>
      </c>
      <c r="E24" t="s">
        <v>515</v>
      </c>
      <c r="F24" t="s">
        <v>814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787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346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510</v>
      </c>
      <c r="E26" t="s">
        <v>750</v>
      </c>
      <c r="F26" t="s">
        <v>815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788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445</v>
      </c>
      <c r="E27" t="s">
        <v>444</v>
      </c>
      <c r="F27" t="s">
        <v>449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789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447</v>
      </c>
      <c r="E28" t="s">
        <v>448</v>
      </c>
      <c r="F28" t="s">
        <v>816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790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533</v>
      </c>
      <c r="E29" t="s">
        <v>534</v>
      </c>
      <c r="F29" t="s">
        <v>817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791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795</v>
      </c>
      <c r="E30" t="s">
        <v>796</v>
      </c>
      <c r="F30" t="s">
        <v>818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797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535</v>
      </c>
      <c r="E31" t="s">
        <v>536</v>
      </c>
      <c r="F31" t="s">
        <v>819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535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757</v>
      </c>
      <c r="E32" t="s">
        <v>758</v>
      </c>
      <c r="F32" t="s">
        <v>820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757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223</v>
      </c>
      <c r="E33" t="s">
        <v>351</v>
      </c>
      <c r="F33" t="s">
        <v>821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792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352</v>
      </c>
      <c r="F34" t="s">
        <v>512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793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353</v>
      </c>
      <c r="F35" t="s">
        <v>511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794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37"/>
  <sheetViews>
    <sheetView tabSelected="1" zoomScale="92" zoomScaleNormal="92" workbookViewId="0">
      <pane ySplit="1" topLeftCell="A20" activePane="bottomLeft" state="frozen"/>
      <selection pane="bottomLeft" activeCell="I45" sqref="I45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7.5703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5.570312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514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639</v>
      </c>
      <c r="K1" s="17" t="s">
        <v>640</v>
      </c>
      <c r="L1" s="17" t="s">
        <v>641</v>
      </c>
      <c r="M1" s="17" t="s">
        <v>642</v>
      </c>
      <c r="N1" s="17" t="s">
        <v>645</v>
      </c>
      <c r="O1" s="17" t="s">
        <v>644</v>
      </c>
      <c r="P1" s="17" t="s">
        <v>643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IF(G2="Id",5,F24+5)</f>
        <v>5</v>
      </c>
      <c r="G2" s="20" t="str" cm="1">
        <f t="array" ref="G2">GetColumnName(C2)</f>
        <v>Id</v>
      </c>
      <c r="H2" s="20" t="s">
        <v>765</v>
      </c>
      <c r="I2" s="20" t="s">
        <v>0</v>
      </c>
      <c r="J2" s="20" t="b">
        <f t="shared" ref="J2:K44" si="1">IF($G2="Id",TRUE,"")</f>
        <v>1</v>
      </c>
      <c r="K2" s="20" t="b">
        <f t="shared" si="1"/>
        <v>1</v>
      </c>
      <c r="L2" s="20" t="b">
        <f t="shared" ref="L2:M44" si="2">IF($G2="Id",FALSE,"")</f>
        <v>0</v>
      </c>
      <c r="M2" s="20" t="b">
        <f t="shared" si="2"/>
        <v>0</v>
      </c>
      <c r="N2" s="20"/>
      <c r="O2" s="20"/>
      <c r="P2" s="20" t="b">
        <f t="shared" ref="P2:P75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73" si="4">IF(G3="Id",5,F2+5)</f>
        <v>10</v>
      </c>
      <c r="G3" s="20" t="str" cm="1">
        <f t="array" ref="G3">GetColumnName(C3,G2)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560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559</v>
      </c>
      <c r="I9" s="20" t="s">
        <v>558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2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553</v>
      </c>
      <c r="I10" s="20" t="s">
        <v>557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554</v>
      </c>
      <c r="I11" s="20" t="s">
        <v>555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556</v>
      </c>
      <c r="I12" s="20" t="s">
        <v>562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GetColumnName(C13)</f>
        <v>Id</v>
      </c>
      <c r="H13" s="18" t="s">
        <v>766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15</v>
      </c>
      <c r="E14" s="18" t="str" cm="1">
        <f t="array" ref="E14">GetValue("Dmn",D14,"Name")</f>
        <v>Varchar(15)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767</v>
      </c>
      <c r="I14" s="18" t="s">
        <v>769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ref="F15:F19" si="6">IF(G15="Id",5,F14+5)</f>
        <v>15</v>
      </c>
      <c r="G15" s="18" t="str" cm="1">
        <f t="array" ref="G15">GetColumnName(C15,G14)</f>
        <v>Description</v>
      </c>
      <c r="H15" s="18" t="s">
        <v>768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770</v>
      </c>
      <c r="I16" s="18" t="s">
        <v>771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CatCmp</v>
      </c>
      <c r="D17" s="20">
        <v>5</v>
      </c>
      <c r="E17" s="20" t="str" cm="1">
        <f t="array" ref="E17">GetValue("Dmn",D17,"Name")</f>
        <v>TinyInteger</v>
      </c>
      <c r="F17" s="20">
        <v>5</v>
      </c>
      <c r="G17" s="20" t="str" cm="1">
        <f t="array" ref="G17">GetColumnName(C17)</f>
        <v>Id</v>
      </c>
      <c r="H17" s="20" t="s">
        <v>772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CatCmp</v>
      </c>
      <c r="D18" s="20">
        <v>5</v>
      </c>
      <c r="E18" s="20" t="str" cm="1">
        <f t="array" ref="E18">GetValue("Dmn",D18,"Name")</f>
        <v>TinyInteger</v>
      </c>
      <c r="F18" s="20">
        <f t="shared" si="6"/>
        <v>10</v>
      </c>
      <c r="G18" s="20" t="str" cm="1">
        <f t="array" ref="G18">GetColumnName(C18,G17)</f>
        <v>CategoryId</v>
      </c>
      <c r="H18" s="20" t="s">
        <v>773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7">ROW(A19)-1</f>
        <v>18</v>
      </c>
      <c r="B19" s="21">
        <v>3</v>
      </c>
      <c r="C19" s="20" t="str" cm="1">
        <f t="array" ref="C19">GetValue("Tbl",B19,"Alias")</f>
        <v>CatCmp</v>
      </c>
      <c r="D19" s="20">
        <v>5</v>
      </c>
      <c r="E19" s="20" t="str" cm="1">
        <f t="array" ref="E19">GetValue("Dmn",D19,"Name")</f>
        <v>TinyInteger</v>
      </c>
      <c r="F19" s="20">
        <f t="shared" si="6"/>
        <v>15</v>
      </c>
      <c r="G19" s="20" t="s">
        <v>723</v>
      </c>
      <c r="H19" s="20" t="s">
        <v>830</v>
      </c>
      <c r="I19" s="20" t="s">
        <v>830</v>
      </c>
      <c r="J19" s="20" t="str">
        <f t="shared" ref="J19:K24" si="8">IF($G19="Id",TRUE,"")</f>
        <v/>
      </c>
      <c r="K19" s="20" t="str">
        <f t="shared" si="8"/>
        <v/>
      </c>
      <c r="L19" s="20" t="str">
        <f t="shared" ref="L19:M24" si="9">IF($G19="Id",FALSE,"")</f>
        <v/>
      </c>
      <c r="M19" s="20" t="str">
        <f t="shared" si="9"/>
        <v/>
      </c>
      <c r="N19" s="20"/>
      <c r="O19" s="20"/>
      <c r="P19" s="20" t="str">
        <f t="shared" ref="P19:P24" si="10">IF($G19="Id",FALSE,"")</f>
        <v/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>IF(G20="Id",5,F19+5)</f>
        <v>5</v>
      </c>
      <c r="G20" s="18" t="str" cm="1">
        <f t="array" ref="G20">GetColumnName(C20)</f>
        <v>Id</v>
      </c>
      <c r="H20" s="18" t="s">
        <v>453</v>
      </c>
      <c r="I20" s="18" t="s">
        <v>0</v>
      </c>
      <c r="J20" s="18" t="b">
        <f t="shared" si="8"/>
        <v>1</v>
      </c>
      <c r="K20" s="18" t="b">
        <f t="shared" si="8"/>
        <v>1</v>
      </c>
      <c r="L20" s="18" t="b">
        <f t="shared" si="9"/>
        <v>0</v>
      </c>
      <c r="M20" s="18" t="b">
        <f t="shared" si="9"/>
        <v>0</v>
      </c>
      <c r="N20" s="18"/>
      <c r="O20" s="18"/>
      <c r="P20" s="18" t="b">
        <f t="shared" si="10"/>
        <v>0</v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>IF(G21="Id",5,F19+5)</f>
        <v>20</v>
      </c>
      <c r="G21" s="18" t="str" cm="1">
        <f t="array" ref="G21">GetColumnName(C21,G20)</f>
        <v>Name</v>
      </c>
      <c r="H21" s="18" t="s">
        <v>835</v>
      </c>
      <c r="I21" s="18" t="s">
        <v>99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 t="shared" si="10"/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>IF(G22="Id",5,F20+5)</f>
        <v>10</v>
      </c>
      <c r="G22" s="18" t="str" cm="1">
        <f t="array" ref="G22">GetColumnName(C22,G21)</f>
        <v>Provider</v>
      </c>
      <c r="H22" s="18" t="s">
        <v>538</v>
      </c>
      <c r="I22" s="18" t="s">
        <v>539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 t="shared" si="10"/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15</v>
      </c>
      <c r="G23" s="18" t="str" cm="1">
        <f t="array" ref="G23">GetColumnName(C23,G22)</f>
        <v>AskDirectory</v>
      </c>
      <c r="H23" s="18" t="s">
        <v>540</v>
      </c>
      <c r="I23" s="18" t="s">
        <v>541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 t="shared" si="10"/>
        <v/>
      </c>
    </row>
    <row r="24" spans="1:16">
      <c r="A24" s="18">
        <f t="shared" si="7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>IF(G24="Id",5,F23+5)</f>
        <v>20</v>
      </c>
      <c r="G24" s="18" t="str" cm="1">
        <f t="array" ref="G24">GetColumnName(C24,G23)</f>
        <v>IsActive</v>
      </c>
      <c r="H24" s="18" t="s">
        <v>842</v>
      </c>
      <c r="I24" s="18" t="s">
        <v>114</v>
      </c>
      <c r="J24" s="18" t="str">
        <f t="shared" si="8"/>
        <v/>
      </c>
      <c r="K24" s="18" t="str">
        <f t="shared" si="8"/>
        <v/>
      </c>
      <c r="L24" s="18" t="str">
        <f t="shared" si="9"/>
        <v/>
      </c>
      <c r="M24" s="18" t="str">
        <f t="shared" si="9"/>
        <v/>
      </c>
      <c r="N24" s="18"/>
      <c r="O24" s="18"/>
      <c r="P24" s="18" t="str">
        <f t="shared" si="10"/>
        <v/>
      </c>
    </row>
    <row r="25" spans="1:16">
      <c r="A25" s="20">
        <f t="shared" si="7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>IF(G25="Id",5,F12+5)</f>
        <v>5</v>
      </c>
      <c r="G25" s="20" t="str" cm="1">
        <f t="array" ref="G25">GetColumnName(C25)</f>
        <v>Id</v>
      </c>
      <c r="H25" s="20" t="s">
        <v>563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7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GetColumnName(C26,G25)</f>
        <v>CategoryId</v>
      </c>
      <c r="H26" s="20" t="s">
        <v>836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7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4"/>
        <v>15</v>
      </c>
      <c r="G27" s="20" t="s">
        <v>1</v>
      </c>
      <c r="H27" s="20" t="s">
        <v>564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4"/>
        <v>20</v>
      </c>
      <c r="G28" s="20" t="s">
        <v>17</v>
      </c>
      <c r="H28" s="20" t="s">
        <v>565</v>
      </c>
      <c r="I28" s="20" t="s">
        <v>566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4"/>
        <v>25</v>
      </c>
      <c r="G29" s="20" t="s">
        <v>18</v>
      </c>
      <c r="H29" s="20" t="s">
        <v>567</v>
      </c>
      <c r="I29" s="20" t="s">
        <v>571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">
        <v>19</v>
      </c>
      <c r="H30" s="20" t="s">
        <v>568</v>
      </c>
      <c r="I30" s="20" t="s">
        <v>568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">
        <v>20</v>
      </c>
      <c r="H31" s="20" t="s">
        <v>569</v>
      </c>
      <c r="I31" s="20" t="s">
        <v>569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">
        <v>22</v>
      </c>
      <c r="H32" s="20" t="s">
        <v>570</v>
      </c>
      <c r="I32" s="20" t="s">
        <v>570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">
        <v>24</v>
      </c>
      <c r="H33" s="20" t="s">
        <v>575</v>
      </c>
      <c r="I33" s="20" t="s">
        <v>114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18">
        <f t="shared" si="5"/>
        <v>33</v>
      </c>
      <c r="B34" s="19">
        <v>6</v>
      </c>
      <c r="C34" s="18" t="str" cm="1">
        <f t="array" ref="C34">GetValue("Tbl",B34,"Alias")</f>
        <v>EngTyp</v>
      </c>
      <c r="D34" s="18">
        <v>2</v>
      </c>
      <c r="E34" s="18" t="str" cm="1">
        <f t="array" ref="E34">GetValue("Dmn",D34,"Name")</f>
        <v>Integer</v>
      </c>
      <c r="F34" s="18">
        <f>IF(G34="Id",5,F33+5)</f>
        <v>5</v>
      </c>
      <c r="G34" s="18" t="str" cm="1">
        <f t="array" ref="G34">GetColumnName(C34)</f>
        <v>Id</v>
      </c>
      <c r="H34" s="18" t="s">
        <v>588</v>
      </c>
      <c r="I34" s="18" t="s">
        <v>0</v>
      </c>
      <c r="J34" s="18" t="b">
        <f t="shared" si="1"/>
        <v>1</v>
      </c>
      <c r="K34" s="18" t="b">
        <f t="shared" si="1"/>
        <v>1</v>
      </c>
      <c r="L34" s="18" t="b">
        <f t="shared" si="2"/>
        <v>0</v>
      </c>
      <c r="M34" s="18" t="b">
        <f t="shared" si="2"/>
        <v>0</v>
      </c>
      <c r="N34" s="18"/>
      <c r="O34" s="18"/>
      <c r="P34" s="18" t="b">
        <f t="shared" si="3"/>
        <v>0</v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EngTyp</v>
      </c>
      <c r="D35" s="18">
        <v>5</v>
      </c>
      <c r="E35" s="18" t="str" cm="1">
        <f t="array" ref="E35">GetValue("Dmn",D35,"Name")</f>
        <v>TinyInteger</v>
      </c>
      <c r="F35" s="18">
        <f t="shared" si="4"/>
        <v>10</v>
      </c>
      <c r="G35" s="18" t="str" cm="1">
        <f t="array" ref="G35">GetColumnName(C35,G34)</f>
        <v>EngineId</v>
      </c>
      <c r="H35" s="18" t="s">
        <v>843</v>
      </c>
      <c r="I35" s="18" t="s">
        <v>471</v>
      </c>
      <c r="J35" s="18" t="str">
        <f t="shared" si="1"/>
        <v/>
      </c>
      <c r="K35" s="18" t="str">
        <f t="shared" si="1"/>
        <v/>
      </c>
      <c r="L35" s="18" t="str">
        <f t="shared" si="2"/>
        <v/>
      </c>
      <c r="M35" s="18" t="str">
        <f t="shared" si="2"/>
        <v/>
      </c>
      <c r="N35" s="18"/>
      <c r="O35" s="18"/>
      <c r="P35" s="18" t="str">
        <f t="shared" si="3"/>
        <v/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EngTyp</v>
      </c>
      <c r="D36" s="18">
        <v>5</v>
      </c>
      <c r="E36" s="18" t="str" cm="1">
        <f t="array" ref="E36">GetValue("Dmn",D36,"Name")</f>
        <v>TinyInteger</v>
      </c>
      <c r="F36" s="18">
        <f t="shared" si="4"/>
        <v>15</v>
      </c>
      <c r="G36" s="18" t="str" cm="1">
        <f t="array" ref="G36">GetColumnName(C36,G35)</f>
        <v>TypeId</v>
      </c>
      <c r="H36" s="18" t="s">
        <v>563</v>
      </c>
      <c r="I36" s="18" t="s">
        <v>101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EngTyp</v>
      </c>
      <c r="D37" s="18">
        <v>10</v>
      </c>
      <c r="E37" s="18" t="str" cm="1">
        <f t="array" ref="E37">GetValue("Dmn",D37,"Name")</f>
        <v>Nvarchar(25)</v>
      </c>
      <c r="F37" s="18">
        <f t="shared" si="4"/>
        <v>20</v>
      </c>
      <c r="G37" s="18" t="str" cm="1">
        <f t="array" ref="G37">GetColumnName(C37,G36)</f>
        <v>Name</v>
      </c>
      <c r="H37" s="18" t="s">
        <v>589</v>
      </c>
      <c r="I37" s="18" t="s">
        <v>99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EngTyp</v>
      </c>
      <c r="D38" s="18">
        <v>2</v>
      </c>
      <c r="E38" s="18" t="str" cm="1">
        <f t="array" ref="E38">GetValue("Dmn",D38,"Name")</f>
        <v>Integer</v>
      </c>
      <c r="F38" s="18">
        <f>IF(G38="Id",5,F37+5)</f>
        <v>25</v>
      </c>
      <c r="G38" s="18" t="str" cm="1">
        <f t="array" ref="G38">GetColumnName(C38,G37)</f>
        <v>Length</v>
      </c>
      <c r="H38" s="18" t="s">
        <v>837</v>
      </c>
      <c r="I38" s="18" t="s">
        <v>104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EngTyp</v>
      </c>
      <c r="D39" s="18">
        <v>5</v>
      </c>
      <c r="E39" s="18" t="str" cm="1">
        <f t="array" ref="E39">GetValue("Dmn",D39,"Name")</f>
        <v>TinyInteger</v>
      </c>
      <c r="F39" s="18">
        <f t="shared" si="4"/>
        <v>30</v>
      </c>
      <c r="G39" s="18" t="str" cm="1">
        <f t="array" ref="G39">GetColumnName(C39,G38)</f>
        <v>Decimals</v>
      </c>
      <c r="H39" s="18" t="s">
        <v>838</v>
      </c>
      <c r="I39" s="18" t="s">
        <v>106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20">
        <f t="shared" si="5"/>
        <v>39</v>
      </c>
      <c r="B40" s="21">
        <v>7</v>
      </c>
      <c r="C40" s="20" t="str" cm="1">
        <f t="array" ref="C40">GetValue("Tbl",B40,"Alias")</f>
        <v>Cli</v>
      </c>
      <c r="D40" s="20">
        <v>1</v>
      </c>
      <c r="E40" s="20" t="str" cm="1">
        <f t="array" ref="E40">GetValue("Dmn",D40,"Name")</f>
        <v>BigInteger</v>
      </c>
      <c r="F40" s="20">
        <f>IF(G40="Id",5,F39+5)</f>
        <v>5</v>
      </c>
      <c r="G40" s="20" t="str" cm="1">
        <f t="array" ref="G40">GetColumnName(C40)</f>
        <v>Id</v>
      </c>
      <c r="H40" s="20" t="s">
        <v>597</v>
      </c>
      <c r="I40" s="20" t="s">
        <v>0</v>
      </c>
      <c r="J40" s="20" t="b">
        <f t="shared" si="1"/>
        <v>1</v>
      </c>
      <c r="K40" s="20" t="b">
        <f t="shared" si="1"/>
        <v>1</v>
      </c>
      <c r="L40" s="20" t="b">
        <f t="shared" si="2"/>
        <v>0</v>
      </c>
      <c r="M40" s="20" t="b">
        <f t="shared" si="2"/>
        <v>0</v>
      </c>
      <c r="N40" s="20"/>
      <c r="O40" s="20"/>
      <c r="P40" s="20" t="b">
        <f t="shared" si="3"/>
        <v>0</v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10</v>
      </c>
      <c r="E41" s="20" t="str" cm="1">
        <f t="array" ref="E41">GetValue("Dmn",D41,"Name")</f>
        <v>Nvarchar(25)</v>
      </c>
      <c r="F41" s="20">
        <f t="shared" ref="F41" si="11">IF(G41="Id",5,F39+5)</f>
        <v>35</v>
      </c>
      <c r="G41" s="20" t="str" cm="1">
        <f t="array" ref="G41">GetColumnName(C41,G40)</f>
        <v>Name</v>
      </c>
      <c r="H41" s="20" t="s">
        <v>572</v>
      </c>
      <c r="I41" s="20" t="s">
        <v>99</v>
      </c>
      <c r="J41" s="20" t="str">
        <f t="shared" si="1"/>
        <v/>
      </c>
      <c r="K41" s="20" t="str">
        <f t="shared" si="1"/>
        <v/>
      </c>
      <c r="L41" s="20" t="str">
        <f t="shared" si="2"/>
        <v/>
      </c>
      <c r="M41" s="20" t="str">
        <f t="shared" si="2"/>
        <v/>
      </c>
      <c r="N41" s="20"/>
      <c r="O41" s="20"/>
      <c r="P41" s="20" t="str">
        <f t="shared" si="3"/>
        <v/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20</v>
      </c>
      <c r="E42" s="20" t="str" cm="1">
        <f t="array" ref="E42">GetValue("Dmn",D42,"Name")</f>
        <v>Varchar(max)</v>
      </c>
      <c r="F42" s="20">
        <f>IF(G42="Id",5,F41+5)</f>
        <v>40</v>
      </c>
      <c r="G42" s="20" t="str" cm="1">
        <f t="array" ref="G42">GetColumnName(C42,G41)</f>
        <v>Logo</v>
      </c>
      <c r="H42" s="20" t="s">
        <v>834</v>
      </c>
      <c r="I42" s="20" t="s">
        <v>574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5</v>
      </c>
      <c r="E43" s="20" t="str" cm="1">
        <f t="array" ref="E43">GetValue("Dmn",D43,"Name")</f>
        <v>TinyInteger</v>
      </c>
      <c r="F43" s="20">
        <f t="shared" ref="F43" si="12">IF(G43="Id",5,F42+5)</f>
        <v>45</v>
      </c>
      <c r="G43" s="20" t="str" cm="1">
        <f t="array" ref="G43">GetColumnName(C43,G42)</f>
        <v>EngineId</v>
      </c>
      <c r="H43" s="20" t="s">
        <v>453</v>
      </c>
      <c r="I43" s="20" t="s">
        <v>471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6</v>
      </c>
      <c r="E44" s="20" t="str" cm="1">
        <f t="array" ref="E44">GetValue("Dmn",D44,"Name")</f>
        <v>Boolean</v>
      </c>
      <c r="F44" s="20">
        <f t="shared" ref="F44" si="13">IF(G44="Id",5,F43+5)</f>
        <v>50</v>
      </c>
      <c r="G44" s="20" t="str" cm="1">
        <f t="array" ref="G44">GetColumnName(C44,G43)</f>
        <v>IsActive</v>
      </c>
      <c r="H44" s="20" t="s">
        <v>844</v>
      </c>
      <c r="I44" s="20" t="s">
        <v>114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18">
        <f t="shared" si="5"/>
        <v>44</v>
      </c>
      <c r="B45" s="19">
        <v>8</v>
      </c>
      <c r="C45" s="18" t="str" cm="1">
        <f t="array" ref="C45">GetValue("Tbl",B45,"Alias")</f>
        <v>Dmn</v>
      </c>
      <c r="D45" s="18">
        <v>1</v>
      </c>
      <c r="E45" s="18" t="str" cm="1">
        <f t="array" ref="E45">GetValue("Dmn",D45,"Name")</f>
        <v>BigInteger</v>
      </c>
      <c r="F45" s="18">
        <f>IF(G45="Id",5,#REF!+5)</f>
        <v>5</v>
      </c>
      <c r="G45" s="18" t="str" cm="1">
        <f t="array" ref="G45">GetColumnName(C45)</f>
        <v>Id</v>
      </c>
      <c r="H45" s="18" t="s">
        <v>576</v>
      </c>
      <c r="I45" s="18" t="s">
        <v>0</v>
      </c>
      <c r="J45" s="18" t="b">
        <f t="shared" ref="J45:K75" si="14">IF($G45="Id",TRUE,"")</f>
        <v>1</v>
      </c>
      <c r="K45" s="18" t="b">
        <f t="shared" si="14"/>
        <v>1</v>
      </c>
      <c r="L45" s="18" t="b">
        <f t="shared" ref="L45:M75" si="15">IF($G45="Id",FALSE,"")</f>
        <v>0</v>
      </c>
      <c r="M45" s="18" t="b">
        <f t="shared" si="15"/>
        <v>0</v>
      </c>
      <c r="N45" s="18"/>
      <c r="O45" s="18"/>
      <c r="P45" s="18" t="b">
        <f t="shared" si="3"/>
        <v>0</v>
      </c>
    </row>
    <row r="46" spans="1:16">
      <c r="A46" s="18">
        <f t="shared" si="5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4"/>
        <v>10</v>
      </c>
      <c r="G46" s="18" t="str" cm="1">
        <f t="array" ref="G46">GetColumnName(C46,G45)</f>
        <v>ClientId</v>
      </c>
      <c r="H46" s="18" t="s">
        <v>577</v>
      </c>
      <c r="I46" s="18" t="s">
        <v>101</v>
      </c>
      <c r="J46" s="18" t="str">
        <f t="shared" si="14"/>
        <v/>
      </c>
      <c r="K46" s="18" t="str">
        <f t="shared" si="14"/>
        <v/>
      </c>
      <c r="L46" s="18" t="str">
        <f t="shared" si="15"/>
        <v/>
      </c>
      <c r="M46" s="18" t="str">
        <f t="shared" si="15"/>
        <v/>
      </c>
      <c r="N46" s="18"/>
      <c r="O46" s="18"/>
      <c r="P46" s="18" t="str">
        <f t="shared" si="3"/>
        <v/>
      </c>
    </row>
    <row r="47" spans="1:16">
      <c r="A47" s="18">
        <f t="shared" si="5"/>
        <v>46</v>
      </c>
      <c r="B47" s="19">
        <v>8</v>
      </c>
      <c r="C47" s="18" t="str" cm="1">
        <f t="array" ref="C47">GetValue("Tbl",B47,"Alias")</f>
        <v>Dmn</v>
      </c>
      <c r="D47" s="18">
        <v>5</v>
      </c>
      <c r="E47" s="18" t="str" cm="1">
        <f t="array" ref="E47">GetValue("Dmn",D47,"Name")</f>
        <v>TinyInteger</v>
      </c>
      <c r="F47" s="18">
        <f t="shared" si="4"/>
        <v>15</v>
      </c>
      <c r="G47" s="18" t="str" cm="1">
        <f t="array" ref="G47">GetColumnName(C47,G46)</f>
        <v>TypeId</v>
      </c>
      <c r="H47" s="18" t="s">
        <v>102</v>
      </c>
      <c r="I47" s="18" t="s">
        <v>99</v>
      </c>
      <c r="J47" s="18" t="str">
        <f t="shared" si="14"/>
        <v/>
      </c>
      <c r="K47" s="18" t="str">
        <f t="shared" si="14"/>
        <v/>
      </c>
      <c r="L47" s="18" t="str">
        <f t="shared" si="15"/>
        <v/>
      </c>
      <c r="M47" s="18" t="str">
        <f t="shared" si="15"/>
        <v/>
      </c>
      <c r="N47" s="18"/>
      <c r="O47" s="18"/>
      <c r="P47" s="18" t="str">
        <f t="shared" si="3"/>
        <v/>
      </c>
    </row>
    <row r="48" spans="1:16">
      <c r="A48" s="18">
        <f t="shared" si="5"/>
        <v>47</v>
      </c>
      <c r="B48" s="19">
        <v>8</v>
      </c>
      <c r="C48" s="18" t="str" cm="1">
        <f t="array" ref="C48">GetValue("Tbl",B48,"Alias")</f>
        <v>Dmn</v>
      </c>
      <c r="D48" s="18">
        <v>10</v>
      </c>
      <c r="E48" s="18" t="str" cm="1">
        <f t="array" ref="E48">GetValue("Dmn",D48,"Name")</f>
        <v>Nvarchar(25)</v>
      </c>
      <c r="F48" s="18">
        <f t="shared" si="4"/>
        <v>20</v>
      </c>
      <c r="G48" s="18" t="str" cm="1">
        <f t="array" ref="G48">GetColumnName(C48,G47)</f>
        <v>Name</v>
      </c>
      <c r="H48" s="18" t="s">
        <v>103</v>
      </c>
      <c r="I48" s="18" t="s">
        <v>104</v>
      </c>
      <c r="J48" s="18" t="str">
        <f t="shared" si="14"/>
        <v/>
      </c>
      <c r="K48" s="18" t="str">
        <f t="shared" si="14"/>
        <v/>
      </c>
      <c r="L48" s="18" t="str">
        <f t="shared" si="15"/>
        <v/>
      </c>
      <c r="M48" s="18" t="str">
        <f t="shared" si="15"/>
        <v/>
      </c>
      <c r="N48" s="18"/>
      <c r="O48" s="18"/>
      <c r="P48" s="18" t="str">
        <f t="shared" si="3"/>
        <v/>
      </c>
    </row>
    <row r="49" spans="1:16">
      <c r="A49" s="18">
        <f t="shared" si="5"/>
        <v>48</v>
      </c>
      <c r="B49" s="19">
        <v>8</v>
      </c>
      <c r="C49" s="18" t="str" cm="1">
        <f t="array" ref="C49">GetValue("Tbl",B49,"Alias")</f>
        <v>Dmn</v>
      </c>
      <c r="D49" s="18">
        <v>2</v>
      </c>
      <c r="E49" s="18" t="str" cm="1">
        <f t="array" ref="E49">GetValue("Dmn",D49,"Name")</f>
        <v>Integer</v>
      </c>
      <c r="F49" s="18">
        <f t="shared" si="4"/>
        <v>25</v>
      </c>
      <c r="G49" s="18" t="str" cm="1">
        <f t="array" ref="G49">GetColumnName(C49,G48)</f>
        <v>Length</v>
      </c>
      <c r="H49" s="18" t="s">
        <v>105</v>
      </c>
      <c r="I49" s="18" t="s">
        <v>106</v>
      </c>
      <c r="J49" s="18" t="str">
        <f t="shared" si="14"/>
        <v/>
      </c>
      <c r="K49" s="18" t="str">
        <f t="shared" si="14"/>
        <v/>
      </c>
      <c r="L49" s="18" t="str">
        <f t="shared" si="15"/>
        <v/>
      </c>
      <c r="M49" s="18" t="str">
        <f t="shared" si="15"/>
        <v/>
      </c>
      <c r="N49" s="18"/>
      <c r="O49" s="18"/>
      <c r="P49" s="18" t="str">
        <f t="shared" si="3"/>
        <v/>
      </c>
    </row>
    <row r="50" spans="1:16">
      <c r="A50" s="18">
        <f t="shared" si="5"/>
        <v>49</v>
      </c>
      <c r="B50" s="19">
        <v>8</v>
      </c>
      <c r="C50" s="18" t="str" cm="1">
        <f t="array" ref="C50">GetValue("Tbl",B50,"Alias")</f>
        <v>Dmn</v>
      </c>
      <c r="D50" s="18">
        <v>5</v>
      </c>
      <c r="E50" s="18" t="str" cm="1">
        <f t="array" ref="E50">GetValue("Dmn",D50,"Name")</f>
        <v>TinyInteger</v>
      </c>
      <c r="F50" s="18">
        <f t="shared" si="4"/>
        <v>30</v>
      </c>
      <c r="G50" s="18" t="str" cm="1">
        <f t="array" ref="G50">GetColumnName(C50,G49)</f>
        <v>Decimals</v>
      </c>
      <c r="H50" s="18" t="s">
        <v>578</v>
      </c>
      <c r="I50" s="18" t="s">
        <v>141</v>
      </c>
      <c r="J50" s="18" t="str">
        <f t="shared" si="14"/>
        <v/>
      </c>
      <c r="K50" s="18" t="str">
        <f t="shared" si="14"/>
        <v/>
      </c>
      <c r="L50" s="18" t="str">
        <f t="shared" si="15"/>
        <v/>
      </c>
      <c r="M50" s="18" t="str">
        <f t="shared" si="15"/>
        <v/>
      </c>
      <c r="N50" s="18"/>
      <c r="O50" s="18"/>
      <c r="P50" s="18" t="str">
        <f t="shared" si="3"/>
        <v/>
      </c>
    </row>
    <row r="51" spans="1:16">
      <c r="A51" s="18">
        <f t="shared" si="5"/>
        <v>50</v>
      </c>
      <c r="B51" s="19">
        <v>8</v>
      </c>
      <c r="C51" s="18" t="str" cm="1">
        <f t="array" ref="C51">GetValue("Tbl",B51,"Alias")</f>
        <v>Dmn</v>
      </c>
      <c r="D51" s="18">
        <v>13</v>
      </c>
      <c r="E51" s="18" t="str" cm="1">
        <f t="array" ref="E51">GetValue("Dmn",D51,"Name")</f>
        <v>Nvarchar(max)</v>
      </c>
      <c r="F51" s="18">
        <f t="shared" si="4"/>
        <v>35</v>
      </c>
      <c r="G51" s="18" t="str" cm="1">
        <f t="array" ref="G51">GetColumnName(C51,G50)</f>
        <v>Default</v>
      </c>
      <c r="H51" s="18" t="s">
        <v>579</v>
      </c>
      <c r="I51" s="18" t="s">
        <v>580</v>
      </c>
      <c r="J51" s="18" t="str">
        <f t="shared" si="14"/>
        <v/>
      </c>
      <c r="K51" s="18" t="str">
        <f t="shared" si="14"/>
        <v/>
      </c>
      <c r="L51" s="18" t="str">
        <f t="shared" si="15"/>
        <v/>
      </c>
      <c r="M51" s="18" t="str">
        <f t="shared" si="15"/>
        <v/>
      </c>
      <c r="N51" s="18"/>
      <c r="O51" s="18"/>
      <c r="P51" s="18" t="str">
        <f t="shared" si="3"/>
        <v/>
      </c>
    </row>
    <row r="52" spans="1:16">
      <c r="A52" s="18">
        <f t="shared" si="5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4"/>
        <v>40</v>
      </c>
      <c r="G52" s="18" t="str" cm="1">
        <f t="array" ref="G52">GetColumnName(C52,G51)</f>
        <v>Minimum</v>
      </c>
      <c r="H52" s="18" t="s">
        <v>581</v>
      </c>
      <c r="I52" s="18" t="s">
        <v>582</v>
      </c>
      <c r="J52" s="18" t="str">
        <f t="shared" si="14"/>
        <v/>
      </c>
      <c r="K52" s="18" t="str">
        <f t="shared" si="14"/>
        <v/>
      </c>
      <c r="L52" s="18" t="str">
        <f t="shared" si="15"/>
        <v/>
      </c>
      <c r="M52" s="18" t="str">
        <f t="shared" si="15"/>
        <v/>
      </c>
      <c r="N52" s="18"/>
      <c r="O52" s="18"/>
      <c r="P52" s="18" t="str">
        <f t="shared" si="3"/>
        <v/>
      </c>
    </row>
    <row r="53" spans="1:16">
      <c r="A53" s="18">
        <f>ROW(A53)-1</f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4"/>
        <v>45</v>
      </c>
      <c r="G53" s="18" t="str" cm="1">
        <f t="array" ref="G53">GetColumnName(C53,G52)</f>
        <v>Maximum</v>
      </c>
      <c r="H53" s="18" t="s">
        <v>109</v>
      </c>
      <c r="I53" s="18" t="s">
        <v>583</v>
      </c>
      <c r="J53" s="18" t="str">
        <f t="shared" si="14"/>
        <v/>
      </c>
      <c r="K53" s="18" t="str">
        <f t="shared" si="14"/>
        <v/>
      </c>
      <c r="L53" s="18" t="str">
        <f t="shared" si="15"/>
        <v/>
      </c>
      <c r="M53" s="18" t="str">
        <f t="shared" si="15"/>
        <v/>
      </c>
      <c r="N53" s="18"/>
      <c r="O53" s="18"/>
      <c r="P53" s="18" t="str">
        <f t="shared" si="3"/>
        <v/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4"/>
        <v>50</v>
      </c>
      <c r="G54" s="18" t="str" cm="1">
        <f t="array" ref="G54">GetColumnName(C54,G53)</f>
        <v>ValidChars</v>
      </c>
      <c r="H54" s="18" t="s">
        <v>107</v>
      </c>
      <c r="I54" s="18" t="s">
        <v>566</v>
      </c>
      <c r="J54" s="18" t="str">
        <f t="shared" si="14"/>
        <v/>
      </c>
      <c r="K54" s="18" t="str">
        <f t="shared" si="14"/>
        <v/>
      </c>
      <c r="L54" s="18" t="str">
        <f t="shared" si="15"/>
        <v/>
      </c>
      <c r="M54" s="18" t="str">
        <f t="shared" si="15"/>
        <v/>
      </c>
      <c r="N54" s="18"/>
      <c r="O54" s="18"/>
      <c r="P54" s="18" t="str">
        <f t="shared" si="3"/>
        <v/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4"/>
        <v>55</v>
      </c>
      <c r="G55" s="18" t="str" cm="1">
        <f t="array" ref="G55">GetColumnName(C55,G54)</f>
        <v>ValidValues</v>
      </c>
      <c r="H55" s="18" t="s">
        <v>108</v>
      </c>
      <c r="I55" s="18" t="s">
        <v>571</v>
      </c>
      <c r="J55" s="18" t="str">
        <f t="shared" si="14"/>
        <v/>
      </c>
      <c r="K55" s="18" t="str">
        <f t="shared" si="14"/>
        <v/>
      </c>
      <c r="L55" s="18" t="str">
        <f t="shared" si="15"/>
        <v/>
      </c>
      <c r="M55" s="18" t="str">
        <f t="shared" si="15"/>
        <v/>
      </c>
      <c r="N55" s="18"/>
      <c r="O55" s="18"/>
      <c r="P55" s="18" t="str">
        <f t="shared" si="3"/>
        <v/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ref="F56" si="16">IF(G56="Id",5,F55+5)</f>
        <v>60</v>
      </c>
      <c r="G56" s="18" t="str" cm="1">
        <f t="array" ref="G56">GetColumnName(C56,G55)</f>
        <v>ListValues</v>
      </c>
      <c r="H56" s="18" t="s">
        <v>108</v>
      </c>
      <c r="I56" s="18" t="s">
        <v>571</v>
      </c>
      <c r="J56" s="18" t="str">
        <f t="shared" si="14"/>
        <v/>
      </c>
      <c r="K56" s="18" t="str">
        <f t="shared" si="14"/>
        <v/>
      </c>
      <c r="L56" s="18" t="str">
        <f t="shared" si="15"/>
        <v/>
      </c>
      <c r="M56" s="18" t="str">
        <f t="shared" si="15"/>
        <v/>
      </c>
      <c r="N56" s="18"/>
      <c r="O56" s="18"/>
      <c r="P56" s="18" t="str">
        <f t="shared" si="3"/>
        <v/>
      </c>
    </row>
    <row r="57" spans="1:16">
      <c r="A57" s="20">
        <f t="shared" si="5"/>
        <v>56</v>
      </c>
      <c r="B57" s="21">
        <v>9</v>
      </c>
      <c r="C57" s="20" t="str" cm="1">
        <f t="array" ref="C57">GetValue("Tbl",B57,"Alias")</f>
        <v>Msk</v>
      </c>
      <c r="D57" s="20">
        <v>1</v>
      </c>
      <c r="E57" s="20" t="str" cm="1">
        <f t="array" ref="E57">GetValue("Dmn",D57,"Name")</f>
        <v>BigInteger</v>
      </c>
      <c r="F57" s="20">
        <f>IF(G57="Id",5,F56+5)</f>
        <v>5</v>
      </c>
      <c r="G57" s="20" t="str" cm="1">
        <f t="array" ref="G57">GetColumnName(C57)</f>
        <v>Id</v>
      </c>
      <c r="H57" s="20" t="s">
        <v>584</v>
      </c>
      <c r="I57" s="20" t="s">
        <v>0</v>
      </c>
      <c r="J57" s="20" t="b">
        <f t="shared" si="14"/>
        <v>1</v>
      </c>
      <c r="K57" s="20" t="b">
        <f t="shared" si="14"/>
        <v>1</v>
      </c>
      <c r="L57" s="20" t="b">
        <f t="shared" si="15"/>
        <v>0</v>
      </c>
      <c r="M57" s="20" t="b">
        <f t="shared" si="15"/>
        <v>0</v>
      </c>
      <c r="N57" s="20"/>
      <c r="O57" s="20"/>
      <c r="P57" s="20" t="b">
        <f t="shared" si="3"/>
        <v>0</v>
      </c>
    </row>
    <row r="58" spans="1:16">
      <c r="A58" s="20">
        <f t="shared" si="5"/>
        <v>57</v>
      </c>
      <c r="B58" s="21">
        <v>9</v>
      </c>
      <c r="C58" s="20" t="str" cm="1">
        <f t="array" ref="C58">GetValue("Tbl",B58,"Alias")</f>
        <v>Msk</v>
      </c>
      <c r="D58" s="20">
        <v>10</v>
      </c>
      <c r="E58" s="20" t="str" cm="1">
        <f t="array" ref="E58">GetValue("Dmn",D58,"Name")</f>
        <v>Nvarchar(25)</v>
      </c>
      <c r="F58" s="20">
        <f>IF(G58="Id",5,F57+5)</f>
        <v>10</v>
      </c>
      <c r="G58" s="20" t="str" cm="1">
        <f t="array" ref="G58">GetColumnName(C58,G57)</f>
        <v>ClientId</v>
      </c>
      <c r="H58" s="20" t="s">
        <v>839</v>
      </c>
      <c r="I58" s="20" t="s">
        <v>598</v>
      </c>
      <c r="J58" s="20" t="str">
        <f t="shared" si="14"/>
        <v/>
      </c>
      <c r="K58" s="20" t="str">
        <f t="shared" si="14"/>
        <v/>
      </c>
      <c r="L58" s="20" t="str">
        <f t="shared" si="15"/>
        <v/>
      </c>
      <c r="M58" s="20" t="str">
        <f t="shared" si="15"/>
        <v/>
      </c>
      <c r="N58" s="20"/>
      <c r="O58" s="20"/>
      <c r="P58" s="20" t="str">
        <f t="shared" si="3"/>
        <v/>
      </c>
    </row>
    <row r="59" spans="1:16">
      <c r="A59" s="20">
        <f t="shared" si="5"/>
        <v>58</v>
      </c>
      <c r="B59" s="21">
        <v>9</v>
      </c>
      <c r="C59" s="20" t="str" cm="1">
        <f t="array" ref="C59">GetValue("Tbl",B59,"Alias")</f>
        <v>Msk</v>
      </c>
      <c r="D59" s="20">
        <v>13</v>
      </c>
      <c r="E59" s="20" t="str" cm="1">
        <f t="array" ref="E59">GetValue("Dmn",D59,"Name")</f>
        <v>Nvarchar(max)</v>
      </c>
      <c r="F59" s="20">
        <f t="shared" ref="F59:F62" si="17">IF(G59="Id",5,F58+5)</f>
        <v>15</v>
      </c>
      <c r="G59" s="20" t="str" cm="1">
        <f t="array" ref="G59">GetColumnName(C59,G58)</f>
        <v>Name</v>
      </c>
      <c r="H59" s="20" t="s">
        <v>585</v>
      </c>
      <c r="I59" s="20" t="s">
        <v>99</v>
      </c>
      <c r="J59" s="20" t="str">
        <f t="shared" si="14"/>
        <v/>
      </c>
      <c r="K59" s="20" t="str">
        <f t="shared" si="14"/>
        <v/>
      </c>
      <c r="L59" s="20" t="str">
        <f t="shared" si="15"/>
        <v/>
      </c>
      <c r="M59" s="20" t="str">
        <f t="shared" si="15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7"/>
        <v>20</v>
      </c>
      <c r="G60" s="20" t="str" cm="1">
        <f t="array" ref="G60">GetColumnName(C60,G59)</f>
        <v>EditMask</v>
      </c>
      <c r="H60" s="20" t="s">
        <v>110</v>
      </c>
      <c r="I60" s="20" t="s">
        <v>840</v>
      </c>
      <c r="J60" s="20" t="str">
        <f t="shared" si="14"/>
        <v/>
      </c>
      <c r="K60" s="20" t="str">
        <f t="shared" si="14"/>
        <v/>
      </c>
      <c r="L60" s="20" t="str">
        <f t="shared" si="15"/>
        <v/>
      </c>
      <c r="M60" s="20" t="str">
        <f t="shared" si="15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9</v>
      </c>
      <c r="C61" s="20" t="str" cm="1">
        <f t="array" ref="C61">GetValue("Tbl",B61,"Alias")</f>
        <v>Msk</v>
      </c>
      <c r="D61" s="20">
        <v>6</v>
      </c>
      <c r="E61" s="20" t="str" cm="1">
        <f t="array" ref="E61">GetValue("Dmn",D61,"Name")</f>
        <v>Boolean</v>
      </c>
      <c r="F61" s="20">
        <f t="shared" si="17"/>
        <v>25</v>
      </c>
      <c r="G61" s="20" t="str" cm="1">
        <f t="array" ref="G61">GetColumnName(C61,G60)</f>
        <v>ValidMask</v>
      </c>
      <c r="H61" s="20" t="s">
        <v>586</v>
      </c>
      <c r="I61" s="20" t="s">
        <v>841</v>
      </c>
      <c r="J61" s="20" t="str">
        <f t="shared" si="14"/>
        <v/>
      </c>
      <c r="K61" s="20" t="str">
        <f t="shared" si="14"/>
        <v/>
      </c>
      <c r="L61" s="20" t="str">
        <f t="shared" si="15"/>
        <v/>
      </c>
      <c r="M61" s="20" t="str">
        <f t="shared" si="15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7"/>
        <v>30</v>
      </c>
      <c r="G62" s="20" t="str" cm="1">
        <f t="array" ref="G62">GetColumnName(C62,G61)</f>
        <v>Modificators</v>
      </c>
      <c r="H62" s="20" t="s">
        <v>114</v>
      </c>
      <c r="I62" s="20" t="s">
        <v>114</v>
      </c>
      <c r="J62" s="20" t="str">
        <f t="shared" si="14"/>
        <v/>
      </c>
      <c r="K62" s="20" t="str">
        <f t="shared" si="14"/>
        <v/>
      </c>
      <c r="L62" s="20" t="str">
        <f t="shared" si="15"/>
        <v/>
      </c>
      <c r="M62" s="20" t="str">
        <f t="shared" si="15"/>
        <v/>
      </c>
      <c r="N62" s="20"/>
      <c r="O62" s="20"/>
      <c r="P62" s="20" t="str">
        <f t="shared" si="3"/>
        <v/>
      </c>
    </row>
    <row r="63" spans="1:16">
      <c r="A63" s="18">
        <f t="shared" si="5"/>
        <v>62</v>
      </c>
      <c r="B63" s="19">
        <v>10</v>
      </c>
      <c r="C63" s="18" t="str" cm="1">
        <f t="array" ref="C63">GetValue("Tbl",B63,"Alias")</f>
        <v>DmnMsk</v>
      </c>
      <c r="D63" s="18">
        <v>1</v>
      </c>
      <c r="E63" s="18" t="str" cm="1">
        <f t="array" ref="E63">GetValue("Dmn",D63,"Name")</f>
        <v>BigInteger</v>
      </c>
      <c r="F63" s="18">
        <f>IF(G63="Id",5,F62+5)</f>
        <v>5</v>
      </c>
      <c r="G63" s="18" t="str" cm="1">
        <f t="array" ref="G63">GetColumnName(C63)</f>
        <v>Id</v>
      </c>
      <c r="H63" s="18" t="s">
        <v>590</v>
      </c>
      <c r="I63" s="18" t="s">
        <v>0</v>
      </c>
      <c r="J63" s="18" t="b">
        <f t="shared" si="14"/>
        <v>1</v>
      </c>
      <c r="K63" s="18" t="b">
        <f t="shared" si="14"/>
        <v>1</v>
      </c>
      <c r="L63" s="18" t="b">
        <f t="shared" si="15"/>
        <v>0</v>
      </c>
      <c r="M63" s="18" t="b">
        <f t="shared" si="15"/>
        <v>0</v>
      </c>
      <c r="N63" s="18"/>
      <c r="O63" s="18"/>
      <c r="P63" s="18" t="b">
        <f t="shared" si="3"/>
        <v>0</v>
      </c>
    </row>
    <row r="64" spans="1:16">
      <c r="A64" s="18">
        <f t="shared" si="5"/>
        <v>63</v>
      </c>
      <c r="B64" s="19">
        <v>10</v>
      </c>
      <c r="C64" s="18" t="str" cm="1">
        <f t="array" ref="C64">GetValue("Tbl",B64,"Alias")</f>
        <v>DmnMsk</v>
      </c>
      <c r="D64" s="18">
        <v>1</v>
      </c>
      <c r="E64" s="18" t="str" cm="1">
        <f t="array" ref="E64">GetValue("Dmn",D64,"Name")</f>
        <v>BigInteger</v>
      </c>
      <c r="F64" s="18">
        <f t="shared" si="4"/>
        <v>10</v>
      </c>
      <c r="G64" s="18" t="str" cm="1">
        <f t="array" ref="G64">GetColumnName(C64,G63)</f>
        <v>DomainId</v>
      </c>
      <c r="H64" s="18" t="s">
        <v>587</v>
      </c>
      <c r="I64" s="18" t="s">
        <v>120</v>
      </c>
      <c r="J64" s="18" t="str">
        <f t="shared" si="14"/>
        <v/>
      </c>
      <c r="K64" s="18" t="str">
        <f t="shared" si="14"/>
        <v/>
      </c>
      <c r="L64" s="18" t="str">
        <f t="shared" si="15"/>
        <v/>
      </c>
      <c r="M64" s="18" t="str">
        <f t="shared" si="15"/>
        <v/>
      </c>
      <c r="N64" s="18"/>
      <c r="O64" s="18"/>
      <c r="P64" s="18" t="str">
        <f t="shared" si="3"/>
        <v/>
      </c>
    </row>
    <row r="65" spans="1:16">
      <c r="A65" s="18">
        <f t="shared" si="5"/>
        <v>64</v>
      </c>
      <c r="B65" s="19">
        <v>10</v>
      </c>
      <c r="C65" s="18" t="str" cm="1">
        <f t="array" ref="C65">GetValue("Tbl",B65,"Alias")</f>
        <v>DmnMsk</v>
      </c>
      <c r="D65" s="18">
        <v>1</v>
      </c>
      <c r="E65" s="18" t="str" cm="1">
        <f t="array" ref="E65">GetValue("Dmn",D65,"Name")</f>
        <v>BigInteger</v>
      </c>
      <c r="F65" s="18">
        <f t="shared" si="4"/>
        <v>15</v>
      </c>
      <c r="G65" s="18" t="str" cm="1">
        <f t="array" ref="G65">GetColumnName(C65,G64)</f>
        <v>MaskId</v>
      </c>
      <c r="H65" s="18" t="s">
        <v>584</v>
      </c>
      <c r="I65" s="18" t="s">
        <v>110</v>
      </c>
      <c r="J65" s="18" t="str">
        <f t="shared" si="14"/>
        <v/>
      </c>
      <c r="K65" s="18" t="str">
        <f t="shared" si="14"/>
        <v/>
      </c>
      <c r="L65" s="18" t="str">
        <f t="shared" si="15"/>
        <v/>
      </c>
      <c r="M65" s="18" t="str">
        <f t="shared" si="15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10</v>
      </c>
      <c r="C66" s="18" t="str" cm="1">
        <f t="array" ref="C66">GetValue("Tbl",B66,"Alias")</f>
        <v>DmnMsk</v>
      </c>
      <c r="D66" s="18">
        <v>5</v>
      </c>
      <c r="E66" s="18" t="str" cm="1">
        <f t="array" ref="E66">GetValue("Dmn",D66,"Name")</f>
        <v>TinyInteger</v>
      </c>
      <c r="F66" s="18">
        <f t="shared" si="4"/>
        <v>20</v>
      </c>
      <c r="G66" s="18" t="str" cm="1">
        <f t="array" ref="G66">GetColumnName(C66,G65)</f>
        <v>CheckDigitModule</v>
      </c>
      <c r="H66" s="18" t="s">
        <v>591</v>
      </c>
      <c r="I66" s="18" t="s">
        <v>595</v>
      </c>
      <c r="J66" s="18" t="str">
        <f t="shared" si="14"/>
        <v/>
      </c>
      <c r="K66" s="18" t="str">
        <f t="shared" si="14"/>
        <v/>
      </c>
      <c r="L66" s="18" t="str">
        <f t="shared" si="15"/>
        <v/>
      </c>
      <c r="M66" s="18" t="str">
        <f t="shared" si="15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10</v>
      </c>
      <c r="C67" s="18" t="str" cm="1">
        <f t="array" ref="C67">GetValue("Tbl",B67,"Alias")</f>
        <v>DmnMsk</v>
      </c>
      <c r="D67" s="18">
        <v>13</v>
      </c>
      <c r="E67" s="18" t="str" cm="1">
        <f t="array" ref="E67">GetValue("Dmn",D67,"Name")</f>
        <v>Nvarchar(max)</v>
      </c>
      <c r="F67" s="18">
        <f t="shared" si="4"/>
        <v>25</v>
      </c>
      <c r="G67" s="18" t="str" cm="1">
        <f t="array" ref="G67">GetColumnName(C67,G66)</f>
        <v>CheckDigitFactors</v>
      </c>
      <c r="H67" s="18" t="s">
        <v>592</v>
      </c>
      <c r="I67" s="18" t="s">
        <v>594</v>
      </c>
      <c r="J67" s="18" t="str">
        <f t="shared" si="14"/>
        <v/>
      </c>
      <c r="K67" s="18" t="str">
        <f t="shared" si="14"/>
        <v/>
      </c>
      <c r="L67" s="18" t="str">
        <f t="shared" si="15"/>
        <v/>
      </c>
      <c r="M67" s="18" t="str">
        <f t="shared" si="15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10</v>
      </c>
      <c r="C68" s="18" t="str" cm="1">
        <f t="array" ref="C68">GetValue("Tbl",B68,"Alias")</f>
        <v>DmnMsk</v>
      </c>
      <c r="D68" s="18">
        <v>21</v>
      </c>
      <c r="E68" s="18" t="str" cm="1">
        <f t="array" ref="E68">GetValue("Dmn",D68,"Name")</f>
        <v>Char(1)</v>
      </c>
      <c r="F68" s="18">
        <f t="shared" si="4"/>
        <v>30</v>
      </c>
      <c r="G68" s="18" t="str" cm="1">
        <f t="array" ref="G68">GetColumnName(C68,G67)</f>
        <v>CheckDigitGreaterThanNine</v>
      </c>
      <c r="H68" s="18" t="s">
        <v>593</v>
      </c>
      <c r="I68" s="18" t="s">
        <v>599</v>
      </c>
      <c r="J68" s="18" t="str">
        <f t="shared" si="14"/>
        <v/>
      </c>
      <c r="K68" s="18" t="str">
        <f t="shared" si="14"/>
        <v/>
      </c>
      <c r="L68" s="18" t="str">
        <f t="shared" si="15"/>
        <v/>
      </c>
      <c r="M68" s="18" t="str">
        <f t="shared" si="15"/>
        <v/>
      </c>
      <c r="N68" s="18"/>
      <c r="O68" s="18"/>
      <c r="P68" s="18" t="str">
        <f t="shared" si="3"/>
        <v/>
      </c>
    </row>
    <row r="69" spans="1:16">
      <c r="A69" s="20">
        <f t="shared" si="5"/>
        <v>68</v>
      </c>
      <c r="B69" s="21">
        <v>11</v>
      </c>
      <c r="C69" s="20" t="str" cm="1">
        <f t="array" ref="C69">GetValue("Tbl",B69,"Alias")</f>
        <v>Db</v>
      </c>
      <c r="D69" s="20">
        <v>1</v>
      </c>
      <c r="E69" s="20" t="str" cm="1">
        <f t="array" ref="E69">GetValue("Dmn",D69,"Name")</f>
        <v>BigInteger</v>
      </c>
      <c r="F69" s="20">
        <f t="shared" si="4"/>
        <v>5</v>
      </c>
      <c r="G69" s="20" t="str" cm="1">
        <f t="array" ref="G69">GetColumnName(C69)</f>
        <v>Id</v>
      </c>
      <c r="H69" s="20" t="s">
        <v>596</v>
      </c>
      <c r="I69" s="20" t="s">
        <v>0</v>
      </c>
      <c r="J69" s="20" t="b">
        <f t="shared" si="14"/>
        <v>1</v>
      </c>
      <c r="K69" s="20" t="b">
        <f t="shared" si="14"/>
        <v>1</v>
      </c>
      <c r="L69" s="20" t="b">
        <f t="shared" si="15"/>
        <v>0</v>
      </c>
      <c r="M69" s="20" t="b">
        <f t="shared" si="15"/>
        <v>0</v>
      </c>
      <c r="N69" s="20"/>
      <c r="O69" s="20"/>
      <c r="P69" s="20" t="b">
        <f t="shared" si="3"/>
        <v>0</v>
      </c>
    </row>
    <row r="70" spans="1:16">
      <c r="A70" s="20">
        <f>ROW(A70)-1</f>
        <v>69</v>
      </c>
      <c r="B70" s="21">
        <v>11</v>
      </c>
      <c r="C70" s="20" t="str" cm="1">
        <f t="array" ref="C70">GetValue("Tbl",B70,"Alias")</f>
        <v>Db</v>
      </c>
      <c r="D70" s="20">
        <v>4</v>
      </c>
      <c r="E70" s="20" t="str" cm="1">
        <f t="array" ref="E70">GetValue("Dmn",D70,"Name")</f>
        <v>SmallInteger</v>
      </c>
      <c r="F70" s="20">
        <f t="shared" si="4"/>
        <v>10</v>
      </c>
      <c r="G70" s="20" t="str" cm="1">
        <f t="array" ref="G70">GetColumnName(C70,G69)</f>
        <v>ClientId</v>
      </c>
      <c r="H70" s="20" t="s">
        <v>597</v>
      </c>
      <c r="I70" s="20" t="s">
        <v>598</v>
      </c>
      <c r="J70" s="20" t="str">
        <f t="shared" si="14"/>
        <v/>
      </c>
      <c r="K70" s="20" t="str">
        <f t="shared" si="14"/>
        <v/>
      </c>
      <c r="L70" s="20" t="str">
        <f t="shared" si="15"/>
        <v/>
      </c>
      <c r="M70" s="20" t="str">
        <f t="shared" si="15"/>
        <v/>
      </c>
      <c r="N70" s="20"/>
      <c r="O70" s="20"/>
      <c r="P70" s="20" t="str">
        <f t="shared" si="3"/>
        <v/>
      </c>
    </row>
    <row r="71" spans="1:16">
      <c r="A71" s="20">
        <f t="shared" si="5"/>
        <v>70</v>
      </c>
      <c r="B71" s="21">
        <v>11</v>
      </c>
      <c r="C71" s="20" t="str" cm="1">
        <f t="array" ref="C71">GetValue("Tbl",B71,"Alias")</f>
        <v>Db</v>
      </c>
      <c r="D71" s="20">
        <v>5</v>
      </c>
      <c r="E71" s="20" t="str" cm="1">
        <f t="array" ref="E71">GetValue("Dmn",D71,"Name")</f>
        <v>TinyInteger</v>
      </c>
      <c r="F71" s="20">
        <f t="shared" si="4"/>
        <v>15</v>
      </c>
      <c r="G71" s="20" t="str" cm="1">
        <f t="array" ref="G71">GetColumnName(C71,G70)</f>
        <v>EngineId</v>
      </c>
      <c r="H71" s="20" t="s">
        <v>604</v>
      </c>
      <c r="I71" s="20" t="s">
        <v>99</v>
      </c>
      <c r="J71" s="20" t="str">
        <f t="shared" si="14"/>
        <v/>
      </c>
      <c r="K71" s="20" t="str">
        <f t="shared" si="14"/>
        <v/>
      </c>
      <c r="L71" s="20" t="str">
        <f t="shared" si="15"/>
        <v/>
      </c>
      <c r="M71" s="20" t="str">
        <f t="shared" si="15"/>
        <v/>
      </c>
      <c r="N71" s="20"/>
      <c r="O71" s="20"/>
      <c r="P71" s="20" t="str">
        <f t="shared" si="3"/>
        <v/>
      </c>
    </row>
    <row r="72" spans="1:16">
      <c r="A72" s="20">
        <f t="shared" si="5"/>
        <v>71</v>
      </c>
      <c r="B72" s="21">
        <v>11</v>
      </c>
      <c r="C72" s="20" t="str" cm="1">
        <f t="array" ref="C72">GetValue("Tbl",B72,"Alias")</f>
        <v>Db</v>
      </c>
      <c r="D72" s="20">
        <v>10</v>
      </c>
      <c r="E72" s="20" t="str" cm="1">
        <f t="array" ref="E72">GetValue("Dmn",D72,"Name")</f>
        <v>Nvarchar(25)</v>
      </c>
      <c r="F72" s="20">
        <f t="shared" si="4"/>
        <v>20</v>
      </c>
      <c r="G72" s="20" t="str" cm="1">
        <f t="array" ref="G72">GetColumnName(C72,G71)</f>
        <v>Name</v>
      </c>
      <c r="H72" s="20" t="s">
        <v>619</v>
      </c>
      <c r="I72" s="20" t="s">
        <v>111</v>
      </c>
      <c r="J72" s="20" t="str">
        <f t="shared" si="14"/>
        <v/>
      </c>
      <c r="K72" s="20" t="str">
        <f t="shared" si="14"/>
        <v/>
      </c>
      <c r="L72" s="20" t="str">
        <f t="shared" si="15"/>
        <v/>
      </c>
      <c r="M72" s="20" t="str">
        <f t="shared" si="15"/>
        <v/>
      </c>
      <c r="N72" s="20"/>
      <c r="O72" s="20"/>
      <c r="P72" s="20" t="str">
        <f t="shared" si="3"/>
        <v/>
      </c>
    </row>
    <row r="73" spans="1:16">
      <c r="A73" s="20">
        <f t="shared" si="5"/>
        <v>72</v>
      </c>
      <c r="B73" s="21">
        <v>11</v>
      </c>
      <c r="C73" s="20" t="str" cm="1">
        <f t="array" ref="C73">GetValue("Tbl",B73,"Alias")</f>
        <v>Db</v>
      </c>
      <c r="D73" s="20">
        <v>11</v>
      </c>
      <c r="E73" s="20" t="str" cm="1">
        <f t="array" ref="E73">GetValue("Dmn",D73,"Name")</f>
        <v>Nvarchar(50)</v>
      </c>
      <c r="F73" s="20">
        <f t="shared" si="4"/>
        <v>25</v>
      </c>
      <c r="G73" s="20" t="str" cm="1">
        <f t="array" ref="G73">GetColumnName(C73,G72)</f>
        <v>Description</v>
      </c>
      <c r="H73" s="20" t="s">
        <v>573</v>
      </c>
      <c r="I73" s="20" t="s">
        <v>574</v>
      </c>
      <c r="J73" s="20" t="str">
        <f t="shared" si="14"/>
        <v/>
      </c>
      <c r="K73" s="20" t="str">
        <f t="shared" si="14"/>
        <v/>
      </c>
      <c r="L73" s="20" t="str">
        <f t="shared" si="15"/>
        <v/>
      </c>
      <c r="M73" s="20" t="str">
        <f t="shared" si="15"/>
        <v/>
      </c>
      <c r="N73" s="20"/>
      <c r="O73" s="20"/>
      <c r="P73" s="20" t="str">
        <f t="shared" si="3"/>
        <v/>
      </c>
    </row>
    <row r="74" spans="1:16">
      <c r="A74" s="18">
        <f>ROW(A74)-1</f>
        <v>73</v>
      </c>
      <c r="B74" s="19">
        <v>12</v>
      </c>
      <c r="C74" s="18" t="str" cm="1">
        <f t="array" ref="C74">GetValue("Tbl",B74,"Alias")</f>
        <v>Con</v>
      </c>
      <c r="D74" s="18">
        <v>1</v>
      </c>
      <c r="E74" s="18" t="str" cm="1">
        <f t="array" ref="E74">GetValue("Dmn",D74,"Name")</f>
        <v>BigInteger</v>
      </c>
      <c r="F74" s="18">
        <f>IF(G74="Id",5,F73+5)</f>
        <v>5</v>
      </c>
      <c r="G74" s="18" t="str" cm="1">
        <f t="array" ref="G74">GetColumnName(C74)</f>
        <v>Id</v>
      </c>
      <c r="H74" s="18" t="s">
        <v>600</v>
      </c>
      <c r="I74" s="18" t="s">
        <v>195</v>
      </c>
      <c r="J74" s="18" t="b">
        <f t="shared" si="14"/>
        <v>1</v>
      </c>
      <c r="K74" s="18" t="b">
        <f t="shared" si="14"/>
        <v>1</v>
      </c>
      <c r="L74" s="18" t="b">
        <f t="shared" si="15"/>
        <v>0</v>
      </c>
      <c r="M74" s="18" t="b">
        <f t="shared" si="15"/>
        <v>0</v>
      </c>
      <c r="N74" s="18"/>
      <c r="O74" s="18"/>
      <c r="P74" s="18" t="b">
        <f t="shared" si="3"/>
        <v>0</v>
      </c>
    </row>
    <row r="75" spans="1:16">
      <c r="A75" s="18">
        <f t="shared" si="5"/>
        <v>74</v>
      </c>
      <c r="B75" s="19">
        <v>12</v>
      </c>
      <c r="C75" s="18" t="str" cm="1">
        <f t="array" ref="C75">GetValue("Tbl",B75,"Alias")</f>
        <v>Con</v>
      </c>
      <c r="D75" s="18">
        <v>4</v>
      </c>
      <c r="E75" s="18" t="str" cm="1">
        <f t="array" ref="E75">GetValue("Dmn",D75,"Name")</f>
        <v>SmallInteger</v>
      </c>
      <c r="F75" s="18">
        <f t="shared" ref="F75:F120" si="18">IF(G75="Id",5,F74+5)</f>
        <v>10</v>
      </c>
      <c r="G75" s="18" t="str" cm="1">
        <f t="array" ref="G75">GetColumnName(C75,G74)</f>
        <v>DatabaseId</v>
      </c>
      <c r="H75" s="18" t="s">
        <v>597</v>
      </c>
      <c r="I75" s="18" t="s">
        <v>598</v>
      </c>
      <c r="J75" s="18" t="str">
        <f t="shared" si="14"/>
        <v/>
      </c>
      <c r="K75" s="18" t="str">
        <f t="shared" si="14"/>
        <v/>
      </c>
      <c r="L75" s="18" t="str">
        <f t="shared" si="15"/>
        <v/>
      </c>
      <c r="M75" s="18" t="str">
        <f t="shared" si="15"/>
        <v/>
      </c>
      <c r="N75" s="18"/>
      <c r="O75" s="18"/>
      <c r="P75" s="18" t="str">
        <f t="shared" si="3"/>
        <v/>
      </c>
    </row>
    <row r="76" spans="1:16">
      <c r="A76" s="18">
        <f t="shared" si="5"/>
        <v>75</v>
      </c>
      <c r="B76" s="19">
        <v>12</v>
      </c>
      <c r="C76" s="18" t="str" cm="1">
        <f t="array" ref="C76">GetValue("Tbl",B76,"Alias")</f>
        <v>Con</v>
      </c>
      <c r="D76" s="18">
        <v>1</v>
      </c>
      <c r="E76" s="18" t="str" cm="1">
        <f t="array" ref="E76">GetValue("Dmn",D76,"Name")</f>
        <v>BigInteger</v>
      </c>
      <c r="F76" s="18">
        <f t="shared" si="18"/>
        <v>15</v>
      </c>
      <c r="G76" s="18" t="str" cm="1">
        <f t="array" ref="G76">GetColumnName(C76,G75)</f>
        <v>Environment</v>
      </c>
      <c r="H76" s="18" t="s">
        <v>596</v>
      </c>
      <c r="I76" s="18" t="s">
        <v>115</v>
      </c>
      <c r="J76" s="18" t="str">
        <f t="shared" ref="J76:K100" si="19">IF($G76="Id",TRUE,"")</f>
        <v/>
      </c>
      <c r="K76" s="18" t="str">
        <f t="shared" si="19"/>
        <v/>
      </c>
      <c r="L76" s="18" t="str">
        <f t="shared" ref="L76:M100" si="20">IF($G76="Id",FALSE,"")</f>
        <v/>
      </c>
      <c r="M76" s="18" t="str">
        <f t="shared" si="20"/>
        <v/>
      </c>
      <c r="N76" s="18"/>
      <c r="O76" s="18"/>
      <c r="P76" s="18" t="str">
        <f t="shared" ref="P76:P132" si="21">IF($G76="Id",FALSE,"")</f>
        <v/>
      </c>
    </row>
    <row r="77" spans="1:16">
      <c r="A77" s="18">
        <f t="shared" si="5"/>
        <v>76</v>
      </c>
      <c r="B77" s="19">
        <v>12</v>
      </c>
      <c r="C77" s="18" t="str" cm="1">
        <f t="array" ref="C77">GetValue("Tbl",B77,"Alias")</f>
        <v>Con</v>
      </c>
      <c r="D77" s="18">
        <v>9</v>
      </c>
      <c r="E77" s="18" t="str" cm="1">
        <f t="array" ref="E77">GetValue("Dmn",D77,"Name")</f>
        <v>Nvarchar(20)</v>
      </c>
      <c r="F77" s="18">
        <f t="shared" si="18"/>
        <v>20</v>
      </c>
      <c r="G77" s="18" t="str" cm="1">
        <f t="array" ref="G77">GetColumnName(C77,G76)</f>
        <v>Directory</v>
      </c>
      <c r="H77" s="18" t="s">
        <v>602</v>
      </c>
      <c r="I77" s="18" t="s">
        <v>603</v>
      </c>
      <c r="J77" s="18" t="str">
        <f t="shared" si="19"/>
        <v/>
      </c>
      <c r="K77" s="18" t="str">
        <f t="shared" si="19"/>
        <v/>
      </c>
      <c r="L77" s="18" t="str">
        <f t="shared" si="20"/>
        <v/>
      </c>
      <c r="M77" s="18" t="str">
        <f t="shared" si="20"/>
        <v/>
      </c>
      <c r="N77" s="18"/>
      <c r="O77" s="18"/>
      <c r="P77" s="18" t="str">
        <f t="shared" si="21"/>
        <v/>
      </c>
    </row>
    <row r="78" spans="1:16">
      <c r="A78" s="18">
        <f t="shared" si="5"/>
        <v>77</v>
      </c>
      <c r="B78" s="19">
        <v>12</v>
      </c>
      <c r="C78" s="18" t="str" cm="1">
        <f t="array" ref="C78">GetValue("Tbl",B78,"Alias")</f>
        <v>Con</v>
      </c>
      <c r="D78" s="18">
        <v>12</v>
      </c>
      <c r="E78" s="18" t="str" cm="1">
        <f t="array" ref="E78">GetValue("Dmn",D78,"Name")</f>
        <v>Nvarchar(256)</v>
      </c>
      <c r="F78" s="18">
        <f t="shared" si="18"/>
        <v>25</v>
      </c>
      <c r="G78" s="18" t="str" cm="1">
        <f t="array" ref="G78">GetColumnName(C78,G77)</f>
        <v>ConnectionString</v>
      </c>
      <c r="H78" s="18" t="s">
        <v>605</v>
      </c>
      <c r="I78" s="18" t="s">
        <v>606</v>
      </c>
      <c r="J78" s="18" t="str">
        <f t="shared" si="19"/>
        <v/>
      </c>
      <c r="K78" s="18" t="str">
        <f t="shared" si="19"/>
        <v/>
      </c>
      <c r="L78" s="18" t="str">
        <f t="shared" si="20"/>
        <v/>
      </c>
      <c r="M78" s="18" t="str">
        <f t="shared" si="20"/>
        <v/>
      </c>
      <c r="N78" s="18"/>
      <c r="O78" s="18"/>
      <c r="P78" s="18" t="str">
        <f t="shared" si="21"/>
        <v/>
      </c>
    </row>
    <row r="79" spans="1:16">
      <c r="A79" s="18">
        <f t="shared" si="5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18"/>
        <v>30</v>
      </c>
      <c r="G79" s="18" t="str" cm="1">
        <f t="array" ref="G79">GetColumnName(C79,G78)</f>
        <v>IsActive</v>
      </c>
      <c r="H79" s="18" t="s">
        <v>607</v>
      </c>
      <c r="I79" s="18" t="s">
        <v>608</v>
      </c>
      <c r="J79" s="18" t="str">
        <f t="shared" si="19"/>
        <v/>
      </c>
      <c r="K79" s="18" t="str">
        <f t="shared" si="19"/>
        <v/>
      </c>
      <c r="L79" s="18" t="str">
        <f t="shared" si="20"/>
        <v/>
      </c>
      <c r="M79" s="18" t="str">
        <f t="shared" si="20"/>
        <v/>
      </c>
      <c r="N79" s="18"/>
      <c r="O79" s="18"/>
      <c r="P79" s="18" t="str">
        <f t="shared" si="21"/>
        <v/>
      </c>
    </row>
    <row r="80" spans="1:16">
      <c r="A80" s="20">
        <f t="shared" si="5"/>
        <v>79</v>
      </c>
      <c r="B80" s="21">
        <v>13</v>
      </c>
      <c r="C80" s="20" t="str" cm="1">
        <f t="array" ref="C80">GetValue("Tbl",B80,"Alias")</f>
        <v>Sys</v>
      </c>
      <c r="D80" s="20">
        <v>1</v>
      </c>
      <c r="E80" s="20" t="str" cm="1">
        <f t="array" ref="E80">GetValue("Dmn",D80,"Name")</f>
        <v>BigInteger</v>
      </c>
      <c r="F80" s="20">
        <f>IF(G80="Id",5,#REF!+5)</f>
        <v>5</v>
      </c>
      <c r="G80" s="20" t="str" cm="1">
        <f t="array" ref="G80">GetColumnName(C80)</f>
        <v>Id</v>
      </c>
      <c r="H80" s="20" t="s">
        <v>609</v>
      </c>
      <c r="I80" s="20" t="s">
        <v>0</v>
      </c>
      <c r="J80" s="20" t="b">
        <f t="shared" si="19"/>
        <v>1</v>
      </c>
      <c r="K80" s="20" t="b">
        <f t="shared" si="19"/>
        <v>1</v>
      </c>
      <c r="L80" s="20" t="b">
        <f t="shared" si="20"/>
        <v>0</v>
      </c>
      <c r="M80" s="20" t="b">
        <f t="shared" si="20"/>
        <v>0</v>
      </c>
      <c r="N80" s="20"/>
      <c r="O80" s="20"/>
      <c r="P80" s="20" t="b">
        <f t="shared" si="21"/>
        <v>0</v>
      </c>
    </row>
    <row r="81" spans="1:16">
      <c r="A81" s="20">
        <f t="shared" si="5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18"/>
        <v>10</v>
      </c>
      <c r="G81" s="20" t="str" cm="1">
        <f t="array" ref="G81">GetColumnName(C81,G80)</f>
        <v>DatabaseId</v>
      </c>
      <c r="H81" s="20" t="s">
        <v>610</v>
      </c>
      <c r="I81" s="20" t="s">
        <v>115</v>
      </c>
      <c r="J81" s="20" t="str">
        <f t="shared" si="19"/>
        <v/>
      </c>
      <c r="K81" s="20" t="str">
        <f t="shared" si="19"/>
        <v/>
      </c>
      <c r="L81" s="20" t="str">
        <f t="shared" si="20"/>
        <v/>
      </c>
      <c r="M81" s="20" t="str">
        <f t="shared" si="20"/>
        <v/>
      </c>
      <c r="N81" s="20"/>
      <c r="O81" s="20"/>
      <c r="P81" s="20" t="str">
        <f t="shared" si="21"/>
        <v/>
      </c>
    </row>
    <row r="82" spans="1:16">
      <c r="A82" s="20">
        <f t="shared" si="5"/>
        <v>81</v>
      </c>
      <c r="B82" s="21">
        <v>13</v>
      </c>
      <c r="C82" s="20" t="str" cm="1">
        <f t="array" ref="C82">GetValue("Tbl",B82,"Alias")</f>
        <v>Sys</v>
      </c>
      <c r="D82" s="20">
        <v>9</v>
      </c>
      <c r="E82" s="20" t="str" cm="1">
        <f t="array" ref="E82">GetValue("Dmn",D82,"Name")</f>
        <v>Nvarchar(20)</v>
      </c>
      <c r="F82" s="20">
        <f t="shared" si="18"/>
        <v>15</v>
      </c>
      <c r="G82" s="20" t="str" cm="1">
        <f t="array" ref="G82">GetColumnName(C82,G81)</f>
        <v>Prefix</v>
      </c>
      <c r="H82" s="20" t="s">
        <v>611</v>
      </c>
      <c r="I82" s="20" t="s">
        <v>612</v>
      </c>
      <c r="J82" s="20" t="str">
        <f t="shared" si="19"/>
        <v/>
      </c>
      <c r="K82" s="20" t="str">
        <f t="shared" si="19"/>
        <v/>
      </c>
      <c r="L82" s="20" t="str">
        <f t="shared" si="20"/>
        <v/>
      </c>
      <c r="M82" s="20" t="str">
        <f t="shared" si="20"/>
        <v/>
      </c>
      <c r="N82" s="20"/>
      <c r="O82" s="20"/>
      <c r="P82" s="20" t="str">
        <f t="shared" si="21"/>
        <v/>
      </c>
    </row>
    <row r="83" spans="1:16">
      <c r="A83" s="20">
        <f t="shared" ref="A83:A137" si="22">ROW(A83)-1</f>
        <v>82</v>
      </c>
      <c r="B83" s="21">
        <v>13</v>
      </c>
      <c r="C83" s="20" t="str" cm="1">
        <f t="array" ref="C83">GetValue("Tbl",B83,"Alias")</f>
        <v>Sys</v>
      </c>
      <c r="D83" s="20">
        <v>10</v>
      </c>
      <c r="E83" s="20" t="str" cm="1">
        <f t="array" ref="E83">GetValue("Dmn",D83,"Name")</f>
        <v>Nvarchar(25)</v>
      </c>
      <c r="F83" s="20">
        <f t="shared" si="18"/>
        <v>20</v>
      </c>
      <c r="G83" s="20" t="str" cm="1">
        <f t="array" ref="G83">GetColumnName(C83,G82)</f>
        <v>Name</v>
      </c>
      <c r="H83" s="20" t="s">
        <v>613</v>
      </c>
      <c r="I83" s="20" t="s">
        <v>99</v>
      </c>
      <c r="J83" s="20" t="str">
        <f t="shared" si="19"/>
        <v/>
      </c>
      <c r="K83" s="20" t="str">
        <f t="shared" si="19"/>
        <v/>
      </c>
      <c r="L83" s="20" t="str">
        <f t="shared" si="20"/>
        <v/>
      </c>
      <c r="M83" s="20" t="str">
        <f t="shared" si="20"/>
        <v/>
      </c>
      <c r="N83" s="20"/>
      <c r="O83" s="20"/>
      <c r="P83" s="20" t="str">
        <f t="shared" si="21"/>
        <v/>
      </c>
    </row>
    <row r="84" spans="1:16">
      <c r="A84" s="20">
        <f t="shared" si="22"/>
        <v>83</v>
      </c>
      <c r="B84" s="21">
        <v>13</v>
      </c>
      <c r="C84" s="20" t="str" cm="1">
        <f t="array" ref="C84">GetValue("Tbl",B84,"Alias")</f>
        <v>Sys</v>
      </c>
      <c r="D84" s="20">
        <v>11</v>
      </c>
      <c r="E84" s="20" t="str" cm="1">
        <f t="array" ref="E84">GetValue("Dmn",D84,"Name")</f>
        <v>Nvarchar(50)</v>
      </c>
      <c r="F84" s="20">
        <f t="shared" si="18"/>
        <v>25</v>
      </c>
      <c r="G84" s="20" t="str" cm="1">
        <f t="array" ref="G84">GetColumnName(C84,G83)</f>
        <v>Description</v>
      </c>
      <c r="H84" s="20" t="s">
        <v>614</v>
      </c>
      <c r="I84" s="20" t="s">
        <v>111</v>
      </c>
      <c r="J84" s="20" t="str">
        <f t="shared" si="19"/>
        <v/>
      </c>
      <c r="K84" s="20" t="str">
        <f t="shared" si="19"/>
        <v/>
      </c>
      <c r="L84" s="20" t="str">
        <f t="shared" si="20"/>
        <v/>
      </c>
      <c r="M84" s="20" t="str">
        <f t="shared" si="20"/>
        <v/>
      </c>
      <c r="N84" s="20"/>
      <c r="O84" s="20"/>
      <c r="P84" s="20" t="str">
        <f t="shared" si="21"/>
        <v/>
      </c>
    </row>
    <row r="85" spans="1:16">
      <c r="A85" s="20">
        <f t="shared" si="22"/>
        <v>84</v>
      </c>
      <c r="B85" s="21">
        <v>13</v>
      </c>
      <c r="C85" s="20" t="str" cm="1">
        <f t="array" ref="C85">GetValue("Tbl",B85,"Alias")</f>
        <v>Sys</v>
      </c>
      <c r="D85" s="20">
        <v>5</v>
      </c>
      <c r="E85" s="20" t="str" cm="1">
        <f t="array" ref="E85">GetValue("Dmn",D85,"Name")</f>
        <v>TinyInteger</v>
      </c>
      <c r="F85" s="20">
        <f t="shared" si="18"/>
        <v>30</v>
      </c>
      <c r="G85" s="20" t="str" cm="1">
        <f t="array" ref="G85">GetColumnName(C85,G84)</f>
        <v>MaxRetryLogins</v>
      </c>
      <c r="H85" s="20" t="s">
        <v>615</v>
      </c>
      <c r="I85" s="20" t="s">
        <v>616</v>
      </c>
      <c r="J85" s="20" t="str">
        <f t="shared" si="19"/>
        <v/>
      </c>
      <c r="K85" s="20" t="str">
        <f t="shared" si="19"/>
        <v/>
      </c>
      <c r="L85" s="20" t="str">
        <f t="shared" si="20"/>
        <v/>
      </c>
      <c r="M85" s="20" t="str">
        <f t="shared" si="20"/>
        <v/>
      </c>
      <c r="N85" s="20"/>
      <c r="O85" s="20"/>
      <c r="P85" s="20" t="str">
        <f t="shared" si="21"/>
        <v/>
      </c>
    </row>
    <row r="86" spans="1:16">
      <c r="A86" s="20">
        <f t="shared" si="22"/>
        <v>85</v>
      </c>
      <c r="B86" s="21">
        <v>13</v>
      </c>
      <c r="C86" s="20" t="str" cm="1">
        <f t="array" ref="C86">GetValue("Tbl",B86,"Alias")</f>
        <v>Sys</v>
      </c>
      <c r="D86" s="20">
        <v>6</v>
      </c>
      <c r="E86" s="20" t="str" cm="1">
        <f t="array" ref="E86">GetValue("Dmn",D86,"Name")</f>
        <v>Boolean</v>
      </c>
      <c r="F86" s="20">
        <f t="shared" si="18"/>
        <v>35</v>
      </c>
      <c r="G86" s="20" t="str" cm="1">
        <f t="array" ref="G86">GetColumnName(C86,G85)</f>
        <v>IsActive</v>
      </c>
      <c r="H86" s="20" t="s">
        <v>617</v>
      </c>
      <c r="I86" s="20" t="s">
        <v>114</v>
      </c>
      <c r="J86" s="20" t="str">
        <f t="shared" si="19"/>
        <v/>
      </c>
      <c r="K86" s="20" t="str">
        <f t="shared" si="19"/>
        <v/>
      </c>
      <c r="L86" s="20" t="str">
        <f t="shared" si="20"/>
        <v/>
      </c>
      <c r="M86" s="20" t="str">
        <f t="shared" si="20"/>
        <v/>
      </c>
      <c r="N86" s="20"/>
      <c r="O86" s="20"/>
      <c r="P86" s="20" t="str">
        <f t="shared" si="21"/>
        <v/>
      </c>
    </row>
    <row r="87" spans="1:16">
      <c r="A87" s="18">
        <f t="shared" si="22"/>
        <v>86</v>
      </c>
      <c r="B87" s="19">
        <v>14</v>
      </c>
      <c r="C87" s="18" t="str" cm="1">
        <f t="array" ref="C87">GetValue("Tbl",B87,"Alias")</f>
        <v>Mnu</v>
      </c>
      <c r="D87" s="18">
        <v>61</v>
      </c>
      <c r="E87" s="18" t="e" cm="1">
        <f t="array" ref="E87">GetValue("Dmn",D87,"Name")</f>
        <v>#VALUE!</v>
      </c>
      <c r="F87" s="18">
        <f>IF(G87="Id",5,F99+5)</f>
        <v>5</v>
      </c>
      <c r="G87" s="18" t="str" cm="1">
        <f t="array" ref="G87">GetColumnName(C87)</f>
        <v>Id</v>
      </c>
      <c r="H87" s="18" t="s">
        <v>620</v>
      </c>
      <c r="I87" s="18" t="s">
        <v>0</v>
      </c>
      <c r="J87" s="18" t="b">
        <f t="shared" si="19"/>
        <v>1</v>
      </c>
      <c r="K87" s="18" t="b">
        <f t="shared" si="19"/>
        <v>1</v>
      </c>
      <c r="L87" s="18" t="b">
        <f t="shared" si="20"/>
        <v>0</v>
      </c>
      <c r="M87" s="18" t="b">
        <f t="shared" si="20"/>
        <v>0</v>
      </c>
      <c r="N87" s="18"/>
      <c r="O87" s="18"/>
      <c r="P87" s="18" t="b">
        <f t="shared" si="21"/>
        <v>0</v>
      </c>
    </row>
    <row r="88" spans="1:16">
      <c r="A88" s="18">
        <f t="shared" si="22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18"/>
        <v>10</v>
      </c>
      <c r="G88" s="18" t="str" cm="1">
        <f t="array" ref="G88">GetColumnName(C88,G87)</f>
        <v>SystemId</v>
      </c>
      <c r="H88" s="18" t="s">
        <v>609</v>
      </c>
      <c r="I88" s="18" t="s">
        <v>112</v>
      </c>
      <c r="J88" s="18" t="str">
        <f t="shared" si="19"/>
        <v/>
      </c>
      <c r="K88" s="18" t="str">
        <f t="shared" si="19"/>
        <v/>
      </c>
      <c r="L88" s="18" t="str">
        <f t="shared" si="20"/>
        <v/>
      </c>
      <c r="M88" s="18" t="str">
        <f t="shared" si="20"/>
        <v/>
      </c>
      <c r="N88" s="18"/>
      <c r="O88" s="18"/>
      <c r="P88" s="18" t="str">
        <f t="shared" si="21"/>
        <v/>
      </c>
    </row>
    <row r="89" spans="1:16">
      <c r="A89" s="18">
        <f>ROW(A89)-1</f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18"/>
        <v>15</v>
      </c>
      <c r="G89" s="18" t="str" cm="1">
        <f t="array" ref="G89">GetColumnName(C89,G88)</f>
        <v>Sequence</v>
      </c>
      <c r="H89" s="18" t="s">
        <v>626</v>
      </c>
      <c r="I89" s="18" t="s">
        <v>627</v>
      </c>
      <c r="J89" s="18" t="str">
        <f t="shared" si="19"/>
        <v/>
      </c>
      <c r="K89" s="18" t="str">
        <f t="shared" si="19"/>
        <v/>
      </c>
      <c r="L89" s="18" t="str">
        <f t="shared" si="20"/>
        <v/>
      </c>
      <c r="M89" s="18" t="str">
        <f t="shared" si="20"/>
        <v/>
      </c>
      <c r="N89" s="18"/>
      <c r="O89" s="18"/>
      <c r="P89" s="18" t="str">
        <f t="shared" si="21"/>
        <v/>
      </c>
    </row>
    <row r="90" spans="1:16">
      <c r="A90" s="18">
        <f t="shared" si="22"/>
        <v>89</v>
      </c>
      <c r="B90" s="19">
        <v>14</v>
      </c>
      <c r="C90" s="18" t="str" cm="1">
        <f t="array" ref="C90">GetValue("Tbl",B90,"Alias")</f>
        <v>Mnu</v>
      </c>
      <c r="D90" s="18">
        <v>4</v>
      </c>
      <c r="E90" s="18" t="str" cm="1">
        <f t="array" ref="E90">GetValue("Dmn",D90,"Name")</f>
        <v>SmallInteger</v>
      </c>
      <c r="F90" s="18">
        <f t="shared" si="18"/>
        <v>20</v>
      </c>
      <c r="G90" s="18" t="str" cm="1">
        <f t="array" ref="G90">GetColumnName(C90,G89)</f>
        <v>Caption</v>
      </c>
      <c r="H90" s="18" t="s">
        <v>621</v>
      </c>
      <c r="I90" s="18" t="s">
        <v>113</v>
      </c>
      <c r="J90" s="18" t="str">
        <f t="shared" si="19"/>
        <v/>
      </c>
      <c r="K90" s="18" t="str">
        <f t="shared" si="19"/>
        <v/>
      </c>
      <c r="L90" s="18" t="str">
        <f t="shared" si="20"/>
        <v/>
      </c>
      <c r="M90" s="18" t="str">
        <f t="shared" si="20"/>
        <v/>
      </c>
      <c r="N90" s="18"/>
      <c r="O90" s="18"/>
      <c r="P90" s="18" t="str">
        <f t="shared" si="21"/>
        <v/>
      </c>
    </row>
    <row r="91" spans="1:16">
      <c r="A91" s="18">
        <f t="shared" si="22"/>
        <v>90</v>
      </c>
      <c r="B91" s="19">
        <v>14</v>
      </c>
      <c r="C91" s="18" t="str" cm="1">
        <f t="array" ref="C91">GetValue("Tbl",B91,"Alias")</f>
        <v>Mnu</v>
      </c>
      <c r="D91" s="18">
        <v>58</v>
      </c>
      <c r="E91" s="18" t="e" cm="1">
        <f t="array" ref="E91">GetValue("Dmn",D91,"Name")</f>
        <v>#VALUE!</v>
      </c>
      <c r="F91" s="18">
        <f t="shared" si="18"/>
        <v>25</v>
      </c>
      <c r="G91" s="18" t="str" cm="1">
        <f t="array" ref="G91">GetColumnName(C91,G90)</f>
        <v>Message</v>
      </c>
      <c r="H91" s="18" t="s">
        <v>622</v>
      </c>
      <c r="I91" s="18" t="s">
        <v>623</v>
      </c>
      <c r="J91" s="18" t="str">
        <f t="shared" si="19"/>
        <v/>
      </c>
      <c r="K91" s="18" t="str">
        <f t="shared" si="19"/>
        <v/>
      </c>
      <c r="L91" s="18" t="str">
        <f t="shared" si="20"/>
        <v/>
      </c>
      <c r="M91" s="18" t="str">
        <f t="shared" si="20"/>
        <v/>
      </c>
      <c r="N91" s="18"/>
      <c r="O91" s="18"/>
      <c r="P91" s="18" t="str">
        <f t="shared" si="21"/>
        <v/>
      </c>
    </row>
    <row r="92" spans="1:16">
      <c r="A92" s="18">
        <f t="shared" si="22"/>
        <v>91</v>
      </c>
      <c r="B92" s="19">
        <v>14</v>
      </c>
      <c r="C92" s="18" t="str" cm="1">
        <f t="array" ref="C92">GetValue("Tbl",B92,"Alias")</f>
        <v>Mnu</v>
      </c>
      <c r="D92" s="18">
        <v>59</v>
      </c>
      <c r="E92" s="18" t="e" cm="1">
        <f t="array" ref="E92">GetValue("Dmn",D92,"Name")</f>
        <v>#VALUE!</v>
      </c>
      <c r="F92" s="18">
        <f t="shared" si="18"/>
        <v>30</v>
      </c>
      <c r="G92" s="18" t="str" cm="1">
        <f t="array" ref="G92">GetColumnName(C92,G91)</f>
        <v>ParentMenuId</v>
      </c>
      <c r="H92" s="18" t="s">
        <v>624</v>
      </c>
      <c r="I92" s="18" t="s">
        <v>625</v>
      </c>
      <c r="J92" s="18" t="str">
        <f t="shared" si="19"/>
        <v/>
      </c>
      <c r="K92" s="18" t="str">
        <f t="shared" si="19"/>
        <v/>
      </c>
      <c r="L92" s="18" t="str">
        <f t="shared" si="20"/>
        <v/>
      </c>
      <c r="M92" s="18" t="str">
        <f t="shared" si="20"/>
        <v/>
      </c>
      <c r="N92" s="18"/>
      <c r="O92" s="18"/>
      <c r="P92" s="18" t="str">
        <f t="shared" si="21"/>
        <v/>
      </c>
    </row>
    <row r="93" spans="1:16">
      <c r="A93" s="18">
        <f t="shared" si="22"/>
        <v>92</v>
      </c>
      <c r="B93" s="19">
        <v>14</v>
      </c>
      <c r="C93" s="18" t="str" cm="1">
        <f t="array" ref="C93">GetValue("Tbl",B93,"Alias")</f>
        <v>Mnu</v>
      </c>
      <c r="D93" s="18">
        <v>6</v>
      </c>
      <c r="E93" s="18" t="str" cm="1">
        <f t="array" ref="E93">GetValue("Dmn",D93,"Name")</f>
        <v>Boolean</v>
      </c>
      <c r="F93" s="18">
        <f t="shared" si="18"/>
        <v>35</v>
      </c>
      <c r="G93" s="18" t="str" cm="1">
        <f t="array" ref="G93">GetColumnName(C93,G92)</f>
        <v>IsActive</v>
      </c>
      <c r="H93" s="18" t="s">
        <v>628</v>
      </c>
      <c r="I93" s="18" t="s">
        <v>114</v>
      </c>
      <c r="J93" s="18" t="str">
        <f t="shared" si="19"/>
        <v/>
      </c>
      <c r="K93" s="18" t="str">
        <f t="shared" si="19"/>
        <v/>
      </c>
      <c r="L93" s="18" t="str">
        <f t="shared" si="20"/>
        <v/>
      </c>
      <c r="M93" s="18" t="str">
        <f t="shared" si="20"/>
        <v/>
      </c>
      <c r="N93" s="18"/>
      <c r="O93" s="18"/>
      <c r="P93" s="18" t="str">
        <f t="shared" si="21"/>
        <v/>
      </c>
    </row>
    <row r="94" spans="1:16">
      <c r="A94" s="20">
        <f t="shared" ref="A94:A99" si="23">ROW(A94)-1</f>
        <v>93</v>
      </c>
      <c r="B94" s="21">
        <v>15</v>
      </c>
      <c r="C94" s="20" t="str" cm="1">
        <f t="array" ref="C94">GetValue("Tbl",B94,"Alias")</f>
        <v>Tbl</v>
      </c>
      <c r="D94" s="20">
        <v>1</v>
      </c>
      <c r="E94" s="20" t="str" cm="1">
        <f t="array" ref="E94">GetValue("Dmn",D94,"Name")</f>
        <v>BigInteger</v>
      </c>
      <c r="F94" s="20">
        <f>IF(G94="Id",5,F86+5)</f>
        <v>5</v>
      </c>
      <c r="G94" s="20" t="str" cm="1">
        <f t="array" ref="G94">GetColumnName(C94)</f>
        <v>Id</v>
      </c>
      <c r="H94" s="20" t="s">
        <v>618</v>
      </c>
      <c r="I94" s="20" t="s">
        <v>0</v>
      </c>
      <c r="J94" s="20" t="b">
        <f t="shared" ref="J94:K99" si="24">IF($G94="Id",TRUE,"")</f>
        <v>1</v>
      </c>
      <c r="K94" s="20" t="b">
        <f t="shared" si="24"/>
        <v>1</v>
      </c>
      <c r="L94" s="20" t="b">
        <f t="shared" ref="L94:M99" si="25">IF($G94="Id",FALSE,"")</f>
        <v>0</v>
      </c>
      <c r="M94" s="20" t="b">
        <f t="shared" si="25"/>
        <v>0</v>
      </c>
      <c r="N94" s="20"/>
      <c r="O94" s="20"/>
      <c r="P94" s="20" t="b">
        <f t="shared" ref="P94:P99" si="26">IF($G94="Id",FALSE,"")</f>
        <v>0</v>
      </c>
    </row>
    <row r="95" spans="1:16">
      <c r="A95" s="20">
        <f t="shared" si="23"/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>IF(G95="Id",5,F94+5)</f>
        <v>10</v>
      </c>
      <c r="G95" s="20" t="str" cm="1">
        <f t="array" ref="G95">GetColumnName(C95,G94)</f>
        <v>DatabaseId</v>
      </c>
      <c r="H95" s="20" t="s">
        <v>596</v>
      </c>
      <c r="I95" s="20" t="s">
        <v>115</v>
      </c>
      <c r="J95" s="20" t="str">
        <f t="shared" si="24"/>
        <v/>
      </c>
      <c r="K95" s="20" t="str">
        <f t="shared" si="24"/>
        <v/>
      </c>
      <c r="L95" s="20" t="str">
        <f t="shared" si="25"/>
        <v/>
      </c>
      <c r="M95" s="20" t="str">
        <f t="shared" si="25"/>
        <v/>
      </c>
      <c r="N95" s="20"/>
      <c r="O95" s="20"/>
      <c r="P95" s="20" t="str">
        <f t="shared" si="26"/>
        <v/>
      </c>
    </row>
    <row r="96" spans="1:16">
      <c r="A96" s="20">
        <f t="shared" si="23"/>
        <v>95</v>
      </c>
      <c r="B96" s="21">
        <v>15</v>
      </c>
      <c r="C96" s="20" t="str" cm="1">
        <f t="array" ref="C96">GetValue("Tbl",B96,"Alias")</f>
        <v>Tbl</v>
      </c>
      <c r="D96" s="20">
        <v>10</v>
      </c>
      <c r="E96" s="20" t="str" cm="1">
        <f t="array" ref="E96">GetValue("Dmn",D96,"Name")</f>
        <v>Nvarchar(25)</v>
      </c>
      <c r="F96" s="20">
        <f>IF(G96="Id",5,F95+5)</f>
        <v>15</v>
      </c>
      <c r="G96" s="20" t="str" cm="1">
        <f t="array" ref="G96">GetColumnName(C96,G95)</f>
        <v>Name</v>
      </c>
      <c r="H96" s="20" t="s">
        <v>116</v>
      </c>
      <c r="I96" s="20" t="s">
        <v>99</v>
      </c>
      <c r="J96" s="20" t="str">
        <f t="shared" si="24"/>
        <v/>
      </c>
      <c r="K96" s="20" t="str">
        <f t="shared" si="24"/>
        <v/>
      </c>
      <c r="L96" s="20" t="str">
        <f t="shared" si="25"/>
        <v/>
      </c>
      <c r="M96" s="20" t="str">
        <f t="shared" si="25"/>
        <v/>
      </c>
      <c r="N96" s="20"/>
      <c r="O96" s="20"/>
      <c r="P96" s="20" t="str">
        <f t="shared" si="26"/>
        <v/>
      </c>
    </row>
    <row r="97" spans="1:16">
      <c r="A97" s="20">
        <f t="shared" si="23"/>
        <v>96</v>
      </c>
      <c r="B97" s="21">
        <v>15</v>
      </c>
      <c r="C97" s="20" t="str" cm="1">
        <f t="array" ref="C97">GetValue("Tbl",B97,"Alias")</f>
        <v>Tbl</v>
      </c>
      <c r="D97" s="20">
        <v>9</v>
      </c>
      <c r="E97" s="20" t="str" cm="1">
        <f t="array" ref="E97">GetValue("Dmn",D97,"Name")</f>
        <v>Nvarchar(20)</v>
      </c>
      <c r="F97" s="20">
        <f>IF(G97="Id",5,F96+5)</f>
        <v>20</v>
      </c>
      <c r="G97" s="20" t="str" cm="1">
        <f t="array" ref="G97">GetColumnName(C97,G96)</f>
        <v>Alias</v>
      </c>
      <c r="H97" s="20" t="s">
        <v>117</v>
      </c>
      <c r="I97" s="20" t="s">
        <v>85</v>
      </c>
      <c r="J97" s="20" t="str">
        <f t="shared" si="24"/>
        <v/>
      </c>
      <c r="K97" s="20" t="str">
        <f t="shared" si="24"/>
        <v/>
      </c>
      <c r="L97" s="20" t="str">
        <f t="shared" si="25"/>
        <v/>
      </c>
      <c r="M97" s="20" t="str">
        <f t="shared" si="25"/>
        <v/>
      </c>
      <c r="N97" s="20"/>
      <c r="O97" s="20"/>
      <c r="P97" s="20" t="str">
        <f t="shared" si="26"/>
        <v/>
      </c>
    </row>
    <row r="98" spans="1:16">
      <c r="A98" s="20">
        <f t="shared" si="23"/>
        <v>97</v>
      </c>
      <c r="B98" s="21">
        <v>15</v>
      </c>
      <c r="C98" s="20" t="str" cm="1">
        <f t="array" ref="C98">GetValue("Tbl",B98,"Alias")</f>
        <v>Tbl</v>
      </c>
      <c r="D98" s="20">
        <v>11</v>
      </c>
      <c r="E98" s="20" t="str" cm="1">
        <f t="array" ref="E98">GetValue("Dmn",D98,"Name")</f>
        <v>Nvarchar(50)</v>
      </c>
      <c r="F98" s="20">
        <f>IF(G98="Id",5,F97+5)</f>
        <v>25</v>
      </c>
      <c r="G98" s="20" t="str" cm="1">
        <f t="array" ref="G98">GetColumnName(C98,G97)</f>
        <v>Description</v>
      </c>
      <c r="H98" s="20" t="s">
        <v>118</v>
      </c>
      <c r="I98" s="20" t="s">
        <v>111</v>
      </c>
      <c r="J98" s="20" t="str">
        <f t="shared" si="24"/>
        <v/>
      </c>
      <c r="K98" s="20" t="str">
        <f t="shared" si="24"/>
        <v/>
      </c>
      <c r="L98" s="20" t="str">
        <f t="shared" si="25"/>
        <v/>
      </c>
      <c r="M98" s="20" t="str">
        <f t="shared" si="25"/>
        <v/>
      </c>
      <c r="N98" s="20"/>
      <c r="O98" s="20"/>
      <c r="P98" s="20" t="str">
        <f t="shared" si="26"/>
        <v/>
      </c>
    </row>
    <row r="99" spans="1:16">
      <c r="A99" s="20">
        <f t="shared" si="23"/>
        <v>98</v>
      </c>
      <c r="B99" s="21">
        <v>15</v>
      </c>
      <c r="C99" s="20" t="str" cm="1">
        <f t="array" ref="C99">GetValue("Tbl",B99,"Alias")</f>
        <v>Tbl</v>
      </c>
      <c r="D99" s="20">
        <v>1</v>
      </c>
      <c r="E99" s="20" t="str" cm="1">
        <f t="array" ref="E99">GetValue("Dmn",D99,"Name")</f>
        <v>BigInteger</v>
      </c>
      <c r="F99" s="20">
        <f>IF(G99="Id",5,F98+5)</f>
        <v>30</v>
      </c>
      <c r="G99" s="20" t="str" cm="1">
        <f t="array" ref="G99">GetColumnName(C99,G98)</f>
        <v>CurrentId</v>
      </c>
      <c r="H99" s="20" t="s">
        <v>113</v>
      </c>
      <c r="I99" s="20" t="s">
        <v>113</v>
      </c>
      <c r="J99" s="20" t="str">
        <f t="shared" si="24"/>
        <v/>
      </c>
      <c r="K99" s="20" t="str">
        <f t="shared" si="24"/>
        <v/>
      </c>
      <c r="L99" s="20" t="str">
        <f t="shared" si="25"/>
        <v/>
      </c>
      <c r="M99" s="20" t="str">
        <f t="shared" si="25"/>
        <v/>
      </c>
      <c r="N99" s="20"/>
      <c r="O99" s="20"/>
      <c r="P99" s="20" t="str">
        <f t="shared" si="26"/>
        <v/>
      </c>
    </row>
    <row r="100" spans="1:16">
      <c r="A100" s="18">
        <f t="shared" si="22"/>
        <v>99</v>
      </c>
      <c r="B100" s="19">
        <v>16</v>
      </c>
      <c r="C100" s="18" t="str" cm="1">
        <f t="array" ref="C100">GetValue("Tbl",B100,"Alias")</f>
        <v>Col</v>
      </c>
      <c r="D100" s="18">
        <v>1</v>
      </c>
      <c r="E100" s="18" t="str" cm="1">
        <f t="array" ref="E100">GetValue("Dmn",D100,"Name")</f>
        <v>BigInteger</v>
      </c>
      <c r="F100" s="18">
        <f>IF(G100="Id",5,#REF!+5)</f>
        <v>5</v>
      </c>
      <c r="G100" s="18" t="str" cm="1">
        <f t="array" ref="G100">GetColumnName(C100)</f>
        <v>Id</v>
      </c>
      <c r="H100" s="18" t="s">
        <v>629</v>
      </c>
      <c r="I100" s="18" t="s">
        <v>0</v>
      </c>
      <c r="J100" s="18" t="b">
        <f t="shared" si="19"/>
        <v>1</v>
      </c>
      <c r="K100" s="18" t="b">
        <f t="shared" si="19"/>
        <v>1</v>
      </c>
      <c r="L100" s="18" t="b">
        <f t="shared" si="20"/>
        <v>0</v>
      </c>
      <c r="M100" s="18" t="b">
        <f t="shared" si="20"/>
        <v>0</v>
      </c>
      <c r="N100" s="18"/>
      <c r="O100" s="18"/>
      <c r="P100" s="18" t="b">
        <f t="shared" si="21"/>
        <v>0</v>
      </c>
    </row>
    <row r="101" spans="1:16">
      <c r="A101" s="18">
        <f t="shared" si="22"/>
        <v>100</v>
      </c>
      <c r="B101" s="19">
        <v>16</v>
      </c>
      <c r="C101" s="18" t="str" cm="1">
        <f t="array" ref="C101">GetValue("Tbl",B101,"Alias")</f>
        <v>Col</v>
      </c>
      <c r="D101" s="18">
        <v>1</v>
      </c>
      <c r="E101" s="18" t="str" cm="1">
        <f t="array" ref="E101">GetValue("Dmn",D101,"Name")</f>
        <v>BigInteger</v>
      </c>
      <c r="F101" s="18">
        <f t="shared" si="18"/>
        <v>10</v>
      </c>
      <c r="G101" s="18" t="str" cm="1">
        <f t="array" ref="G101">GetColumnName(C101,G100)</f>
        <v>TableId</v>
      </c>
      <c r="H101" s="18" t="s">
        <v>618</v>
      </c>
      <c r="I101" s="18" t="s">
        <v>119</v>
      </c>
      <c r="J101" s="18" t="str">
        <f t="shared" ref="J101:K137" si="27">IF($G101="Id",TRUE,"")</f>
        <v/>
      </c>
      <c r="K101" s="18" t="str">
        <f t="shared" si="27"/>
        <v/>
      </c>
      <c r="L101" s="18" t="str">
        <f t="shared" ref="L101:M137" si="28">IF($G101="Id",FALSE,"")</f>
        <v/>
      </c>
      <c r="M101" s="18" t="str">
        <f t="shared" si="28"/>
        <v/>
      </c>
      <c r="N101" s="18"/>
      <c r="O101" s="18"/>
      <c r="P101" s="18" t="str">
        <f t="shared" si="21"/>
        <v/>
      </c>
    </row>
    <row r="102" spans="1:16">
      <c r="A102" s="18">
        <f t="shared" si="22"/>
        <v>101</v>
      </c>
      <c r="B102" s="19">
        <v>16</v>
      </c>
      <c r="C102" s="18" t="str" cm="1">
        <f t="array" ref="C102">GetValue("Tbl",B102,"Alias")</f>
        <v>Col</v>
      </c>
      <c r="D102" s="18">
        <v>1</v>
      </c>
      <c r="E102" s="18" t="str" cm="1">
        <f t="array" ref="E102">GetValue("Dmn",D102,"Name")</f>
        <v>BigInteger</v>
      </c>
      <c r="F102" s="18">
        <f t="shared" si="18"/>
        <v>15</v>
      </c>
      <c r="G102" s="18" t="str" cm="1">
        <f t="array" ref="G102">GetColumnName(C102,G101)</f>
        <v>DomainId</v>
      </c>
      <c r="H102" s="18" t="s">
        <v>630</v>
      </c>
      <c r="I102" s="18" t="s">
        <v>120</v>
      </c>
      <c r="J102" s="18" t="str">
        <f t="shared" si="27"/>
        <v/>
      </c>
      <c r="K102" s="18" t="str">
        <f t="shared" si="27"/>
        <v/>
      </c>
      <c r="L102" s="18" t="str">
        <f t="shared" si="28"/>
        <v/>
      </c>
      <c r="M102" s="18" t="str">
        <f t="shared" si="28"/>
        <v/>
      </c>
      <c r="N102" s="18"/>
      <c r="O102" s="18"/>
      <c r="P102" s="18" t="str">
        <f t="shared" si="21"/>
        <v/>
      </c>
    </row>
    <row r="103" spans="1:16">
      <c r="A103" s="18">
        <f t="shared" si="22"/>
        <v>102</v>
      </c>
      <c r="B103" s="19">
        <v>16</v>
      </c>
      <c r="C103" s="18" t="str" cm="1">
        <f t="array" ref="C103">GetValue("Tbl",B103,"Alias")</f>
        <v>Col</v>
      </c>
      <c r="D103" s="18">
        <v>4</v>
      </c>
      <c r="E103" s="18" t="str" cm="1">
        <f t="array" ref="E103">GetValue("Dmn",D103,"Name")</f>
        <v>SmallInteger</v>
      </c>
      <c r="F103" s="18">
        <f t="shared" si="18"/>
        <v>20</v>
      </c>
      <c r="G103" s="18" t="str" cm="1">
        <f t="array" ref="G103">GetColumnName(C103,G102)</f>
        <v>Sequence</v>
      </c>
      <c r="H103" s="18" t="s">
        <v>631</v>
      </c>
      <c r="I103" s="18" t="s">
        <v>113</v>
      </c>
      <c r="J103" s="18" t="str">
        <f t="shared" si="27"/>
        <v/>
      </c>
      <c r="K103" s="18" t="str">
        <f t="shared" si="27"/>
        <v/>
      </c>
      <c r="L103" s="18" t="str">
        <f t="shared" si="28"/>
        <v/>
      </c>
      <c r="M103" s="18" t="str">
        <f t="shared" si="28"/>
        <v/>
      </c>
      <c r="N103" s="18"/>
      <c r="O103" s="18"/>
      <c r="P103" s="18" t="str">
        <f t="shared" si="21"/>
        <v/>
      </c>
    </row>
    <row r="104" spans="1:16">
      <c r="A104" s="18">
        <f t="shared" si="22"/>
        <v>103</v>
      </c>
      <c r="B104" s="19">
        <v>16</v>
      </c>
      <c r="C104" s="18" t="str" cm="1">
        <f t="array" ref="C104">GetValue("Tbl",B104,"Alias")</f>
        <v>Col</v>
      </c>
      <c r="D104" s="18">
        <v>10</v>
      </c>
      <c r="E104" s="18" t="str" cm="1">
        <f t="array" ref="E104">GetValue("Dmn",D104,"Name")</f>
        <v>Nvarchar(25)</v>
      </c>
      <c r="F104" s="18">
        <f t="shared" si="18"/>
        <v>25</v>
      </c>
      <c r="G104" s="18" t="str" cm="1">
        <f t="array" ref="G104">GetColumnName(C104,G103)</f>
        <v>Name</v>
      </c>
      <c r="H104" s="18" t="s">
        <v>121</v>
      </c>
      <c r="I104" s="18" t="s">
        <v>99</v>
      </c>
      <c r="J104" s="18" t="str">
        <f t="shared" si="27"/>
        <v/>
      </c>
      <c r="K104" s="18" t="str">
        <f t="shared" si="27"/>
        <v/>
      </c>
      <c r="L104" s="18" t="str">
        <f t="shared" si="28"/>
        <v/>
      </c>
      <c r="M104" s="18" t="str">
        <f t="shared" si="28"/>
        <v/>
      </c>
      <c r="N104" s="18"/>
      <c r="O104" s="18"/>
      <c r="P104" s="18" t="str">
        <f t="shared" si="21"/>
        <v/>
      </c>
    </row>
    <row r="105" spans="1:16">
      <c r="A105" s="18">
        <f t="shared" si="22"/>
        <v>104</v>
      </c>
      <c r="B105" s="19">
        <v>16</v>
      </c>
      <c r="C105" s="18" t="str" cm="1">
        <f t="array" ref="C105">GetValue("Tbl",B105,"Alias")</f>
        <v>Col</v>
      </c>
      <c r="D105" s="18">
        <v>11</v>
      </c>
      <c r="E105" s="18" t="str" cm="1">
        <f t="array" ref="E105">GetValue("Dmn",D105,"Name")</f>
        <v>Nvarchar(50)</v>
      </c>
      <c r="F105" s="18">
        <f t="shared" si="18"/>
        <v>30</v>
      </c>
      <c r="G105" s="18" t="str" cm="1">
        <f t="array" ref="G105">GetColumnName(C105,G104)</f>
        <v>Description</v>
      </c>
      <c r="H105" s="18" t="s">
        <v>632</v>
      </c>
      <c r="I105" s="18" t="s">
        <v>111</v>
      </c>
      <c r="J105" s="18" t="str">
        <f t="shared" si="27"/>
        <v/>
      </c>
      <c r="K105" s="18" t="str">
        <f t="shared" si="27"/>
        <v/>
      </c>
      <c r="L105" s="18" t="str">
        <f t="shared" si="28"/>
        <v/>
      </c>
      <c r="M105" s="18" t="str">
        <f t="shared" si="28"/>
        <v/>
      </c>
      <c r="N105" s="18"/>
      <c r="O105" s="18"/>
      <c r="P105" s="18" t="str">
        <f t="shared" si="21"/>
        <v/>
      </c>
    </row>
    <row r="106" spans="1:16">
      <c r="A106" s="18">
        <f t="shared" si="22"/>
        <v>105</v>
      </c>
      <c r="B106" s="19">
        <v>16</v>
      </c>
      <c r="C106" s="18" t="str" cm="1">
        <f t="array" ref="C106">GetValue("Tbl",B106,"Alias")</f>
        <v>Col</v>
      </c>
      <c r="D106" s="18">
        <v>10</v>
      </c>
      <c r="E106" s="18" t="str" cm="1">
        <f t="array" ref="E106">GetValue("Dmn",D106,"Name")</f>
        <v>Nvarchar(25)</v>
      </c>
      <c r="F106" s="18">
        <f t="shared" si="18"/>
        <v>35</v>
      </c>
      <c r="G106" s="18" t="str" cm="1">
        <f t="array" ref="G106">GetColumnName(C106,G105)</f>
        <v>Caption</v>
      </c>
      <c r="H106" s="18" t="s">
        <v>633</v>
      </c>
      <c r="I106" s="18" t="s">
        <v>623</v>
      </c>
      <c r="J106" s="18" t="str">
        <f t="shared" si="27"/>
        <v/>
      </c>
      <c r="K106" s="18" t="str">
        <f t="shared" si="27"/>
        <v/>
      </c>
      <c r="L106" s="18" t="str">
        <f t="shared" si="28"/>
        <v/>
      </c>
      <c r="M106" s="18" t="str">
        <f t="shared" si="28"/>
        <v/>
      </c>
      <c r="N106" s="18"/>
      <c r="O106" s="18"/>
      <c r="P106" s="18" t="str">
        <f t="shared" si="21"/>
        <v/>
      </c>
    </row>
    <row r="107" spans="1:16">
      <c r="A107" s="18">
        <f t="shared" si="22"/>
        <v>106</v>
      </c>
      <c r="B107" s="19">
        <v>16</v>
      </c>
      <c r="C107" s="18" t="str" cm="1">
        <f t="array" ref="C107">GetValue("Tbl",B107,"Alias")</f>
        <v>Col</v>
      </c>
      <c r="D107" s="18">
        <v>6</v>
      </c>
      <c r="E107" s="18" t="str" cm="1">
        <f t="array" ref="E107">GetValue("Dmn",D107,"Name")</f>
        <v>Boolean</v>
      </c>
      <c r="F107" s="18">
        <f t="shared" si="18"/>
        <v>40</v>
      </c>
      <c r="G107" s="18" t="str" cm="1">
        <f t="array" ref="G107">GetColumnName(C107,G106)</f>
        <v>IsRequired</v>
      </c>
      <c r="H107" s="18" t="s">
        <v>635</v>
      </c>
      <c r="I107" s="18" t="s">
        <v>583</v>
      </c>
      <c r="J107" s="18" t="str">
        <f t="shared" si="27"/>
        <v/>
      </c>
      <c r="K107" s="18" t="str">
        <f t="shared" si="27"/>
        <v/>
      </c>
      <c r="L107" s="18" t="str">
        <f t="shared" si="28"/>
        <v/>
      </c>
      <c r="M107" s="18" t="str">
        <f t="shared" si="28"/>
        <v/>
      </c>
      <c r="N107" s="18"/>
      <c r="O107" s="18"/>
      <c r="P107" s="18" t="str">
        <f t="shared" si="21"/>
        <v/>
      </c>
    </row>
    <row r="108" spans="1:16">
      <c r="A108" s="18">
        <f t="shared" si="22"/>
        <v>107</v>
      </c>
      <c r="B108" s="19">
        <v>16</v>
      </c>
      <c r="C108" s="18" t="str" cm="1">
        <f t="array" ref="C108">GetValue("Tbl",B108,"Alias")</f>
        <v>Col</v>
      </c>
      <c r="D108" s="18">
        <v>6</v>
      </c>
      <c r="E108" s="18" t="str" cm="1">
        <f t="array" ref="E108">GetValue("Dmn",D108,"Name")</f>
        <v>Boolean</v>
      </c>
      <c r="F108" s="18">
        <f t="shared" si="18"/>
        <v>45</v>
      </c>
      <c r="G108" s="18" t="str" cm="1">
        <f t="array" ref="G108">GetColumnName(C108,G107)</f>
        <v>IsFilterable</v>
      </c>
      <c r="H108" s="18" t="s">
        <v>636</v>
      </c>
      <c r="I108" s="18" t="s">
        <v>566</v>
      </c>
      <c r="J108" s="18" t="str">
        <f t="shared" si="27"/>
        <v/>
      </c>
      <c r="K108" s="18" t="str">
        <f t="shared" si="27"/>
        <v/>
      </c>
      <c r="L108" s="18" t="str">
        <f t="shared" si="28"/>
        <v/>
      </c>
      <c r="M108" s="18" t="str">
        <f t="shared" si="28"/>
        <v/>
      </c>
      <c r="N108" s="18"/>
      <c r="O108" s="18"/>
      <c r="P108" s="18" t="str">
        <f t="shared" si="21"/>
        <v/>
      </c>
    </row>
    <row r="109" spans="1:16">
      <c r="A109" s="18">
        <f t="shared" si="22"/>
        <v>108</v>
      </c>
      <c r="B109" s="19">
        <v>16</v>
      </c>
      <c r="C109" s="18" t="str" cm="1">
        <f t="array" ref="C109">GetValue("Tbl",B109,"Alias")</f>
        <v>Col</v>
      </c>
      <c r="D109" s="18">
        <v>6</v>
      </c>
      <c r="E109" s="18" t="str" cm="1">
        <f t="array" ref="E109">GetValue("Dmn",D109,"Name")</f>
        <v>Boolean</v>
      </c>
      <c r="F109" s="18">
        <f t="shared" si="18"/>
        <v>50</v>
      </c>
      <c r="G109" s="18" t="str" cm="1">
        <f t="array" ref="G109">GetColumnName(C109,G108)</f>
        <v>IsEditable</v>
      </c>
      <c r="H109" s="18" t="s">
        <v>637</v>
      </c>
      <c r="I109" s="18" t="s">
        <v>571</v>
      </c>
      <c r="J109" s="18" t="str">
        <f t="shared" si="27"/>
        <v/>
      </c>
      <c r="K109" s="18" t="str">
        <f t="shared" si="27"/>
        <v/>
      </c>
      <c r="L109" s="18" t="str">
        <f t="shared" si="28"/>
        <v/>
      </c>
      <c r="M109" s="18" t="str">
        <f t="shared" si="28"/>
        <v/>
      </c>
      <c r="N109" s="18"/>
      <c r="O109" s="18"/>
      <c r="P109" s="18" t="str">
        <f t="shared" si="21"/>
        <v/>
      </c>
    </row>
    <row r="110" spans="1:16">
      <c r="A110" s="18">
        <f t="shared" si="22"/>
        <v>109</v>
      </c>
      <c r="B110" s="19">
        <v>16</v>
      </c>
      <c r="C110" s="18" t="str" cm="1">
        <f t="array" ref="C110">GetValue("Tbl",B110,"Alias")</f>
        <v>Col</v>
      </c>
      <c r="D110" s="18">
        <v>6</v>
      </c>
      <c r="E110" s="18" t="str" cm="1">
        <f t="array" ref="E110">GetValue("Dmn",D110,"Name")</f>
        <v>Boolean</v>
      </c>
      <c r="F110" s="18">
        <f t="shared" si="18"/>
        <v>55</v>
      </c>
      <c r="G110" s="18" t="str" cm="1">
        <f t="array" ref="G110">GetColumnName(C110,G109)</f>
        <v>IsGridable</v>
      </c>
      <c r="H110" s="18" t="s">
        <v>711</v>
      </c>
      <c r="I110" s="18" t="s">
        <v>714</v>
      </c>
      <c r="J110" s="18" t="str">
        <f t="shared" si="27"/>
        <v/>
      </c>
      <c r="K110" s="18" t="str">
        <f t="shared" si="27"/>
        <v/>
      </c>
      <c r="L110" s="18" t="str">
        <f t="shared" si="28"/>
        <v/>
      </c>
      <c r="M110" s="18" t="str">
        <f t="shared" si="28"/>
        <v/>
      </c>
      <c r="N110" s="18"/>
      <c r="O110" s="18"/>
      <c r="P110" s="18" t="str">
        <f t="shared" si="21"/>
        <v/>
      </c>
    </row>
    <row r="111" spans="1:16">
      <c r="A111" s="18">
        <f t="shared" si="22"/>
        <v>110</v>
      </c>
      <c r="B111" s="19">
        <v>16</v>
      </c>
      <c r="C111" s="18" t="str" cm="1">
        <f t="array" ref="C111">GetValue("Tbl",B111,"Alias")</f>
        <v>Col</v>
      </c>
      <c r="D111" s="18">
        <v>6</v>
      </c>
      <c r="E111" s="18" t="str" cm="1">
        <f t="array" ref="E111">GetValue("Dmn",D111,"Name")</f>
        <v>Boolean</v>
      </c>
      <c r="F111" s="18">
        <f t="shared" ref="F111:F112" si="29">IF(G111="Id",5,F110+5)</f>
        <v>60</v>
      </c>
      <c r="G111" s="18" t="str" cm="1">
        <f t="array" ref="G111">GetColumnName(C111,G110)</f>
        <v>IsListable</v>
      </c>
      <c r="H111" s="18" t="s">
        <v>712</v>
      </c>
      <c r="I111" s="18" t="s">
        <v>713</v>
      </c>
      <c r="J111" s="18" t="str">
        <f t="shared" si="27"/>
        <v/>
      </c>
      <c r="K111" s="18" t="str">
        <f t="shared" si="27"/>
        <v/>
      </c>
      <c r="L111" s="18" t="str">
        <f t="shared" si="28"/>
        <v/>
      </c>
      <c r="M111" s="18" t="str">
        <f t="shared" si="28"/>
        <v/>
      </c>
      <c r="N111" s="18"/>
      <c r="O111" s="18"/>
      <c r="P111" s="18" t="str">
        <f t="shared" si="21"/>
        <v/>
      </c>
    </row>
    <row r="112" spans="1:16">
      <c r="A112" s="18">
        <f t="shared" si="22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29"/>
        <v>65</v>
      </c>
      <c r="G112" s="18" t="str" cm="1">
        <f t="array" ref="G112">GetColumnName(C112,G111)</f>
        <v>IsEncrypted</v>
      </c>
      <c r="H112" s="18" t="s">
        <v>716</v>
      </c>
      <c r="I112" s="18" t="s">
        <v>715</v>
      </c>
      <c r="J112" s="18" t="str">
        <f t="shared" si="27"/>
        <v/>
      </c>
      <c r="K112" s="18" t="str">
        <f t="shared" si="27"/>
        <v/>
      </c>
      <c r="L112" s="18" t="str">
        <f t="shared" si="28"/>
        <v/>
      </c>
      <c r="M112" s="18" t="str">
        <f t="shared" si="28"/>
        <v/>
      </c>
      <c r="N112" s="18"/>
      <c r="O112" s="18"/>
      <c r="P112" s="18" t="str">
        <f t="shared" si="21"/>
        <v/>
      </c>
    </row>
    <row r="113" spans="1:16">
      <c r="A113" s="18">
        <f t="shared" si="22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ref="F113" si="30">IF(G113="Id",5,F112+5)</f>
        <v>70</v>
      </c>
      <c r="G113" s="18" t="str" cm="1">
        <f t="array" ref="G113">GetColumnName(C113,G112)</f>
        <v>IsInWords</v>
      </c>
      <c r="H113" s="18" t="s">
        <v>717</v>
      </c>
      <c r="I113" s="18" t="s">
        <v>718</v>
      </c>
      <c r="J113" s="18" t="str">
        <f t="shared" si="27"/>
        <v/>
      </c>
      <c r="K113" s="18" t="str">
        <f t="shared" si="27"/>
        <v/>
      </c>
      <c r="L113" s="18" t="str">
        <f t="shared" si="28"/>
        <v/>
      </c>
      <c r="M113" s="18" t="str">
        <f t="shared" si="28"/>
        <v/>
      </c>
      <c r="N113" s="18"/>
      <c r="O113" s="18"/>
      <c r="P113" s="18" t="str">
        <f t="shared" si="21"/>
        <v/>
      </c>
    </row>
    <row r="114" spans="1:16">
      <c r="A114" s="18">
        <f t="shared" si="22"/>
        <v>113</v>
      </c>
      <c r="B114" s="19">
        <v>17</v>
      </c>
      <c r="C114" s="18" t="str" cm="1">
        <f t="array" ref="C114">GetValue("Tbl",B114,"Alias")</f>
        <v>Idx</v>
      </c>
      <c r="D114" s="18">
        <v>1</v>
      </c>
      <c r="E114" s="18" t="str" cm="1">
        <f t="array" ref="E114">GetValue("Dmn",D114,"Name")</f>
        <v>BigInteger</v>
      </c>
      <c r="F114" s="18">
        <f>IF(G114="Id",5,#REF!+5)</f>
        <v>5</v>
      </c>
      <c r="G114" s="18" t="str" cm="1">
        <f t="array" ref="G114">GetColumnName(C114)</f>
        <v>Id</v>
      </c>
      <c r="H114" s="18" t="s">
        <v>646</v>
      </c>
      <c r="I114" s="18" t="s">
        <v>112</v>
      </c>
      <c r="J114" s="18" t="b">
        <f t="shared" si="27"/>
        <v>1</v>
      </c>
      <c r="K114" s="18" t="b">
        <f t="shared" si="27"/>
        <v>1</v>
      </c>
      <c r="L114" s="18" t="b">
        <f t="shared" si="28"/>
        <v>0</v>
      </c>
      <c r="M114" s="18" t="b">
        <f t="shared" si="28"/>
        <v>0</v>
      </c>
      <c r="N114" s="18"/>
      <c r="O114" s="18"/>
      <c r="P114" s="18" t="b">
        <f t="shared" si="21"/>
        <v>0</v>
      </c>
    </row>
    <row r="115" spans="1:16">
      <c r="A115" s="18">
        <f t="shared" si="22"/>
        <v>114</v>
      </c>
      <c r="B115" s="19">
        <v>17</v>
      </c>
      <c r="C115" s="18" t="str" cm="1">
        <f t="array" ref="C115">GetValue("Tbl",B115,"Alias")</f>
        <v>Idx</v>
      </c>
      <c r="D115" s="18">
        <v>1</v>
      </c>
      <c r="E115" s="18" t="str" cm="1">
        <f t="array" ref="E115">GetValue("Dmn",D115,"Name")</f>
        <v>BigInteger</v>
      </c>
      <c r="F115" s="18">
        <f t="shared" si="18"/>
        <v>10</v>
      </c>
      <c r="G115" s="18" t="str" cm="1">
        <f t="array" ref="G115">GetColumnName(C115,G114)</f>
        <v>TableId</v>
      </c>
      <c r="H115" s="18" t="s">
        <v>638</v>
      </c>
      <c r="I115" s="18" t="s">
        <v>647</v>
      </c>
      <c r="J115" s="18" t="str">
        <f t="shared" si="27"/>
        <v/>
      </c>
      <c r="K115" s="18" t="str">
        <f t="shared" si="27"/>
        <v/>
      </c>
      <c r="L115" s="18" t="str">
        <f t="shared" si="28"/>
        <v/>
      </c>
      <c r="M115" s="18" t="str">
        <f t="shared" si="28"/>
        <v/>
      </c>
      <c r="N115" s="18"/>
      <c r="O115" s="18"/>
      <c r="P115" s="18" t="str">
        <f t="shared" si="21"/>
        <v/>
      </c>
    </row>
    <row r="116" spans="1:16">
      <c r="A116" s="18">
        <f t="shared" si="22"/>
        <v>115</v>
      </c>
      <c r="B116" s="19">
        <v>17</v>
      </c>
      <c r="C116" s="18" t="str" cm="1">
        <f t="array" ref="C116">GetValue("Tbl",B116,"Alias")</f>
        <v>Idx</v>
      </c>
      <c r="D116" s="18">
        <v>1</v>
      </c>
      <c r="E116" s="18" t="str" cm="1">
        <f t="array" ref="E116">GetValue("Dmn",D116,"Name")</f>
        <v>BigInteger</v>
      </c>
      <c r="F116" s="18">
        <f t="shared" si="18"/>
        <v>15</v>
      </c>
      <c r="G116" s="18" t="str" cm="1">
        <f t="array" ref="G116">GetColumnName(C116,G115)</f>
        <v>Name</v>
      </c>
      <c r="H116" s="18" t="s">
        <v>648</v>
      </c>
      <c r="I116" s="18" t="s">
        <v>649</v>
      </c>
      <c r="J116" s="18" t="str">
        <f t="shared" si="27"/>
        <v/>
      </c>
      <c r="K116" s="18" t="str">
        <f t="shared" si="27"/>
        <v/>
      </c>
      <c r="L116" s="18" t="str">
        <f t="shared" si="28"/>
        <v/>
      </c>
      <c r="M116" s="18" t="str">
        <f t="shared" si="28"/>
        <v/>
      </c>
      <c r="N116" s="18"/>
      <c r="O116" s="18"/>
      <c r="P116" s="18" t="str">
        <f t="shared" si="21"/>
        <v/>
      </c>
    </row>
    <row r="117" spans="1:16">
      <c r="A117" s="18">
        <f t="shared" si="22"/>
        <v>116</v>
      </c>
      <c r="B117" s="19">
        <v>17</v>
      </c>
      <c r="C117" s="18" t="str" cm="1">
        <f t="array" ref="C117">GetValue("Tbl",B117,"Alias")</f>
        <v>Idx</v>
      </c>
      <c r="D117" s="18">
        <v>4</v>
      </c>
      <c r="E117" s="18" t="str" cm="1">
        <f t="array" ref="E117">GetValue("Dmn",D117,"Name")</f>
        <v>SmallInteger</v>
      </c>
      <c r="F117" s="18">
        <f t="shared" si="18"/>
        <v>20</v>
      </c>
      <c r="G117" s="18" t="str" cm="1">
        <f t="array" ref="G117">GetColumnName(C117,G116)</f>
        <v>IsUnique</v>
      </c>
      <c r="H117" s="18" t="s">
        <v>650</v>
      </c>
      <c r="I117" s="18" t="s">
        <v>113</v>
      </c>
      <c r="J117" s="18" t="str">
        <f t="shared" si="27"/>
        <v/>
      </c>
      <c r="K117" s="18" t="str">
        <f t="shared" si="27"/>
        <v/>
      </c>
      <c r="L117" s="18" t="str">
        <f t="shared" si="28"/>
        <v/>
      </c>
      <c r="M117" s="18" t="str">
        <f t="shared" si="28"/>
        <v/>
      </c>
      <c r="N117" s="18"/>
      <c r="O117" s="18"/>
      <c r="P117" s="18" t="str">
        <f t="shared" si="21"/>
        <v/>
      </c>
    </row>
    <row r="118" spans="1:16">
      <c r="A118" s="20">
        <f t="shared" si="22"/>
        <v>117</v>
      </c>
      <c r="B118" s="21">
        <v>18</v>
      </c>
      <c r="C118" s="20" t="str" cm="1">
        <f t="array" ref="C118">GetValue("Tbl",B118,"Alias")</f>
        <v>Idk</v>
      </c>
      <c r="D118" s="20">
        <v>61</v>
      </c>
      <c r="E118" s="20" t="e" cm="1">
        <f t="array" ref="E118">GetValue("Dmn",D118,"Name")</f>
        <v>#VALUE!</v>
      </c>
      <c r="F118" s="20">
        <f>IF(G118="Id",5,#REF!+5)</f>
        <v>5</v>
      </c>
      <c r="G118" s="20" t="s">
        <v>0</v>
      </c>
      <c r="H118" s="20" t="s">
        <v>656</v>
      </c>
      <c r="I118" s="20" t="s">
        <v>0</v>
      </c>
      <c r="J118" s="20" t="b">
        <f t="shared" si="27"/>
        <v>1</v>
      </c>
      <c r="K118" s="20" t="b">
        <f t="shared" si="27"/>
        <v>1</v>
      </c>
      <c r="L118" s="20" t="b">
        <f t="shared" si="28"/>
        <v>0</v>
      </c>
      <c r="M118" s="20" t="b">
        <f t="shared" si="28"/>
        <v>0</v>
      </c>
      <c r="N118" s="20"/>
      <c r="O118" s="20"/>
      <c r="P118" s="20" t="b">
        <f t="shared" si="21"/>
        <v>0</v>
      </c>
    </row>
    <row r="119" spans="1:16">
      <c r="A119" s="20">
        <f t="shared" si="22"/>
        <v>118</v>
      </c>
      <c r="B119" s="21">
        <v>18</v>
      </c>
      <c r="C119" s="20" t="str" cm="1">
        <f t="array" ref="C119">GetValue("Tbl",B119,"Alias")</f>
        <v>Idk</v>
      </c>
      <c r="D119" s="20">
        <v>1</v>
      </c>
      <c r="E119" s="20" t="str" cm="1">
        <f t="array" ref="E119">GetValue("Dmn",D119,"Name")</f>
        <v>BigInteger</v>
      </c>
      <c r="F119" s="20">
        <f t="shared" si="18"/>
        <v>10</v>
      </c>
      <c r="G119" s="20" t="s">
        <v>123</v>
      </c>
      <c r="H119" s="20" t="s">
        <v>653</v>
      </c>
      <c r="I119" s="20" t="s">
        <v>647</v>
      </c>
      <c r="J119" s="20" t="str">
        <f t="shared" si="27"/>
        <v/>
      </c>
      <c r="K119" s="20" t="str">
        <f t="shared" si="27"/>
        <v/>
      </c>
      <c r="L119" s="20" t="str">
        <f t="shared" si="28"/>
        <v/>
      </c>
      <c r="M119" s="20" t="str">
        <f t="shared" si="28"/>
        <v/>
      </c>
      <c r="N119" s="20"/>
      <c r="O119" s="20"/>
      <c r="P119" s="20" t="str">
        <f t="shared" si="21"/>
        <v/>
      </c>
    </row>
    <row r="120" spans="1:16">
      <c r="A120" s="18">
        <f t="shared" si="22"/>
        <v>119</v>
      </c>
      <c r="B120" s="19">
        <v>19</v>
      </c>
      <c r="C120" s="18" t="str" cm="1">
        <f t="array" ref="C120">GetValue("Tbl",B120,"Alias")</f>
        <v>Inc</v>
      </c>
      <c r="D120" s="18">
        <v>1</v>
      </c>
      <c r="E120" s="18" t="str" cm="1">
        <f t="array" ref="E120">GetValue("Dmn",D120,"Name")</f>
        <v>BigInteger</v>
      </c>
      <c r="F120" s="18">
        <f t="shared" si="18"/>
        <v>15</v>
      </c>
      <c r="G120" s="18" t="s">
        <v>124</v>
      </c>
      <c r="H120" s="18" t="s">
        <v>654</v>
      </c>
      <c r="I120" s="18" t="s">
        <v>655</v>
      </c>
      <c r="J120" s="18" t="str">
        <f t="shared" si="27"/>
        <v/>
      </c>
      <c r="K120" s="18" t="str">
        <f t="shared" si="27"/>
        <v/>
      </c>
      <c r="L120" s="18" t="str">
        <f t="shared" si="28"/>
        <v/>
      </c>
      <c r="M120" s="18" t="str">
        <f t="shared" si="28"/>
        <v/>
      </c>
      <c r="N120" s="18"/>
      <c r="O120" s="18"/>
      <c r="P120" s="18" t="str">
        <f t="shared" si="21"/>
        <v/>
      </c>
    </row>
    <row r="121" spans="1:16">
      <c r="A121" s="18">
        <f t="shared" si="22"/>
        <v>120</v>
      </c>
      <c r="B121" s="19">
        <v>19</v>
      </c>
      <c r="C121" s="18" t="str" cm="1">
        <f t="array" ref="C121">GetValue("Tbl",B121,"Alias")</f>
        <v>Inc</v>
      </c>
      <c r="D121" s="18">
        <v>1</v>
      </c>
      <c r="E121" s="18" t="str" cm="1">
        <f t="array" ref="E121">GetValue("Dmn",D121,"Name")</f>
        <v>BigInteger</v>
      </c>
      <c r="F121" s="18">
        <f t="shared" ref="F121:F135" si="31">IF(G121="Id",5,F120+5)</f>
        <v>5</v>
      </c>
      <c r="G121" s="18" t="s">
        <v>0</v>
      </c>
      <c r="H121" s="18" t="s">
        <v>198</v>
      </c>
      <c r="I121" s="18" t="s">
        <v>0</v>
      </c>
      <c r="J121" s="18" t="b">
        <f t="shared" si="27"/>
        <v>1</v>
      </c>
      <c r="K121" s="18" t="b">
        <f t="shared" si="27"/>
        <v>1</v>
      </c>
      <c r="L121" s="18" t="b">
        <f t="shared" si="28"/>
        <v>0</v>
      </c>
      <c r="M121" s="18" t="b">
        <f t="shared" si="28"/>
        <v>0</v>
      </c>
      <c r="N121" s="18"/>
      <c r="O121" s="18"/>
      <c r="P121" s="18" t="b">
        <f t="shared" si="21"/>
        <v>0</v>
      </c>
    </row>
    <row r="122" spans="1:16">
      <c r="A122" s="18">
        <f t="shared" si="22"/>
        <v>121</v>
      </c>
      <c r="B122" s="19">
        <v>19</v>
      </c>
      <c r="C122" s="18" t="str" cm="1">
        <f t="array" ref="C122">GetValue("Tbl",B122,"Alias")</f>
        <v>Inc</v>
      </c>
      <c r="D122" s="18">
        <v>1</v>
      </c>
      <c r="E122" s="18" t="str" cm="1">
        <f t="array" ref="E122">GetValue("Dmn",D122,"Name")</f>
        <v>BigInteger</v>
      </c>
      <c r="F122" s="18">
        <f t="shared" si="31"/>
        <v>10</v>
      </c>
      <c r="G122" s="18" t="s">
        <v>199</v>
      </c>
      <c r="H122" s="18" t="s">
        <v>657</v>
      </c>
      <c r="I122" s="18" t="s">
        <v>201</v>
      </c>
      <c r="J122" s="18" t="str">
        <f t="shared" si="27"/>
        <v/>
      </c>
      <c r="K122" s="18" t="str">
        <f t="shared" si="27"/>
        <v/>
      </c>
      <c r="L122" s="18" t="str">
        <f t="shared" si="28"/>
        <v/>
      </c>
      <c r="M122" s="18" t="str">
        <f t="shared" si="28"/>
        <v/>
      </c>
      <c r="N122" s="18"/>
      <c r="O122" s="18"/>
      <c r="P122" s="18" t="str">
        <f t="shared" si="21"/>
        <v/>
      </c>
    </row>
    <row r="123" spans="1:16">
      <c r="A123" s="18">
        <f t="shared" si="22"/>
        <v>122</v>
      </c>
      <c r="B123" s="19">
        <v>19</v>
      </c>
      <c r="C123" s="18" t="str" cm="1">
        <f t="array" ref="C123">GetValue("Tbl",B123,"Alias")</f>
        <v>Inc</v>
      </c>
      <c r="D123" s="18">
        <v>1</v>
      </c>
      <c r="E123" s="18" t="str" cm="1">
        <f t="array" ref="E123">GetValue("Dmn",D123,"Name")</f>
        <v>BigInteger</v>
      </c>
      <c r="F123" s="18">
        <f t="shared" si="31"/>
        <v>15</v>
      </c>
      <c r="G123" s="18" t="s">
        <v>200</v>
      </c>
      <c r="H123" s="18" t="s">
        <v>658</v>
      </c>
      <c r="I123" s="18" t="s">
        <v>202</v>
      </c>
      <c r="J123" s="18" t="str">
        <f t="shared" si="27"/>
        <v/>
      </c>
      <c r="K123" s="18" t="str">
        <f t="shared" si="27"/>
        <v/>
      </c>
      <c r="L123" s="18" t="str">
        <f t="shared" si="28"/>
        <v/>
      </c>
      <c r="M123" s="18" t="str">
        <f t="shared" si="28"/>
        <v/>
      </c>
      <c r="N123" s="18"/>
      <c r="O123" s="18"/>
      <c r="P123" s="18" t="str">
        <f t="shared" si="21"/>
        <v/>
      </c>
    </row>
    <row r="124" spans="1:16">
      <c r="A124" s="18">
        <f t="shared" si="22"/>
        <v>123</v>
      </c>
      <c r="B124" s="19">
        <v>19</v>
      </c>
      <c r="C124" s="18" t="str" cm="1">
        <f t="array" ref="C124">GetValue("Tbl",B124,"Alias")</f>
        <v>Inc</v>
      </c>
      <c r="D124" s="18">
        <v>21</v>
      </c>
      <c r="E124" s="18" t="str" cm="1">
        <f t="array" ref="E124">GetValue("Dmn",D124,"Name")</f>
        <v>Char(1)</v>
      </c>
      <c r="F124" s="18">
        <f t="shared" si="31"/>
        <v>20</v>
      </c>
      <c r="G124" s="18" t="s">
        <v>651</v>
      </c>
      <c r="H124" s="18" t="s">
        <v>652</v>
      </c>
      <c r="I124" s="18" t="s">
        <v>207</v>
      </c>
      <c r="J124" s="18" t="str">
        <f t="shared" si="27"/>
        <v/>
      </c>
      <c r="K124" s="18" t="str">
        <f t="shared" si="27"/>
        <v/>
      </c>
      <c r="L124" s="18" t="str">
        <f t="shared" si="28"/>
        <v/>
      </c>
      <c r="M124" s="18" t="str">
        <f t="shared" si="28"/>
        <v/>
      </c>
      <c r="N124" s="18"/>
      <c r="O124" s="18"/>
      <c r="P124" s="18" t="str">
        <f t="shared" si="21"/>
        <v/>
      </c>
    </row>
    <row r="125" spans="1:16">
      <c r="A125" s="20">
        <f t="shared" si="22"/>
        <v>124</v>
      </c>
      <c r="B125" s="21">
        <v>20</v>
      </c>
      <c r="C125" s="20" t="str" cm="1">
        <f t="array" ref="C125">GetValue("Tbl",B125,"Alias")</f>
        <v>Uni</v>
      </c>
      <c r="D125" s="20">
        <v>61</v>
      </c>
      <c r="E125" s="20" t="e" cm="1">
        <f t="array" ref="E125">GetValue("Dmn",D125,"Name")</f>
        <v>#VALUE!</v>
      </c>
      <c r="F125" s="20">
        <f t="shared" si="31"/>
        <v>5</v>
      </c>
      <c r="G125" s="20" t="s">
        <v>0</v>
      </c>
      <c r="H125" s="20" t="s">
        <v>660</v>
      </c>
      <c r="I125" s="20" t="s">
        <v>0</v>
      </c>
      <c r="J125" s="20" t="b">
        <f t="shared" si="27"/>
        <v>1</v>
      </c>
      <c r="K125" s="20" t="b">
        <f t="shared" si="27"/>
        <v>1</v>
      </c>
      <c r="L125" s="20" t="b">
        <f t="shared" si="28"/>
        <v>0</v>
      </c>
      <c r="M125" s="20" t="b">
        <f t="shared" si="28"/>
        <v>0</v>
      </c>
      <c r="N125" s="20"/>
      <c r="O125" s="20"/>
      <c r="P125" s="20" t="b">
        <f t="shared" si="21"/>
        <v>0</v>
      </c>
    </row>
    <row r="126" spans="1:16">
      <c r="A126" s="20">
        <f t="shared" si="22"/>
        <v>125</v>
      </c>
      <c r="B126" s="21">
        <v>20</v>
      </c>
      <c r="C126" s="20" t="str" cm="1">
        <f t="array" ref="C126">GetValue("Tbl",B126,"Alias")</f>
        <v>Uni</v>
      </c>
      <c r="D126" s="20">
        <v>1</v>
      </c>
      <c r="E126" s="20" t="str" cm="1">
        <f t="array" ref="E126">GetValue("Dmn",D126,"Name")</f>
        <v>BigInteger</v>
      </c>
      <c r="F126" s="20">
        <f t="shared" si="31"/>
        <v>10</v>
      </c>
      <c r="G126" s="20" t="s">
        <v>97</v>
      </c>
      <c r="H126" s="20" t="s">
        <v>661</v>
      </c>
      <c r="I126" s="20" t="s">
        <v>119</v>
      </c>
      <c r="J126" s="20" t="str">
        <f t="shared" si="27"/>
        <v/>
      </c>
      <c r="K126" s="20" t="str">
        <f t="shared" si="27"/>
        <v/>
      </c>
      <c r="L126" s="20" t="str">
        <f t="shared" si="28"/>
        <v/>
      </c>
      <c r="M126" s="20" t="str">
        <f t="shared" si="28"/>
        <v/>
      </c>
      <c r="N126" s="20"/>
      <c r="O126" s="20"/>
      <c r="P126" s="20" t="str">
        <f t="shared" si="21"/>
        <v/>
      </c>
    </row>
    <row r="127" spans="1:16">
      <c r="A127" s="20">
        <f t="shared" si="22"/>
        <v>126</v>
      </c>
      <c r="B127" s="21">
        <v>20</v>
      </c>
      <c r="C127" s="20" t="str" cm="1">
        <f t="array" ref="C127">GetValue("Tbl",B127,"Alias")</f>
        <v>Uni</v>
      </c>
      <c r="D127" s="20">
        <v>6</v>
      </c>
      <c r="E127" s="20" t="str" cm="1">
        <f t="array" ref="E127">GetValue("Dmn",D127,"Name")</f>
        <v>Boolean</v>
      </c>
      <c r="F127" s="20">
        <f t="shared" si="31"/>
        <v>15</v>
      </c>
      <c r="G127" s="20" t="s">
        <v>1</v>
      </c>
      <c r="H127" s="20" t="s">
        <v>662</v>
      </c>
      <c r="I127" s="20" t="s">
        <v>99</v>
      </c>
      <c r="J127" s="20" t="str">
        <f t="shared" si="27"/>
        <v/>
      </c>
      <c r="K127" s="20" t="str">
        <f t="shared" si="27"/>
        <v/>
      </c>
      <c r="L127" s="20" t="str">
        <f t="shared" si="28"/>
        <v/>
      </c>
      <c r="M127" s="20" t="str">
        <f t="shared" si="28"/>
        <v/>
      </c>
      <c r="N127" s="20"/>
      <c r="O127" s="20"/>
      <c r="P127" s="20" t="str">
        <f t="shared" si="21"/>
        <v/>
      </c>
    </row>
    <row r="128" spans="1:16">
      <c r="A128" s="18">
        <f t="shared" si="22"/>
        <v>127</v>
      </c>
      <c r="B128" s="19">
        <v>21</v>
      </c>
      <c r="C128" s="18" t="str" cm="1">
        <f t="array" ref="C128">GetValue("Tbl",B128,"Alias")</f>
        <v>Exp</v>
      </c>
      <c r="D128" s="18">
        <v>61</v>
      </c>
      <c r="E128" s="18" t="e" cm="1">
        <f t="array" ref="E128">GetValue("Dmn",D128,"Name")</f>
        <v>#VALUE!</v>
      </c>
      <c r="F128" s="18">
        <f t="shared" si="31"/>
        <v>5</v>
      </c>
      <c r="G128" s="18" t="s">
        <v>0</v>
      </c>
      <c r="H128" s="18" t="s">
        <v>663</v>
      </c>
      <c r="I128" s="18" t="s">
        <v>0</v>
      </c>
      <c r="J128" s="18" t="b">
        <f t="shared" si="27"/>
        <v>1</v>
      </c>
      <c r="K128" s="18" t="b">
        <f t="shared" si="27"/>
        <v>1</v>
      </c>
      <c r="L128" s="18" t="b">
        <f t="shared" si="28"/>
        <v>0</v>
      </c>
      <c r="M128" s="18" t="b">
        <f t="shared" si="28"/>
        <v>0</v>
      </c>
      <c r="N128" s="18"/>
      <c r="O128" s="18"/>
      <c r="P128" s="18" t="b">
        <f t="shared" si="21"/>
        <v>0</v>
      </c>
    </row>
    <row r="129" spans="1:16">
      <c r="A129" s="18">
        <f t="shared" si="22"/>
        <v>128</v>
      </c>
      <c r="B129" s="19">
        <v>21</v>
      </c>
      <c r="C129" s="18" t="str" cm="1">
        <f t="array" ref="C129">GetValue("Tbl",B129,"Alias")</f>
        <v>Exp</v>
      </c>
      <c r="D129" s="18">
        <v>1</v>
      </c>
      <c r="E129" s="18" t="str" cm="1">
        <f t="array" ref="E129">GetValue("Dmn",D129,"Name")</f>
        <v>BigInteger</v>
      </c>
      <c r="F129" s="18">
        <f t="shared" si="31"/>
        <v>10</v>
      </c>
      <c r="G129" s="18" t="s">
        <v>500</v>
      </c>
      <c r="H129" s="18" t="s">
        <v>660</v>
      </c>
      <c r="I129" s="18" t="s">
        <v>665</v>
      </c>
      <c r="J129" s="18" t="str">
        <f t="shared" si="27"/>
        <v/>
      </c>
      <c r="K129" s="18" t="str">
        <f t="shared" si="27"/>
        <v/>
      </c>
      <c r="L129" s="18" t="str">
        <f t="shared" si="28"/>
        <v/>
      </c>
      <c r="M129" s="18" t="str">
        <f t="shared" si="28"/>
        <v/>
      </c>
      <c r="N129" s="18"/>
      <c r="O129" s="18"/>
      <c r="P129" s="18" t="str">
        <f t="shared" si="21"/>
        <v/>
      </c>
    </row>
    <row r="130" spans="1:16">
      <c r="A130" s="18">
        <f t="shared" si="22"/>
        <v>129</v>
      </c>
      <c r="B130" s="19">
        <v>21</v>
      </c>
      <c r="C130" s="18" t="str" cm="1">
        <f t="array" ref="C130">GetValue("Tbl",B130,"Alias")</f>
        <v>Exp</v>
      </c>
      <c r="D130" s="18">
        <v>1</v>
      </c>
      <c r="E130" s="18" t="str" cm="1">
        <f t="array" ref="E130">GetValue("Dmn",D130,"Name")</f>
        <v>BigInteger</v>
      </c>
      <c r="F130" s="18">
        <f t="shared" si="31"/>
        <v>15</v>
      </c>
      <c r="G130" s="18" t="s">
        <v>70</v>
      </c>
      <c r="H130" s="18" t="s">
        <v>664</v>
      </c>
      <c r="I130" s="18" t="s">
        <v>113</v>
      </c>
      <c r="J130" s="18" t="str">
        <f t="shared" si="27"/>
        <v/>
      </c>
      <c r="K130" s="18" t="str">
        <f t="shared" si="27"/>
        <v/>
      </c>
      <c r="L130" s="18" t="str">
        <f t="shared" si="28"/>
        <v/>
      </c>
      <c r="M130" s="18" t="str">
        <f t="shared" si="28"/>
        <v/>
      </c>
      <c r="N130" s="18"/>
      <c r="O130" s="18"/>
      <c r="P130" s="18" t="str">
        <f t="shared" si="21"/>
        <v/>
      </c>
    </row>
    <row r="131" spans="1:16">
      <c r="A131" s="18">
        <f t="shared" si="22"/>
        <v>130</v>
      </c>
      <c r="B131" s="19">
        <v>21</v>
      </c>
      <c r="C131" s="18" t="str" cm="1">
        <f t="array" ref="C131">GetValue("Tbl",B131,"Alias")</f>
        <v>Exp</v>
      </c>
      <c r="D131" s="18">
        <v>1</v>
      </c>
      <c r="E131" s="18" t="str" cm="1">
        <f t="array" ref="E131">GetValue("Dmn",D131,"Name")</f>
        <v>BigInteger</v>
      </c>
      <c r="F131" s="18">
        <f t="shared" si="31"/>
        <v>20</v>
      </c>
      <c r="G131" s="18" t="s">
        <v>671</v>
      </c>
      <c r="H131" s="18" t="s">
        <v>672</v>
      </c>
      <c r="I131" s="18" t="s">
        <v>673</v>
      </c>
      <c r="J131" s="18" t="str">
        <f t="shared" si="27"/>
        <v/>
      </c>
      <c r="K131" s="18" t="str">
        <f t="shared" si="27"/>
        <v/>
      </c>
      <c r="L131" s="18" t="str">
        <f t="shared" si="28"/>
        <v/>
      </c>
      <c r="M131" s="18" t="str">
        <f t="shared" si="28"/>
        <v/>
      </c>
      <c r="N131" s="18"/>
      <c r="O131" s="18"/>
      <c r="P131" s="18" t="str">
        <f t="shared" si="21"/>
        <v/>
      </c>
    </row>
    <row r="132" spans="1:16">
      <c r="A132" s="18">
        <f t="shared" si="22"/>
        <v>131</v>
      </c>
      <c r="B132" s="19">
        <v>21</v>
      </c>
      <c r="C132" s="18" t="str" cm="1">
        <f t="array" ref="C132">GetValue("Tbl",B132,"Alias")</f>
        <v>Exp</v>
      </c>
      <c r="D132" s="18">
        <v>51</v>
      </c>
      <c r="E132" s="18" t="e" cm="1">
        <f t="array" ref="E132">GetValue("Dmn",D132,"Name")</f>
        <v>#VALUE!</v>
      </c>
      <c r="F132" s="18">
        <f t="shared" si="31"/>
        <v>25</v>
      </c>
      <c r="G132" s="18" t="s">
        <v>484</v>
      </c>
      <c r="H132" s="18" t="s">
        <v>667</v>
      </c>
      <c r="I132" s="18" t="s">
        <v>666</v>
      </c>
      <c r="J132" s="18" t="str">
        <f t="shared" si="27"/>
        <v/>
      </c>
      <c r="K132" s="18" t="str">
        <f t="shared" si="27"/>
        <v/>
      </c>
      <c r="L132" s="18" t="str">
        <f t="shared" si="28"/>
        <v/>
      </c>
      <c r="M132" s="18" t="str">
        <f t="shared" si="28"/>
        <v/>
      </c>
      <c r="N132" s="18"/>
      <c r="O132" s="18"/>
      <c r="P132" s="18" t="str">
        <f t="shared" si="21"/>
        <v/>
      </c>
    </row>
    <row r="133" spans="1:16">
      <c r="A133" s="18">
        <f t="shared" si="22"/>
        <v>132</v>
      </c>
      <c r="B133" s="19">
        <v>21</v>
      </c>
      <c r="C133" s="18" t="str" cm="1">
        <f t="array" ref="C133">GetValue("Tbl",B133,"Alias")</f>
        <v>Exp</v>
      </c>
      <c r="D133" s="18">
        <v>52</v>
      </c>
      <c r="E133" s="18" t="e" cm="1">
        <f t="array" ref="E133">GetValue("Dmn",D133,"Name")</f>
        <v>#VALUE!</v>
      </c>
      <c r="F133" s="18">
        <f t="shared" si="31"/>
        <v>30</v>
      </c>
      <c r="G133" s="18" t="s">
        <v>542</v>
      </c>
      <c r="H133" s="18" t="s">
        <v>668</v>
      </c>
      <c r="I133" s="18" t="s">
        <v>668</v>
      </c>
      <c r="J133" s="18" t="str">
        <f t="shared" si="27"/>
        <v/>
      </c>
      <c r="K133" s="18" t="str">
        <f t="shared" si="27"/>
        <v/>
      </c>
      <c r="L133" s="18" t="str">
        <f t="shared" si="28"/>
        <v/>
      </c>
      <c r="M133" s="18" t="str">
        <f t="shared" si="28"/>
        <v/>
      </c>
      <c r="N133" s="18"/>
      <c r="O133" s="18"/>
      <c r="P133" s="18" t="str">
        <f t="shared" ref="P133:P137" si="32">IF($G133="Id",FALSE,"")</f>
        <v/>
      </c>
    </row>
    <row r="134" spans="1:16">
      <c r="A134" s="18">
        <f t="shared" si="22"/>
        <v>133</v>
      </c>
      <c r="B134" s="19">
        <v>21</v>
      </c>
      <c r="C134" s="18" t="str" cm="1">
        <f t="array" ref="C134">GetValue("Tbl",B134,"Alias")</f>
        <v>Exp</v>
      </c>
      <c r="D134" s="18">
        <v>51</v>
      </c>
      <c r="E134" s="18" t="e" cm="1">
        <f t="array" ref="E134">GetValue("Dmn",D134,"Name")</f>
        <v>#VALUE!</v>
      </c>
      <c r="F134" s="18">
        <f t="shared" si="31"/>
        <v>35</v>
      </c>
      <c r="G134" s="18" t="s">
        <v>403</v>
      </c>
      <c r="H134" s="18" t="s">
        <v>669</v>
      </c>
      <c r="I134" s="18" t="s">
        <v>670</v>
      </c>
      <c r="J134" s="18" t="str">
        <f t="shared" si="27"/>
        <v/>
      </c>
      <c r="K134" s="18" t="str">
        <f t="shared" si="27"/>
        <v/>
      </c>
      <c r="L134" s="18" t="str">
        <f t="shared" si="28"/>
        <v/>
      </c>
      <c r="M134" s="18" t="str">
        <f t="shared" si="28"/>
        <v/>
      </c>
      <c r="N134" s="18"/>
      <c r="O134" s="18"/>
      <c r="P134" s="18" t="str">
        <f t="shared" si="32"/>
        <v/>
      </c>
    </row>
    <row r="135" spans="1:16">
      <c r="A135" s="18">
        <f t="shared" si="22"/>
        <v>134</v>
      </c>
      <c r="B135" s="19">
        <v>21</v>
      </c>
      <c r="C135" s="18" t="str" cm="1">
        <f t="array" ref="C135">GetValue("Tbl",B135,"Alias")</f>
        <v>Exp</v>
      </c>
      <c r="D135" s="18">
        <v>1</v>
      </c>
      <c r="E135" s="18" t="str" cm="1">
        <f t="array" ref="E135">GetValue("Dmn",D135,"Name")</f>
        <v>BigInteger</v>
      </c>
      <c r="F135" s="18">
        <f t="shared" si="31"/>
        <v>40</v>
      </c>
      <c r="G135" s="18" t="s">
        <v>674</v>
      </c>
      <c r="H135" s="18" t="s">
        <v>675</v>
      </c>
      <c r="I135" s="18" t="s">
        <v>676</v>
      </c>
      <c r="J135" s="18" t="str">
        <f t="shared" si="27"/>
        <v/>
      </c>
      <c r="K135" s="18" t="str">
        <f t="shared" si="27"/>
        <v/>
      </c>
      <c r="L135" s="18" t="str">
        <f t="shared" si="28"/>
        <v/>
      </c>
      <c r="M135" s="18" t="str">
        <f t="shared" si="28"/>
        <v/>
      </c>
      <c r="N135" s="18"/>
      <c r="O135" s="18"/>
      <c r="P135" s="18" t="str">
        <f t="shared" si="32"/>
        <v/>
      </c>
    </row>
    <row r="136" spans="1:16">
      <c r="A136" s="18">
        <f t="shared" si="22"/>
        <v>135</v>
      </c>
      <c r="B136" s="19">
        <v>21</v>
      </c>
      <c r="C136" s="18" t="str" cm="1">
        <f t="array" ref="C136">GetValue("Tbl",B136,"Alias")</f>
        <v>Exp</v>
      </c>
      <c r="D136" s="18">
        <v>42</v>
      </c>
      <c r="E136" s="18" t="str" cm="1">
        <f t="array" ref="E136">GetValue("Dmn",D136,"Name")</f>
        <v>Variant</v>
      </c>
      <c r="F136" s="18">
        <f t="shared" ref="F136:F137" si="33">IF(G136="Id",5,F135+5)</f>
        <v>45</v>
      </c>
      <c r="G136" s="18" t="s">
        <v>680</v>
      </c>
      <c r="H136" s="18" t="s">
        <v>681</v>
      </c>
      <c r="I136" s="18" t="s">
        <v>682</v>
      </c>
      <c r="J136" s="18" t="str">
        <f t="shared" si="27"/>
        <v/>
      </c>
      <c r="K136" s="18" t="str">
        <f t="shared" si="27"/>
        <v/>
      </c>
      <c r="L136" s="18" t="str">
        <f t="shared" si="28"/>
        <v/>
      </c>
      <c r="M136" s="18" t="str">
        <f t="shared" si="28"/>
        <v/>
      </c>
      <c r="N136" s="18"/>
      <c r="O136" s="18"/>
      <c r="P136" s="18" t="str">
        <f t="shared" si="32"/>
        <v/>
      </c>
    </row>
    <row r="137" spans="1:16">
      <c r="A137" s="18">
        <f t="shared" si="22"/>
        <v>136</v>
      </c>
      <c r="B137" s="19">
        <v>21</v>
      </c>
      <c r="C137" s="18" t="str" cm="1">
        <f t="array" ref="C137">GetValue("Tbl",B137,"Alias")</f>
        <v>Exp</v>
      </c>
      <c r="D137" s="18">
        <v>53</v>
      </c>
      <c r="E137" s="18" t="e" cm="1">
        <f t="array" ref="E137">GetValue("Dmn",D137,"Name")</f>
        <v>#VALUE!</v>
      </c>
      <c r="F137" s="18">
        <f t="shared" si="33"/>
        <v>50</v>
      </c>
      <c r="G137" s="18" t="s">
        <v>543</v>
      </c>
      <c r="H137" s="18" t="s">
        <v>683</v>
      </c>
      <c r="I137" s="18" t="s">
        <v>683</v>
      </c>
      <c r="J137" s="18" t="str">
        <f t="shared" si="27"/>
        <v/>
      </c>
      <c r="K137" s="18" t="str">
        <f t="shared" si="27"/>
        <v/>
      </c>
      <c r="L137" s="18" t="str">
        <f t="shared" si="28"/>
        <v/>
      </c>
      <c r="M137" s="18" t="str">
        <f t="shared" si="28"/>
        <v/>
      </c>
      <c r="N137" s="18"/>
      <c r="O137" s="18"/>
      <c r="P137" s="18" t="str">
        <f t="shared" si="32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 G17 F25:G25 F45:G45 G40 G57 G63 F41 G69 G74 F80:G80 F87:G87 F94:G94 F100:G100 F114:G114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230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231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208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225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226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226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226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226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226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226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226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226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226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226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226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226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226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Decimals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Length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Default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ListValues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DomainId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MaskId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Name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Description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DatabaseId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Name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Description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ParentMenuId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Description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CurrentId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Decimals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Length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Default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ListValues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Id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DomainId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MaskId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Name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Description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DatabaseId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Name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Description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ParentMenuId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Description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CurrentId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199</v>
      </c>
      <c r="C1" s="1" t="s">
        <v>203</v>
      </c>
      <c r="D1" s="1" t="s">
        <v>205</v>
      </c>
      <c r="E1" s="1" t="s">
        <v>200</v>
      </c>
      <c r="F1" s="1" t="s">
        <v>204</v>
      </c>
      <c r="G1" s="1" t="s">
        <v>206</v>
      </c>
      <c r="H1" s="1" t="s">
        <v>651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Id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659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500</v>
      </c>
      <c r="C1" s="1" t="s">
        <v>70</v>
      </c>
      <c r="D1" s="1" t="s">
        <v>671</v>
      </c>
      <c r="E1" s="1" t="s">
        <v>484</v>
      </c>
      <c r="F1" s="1" t="s">
        <v>542</v>
      </c>
      <c r="G1" s="1" t="s">
        <v>678</v>
      </c>
      <c r="H1" s="1" t="s">
        <v>403</v>
      </c>
      <c r="I1" s="16" t="s">
        <v>674</v>
      </c>
      <c r="J1" s="1" t="s">
        <v>677</v>
      </c>
      <c r="K1" s="1" t="s">
        <v>679</v>
      </c>
      <c r="L1" s="1" t="s">
        <v>543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482</v>
      </c>
      <c r="G2" t="e" cm="1">
        <f t="array" ref="G2">GetValue("Col",D2,"#TableName")&amp;"-"&amp;GetValue("Col",D2,"Name")</f>
        <v>#VALUE!</v>
      </c>
      <c r="H2" s="6" t="s">
        <v>405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485</v>
      </c>
      <c r="G3" t="e" cm="1">
        <f t="array" ref="G3">GetValue("Col",D3,"#TableName")&amp;"-"&amp;GetValue("Col",D3,"Name")</f>
        <v>#VALUE!</v>
      </c>
      <c r="H3" s="6" t="s">
        <v>404</v>
      </c>
      <c r="J3" t="str" cm="1">
        <f t="array" ref="J3">GetValue("Col",I3,"#TableName")&amp;IF(I3="","","-"&amp;GetValue("Col",I3,"Name"))</f>
        <v/>
      </c>
      <c r="K3">
        <v>20</v>
      </c>
      <c r="L3" s="6" t="s">
        <v>483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486</v>
      </c>
      <c r="F4" s="6" t="s">
        <v>482</v>
      </c>
      <c r="G4" t="e" cm="1">
        <f t="array" ref="G4">GetValue("Col",D4,"#TableName")&amp;"-"&amp;GetValue("Col",D4,"Name")</f>
        <v>#VALUE!</v>
      </c>
      <c r="H4" s="6" t="s">
        <v>487</v>
      </c>
      <c r="J4" t="str" cm="1">
        <f t="array" ref="J4">GetValue("Col",I4,"#TableName")&amp;IF(I4="","","-"&amp;GetValue("Col",I4,"Name"))</f>
        <v/>
      </c>
      <c r="K4">
        <v>100</v>
      </c>
      <c r="L4" s="6" t="s">
        <v>483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514</v>
      </c>
      <c r="F1" s="1" t="s">
        <v>526</v>
      </c>
      <c r="G1" s="1" t="s">
        <v>733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AskDefault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451</v>
      </c>
      <c r="C1" s="1" t="s">
        <v>355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478</v>
      </c>
      <c r="I1" s="1" t="s">
        <v>479</v>
      </c>
      <c r="J1" s="1" t="s">
        <v>480</v>
      </c>
      <c r="K1" s="1" t="s">
        <v>481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8" sqref="D8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406</v>
      </c>
      <c r="C2" s="10"/>
      <c r="D2" s="10" t="str" cm="1">
        <f t="array" ref="D2">GetValue("Cat",C2,"Name")</f>
        <v/>
      </c>
      <c r="E2" s="10" t="s">
        <v>435</v>
      </c>
      <c r="F2" t="b">
        <v>1</v>
      </c>
    </row>
    <row r="3" spans="1:6">
      <c r="A3" s="10">
        <f t="shared" ref="A3:A20" si="0">ROW(A3)-1</f>
        <v>2</v>
      </c>
      <c r="B3" s="10" t="s">
        <v>407</v>
      </c>
      <c r="C3" s="10"/>
      <c r="D3" s="10" t="str" cm="1">
        <f t="array" ref="D3">GetValue("Cat",C3,"Name")</f>
        <v/>
      </c>
      <c r="E3" s="10" t="s">
        <v>436</v>
      </c>
      <c r="F3" t="b">
        <v>1</v>
      </c>
    </row>
    <row r="4" spans="1:6">
      <c r="A4" s="10">
        <f t="shared" si="0"/>
        <v>3</v>
      </c>
      <c r="B4" s="10" t="s">
        <v>408</v>
      </c>
      <c r="C4" s="10"/>
      <c r="D4" s="10" t="str" cm="1">
        <f t="array" ref="D4">GetValue("Cat",C4,"Name")</f>
        <v/>
      </c>
      <c r="E4" s="10" t="s">
        <v>437</v>
      </c>
      <c r="F4" t="b">
        <v>1</v>
      </c>
    </row>
    <row r="5" spans="1:6">
      <c r="A5" s="10">
        <f t="shared" si="0"/>
        <v>4</v>
      </c>
      <c r="B5" s="10" t="s">
        <v>409</v>
      </c>
      <c r="C5" s="10"/>
      <c r="D5" s="10" t="str" cm="1">
        <f t="array" ref="D5">GetValue("Cat",C5,"Name")</f>
        <v/>
      </c>
      <c r="E5" s="10" t="s">
        <v>438</v>
      </c>
      <c r="F5" t="b">
        <v>1</v>
      </c>
    </row>
    <row r="6" spans="1:6">
      <c r="A6" s="10">
        <f t="shared" si="0"/>
        <v>5</v>
      </c>
      <c r="B6" s="10" t="s">
        <v>410</v>
      </c>
      <c r="C6" s="10"/>
      <c r="D6" s="10" t="str" cm="1">
        <f t="array" ref="D6">GetValue("Cat",C6,"Name")</f>
        <v/>
      </c>
      <c r="E6" s="10" t="s">
        <v>439</v>
      </c>
      <c r="F6" t="b">
        <v>1</v>
      </c>
    </row>
    <row r="7" spans="1:6">
      <c r="A7" s="10">
        <f t="shared" si="0"/>
        <v>6</v>
      </c>
      <c r="B7" s="10" t="s">
        <v>411</v>
      </c>
      <c r="C7" s="10"/>
      <c r="D7" s="10" t="str" cm="1">
        <f t="array" ref="D7">GetValue("Cat",C7,"Name")</f>
        <v/>
      </c>
      <c r="E7" s="10" t="s">
        <v>440</v>
      </c>
      <c r="F7" t="b">
        <v>1</v>
      </c>
    </row>
    <row r="8" spans="1:6">
      <c r="A8" s="10">
        <f t="shared" si="0"/>
        <v>7</v>
      </c>
      <c r="B8" s="10" t="s">
        <v>412</v>
      </c>
      <c r="C8" s="10">
        <v>10</v>
      </c>
      <c r="D8" s="10" t="str" cm="1">
        <f t="array" ref="D8">GetValue("Cat",C8,"Name")</f>
        <v>undefined</v>
      </c>
      <c r="E8" s="10" t="s">
        <v>441</v>
      </c>
      <c r="F8" t="b">
        <v>1</v>
      </c>
    </row>
    <row r="9" spans="1:6">
      <c r="A9" s="10">
        <f t="shared" si="0"/>
        <v>8</v>
      </c>
      <c r="B9" s="10" t="s">
        <v>413</v>
      </c>
      <c r="C9" s="10">
        <v>1</v>
      </c>
      <c r="D9" s="10" t="str" cm="1">
        <f t="array" ref="D9">GetValue("Cat",C9,"Name")</f>
        <v>string</v>
      </c>
      <c r="E9" s="10" t="s">
        <v>414</v>
      </c>
      <c r="F9" t="b">
        <v>1</v>
      </c>
    </row>
    <row r="10" spans="1:6">
      <c r="A10" s="10">
        <f t="shared" si="0"/>
        <v>9</v>
      </c>
      <c r="B10" s="10" t="s">
        <v>415</v>
      </c>
      <c r="C10" s="10">
        <v>1</v>
      </c>
      <c r="D10" s="10" t="str" cm="1">
        <f t="array" ref="D10">GetValue("Cat",C10,"Name")</f>
        <v>string</v>
      </c>
      <c r="E10" s="10" t="s">
        <v>416</v>
      </c>
      <c r="F10" t="b">
        <v>1</v>
      </c>
    </row>
    <row r="11" spans="1:6">
      <c r="A11" s="10">
        <f t="shared" si="0"/>
        <v>10</v>
      </c>
      <c r="B11" s="10" t="s">
        <v>417</v>
      </c>
      <c r="C11" s="10">
        <v>1</v>
      </c>
      <c r="D11" s="10" t="str" cm="1">
        <f t="array" ref="D11">GetValue("Cat",C11,"Name")</f>
        <v>string</v>
      </c>
      <c r="E11" s="10" t="s">
        <v>418</v>
      </c>
      <c r="F11" t="b">
        <v>1</v>
      </c>
    </row>
    <row r="12" spans="1:6">
      <c r="A12" s="10">
        <f t="shared" si="0"/>
        <v>11</v>
      </c>
      <c r="B12" s="10" t="s">
        <v>419</v>
      </c>
      <c r="C12" s="10">
        <v>1</v>
      </c>
      <c r="D12" s="10" t="str" cm="1">
        <f t="array" ref="D12">GetValue("Cat",C12,"Name")</f>
        <v>string</v>
      </c>
      <c r="E12" s="10" t="s">
        <v>420</v>
      </c>
      <c r="F12" t="b">
        <v>1</v>
      </c>
    </row>
    <row r="13" spans="1:6">
      <c r="A13" s="10">
        <f t="shared" si="0"/>
        <v>12</v>
      </c>
      <c r="B13" s="10" t="s">
        <v>421</v>
      </c>
      <c r="C13" s="10">
        <v>10</v>
      </c>
      <c r="D13" s="10" t="str" cm="1">
        <f t="array" ref="D13">GetValue("Cat",C13,"Name")</f>
        <v>undefined</v>
      </c>
      <c r="E13" s="10" t="s">
        <v>442</v>
      </c>
      <c r="F13" t="b">
        <v>1</v>
      </c>
    </row>
    <row r="14" spans="1:6">
      <c r="A14" s="10">
        <f t="shared" si="0"/>
        <v>13</v>
      </c>
      <c r="B14" s="10" t="s">
        <v>422</v>
      </c>
      <c r="C14" s="10">
        <v>10</v>
      </c>
      <c r="D14" s="10" t="str" cm="1">
        <f t="array" ref="D14">GetValue("Cat",C14,"Name")</f>
        <v>undefined</v>
      </c>
      <c r="E14" s="10" t="s">
        <v>443</v>
      </c>
      <c r="F14" t="b">
        <v>1</v>
      </c>
    </row>
    <row r="15" spans="1:6">
      <c r="A15" s="10">
        <f t="shared" si="0"/>
        <v>14</v>
      </c>
      <c r="B15" s="10" t="s">
        <v>423</v>
      </c>
      <c r="C15" s="10">
        <v>2</v>
      </c>
      <c r="D15" s="10" t="str" cm="1">
        <f t="array" ref="D15">GetValue("Cat",C15,"Name")</f>
        <v>number</v>
      </c>
      <c r="E15" s="10" t="s">
        <v>424</v>
      </c>
      <c r="F15" t="b">
        <v>1</v>
      </c>
    </row>
    <row r="16" spans="1:6">
      <c r="A16" s="10">
        <f t="shared" si="0"/>
        <v>15</v>
      </c>
      <c r="B16" s="10" t="s">
        <v>425</v>
      </c>
      <c r="C16" s="10">
        <v>2</v>
      </c>
      <c r="D16" s="10" t="str" cm="1">
        <f t="array" ref="D16">GetValue("Cat",C16,"Name")</f>
        <v>number</v>
      </c>
      <c r="E16" s="10" t="s">
        <v>426</v>
      </c>
      <c r="F16" t="b">
        <v>1</v>
      </c>
    </row>
    <row r="17" spans="1:6">
      <c r="A17" s="10">
        <f t="shared" si="0"/>
        <v>16</v>
      </c>
      <c r="B17" s="10" t="s">
        <v>427</v>
      </c>
      <c r="C17" s="10">
        <v>2</v>
      </c>
      <c r="D17" s="10" t="str" cm="1">
        <f t="array" ref="D17">GetValue("Cat",C17,"Name")</f>
        <v>number</v>
      </c>
      <c r="E17" s="10" t="s">
        <v>428</v>
      </c>
      <c r="F17" t="b">
        <v>1</v>
      </c>
    </row>
    <row r="18" spans="1:6">
      <c r="A18" s="10">
        <f t="shared" si="0"/>
        <v>17</v>
      </c>
      <c r="B18" s="10" t="s">
        <v>429</v>
      </c>
      <c r="C18" s="10">
        <v>1</v>
      </c>
      <c r="D18" s="10" t="str" cm="1">
        <f t="array" ref="D18">GetValue("Cat",C18,"Name")</f>
        <v>string</v>
      </c>
      <c r="E18" s="10" t="s">
        <v>430</v>
      </c>
      <c r="F18" t="b">
        <v>1</v>
      </c>
    </row>
    <row r="19" spans="1:6">
      <c r="A19" s="10">
        <f t="shared" si="0"/>
        <v>18</v>
      </c>
      <c r="B19" s="10" t="s">
        <v>431</v>
      </c>
      <c r="C19" s="10">
        <v>1</v>
      </c>
      <c r="D19" s="10" t="str" cm="1">
        <f t="array" ref="D19">GetValue("Cat",C19,"Name")</f>
        <v>string</v>
      </c>
      <c r="E19" s="10" t="s">
        <v>432</v>
      </c>
      <c r="F19" t="b">
        <v>1</v>
      </c>
    </row>
    <row r="20" spans="1:6">
      <c r="A20" s="10">
        <f t="shared" si="0"/>
        <v>19</v>
      </c>
      <c r="B20" s="10" t="s">
        <v>433</v>
      </c>
      <c r="C20" s="10">
        <v>1</v>
      </c>
      <c r="D20" s="10" t="str" cm="1">
        <f t="array" ref="D20">GetValue("Cat",C20,"Name")</f>
        <v>string</v>
      </c>
      <c r="E20" s="10" t="s">
        <v>434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500</v>
      </c>
      <c r="C1" s="1" t="s">
        <v>513</v>
      </c>
      <c r="D1" s="1" t="s">
        <v>501</v>
      </c>
      <c r="E1" s="1" t="s">
        <v>446</v>
      </c>
      <c r="F1" s="1" t="s">
        <v>332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406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451</v>
      </c>
      <c r="C1" s="1" t="s">
        <v>355</v>
      </c>
      <c r="D1" s="1" t="s">
        <v>1</v>
      </c>
      <c r="E1" s="1" t="s">
        <v>517</v>
      </c>
      <c r="F1" s="1" t="s">
        <v>450</v>
      </c>
      <c r="G1" s="1" t="s">
        <v>518</v>
      </c>
      <c r="H1" s="1" t="s">
        <v>519</v>
      </c>
      <c r="I1" s="1" t="s">
        <v>520</v>
      </c>
      <c r="J1" s="1" t="s">
        <v>521</v>
      </c>
      <c r="K1" s="1" t="s">
        <v>522</v>
      </c>
      <c r="L1" s="1" t="s">
        <v>523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751</v>
      </c>
      <c r="E2">
        <v>1</v>
      </c>
      <c r="F2" t="s">
        <v>752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525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753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798</v>
      </c>
      <c r="C1" s="1" t="s">
        <v>799</v>
      </c>
      <c r="D1" s="1" t="s">
        <v>86</v>
      </c>
      <c r="E1" s="1" t="s">
        <v>153</v>
      </c>
      <c r="F1" s="1" t="s">
        <v>70</v>
      </c>
      <c r="G1" s="1" t="s">
        <v>524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754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798</v>
      </c>
      <c r="C1" s="1" t="s">
        <v>799</v>
      </c>
      <c r="D1" s="1" t="s">
        <v>70</v>
      </c>
      <c r="E1" s="1" t="s">
        <v>761</v>
      </c>
      <c r="F1" s="1" t="s">
        <v>760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762</v>
      </c>
      <c r="F2" s="28" t="s">
        <v>759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451</v>
      </c>
      <c r="C1" s="1" t="s">
        <v>355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224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209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755</v>
      </c>
      <c r="E2" t="s">
        <v>756</v>
      </c>
      <c r="F2" t="s">
        <v>756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2025-12-15T19:21:12Z</dcterms:modified>
</cp:coreProperties>
</file>